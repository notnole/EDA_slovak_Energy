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20" windowHeight="8010"/>
  </bookViews>
  <sheets>
    <sheet name="Porovnavanie" sheetId="1" r:id="rId1"/>
    <sheet name="Predikcia" sheetId="2" r:id="rId2"/>
    <sheet name="DHS2021" sheetId="3" r:id="rId3"/>
    <sheet name="DHS2022" sheetId="4" r:id="rId4"/>
    <sheet name="DHS2023" sheetId="5" r:id="rId5"/>
    <sheet name="DHS2024" sheetId="6" r:id="rId6"/>
    <sheet name="DHS2025" sheetId="7" r:id="rId7"/>
  </sheets>
  <calcPr calcId="125725"/>
</workbook>
</file>

<file path=xl/calcChain.xml><?xml version="1.0" encoding="utf-8"?>
<calcChain xmlns="http://schemas.openxmlformats.org/spreadsheetml/2006/main">
  <c r="A75" i="2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4"/>
  <c r="J6" i="1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5"/>
  <c r="I675" i="2" l="1"/>
  <c r="I6" i="1" l="1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F178"/>
  <c r="G178"/>
  <c r="F179"/>
  <c r="G179"/>
  <c r="F180"/>
  <c r="G180"/>
  <c r="F181"/>
  <c r="G181"/>
  <c r="F182"/>
  <c r="G182"/>
  <c r="F183"/>
  <c r="G183"/>
  <c r="F184"/>
  <c r="G184"/>
  <c r="F185"/>
  <c r="G185"/>
  <c r="F186"/>
  <c r="G186"/>
  <c r="F187"/>
  <c r="G187"/>
  <c r="F188"/>
  <c r="G188"/>
  <c r="F189"/>
  <c r="G189"/>
  <c r="F190"/>
  <c r="G190"/>
  <c r="F191"/>
  <c r="G191"/>
  <c r="F192"/>
  <c r="G192"/>
  <c r="F193"/>
  <c r="G193"/>
  <c r="F194"/>
  <c r="G194"/>
  <c r="F195"/>
  <c r="G195"/>
  <c r="F196"/>
  <c r="G196"/>
  <c r="F197"/>
  <c r="G197"/>
  <c r="F198"/>
  <c r="G198"/>
  <c r="F199"/>
  <c r="G199"/>
  <c r="F200"/>
  <c r="G200"/>
  <c r="F201"/>
  <c r="G201"/>
  <c r="F202"/>
  <c r="G202"/>
  <c r="F203"/>
  <c r="G203"/>
  <c r="F204"/>
  <c r="G204"/>
  <c r="F205"/>
  <c r="G205"/>
  <c r="F206"/>
  <c r="G206"/>
  <c r="F207"/>
  <c r="G207"/>
  <c r="F208"/>
  <c r="G208"/>
  <c r="F209"/>
  <c r="G209"/>
  <c r="F210"/>
  <c r="G210"/>
  <c r="F211"/>
  <c r="G211"/>
  <c r="F212"/>
  <c r="G212"/>
  <c r="F213"/>
  <c r="G213"/>
  <c r="F214"/>
  <c r="G214"/>
  <c r="F215"/>
  <c r="G215"/>
  <c r="F216"/>
  <c r="G216"/>
  <c r="F217"/>
  <c r="G217"/>
  <c r="F218"/>
  <c r="G218"/>
  <c r="F219"/>
  <c r="G219"/>
  <c r="F220"/>
  <c r="G220"/>
  <c r="F221"/>
  <c r="G221"/>
  <c r="F222"/>
  <c r="G222"/>
  <c r="F223"/>
  <c r="G223"/>
  <c r="F224"/>
  <c r="G224"/>
  <c r="F225"/>
  <c r="G225"/>
  <c r="F226"/>
  <c r="G226"/>
  <c r="F227"/>
  <c r="G227"/>
  <c r="F228"/>
  <c r="G228"/>
  <c r="F229"/>
  <c r="G229"/>
  <c r="F230"/>
  <c r="G230"/>
  <c r="F231"/>
  <c r="G231"/>
  <c r="F232"/>
  <c r="G232"/>
  <c r="F233"/>
  <c r="G233"/>
  <c r="F234"/>
  <c r="G234"/>
  <c r="F235"/>
  <c r="G235"/>
  <c r="F236"/>
  <c r="G236"/>
  <c r="F237"/>
  <c r="G237"/>
  <c r="F238"/>
  <c r="G238"/>
  <c r="F239"/>
  <c r="G239"/>
  <c r="F240"/>
  <c r="G240"/>
  <c r="F241"/>
  <c r="G241"/>
  <c r="F242"/>
  <c r="G242"/>
  <c r="F243"/>
  <c r="G243"/>
  <c r="F244"/>
  <c r="G244"/>
  <c r="F245"/>
  <c r="G245"/>
  <c r="F246"/>
  <c r="G246"/>
  <c r="F247"/>
  <c r="G247"/>
  <c r="F248"/>
  <c r="G248"/>
  <c r="F249"/>
  <c r="G249"/>
  <c r="F250"/>
  <c r="G250"/>
  <c r="F251"/>
  <c r="G251"/>
  <c r="F252"/>
  <c r="G252"/>
  <c r="F253"/>
  <c r="G253"/>
  <c r="F254"/>
  <c r="G254"/>
  <c r="F255"/>
  <c r="G255"/>
  <c r="F256"/>
  <c r="G256"/>
  <c r="F257"/>
  <c r="G257"/>
  <c r="F258"/>
  <c r="G258"/>
  <c r="F259"/>
  <c r="G259"/>
  <c r="F260"/>
  <c r="G260"/>
  <c r="F261"/>
  <c r="G261"/>
  <c r="F262"/>
  <c r="G262"/>
  <c r="F263"/>
  <c r="G263"/>
  <c r="F264"/>
  <c r="G264"/>
  <c r="F265"/>
  <c r="G265"/>
  <c r="F266"/>
  <c r="G266"/>
  <c r="F267"/>
  <c r="G267"/>
  <c r="F268"/>
  <c r="G268"/>
  <c r="F269"/>
  <c r="G269"/>
  <c r="F270"/>
  <c r="G270"/>
  <c r="F271"/>
  <c r="G271"/>
  <c r="F272"/>
  <c r="G272"/>
  <c r="F273"/>
  <c r="G273"/>
  <c r="F274"/>
  <c r="G274"/>
  <c r="F275"/>
  <c r="G275"/>
  <c r="F276"/>
  <c r="G276"/>
  <c r="F277"/>
  <c r="G277"/>
  <c r="F278"/>
  <c r="G278"/>
  <c r="F279"/>
  <c r="G279"/>
  <c r="F280"/>
  <c r="G280"/>
  <c r="F281"/>
  <c r="G281"/>
  <c r="F282"/>
  <c r="G282"/>
  <c r="F283"/>
  <c r="G283"/>
  <c r="F284"/>
  <c r="G284"/>
  <c r="F285"/>
  <c r="G285"/>
  <c r="F286"/>
  <c r="G286"/>
  <c r="F287"/>
  <c r="G287"/>
  <c r="F288"/>
  <c r="G288"/>
  <c r="F289"/>
  <c r="G289"/>
  <c r="F290"/>
  <c r="G290"/>
  <c r="F291"/>
  <c r="G291"/>
  <c r="F292"/>
  <c r="G292"/>
  <c r="F293"/>
  <c r="G293"/>
  <c r="F294"/>
  <c r="G294"/>
  <c r="F295"/>
  <c r="G295"/>
  <c r="F296"/>
  <c r="G296"/>
  <c r="F297"/>
  <c r="G297"/>
  <c r="F298"/>
  <c r="G298"/>
  <c r="F299"/>
  <c r="G299"/>
  <c r="F300"/>
  <c r="G300"/>
  <c r="F301"/>
  <c r="G301"/>
  <c r="F302"/>
  <c r="G302"/>
  <c r="F303"/>
  <c r="G303"/>
  <c r="F304"/>
  <c r="G304"/>
  <c r="F305"/>
  <c r="G305"/>
  <c r="F306"/>
  <c r="G306"/>
  <c r="F307"/>
  <c r="G307"/>
  <c r="F308"/>
  <c r="G308"/>
  <c r="F309"/>
  <c r="G309"/>
  <c r="F310"/>
  <c r="G310"/>
  <c r="F311"/>
  <c r="G311"/>
  <c r="F312"/>
  <c r="G312"/>
  <c r="F313"/>
  <c r="G313"/>
  <c r="F314"/>
  <c r="G314"/>
  <c r="F315"/>
  <c r="G315"/>
  <c r="F316"/>
  <c r="G316"/>
  <c r="F317"/>
  <c r="G317"/>
  <c r="F318"/>
  <c r="G318"/>
  <c r="F319"/>
  <c r="G319"/>
  <c r="F320"/>
  <c r="G320"/>
  <c r="F321"/>
  <c r="G321"/>
  <c r="F322"/>
  <c r="G322"/>
  <c r="F323"/>
  <c r="G323"/>
  <c r="F324"/>
  <c r="G324"/>
  <c r="F325"/>
  <c r="G325"/>
  <c r="F326"/>
  <c r="G326"/>
  <c r="F327"/>
  <c r="G327"/>
  <c r="F328"/>
  <c r="G328"/>
  <c r="F329"/>
  <c r="G329"/>
  <c r="F330"/>
  <c r="G330"/>
  <c r="F331"/>
  <c r="G331"/>
  <c r="F332"/>
  <c r="G332"/>
  <c r="F333"/>
  <c r="G333"/>
  <c r="F334"/>
  <c r="G334"/>
  <c r="F335"/>
  <c r="G335"/>
  <c r="F336"/>
  <c r="G336"/>
  <c r="F337"/>
  <c r="G337"/>
  <c r="F338"/>
  <c r="G338"/>
  <c r="F339"/>
  <c r="G339"/>
  <c r="F340"/>
  <c r="G340"/>
  <c r="F341"/>
  <c r="G341"/>
  <c r="F342"/>
  <c r="G342"/>
  <c r="F343"/>
  <c r="G343"/>
  <c r="F344"/>
  <c r="G344"/>
  <c r="F345"/>
  <c r="G345"/>
  <c r="F346"/>
  <c r="G346"/>
  <c r="F347"/>
  <c r="G347"/>
  <c r="F348"/>
  <c r="G348"/>
  <c r="F349"/>
  <c r="G349"/>
  <c r="F350"/>
  <c r="G350"/>
  <c r="F351"/>
  <c r="G351"/>
  <c r="F352"/>
  <c r="G352"/>
  <c r="F353"/>
  <c r="G353"/>
  <c r="F354"/>
  <c r="G354"/>
  <c r="F355"/>
  <c r="G355"/>
  <c r="F356"/>
  <c r="G356"/>
  <c r="F357"/>
  <c r="G357"/>
  <c r="F358"/>
  <c r="G358"/>
  <c r="F359"/>
  <c r="G359"/>
  <c r="F360"/>
  <c r="G360"/>
  <c r="F361"/>
  <c r="G361"/>
  <c r="F362"/>
  <c r="G362"/>
  <c r="F363"/>
  <c r="G363"/>
  <c r="F364"/>
  <c r="G364"/>
  <c r="F365"/>
  <c r="G365"/>
  <c r="F366"/>
  <c r="G366"/>
  <c r="F367"/>
  <c r="G367"/>
  <c r="F368"/>
  <c r="G368"/>
  <c r="F369"/>
  <c r="G369"/>
  <c r="F370"/>
  <c r="G370"/>
  <c r="F371"/>
  <c r="G371"/>
  <c r="F372"/>
  <c r="G372"/>
  <c r="F373"/>
  <c r="G373"/>
  <c r="F374"/>
  <c r="G374"/>
  <c r="F375"/>
  <c r="G375"/>
  <c r="F376"/>
  <c r="G376"/>
  <c r="F377"/>
  <c r="G377"/>
  <c r="F378"/>
  <c r="G378"/>
  <c r="F379"/>
  <c r="G379"/>
  <c r="F380"/>
  <c r="G380"/>
  <c r="F381"/>
  <c r="G381"/>
  <c r="F382"/>
  <c r="G382"/>
  <c r="F383"/>
  <c r="G383"/>
  <c r="F384"/>
  <c r="G384"/>
  <c r="F385"/>
  <c r="G385"/>
  <c r="F386"/>
  <c r="G386"/>
  <c r="F387"/>
  <c r="G387"/>
  <c r="F388"/>
  <c r="G388"/>
  <c r="F389"/>
  <c r="G389"/>
  <c r="F390"/>
  <c r="G390"/>
  <c r="F391"/>
  <c r="G391"/>
  <c r="F392"/>
  <c r="G392"/>
  <c r="F393"/>
  <c r="G393"/>
  <c r="F394"/>
  <c r="G394"/>
  <c r="F395"/>
  <c r="G395"/>
  <c r="F396"/>
  <c r="G396"/>
  <c r="F397"/>
  <c r="G397"/>
  <c r="F398"/>
  <c r="G398"/>
  <c r="F399"/>
  <c r="G399"/>
  <c r="F400"/>
  <c r="G400"/>
  <c r="F401"/>
  <c r="G401"/>
  <c r="F402"/>
  <c r="G402"/>
  <c r="F403"/>
  <c r="G403"/>
  <c r="F404"/>
  <c r="G404"/>
  <c r="F405"/>
  <c r="G405"/>
  <c r="F406"/>
  <c r="G406"/>
  <c r="F407"/>
  <c r="G407"/>
  <c r="F408"/>
  <c r="G408"/>
  <c r="F409"/>
  <c r="G409"/>
  <c r="F410"/>
  <c r="G410"/>
  <c r="F411"/>
  <c r="G411"/>
  <c r="F412"/>
  <c r="G412"/>
  <c r="F413"/>
  <c r="G413"/>
  <c r="F414"/>
  <c r="G414"/>
  <c r="F415"/>
  <c r="G415"/>
  <c r="F416"/>
  <c r="G416"/>
  <c r="F417"/>
  <c r="G417"/>
  <c r="F418"/>
  <c r="G418"/>
  <c r="F419"/>
  <c r="G419"/>
  <c r="F420"/>
  <c r="G420"/>
  <c r="F421"/>
  <c r="G421"/>
  <c r="F422"/>
  <c r="G422"/>
  <c r="F423"/>
  <c r="G423"/>
  <c r="F424"/>
  <c r="G424"/>
  <c r="F425"/>
  <c r="G425"/>
  <c r="F426"/>
  <c r="G426"/>
  <c r="F427"/>
  <c r="G427"/>
  <c r="F428"/>
  <c r="G428"/>
  <c r="F429"/>
  <c r="G429"/>
  <c r="F430"/>
  <c r="G430"/>
  <c r="F431"/>
  <c r="G431"/>
  <c r="F432"/>
  <c r="G432"/>
  <c r="F433"/>
  <c r="G433"/>
  <c r="F434"/>
  <c r="G434"/>
  <c r="F435"/>
  <c r="G435"/>
  <c r="F436"/>
  <c r="G436"/>
  <c r="F437"/>
  <c r="G437"/>
  <c r="F438"/>
  <c r="G438"/>
  <c r="F439"/>
  <c r="G439"/>
  <c r="F440"/>
  <c r="G440"/>
  <c r="F441"/>
  <c r="G441"/>
  <c r="F442"/>
  <c r="G442"/>
  <c r="F443"/>
  <c r="G443"/>
  <c r="F444"/>
  <c r="G444"/>
  <c r="F445"/>
  <c r="G445"/>
  <c r="F446"/>
  <c r="G446"/>
  <c r="F447"/>
  <c r="G447"/>
  <c r="F448"/>
  <c r="G448"/>
  <c r="F449"/>
  <c r="G449"/>
  <c r="F450"/>
  <c r="G450"/>
  <c r="F451"/>
  <c r="G451"/>
  <c r="F452"/>
  <c r="G452"/>
  <c r="F453"/>
  <c r="G453"/>
  <c r="F454"/>
  <c r="G454"/>
  <c r="F455"/>
  <c r="G455"/>
  <c r="F456"/>
  <c r="G456"/>
  <c r="F457"/>
  <c r="G457"/>
  <c r="F458"/>
  <c r="G458"/>
  <c r="F459"/>
  <c r="G459"/>
  <c r="F460"/>
  <c r="G460"/>
  <c r="F461"/>
  <c r="G461"/>
  <c r="F462"/>
  <c r="G462"/>
  <c r="F463"/>
  <c r="G463"/>
  <c r="F464"/>
  <c r="G464"/>
  <c r="F465"/>
  <c r="G465"/>
  <c r="F466"/>
  <c r="G466"/>
  <c r="F467"/>
  <c r="G467"/>
  <c r="F468"/>
  <c r="G468"/>
  <c r="F469"/>
  <c r="G469"/>
  <c r="F470"/>
  <c r="G470"/>
  <c r="F471"/>
  <c r="G471"/>
  <c r="F472"/>
  <c r="G472"/>
  <c r="F473"/>
  <c r="G473"/>
  <c r="F474"/>
  <c r="G474"/>
  <c r="F475"/>
  <c r="G475"/>
  <c r="F476"/>
  <c r="G476"/>
  <c r="F477"/>
  <c r="G477"/>
  <c r="F478"/>
  <c r="G478"/>
  <c r="F479"/>
  <c r="G479"/>
  <c r="F480"/>
  <c r="G480"/>
  <c r="F481"/>
  <c r="G481"/>
  <c r="F482"/>
  <c r="G482"/>
  <c r="F483"/>
  <c r="G483"/>
  <c r="F484"/>
  <c r="G484"/>
  <c r="F485"/>
  <c r="G485"/>
  <c r="F486"/>
  <c r="G486"/>
  <c r="F487"/>
  <c r="G487"/>
  <c r="F488"/>
  <c r="G488"/>
  <c r="F489"/>
  <c r="G489"/>
  <c r="F490"/>
  <c r="G490"/>
  <c r="F491"/>
  <c r="G491"/>
  <c r="F492"/>
  <c r="G492"/>
  <c r="F493"/>
  <c r="G493"/>
  <c r="F494"/>
  <c r="G494"/>
  <c r="F495"/>
  <c r="G495"/>
  <c r="F496"/>
  <c r="G496"/>
  <c r="F497"/>
  <c r="G497"/>
  <c r="F498"/>
  <c r="G498"/>
  <c r="F499"/>
  <c r="G499"/>
  <c r="F500"/>
  <c r="G500"/>
  <c r="F501"/>
  <c r="G501"/>
  <c r="F502"/>
  <c r="G502"/>
  <c r="F503"/>
  <c r="G503"/>
  <c r="F504"/>
  <c r="G504"/>
  <c r="F505"/>
  <c r="G505"/>
  <c r="F506"/>
  <c r="G506"/>
  <c r="F507"/>
  <c r="G507"/>
  <c r="F508"/>
  <c r="G508"/>
  <c r="F509"/>
  <c r="G509"/>
  <c r="F510"/>
  <c r="G510"/>
  <c r="F511"/>
  <c r="G511"/>
  <c r="F512"/>
  <c r="G512"/>
  <c r="F513"/>
  <c r="G513"/>
  <c r="F514"/>
  <c r="G514"/>
  <c r="F515"/>
  <c r="G515"/>
  <c r="F516"/>
  <c r="G516"/>
  <c r="F517"/>
  <c r="G517"/>
  <c r="F518"/>
  <c r="G518"/>
  <c r="F519"/>
  <c r="G519"/>
  <c r="F520"/>
  <c r="G520"/>
  <c r="F521"/>
  <c r="G521"/>
  <c r="F522"/>
  <c r="G522"/>
  <c r="F523"/>
  <c r="G523"/>
  <c r="F524"/>
  <c r="G524"/>
  <c r="F525"/>
  <c r="G525"/>
  <c r="F526"/>
  <c r="G526"/>
  <c r="F527"/>
  <c r="G527"/>
  <c r="F528"/>
  <c r="G528"/>
  <c r="F529"/>
  <c r="G529"/>
  <c r="F530"/>
  <c r="G530"/>
  <c r="F531"/>
  <c r="G531"/>
  <c r="F532"/>
  <c r="G532"/>
  <c r="F533"/>
  <c r="G533"/>
  <c r="F534"/>
  <c r="G534"/>
  <c r="F535"/>
  <c r="G535"/>
  <c r="F536"/>
  <c r="G536"/>
  <c r="F537"/>
  <c r="G537"/>
  <c r="F538"/>
  <c r="G538"/>
  <c r="F539"/>
  <c r="G539"/>
  <c r="F540"/>
  <c r="G540"/>
  <c r="F541"/>
  <c r="G541"/>
  <c r="F542"/>
  <c r="G542"/>
  <c r="F543"/>
  <c r="G543"/>
  <c r="F544"/>
  <c r="G544"/>
  <c r="F545"/>
  <c r="G545"/>
  <c r="F546"/>
  <c r="G546"/>
  <c r="F547"/>
  <c r="G547"/>
  <c r="F548"/>
  <c r="G548"/>
  <c r="F549"/>
  <c r="G549"/>
  <c r="F550"/>
  <c r="G550"/>
  <c r="F551"/>
  <c r="G551"/>
  <c r="F552"/>
  <c r="G552"/>
  <c r="F553"/>
  <c r="G553"/>
  <c r="F554"/>
  <c r="G554"/>
  <c r="F555"/>
  <c r="G555"/>
  <c r="F556"/>
  <c r="G556"/>
  <c r="F557"/>
  <c r="G557"/>
  <c r="F558"/>
  <c r="G558"/>
  <c r="F559"/>
  <c r="G559"/>
  <c r="F560"/>
  <c r="G560"/>
  <c r="F561"/>
  <c r="G561"/>
  <c r="F562"/>
  <c r="G562"/>
  <c r="F563"/>
  <c r="G563"/>
  <c r="F564"/>
  <c r="G564"/>
  <c r="F565"/>
  <c r="G565"/>
  <c r="F566"/>
  <c r="G566"/>
  <c r="F567"/>
  <c r="G567"/>
  <c r="F568"/>
  <c r="G568"/>
  <c r="F569"/>
  <c r="G569"/>
  <c r="F570"/>
  <c r="G570"/>
  <c r="F571"/>
  <c r="G571"/>
  <c r="F572"/>
  <c r="G572"/>
  <c r="F573"/>
  <c r="G573"/>
  <c r="F574"/>
  <c r="G574"/>
  <c r="F575"/>
  <c r="G575"/>
  <c r="F576"/>
  <c r="G576"/>
  <c r="F577"/>
  <c r="G577"/>
  <c r="F578"/>
  <c r="G578"/>
  <c r="F579"/>
  <c r="G579"/>
  <c r="F580"/>
  <c r="G580"/>
  <c r="F581"/>
  <c r="G581"/>
  <c r="F582"/>
  <c r="G582"/>
  <c r="F583"/>
  <c r="G583"/>
  <c r="F584"/>
  <c r="G584"/>
  <c r="F585"/>
  <c r="G585"/>
  <c r="F586"/>
  <c r="G586"/>
  <c r="F587"/>
  <c r="G587"/>
  <c r="F588"/>
  <c r="G588"/>
  <c r="F589"/>
  <c r="G589"/>
  <c r="F590"/>
  <c r="G590"/>
  <c r="F591"/>
  <c r="G591"/>
  <c r="F592"/>
  <c r="G592"/>
  <c r="F593"/>
  <c r="G593"/>
  <c r="F594"/>
  <c r="G594"/>
  <c r="F595"/>
  <c r="G595"/>
  <c r="F596"/>
  <c r="G596"/>
  <c r="F597"/>
  <c r="G597"/>
  <c r="F598"/>
  <c r="G598"/>
  <c r="F599"/>
  <c r="G599"/>
  <c r="F600"/>
  <c r="G600"/>
  <c r="F601"/>
  <c r="G601"/>
  <c r="F602"/>
  <c r="G602"/>
  <c r="F603"/>
  <c r="G603"/>
  <c r="F604"/>
  <c r="G604"/>
  <c r="F605"/>
  <c r="G605"/>
  <c r="F606"/>
  <c r="G606"/>
  <c r="F607"/>
  <c r="G607"/>
  <c r="F608"/>
  <c r="G608"/>
  <c r="F609"/>
  <c r="G609"/>
  <c r="F610"/>
  <c r="G610"/>
  <c r="F611"/>
  <c r="G611"/>
  <c r="F612"/>
  <c r="G612"/>
  <c r="F613"/>
  <c r="G613"/>
  <c r="F614"/>
  <c r="G614"/>
  <c r="F615"/>
  <c r="G615"/>
  <c r="F616"/>
  <c r="G616"/>
  <c r="F617"/>
  <c r="G617"/>
  <c r="F618"/>
  <c r="G618"/>
  <c r="F619"/>
  <c r="G619"/>
  <c r="F620"/>
  <c r="G620"/>
  <c r="F621"/>
  <c r="G621"/>
  <c r="F622"/>
  <c r="G622"/>
  <c r="F623"/>
  <c r="G623"/>
  <c r="F624"/>
  <c r="G624"/>
  <c r="F625"/>
  <c r="G625"/>
  <c r="F626"/>
  <c r="G626"/>
  <c r="F627"/>
  <c r="G627"/>
  <c r="F628"/>
  <c r="G628"/>
  <c r="F629"/>
  <c r="G629"/>
  <c r="F630"/>
  <c r="G630"/>
  <c r="F631"/>
  <c r="G631"/>
  <c r="F632"/>
  <c r="G632"/>
  <c r="F633"/>
  <c r="G633"/>
  <c r="F634"/>
  <c r="G634"/>
  <c r="F635"/>
  <c r="G635"/>
  <c r="F636"/>
  <c r="G636"/>
  <c r="F637"/>
  <c r="G637"/>
  <c r="F638"/>
  <c r="G638"/>
  <c r="F639"/>
  <c r="G639"/>
  <c r="F640"/>
  <c r="G640"/>
  <c r="F641"/>
  <c r="G641"/>
  <c r="F642"/>
  <c r="G642"/>
  <c r="F643"/>
  <c r="G643"/>
  <c r="F644"/>
  <c r="G644"/>
  <c r="F645"/>
  <c r="G645"/>
  <c r="F646"/>
  <c r="G646"/>
  <c r="F647"/>
  <c r="G647"/>
  <c r="F648"/>
  <c r="G648"/>
  <c r="F649"/>
  <c r="G649"/>
  <c r="F650"/>
  <c r="G650"/>
  <c r="F651"/>
  <c r="G651"/>
  <c r="F652"/>
  <c r="G652"/>
  <c r="F653"/>
  <c r="G653"/>
  <c r="F654"/>
  <c r="G654"/>
  <c r="F655"/>
  <c r="G655"/>
  <c r="F656"/>
  <c r="G656"/>
  <c r="F657"/>
  <c r="G657"/>
  <c r="F658"/>
  <c r="G658"/>
  <c r="F659"/>
  <c r="G659"/>
  <c r="F660"/>
  <c r="G660"/>
  <c r="F661"/>
  <c r="G661"/>
  <c r="F662"/>
  <c r="G662"/>
  <c r="F663"/>
  <c r="G663"/>
  <c r="F664"/>
  <c r="G664"/>
  <c r="F665"/>
  <c r="G665"/>
  <c r="F666"/>
  <c r="G666"/>
  <c r="F667"/>
  <c r="G667"/>
  <c r="F668"/>
  <c r="G668"/>
  <c r="F669"/>
  <c r="G669"/>
  <c r="F670"/>
  <c r="G670"/>
  <c r="F671"/>
  <c r="G671"/>
  <c r="F672"/>
  <c r="G672"/>
  <c r="F673"/>
  <c r="G673"/>
  <c r="F674"/>
  <c r="G674"/>
  <c r="F675"/>
  <c r="G675"/>
  <c r="F676"/>
  <c r="G676"/>
  <c r="G5"/>
  <c r="F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5"/>
  <c r="O4" i="2"/>
  <c r="P4"/>
  <c r="Q4"/>
  <c r="O5"/>
  <c r="P5"/>
  <c r="Q5"/>
  <c r="O6"/>
  <c r="P6"/>
  <c r="Q6"/>
  <c r="O7"/>
  <c r="P7"/>
  <c r="Q7"/>
  <c r="O8"/>
  <c r="P8"/>
  <c r="Q8"/>
  <c r="O9"/>
  <c r="P9"/>
  <c r="Q9"/>
  <c r="O10"/>
  <c r="P10"/>
  <c r="Q10"/>
  <c r="O11"/>
  <c r="P11"/>
  <c r="Q11"/>
  <c r="O12"/>
  <c r="P12"/>
  <c r="Q12"/>
  <c r="O13"/>
  <c r="P13"/>
  <c r="Q13"/>
  <c r="O14"/>
  <c r="P14"/>
  <c r="Q14"/>
  <c r="O15"/>
  <c r="P15"/>
  <c r="Q15"/>
  <c r="O16"/>
  <c r="P16"/>
  <c r="Q16"/>
  <c r="O17"/>
  <c r="P17"/>
  <c r="Q17"/>
  <c r="O18"/>
  <c r="P18"/>
  <c r="Q18"/>
  <c r="O19"/>
  <c r="P19"/>
  <c r="Q19"/>
  <c r="O20"/>
  <c r="P20"/>
  <c r="Q20"/>
  <c r="O21"/>
  <c r="P21"/>
  <c r="Q21"/>
  <c r="O22"/>
  <c r="P22"/>
  <c r="Q22"/>
  <c r="O23"/>
  <c r="P23"/>
  <c r="Q23"/>
  <c r="O24"/>
  <c r="P24"/>
  <c r="Q24"/>
  <c r="O25"/>
  <c r="P25"/>
  <c r="Q25"/>
  <c r="O26"/>
  <c r="P26"/>
  <c r="Q26"/>
  <c r="O27"/>
  <c r="P27"/>
  <c r="Q27"/>
  <c r="O28"/>
  <c r="P28"/>
  <c r="Q28"/>
  <c r="O29"/>
  <c r="P29"/>
  <c r="Q29"/>
  <c r="O30"/>
  <c r="P30"/>
  <c r="Q30"/>
  <c r="O31"/>
  <c r="P31"/>
  <c r="Q31"/>
  <c r="O32"/>
  <c r="P32"/>
  <c r="Q32"/>
  <c r="O33"/>
  <c r="P33"/>
  <c r="Q33"/>
  <c r="O34"/>
  <c r="P34"/>
  <c r="Q34"/>
  <c r="O35"/>
  <c r="P35"/>
  <c r="Q35"/>
  <c r="O36"/>
  <c r="P36"/>
  <c r="Q36"/>
  <c r="O37"/>
  <c r="P37"/>
  <c r="Q37"/>
  <c r="O38"/>
  <c r="P38"/>
  <c r="Q38"/>
  <c r="O39"/>
  <c r="P39"/>
  <c r="Q39"/>
  <c r="O40"/>
  <c r="P40"/>
  <c r="Q40"/>
  <c r="O41"/>
  <c r="P41"/>
  <c r="Q41"/>
  <c r="O42"/>
  <c r="P42"/>
  <c r="Q42"/>
  <c r="O43"/>
  <c r="P43"/>
  <c r="Q43"/>
  <c r="O44"/>
  <c r="P44"/>
  <c r="Q44"/>
  <c r="O45"/>
  <c r="P45"/>
  <c r="Q45"/>
  <c r="O46"/>
  <c r="P46"/>
  <c r="Q46"/>
  <c r="O47"/>
  <c r="P47"/>
  <c r="Q47"/>
  <c r="O48"/>
  <c r="P48"/>
  <c r="Q48"/>
  <c r="O49"/>
  <c r="P49"/>
  <c r="Q49"/>
  <c r="O50"/>
  <c r="P50"/>
  <c r="Q50"/>
  <c r="O51"/>
  <c r="P51"/>
  <c r="Q51"/>
  <c r="O52"/>
  <c r="P52"/>
  <c r="Q52"/>
  <c r="O53"/>
  <c r="P53"/>
  <c r="Q53"/>
  <c r="O54"/>
  <c r="P54"/>
  <c r="Q54"/>
  <c r="O55"/>
  <c r="P55"/>
  <c r="Q55"/>
  <c r="O56"/>
  <c r="P56"/>
  <c r="Q56"/>
  <c r="O57"/>
  <c r="P57"/>
  <c r="Q57"/>
  <c r="O58"/>
  <c r="P58"/>
  <c r="Q58"/>
  <c r="O59"/>
  <c r="P59"/>
  <c r="Q59"/>
  <c r="O60"/>
  <c r="P60"/>
  <c r="Q60"/>
  <c r="O61"/>
  <c r="P61"/>
  <c r="Q61"/>
  <c r="O62"/>
  <c r="P62"/>
  <c r="Q62"/>
  <c r="O63"/>
  <c r="P63"/>
  <c r="Q63"/>
  <c r="O64"/>
  <c r="P64"/>
  <c r="Q64"/>
  <c r="O65"/>
  <c r="P65"/>
  <c r="Q65"/>
  <c r="O66"/>
  <c r="P66"/>
  <c r="Q66"/>
  <c r="O67"/>
  <c r="P67"/>
  <c r="Q67"/>
  <c r="O68"/>
  <c r="P68"/>
  <c r="Q68"/>
  <c r="O69"/>
  <c r="P69"/>
  <c r="Q69"/>
  <c r="O70"/>
  <c r="P70"/>
  <c r="Q70"/>
  <c r="O71"/>
  <c r="P71"/>
  <c r="Q71"/>
  <c r="O72"/>
  <c r="P72"/>
  <c r="Q72"/>
  <c r="O73"/>
  <c r="P73"/>
  <c r="Q73"/>
  <c r="O74"/>
  <c r="P74"/>
  <c r="Q74"/>
  <c r="O75"/>
  <c r="P75"/>
  <c r="Q75"/>
  <c r="O76"/>
  <c r="P76"/>
  <c r="Q76"/>
  <c r="O77"/>
  <c r="P77"/>
  <c r="Q77"/>
  <c r="O78"/>
  <c r="P78"/>
  <c r="Q78"/>
  <c r="O79"/>
  <c r="P79"/>
  <c r="Q79"/>
  <c r="O80"/>
  <c r="P80"/>
  <c r="Q80"/>
  <c r="O81"/>
  <c r="P81"/>
  <c r="Q81"/>
  <c r="O82"/>
  <c r="P82"/>
  <c r="Q82"/>
  <c r="O83"/>
  <c r="P83"/>
  <c r="Q83"/>
  <c r="O84"/>
  <c r="P84"/>
  <c r="Q84"/>
  <c r="O85"/>
  <c r="P85"/>
  <c r="Q85"/>
  <c r="O86"/>
  <c r="P86"/>
  <c r="Q86"/>
  <c r="O87"/>
  <c r="P87"/>
  <c r="Q87"/>
  <c r="O88"/>
  <c r="P88"/>
  <c r="Q88"/>
  <c r="O89"/>
  <c r="P89"/>
  <c r="Q89"/>
  <c r="O90"/>
  <c r="P90"/>
  <c r="Q90"/>
  <c r="O91"/>
  <c r="P91"/>
  <c r="Q91"/>
  <c r="O92"/>
  <c r="P92"/>
  <c r="Q92"/>
  <c r="O93"/>
  <c r="P93"/>
  <c r="Q93"/>
  <c r="O94"/>
  <c r="P94"/>
  <c r="Q94"/>
  <c r="O95"/>
  <c r="P95"/>
  <c r="Q95"/>
  <c r="O96"/>
  <c r="P96"/>
  <c r="Q96"/>
  <c r="O97"/>
  <c r="P97"/>
  <c r="Q97"/>
  <c r="O98"/>
  <c r="P98"/>
  <c r="Q98"/>
  <c r="O99"/>
  <c r="P99"/>
  <c r="Q99"/>
  <c r="O100"/>
  <c r="P100"/>
  <c r="Q100"/>
  <c r="O101"/>
  <c r="P101"/>
  <c r="Q101"/>
  <c r="O102"/>
  <c r="P102"/>
  <c r="Q102"/>
  <c r="O103"/>
  <c r="P103"/>
  <c r="Q103"/>
  <c r="O104"/>
  <c r="P104"/>
  <c r="Q104"/>
  <c r="O105"/>
  <c r="P105"/>
  <c r="Q105"/>
  <c r="O106"/>
  <c r="P106"/>
  <c r="Q106"/>
  <c r="O107"/>
  <c r="P107"/>
  <c r="Q107"/>
  <c r="O108"/>
  <c r="P108"/>
  <c r="Q108"/>
  <c r="O109"/>
  <c r="P109"/>
  <c r="Q109"/>
  <c r="O110"/>
  <c r="P110"/>
  <c r="Q110"/>
  <c r="O111"/>
  <c r="P111"/>
  <c r="Q111"/>
  <c r="O112"/>
  <c r="P112"/>
  <c r="Q112"/>
  <c r="O113"/>
  <c r="P113"/>
  <c r="Q113"/>
  <c r="O114"/>
  <c r="P114"/>
  <c r="Q114"/>
  <c r="O115"/>
  <c r="P115"/>
  <c r="Q115"/>
  <c r="O116"/>
  <c r="P116"/>
  <c r="Q116"/>
  <c r="O117"/>
  <c r="P117"/>
  <c r="Q117"/>
  <c r="O118"/>
  <c r="P118"/>
  <c r="Q118"/>
  <c r="O119"/>
  <c r="P119"/>
  <c r="Q119"/>
  <c r="O120"/>
  <c r="P120"/>
  <c r="Q120"/>
  <c r="O121"/>
  <c r="P121"/>
  <c r="Q121"/>
  <c r="O122"/>
  <c r="P122"/>
  <c r="Q122"/>
  <c r="O123"/>
  <c r="P123"/>
  <c r="Q123"/>
  <c r="O124"/>
  <c r="P124"/>
  <c r="Q124"/>
  <c r="O125"/>
  <c r="P125"/>
  <c r="Q125"/>
  <c r="O126"/>
  <c r="P126"/>
  <c r="Q126"/>
  <c r="O127"/>
  <c r="P127"/>
  <c r="Q127"/>
  <c r="O128"/>
  <c r="P128"/>
  <c r="Q128"/>
  <c r="O129"/>
  <c r="P129"/>
  <c r="Q129"/>
  <c r="O130"/>
  <c r="P130"/>
  <c r="Q130"/>
  <c r="O131"/>
  <c r="P131"/>
  <c r="Q131"/>
  <c r="O132"/>
  <c r="P132"/>
  <c r="Q132"/>
  <c r="O133"/>
  <c r="P133"/>
  <c r="Q133"/>
  <c r="O134"/>
  <c r="P134"/>
  <c r="Q134"/>
  <c r="O135"/>
  <c r="P135"/>
  <c r="Q135"/>
  <c r="O136"/>
  <c r="P136"/>
  <c r="Q136"/>
  <c r="O137"/>
  <c r="P137"/>
  <c r="Q137"/>
  <c r="O138"/>
  <c r="P138"/>
  <c r="Q138"/>
  <c r="O139"/>
  <c r="P139"/>
  <c r="Q139"/>
  <c r="O140"/>
  <c r="P140"/>
  <c r="Q140"/>
  <c r="O141"/>
  <c r="P141"/>
  <c r="Q141"/>
  <c r="O142"/>
  <c r="P142"/>
  <c r="Q142"/>
  <c r="O143"/>
  <c r="P143"/>
  <c r="Q143"/>
  <c r="O144"/>
  <c r="P144"/>
  <c r="Q144"/>
  <c r="O145"/>
  <c r="P145"/>
  <c r="Q145"/>
  <c r="O146"/>
  <c r="P146"/>
  <c r="Q146"/>
  <c r="O147"/>
  <c r="P147"/>
  <c r="Q147"/>
  <c r="O148"/>
  <c r="P148"/>
  <c r="Q148"/>
  <c r="O149"/>
  <c r="P149"/>
  <c r="Q149"/>
  <c r="O150"/>
  <c r="P150"/>
  <c r="Q150"/>
  <c r="O151"/>
  <c r="P151"/>
  <c r="Q151"/>
  <c r="O152"/>
  <c r="P152"/>
  <c r="Q152"/>
  <c r="O153"/>
  <c r="P153"/>
  <c r="Q153"/>
  <c r="O154"/>
  <c r="P154"/>
  <c r="Q154"/>
  <c r="O155"/>
  <c r="P155"/>
  <c r="Q155"/>
  <c r="O156"/>
  <c r="P156"/>
  <c r="Q156"/>
  <c r="O157"/>
  <c r="P157"/>
  <c r="Q157"/>
  <c r="O158"/>
  <c r="P158"/>
  <c r="Q158"/>
  <c r="O159"/>
  <c r="P159"/>
  <c r="Q159"/>
  <c r="O160"/>
  <c r="P160"/>
  <c r="Q160"/>
  <c r="O161"/>
  <c r="P161"/>
  <c r="Q161"/>
  <c r="O162"/>
  <c r="P162"/>
  <c r="Q162"/>
  <c r="O163"/>
  <c r="P163"/>
  <c r="Q163"/>
  <c r="O164"/>
  <c r="P164"/>
  <c r="Q164"/>
  <c r="O165"/>
  <c r="P165"/>
  <c r="Q165"/>
  <c r="O166"/>
  <c r="P166"/>
  <c r="Q166"/>
  <c r="O167"/>
  <c r="P167"/>
  <c r="Q167"/>
  <c r="O168"/>
  <c r="P168"/>
  <c r="Q168"/>
  <c r="O169"/>
  <c r="P169"/>
  <c r="Q169"/>
  <c r="O170"/>
  <c r="P170"/>
  <c r="Q170"/>
  <c r="O171"/>
  <c r="P171"/>
  <c r="Q171"/>
  <c r="O172"/>
  <c r="P172"/>
  <c r="Q172"/>
  <c r="O173"/>
  <c r="P173"/>
  <c r="Q173"/>
  <c r="O174"/>
  <c r="P174"/>
  <c r="Q174"/>
  <c r="O175"/>
  <c r="P175"/>
  <c r="Q175"/>
  <c r="O176"/>
  <c r="P176"/>
  <c r="Q176"/>
  <c r="O177"/>
  <c r="P177"/>
  <c r="Q177"/>
  <c r="O178"/>
  <c r="P178"/>
  <c r="Q178"/>
  <c r="O179"/>
  <c r="P179"/>
  <c r="Q179"/>
  <c r="O180"/>
  <c r="P180"/>
  <c r="Q180"/>
  <c r="O181"/>
  <c r="P181"/>
  <c r="Q181"/>
  <c r="O182"/>
  <c r="P182"/>
  <c r="Q182"/>
  <c r="O183"/>
  <c r="P183"/>
  <c r="Q183"/>
  <c r="O184"/>
  <c r="P184"/>
  <c r="Q184"/>
  <c r="O185"/>
  <c r="P185"/>
  <c r="Q185"/>
  <c r="O186"/>
  <c r="P186"/>
  <c r="Q186"/>
  <c r="O187"/>
  <c r="P187"/>
  <c r="Q187"/>
  <c r="O188"/>
  <c r="P188"/>
  <c r="Q188"/>
  <c r="O189"/>
  <c r="P189"/>
  <c r="Q189"/>
  <c r="O190"/>
  <c r="P190"/>
  <c r="Q190"/>
  <c r="O191"/>
  <c r="P191"/>
  <c r="Q191"/>
  <c r="O192"/>
  <c r="P192"/>
  <c r="Q192"/>
  <c r="O193"/>
  <c r="P193"/>
  <c r="Q193"/>
  <c r="O194"/>
  <c r="P194"/>
  <c r="Q194"/>
  <c r="O195"/>
  <c r="P195"/>
  <c r="Q195"/>
  <c r="O196"/>
  <c r="P196"/>
  <c r="Q196"/>
  <c r="O197"/>
  <c r="P197"/>
  <c r="Q197"/>
  <c r="O198"/>
  <c r="P198"/>
  <c r="Q198"/>
  <c r="O199"/>
  <c r="P199"/>
  <c r="Q199"/>
  <c r="O200"/>
  <c r="P200"/>
  <c r="Q200"/>
  <c r="O201"/>
  <c r="P201"/>
  <c r="Q201"/>
  <c r="O202"/>
  <c r="P202"/>
  <c r="Q202"/>
  <c r="O203"/>
  <c r="P203"/>
  <c r="Q203"/>
  <c r="O204"/>
  <c r="P204"/>
  <c r="Q204"/>
  <c r="O205"/>
  <c r="P205"/>
  <c r="Q205"/>
  <c r="O206"/>
  <c r="P206"/>
  <c r="Q206"/>
  <c r="O207"/>
  <c r="P207"/>
  <c r="Q207"/>
  <c r="O208"/>
  <c r="P208"/>
  <c r="Q208"/>
  <c r="O209"/>
  <c r="P209"/>
  <c r="Q209"/>
  <c r="O210"/>
  <c r="P210"/>
  <c r="Q210"/>
  <c r="O211"/>
  <c r="P211"/>
  <c r="Q211"/>
  <c r="O212"/>
  <c r="P212"/>
  <c r="Q212"/>
  <c r="O213"/>
  <c r="P213"/>
  <c r="Q213"/>
  <c r="O214"/>
  <c r="P214"/>
  <c r="Q214"/>
  <c r="O215"/>
  <c r="P215"/>
  <c r="Q215"/>
  <c r="O216"/>
  <c r="P216"/>
  <c r="Q216"/>
  <c r="O217"/>
  <c r="P217"/>
  <c r="Q217"/>
  <c r="O218"/>
  <c r="P218"/>
  <c r="Q218"/>
  <c r="O219"/>
  <c r="P219"/>
  <c r="Q219"/>
  <c r="O220"/>
  <c r="P220"/>
  <c r="Q220"/>
  <c r="O221"/>
  <c r="P221"/>
  <c r="Q221"/>
  <c r="O222"/>
  <c r="P222"/>
  <c r="Q222"/>
  <c r="O223"/>
  <c r="P223"/>
  <c r="Q223"/>
  <c r="O224"/>
  <c r="P224"/>
  <c r="Q224"/>
  <c r="O225"/>
  <c r="P225"/>
  <c r="Q225"/>
  <c r="O226"/>
  <c r="P226"/>
  <c r="Q226"/>
  <c r="O227"/>
  <c r="P227"/>
  <c r="Q227"/>
  <c r="O228"/>
  <c r="P228"/>
  <c r="Q228"/>
  <c r="O229"/>
  <c r="P229"/>
  <c r="Q229"/>
  <c r="O230"/>
  <c r="P230"/>
  <c r="Q230"/>
  <c r="O231"/>
  <c r="P231"/>
  <c r="Q231"/>
  <c r="O232"/>
  <c r="P232"/>
  <c r="Q232"/>
  <c r="O233"/>
  <c r="P233"/>
  <c r="Q233"/>
  <c r="O234"/>
  <c r="P234"/>
  <c r="Q234"/>
  <c r="O235"/>
  <c r="P235"/>
  <c r="Q235"/>
  <c r="O236"/>
  <c r="P236"/>
  <c r="Q236"/>
  <c r="O237"/>
  <c r="P237"/>
  <c r="Q237"/>
  <c r="O238"/>
  <c r="P238"/>
  <c r="Q238"/>
  <c r="O239"/>
  <c r="P239"/>
  <c r="Q239"/>
  <c r="O240"/>
  <c r="P240"/>
  <c r="Q240"/>
  <c r="O241"/>
  <c r="P241"/>
  <c r="Q241"/>
  <c r="O242"/>
  <c r="P242"/>
  <c r="Q242"/>
  <c r="O243"/>
  <c r="P243"/>
  <c r="Q243"/>
  <c r="O244"/>
  <c r="P244"/>
  <c r="Q244"/>
  <c r="O245"/>
  <c r="P245"/>
  <c r="Q245"/>
  <c r="O246"/>
  <c r="P246"/>
  <c r="Q246"/>
  <c r="O247"/>
  <c r="P247"/>
  <c r="Q247"/>
  <c r="O248"/>
  <c r="P248"/>
  <c r="Q248"/>
  <c r="O249"/>
  <c r="P249"/>
  <c r="Q249"/>
  <c r="O250"/>
  <c r="P250"/>
  <c r="Q250"/>
  <c r="O251"/>
  <c r="P251"/>
  <c r="Q251"/>
  <c r="O252"/>
  <c r="P252"/>
  <c r="Q252"/>
  <c r="O253"/>
  <c r="P253"/>
  <c r="Q253"/>
  <c r="O254"/>
  <c r="P254"/>
  <c r="Q254"/>
  <c r="O255"/>
  <c r="P255"/>
  <c r="Q255"/>
  <c r="O256"/>
  <c r="P256"/>
  <c r="Q256"/>
  <c r="O257"/>
  <c r="P257"/>
  <c r="Q257"/>
  <c r="O258"/>
  <c r="P258"/>
  <c r="Q258"/>
  <c r="O259"/>
  <c r="P259"/>
  <c r="Q259"/>
  <c r="O260"/>
  <c r="P260"/>
  <c r="Q260"/>
  <c r="O261"/>
  <c r="P261"/>
  <c r="Q261"/>
  <c r="O262"/>
  <c r="P262"/>
  <c r="Q262"/>
  <c r="O263"/>
  <c r="P263"/>
  <c r="Q263"/>
  <c r="O264"/>
  <c r="P264"/>
  <c r="Q264"/>
  <c r="O265"/>
  <c r="P265"/>
  <c r="Q265"/>
  <c r="O266"/>
  <c r="P266"/>
  <c r="Q266"/>
  <c r="O267"/>
  <c r="P267"/>
  <c r="Q267"/>
  <c r="O268"/>
  <c r="P268"/>
  <c r="Q268"/>
  <c r="O269"/>
  <c r="P269"/>
  <c r="Q269"/>
  <c r="O270"/>
  <c r="P270"/>
  <c r="Q270"/>
  <c r="O271"/>
  <c r="P271"/>
  <c r="Q271"/>
  <c r="O272"/>
  <c r="P272"/>
  <c r="Q272"/>
  <c r="O273"/>
  <c r="P273"/>
  <c r="Q273"/>
  <c r="O274"/>
  <c r="P274"/>
  <c r="Q274"/>
  <c r="O275"/>
  <c r="P275"/>
  <c r="Q275"/>
  <c r="O276"/>
  <c r="P276"/>
  <c r="Q276"/>
  <c r="O277"/>
  <c r="P277"/>
  <c r="Q277"/>
  <c r="O278"/>
  <c r="P278"/>
  <c r="Q278"/>
  <c r="O279"/>
  <c r="P279"/>
  <c r="Q279"/>
  <c r="O280"/>
  <c r="P280"/>
  <c r="Q280"/>
  <c r="O281"/>
  <c r="P281"/>
  <c r="Q281"/>
  <c r="O282"/>
  <c r="P282"/>
  <c r="Q282"/>
  <c r="O283"/>
  <c r="P283"/>
  <c r="Q283"/>
  <c r="O284"/>
  <c r="P284"/>
  <c r="Q284"/>
  <c r="O285"/>
  <c r="P285"/>
  <c r="Q285"/>
  <c r="O286"/>
  <c r="P286"/>
  <c r="Q286"/>
  <c r="O287"/>
  <c r="P287"/>
  <c r="Q287"/>
  <c r="O288"/>
  <c r="P288"/>
  <c r="Q288"/>
  <c r="O289"/>
  <c r="P289"/>
  <c r="Q289"/>
  <c r="O290"/>
  <c r="P290"/>
  <c r="Q290"/>
  <c r="O291"/>
  <c r="P291"/>
  <c r="Q291"/>
  <c r="O292"/>
  <c r="P292"/>
  <c r="Q292"/>
  <c r="O293"/>
  <c r="P293"/>
  <c r="Q293"/>
  <c r="O294"/>
  <c r="P294"/>
  <c r="Q294"/>
  <c r="O295"/>
  <c r="P295"/>
  <c r="Q295"/>
  <c r="O296"/>
  <c r="P296"/>
  <c r="Q296"/>
  <c r="O297"/>
  <c r="P297"/>
  <c r="Q297"/>
  <c r="O298"/>
  <c r="P298"/>
  <c r="Q298"/>
  <c r="O299"/>
  <c r="P299"/>
  <c r="Q299"/>
  <c r="O300"/>
  <c r="P300"/>
  <c r="Q300"/>
  <c r="O301"/>
  <c r="P301"/>
  <c r="Q301"/>
  <c r="O302"/>
  <c r="P302"/>
  <c r="Q302"/>
  <c r="O303"/>
  <c r="P303"/>
  <c r="Q303"/>
  <c r="O304"/>
  <c r="P304"/>
  <c r="Q304"/>
  <c r="O305"/>
  <c r="P305"/>
  <c r="Q305"/>
  <c r="O306"/>
  <c r="P306"/>
  <c r="Q306"/>
  <c r="O307"/>
  <c r="P307"/>
  <c r="Q307"/>
  <c r="O308"/>
  <c r="P308"/>
  <c r="Q308"/>
  <c r="O309"/>
  <c r="P309"/>
  <c r="Q309"/>
  <c r="O310"/>
  <c r="P310"/>
  <c r="Q310"/>
  <c r="O311"/>
  <c r="P311"/>
  <c r="Q311"/>
  <c r="O312"/>
  <c r="P312"/>
  <c r="Q312"/>
  <c r="O313"/>
  <c r="P313"/>
  <c r="Q313"/>
  <c r="O314"/>
  <c r="P314"/>
  <c r="Q314"/>
  <c r="O315"/>
  <c r="P315"/>
  <c r="Q315"/>
  <c r="O316"/>
  <c r="P316"/>
  <c r="Q316"/>
  <c r="O317"/>
  <c r="P317"/>
  <c r="Q317"/>
  <c r="O318"/>
  <c r="P318"/>
  <c r="Q318"/>
  <c r="O319"/>
  <c r="P319"/>
  <c r="Q319"/>
  <c r="O320"/>
  <c r="P320"/>
  <c r="Q320"/>
  <c r="O321"/>
  <c r="P321"/>
  <c r="Q321"/>
  <c r="O322"/>
  <c r="P322"/>
  <c r="Q322"/>
  <c r="O323"/>
  <c r="P323"/>
  <c r="Q323"/>
  <c r="O324"/>
  <c r="P324"/>
  <c r="Q324"/>
  <c r="O325"/>
  <c r="P325"/>
  <c r="Q325"/>
  <c r="O326"/>
  <c r="P326"/>
  <c r="Q326"/>
  <c r="O327"/>
  <c r="P327"/>
  <c r="Q327"/>
  <c r="O328"/>
  <c r="P328"/>
  <c r="Q328"/>
  <c r="O329"/>
  <c r="P329"/>
  <c r="Q329"/>
  <c r="O330"/>
  <c r="P330"/>
  <c r="Q330"/>
  <c r="O331"/>
  <c r="P331"/>
  <c r="Q331"/>
  <c r="O332"/>
  <c r="P332"/>
  <c r="Q332"/>
  <c r="O333"/>
  <c r="P333"/>
  <c r="Q333"/>
  <c r="O334"/>
  <c r="P334"/>
  <c r="Q334"/>
  <c r="O335"/>
  <c r="P335"/>
  <c r="Q335"/>
  <c r="O336"/>
  <c r="P336"/>
  <c r="Q336"/>
  <c r="O337"/>
  <c r="P337"/>
  <c r="Q337"/>
  <c r="O338"/>
  <c r="P338"/>
  <c r="Q338"/>
  <c r="O339"/>
  <c r="P339"/>
  <c r="Q339"/>
  <c r="O340"/>
  <c r="P340"/>
  <c r="Q340"/>
  <c r="O341"/>
  <c r="P341"/>
  <c r="Q341"/>
  <c r="O342"/>
  <c r="P342"/>
  <c r="Q342"/>
  <c r="O343"/>
  <c r="P343"/>
  <c r="Q343"/>
  <c r="O344"/>
  <c r="P344"/>
  <c r="Q344"/>
  <c r="O345"/>
  <c r="P345"/>
  <c r="Q345"/>
  <c r="O346"/>
  <c r="P346"/>
  <c r="Q346"/>
  <c r="O347"/>
  <c r="P347"/>
  <c r="Q347"/>
  <c r="O348"/>
  <c r="P348"/>
  <c r="Q348"/>
  <c r="O349"/>
  <c r="P349"/>
  <c r="Q349"/>
  <c r="O350"/>
  <c r="P350"/>
  <c r="Q350"/>
  <c r="O351"/>
  <c r="P351"/>
  <c r="Q351"/>
  <c r="O352"/>
  <c r="P352"/>
  <c r="Q352"/>
  <c r="O353"/>
  <c r="P353"/>
  <c r="Q353"/>
  <c r="O354"/>
  <c r="P354"/>
  <c r="Q354"/>
  <c r="O355"/>
  <c r="P355"/>
  <c r="Q355"/>
  <c r="O356"/>
  <c r="P356"/>
  <c r="Q356"/>
  <c r="O357"/>
  <c r="P357"/>
  <c r="Q357"/>
  <c r="O358"/>
  <c r="P358"/>
  <c r="Q358"/>
  <c r="O359"/>
  <c r="P359"/>
  <c r="Q359"/>
  <c r="O360"/>
  <c r="P360"/>
  <c r="Q360"/>
  <c r="O361"/>
  <c r="P361"/>
  <c r="Q361"/>
  <c r="O362"/>
  <c r="P362"/>
  <c r="Q362"/>
  <c r="O363"/>
  <c r="P363"/>
  <c r="Q363"/>
  <c r="O364"/>
  <c r="P364"/>
  <c r="Q364"/>
  <c r="O365"/>
  <c r="P365"/>
  <c r="Q365"/>
  <c r="O366"/>
  <c r="P366"/>
  <c r="Q366"/>
  <c r="O367"/>
  <c r="P367"/>
  <c r="Q367"/>
  <c r="O368"/>
  <c r="P368"/>
  <c r="Q368"/>
  <c r="O369"/>
  <c r="P369"/>
  <c r="Q369"/>
  <c r="O370"/>
  <c r="P370"/>
  <c r="Q370"/>
  <c r="O371"/>
  <c r="P371"/>
  <c r="Q371"/>
  <c r="O372"/>
  <c r="P372"/>
  <c r="Q372"/>
  <c r="O373"/>
  <c r="P373"/>
  <c r="Q373"/>
  <c r="O374"/>
  <c r="P374"/>
  <c r="Q374"/>
  <c r="O375"/>
  <c r="P375"/>
  <c r="Q375"/>
  <c r="O376"/>
  <c r="P376"/>
  <c r="Q376"/>
  <c r="O377"/>
  <c r="P377"/>
  <c r="Q377"/>
  <c r="O378"/>
  <c r="P378"/>
  <c r="Q378"/>
  <c r="O379"/>
  <c r="P379"/>
  <c r="Q379"/>
  <c r="O380"/>
  <c r="P380"/>
  <c r="Q380"/>
  <c r="O381"/>
  <c r="P381"/>
  <c r="Q381"/>
  <c r="O382"/>
  <c r="P382"/>
  <c r="Q382"/>
  <c r="O383"/>
  <c r="P383"/>
  <c r="Q383"/>
  <c r="O384"/>
  <c r="P384"/>
  <c r="Q384"/>
  <c r="O385"/>
  <c r="P385"/>
  <c r="Q385"/>
  <c r="O386"/>
  <c r="P386"/>
  <c r="Q386"/>
  <c r="O387"/>
  <c r="P387"/>
  <c r="Q387"/>
  <c r="O388"/>
  <c r="P388"/>
  <c r="Q388"/>
  <c r="O389"/>
  <c r="P389"/>
  <c r="Q389"/>
  <c r="O390"/>
  <c r="P390"/>
  <c r="Q390"/>
  <c r="O391"/>
  <c r="P391"/>
  <c r="Q391"/>
  <c r="O392"/>
  <c r="P392"/>
  <c r="Q392"/>
  <c r="O393"/>
  <c r="P393"/>
  <c r="Q393"/>
  <c r="O394"/>
  <c r="P394"/>
  <c r="Q394"/>
  <c r="O395"/>
  <c r="P395"/>
  <c r="Q395"/>
  <c r="O396"/>
  <c r="P396"/>
  <c r="Q396"/>
  <c r="O397"/>
  <c r="P397"/>
  <c r="Q397"/>
  <c r="O398"/>
  <c r="P398"/>
  <c r="Q398"/>
  <c r="O399"/>
  <c r="P399"/>
  <c r="Q399"/>
  <c r="O400"/>
  <c r="P400"/>
  <c r="Q400"/>
  <c r="O401"/>
  <c r="P401"/>
  <c r="Q401"/>
  <c r="O402"/>
  <c r="P402"/>
  <c r="Q402"/>
  <c r="O403"/>
  <c r="P403"/>
  <c r="Q403"/>
  <c r="O404"/>
  <c r="P404"/>
  <c r="Q404"/>
  <c r="O405"/>
  <c r="P405"/>
  <c r="Q405"/>
  <c r="O406"/>
  <c r="P406"/>
  <c r="Q406"/>
  <c r="O407"/>
  <c r="P407"/>
  <c r="Q407"/>
  <c r="O408"/>
  <c r="P408"/>
  <c r="Q408"/>
  <c r="O409"/>
  <c r="P409"/>
  <c r="Q409"/>
  <c r="O410"/>
  <c r="P410"/>
  <c r="Q410"/>
  <c r="O411"/>
  <c r="P411"/>
  <c r="Q411"/>
  <c r="O412"/>
  <c r="P412"/>
  <c r="Q412"/>
  <c r="O413"/>
  <c r="P413"/>
  <c r="Q413"/>
  <c r="O414"/>
  <c r="P414"/>
  <c r="Q414"/>
  <c r="O415"/>
  <c r="P415"/>
  <c r="Q415"/>
  <c r="O416"/>
  <c r="P416"/>
  <c r="Q416"/>
  <c r="O417"/>
  <c r="P417"/>
  <c r="Q417"/>
  <c r="O418"/>
  <c r="P418"/>
  <c r="Q418"/>
  <c r="O419"/>
  <c r="P419"/>
  <c r="Q419"/>
  <c r="O420"/>
  <c r="P420"/>
  <c r="Q420"/>
  <c r="O421"/>
  <c r="P421"/>
  <c r="Q421"/>
  <c r="O422"/>
  <c r="P422"/>
  <c r="Q422"/>
  <c r="O423"/>
  <c r="P423"/>
  <c r="Q423"/>
  <c r="O424"/>
  <c r="P424"/>
  <c r="Q424"/>
  <c r="O425"/>
  <c r="P425"/>
  <c r="Q425"/>
  <c r="O426"/>
  <c r="P426"/>
  <c r="Q426"/>
  <c r="O427"/>
  <c r="P427"/>
  <c r="Q427"/>
  <c r="O428"/>
  <c r="P428"/>
  <c r="Q428"/>
  <c r="O429"/>
  <c r="P429"/>
  <c r="Q429"/>
  <c r="O430"/>
  <c r="P430"/>
  <c r="Q430"/>
  <c r="O431"/>
  <c r="P431"/>
  <c r="Q431"/>
  <c r="O432"/>
  <c r="P432"/>
  <c r="Q432"/>
  <c r="O433"/>
  <c r="P433"/>
  <c r="Q433"/>
  <c r="O434"/>
  <c r="P434"/>
  <c r="Q434"/>
  <c r="O435"/>
  <c r="P435"/>
  <c r="Q435"/>
  <c r="O436"/>
  <c r="P436"/>
  <c r="Q436"/>
  <c r="O437"/>
  <c r="P437"/>
  <c r="Q437"/>
  <c r="O438"/>
  <c r="P438"/>
  <c r="Q438"/>
  <c r="O439"/>
  <c r="P439"/>
  <c r="Q439"/>
  <c r="O440"/>
  <c r="P440"/>
  <c r="Q440"/>
  <c r="O441"/>
  <c r="P441"/>
  <c r="Q441"/>
  <c r="O442"/>
  <c r="P442"/>
  <c r="Q442"/>
  <c r="O443"/>
  <c r="P443"/>
  <c r="Q443"/>
  <c r="O444"/>
  <c r="P444"/>
  <c r="Q444"/>
  <c r="O445"/>
  <c r="P445"/>
  <c r="Q445"/>
  <c r="O446"/>
  <c r="P446"/>
  <c r="Q446"/>
  <c r="O447"/>
  <c r="P447"/>
  <c r="Q447"/>
  <c r="O448"/>
  <c r="P448"/>
  <c r="Q448"/>
  <c r="O449"/>
  <c r="P449"/>
  <c r="Q449"/>
  <c r="O450"/>
  <c r="P450"/>
  <c r="Q450"/>
  <c r="O451"/>
  <c r="P451"/>
  <c r="Q451"/>
  <c r="O452"/>
  <c r="P452"/>
  <c r="Q452"/>
  <c r="O453"/>
  <c r="P453"/>
  <c r="Q453"/>
  <c r="O454"/>
  <c r="P454"/>
  <c r="Q454"/>
  <c r="O455"/>
  <c r="P455"/>
  <c r="Q455"/>
  <c r="O456"/>
  <c r="P456"/>
  <c r="Q456"/>
  <c r="O457"/>
  <c r="P457"/>
  <c r="Q457"/>
  <c r="O458"/>
  <c r="P458"/>
  <c r="Q458"/>
  <c r="O459"/>
  <c r="P459"/>
  <c r="Q459"/>
  <c r="O460"/>
  <c r="P460"/>
  <c r="Q460"/>
  <c r="O461"/>
  <c r="P461"/>
  <c r="Q461"/>
  <c r="O462"/>
  <c r="P462"/>
  <c r="Q462"/>
  <c r="O463"/>
  <c r="P463"/>
  <c r="Q463"/>
  <c r="O464"/>
  <c r="P464"/>
  <c r="Q464"/>
  <c r="O465"/>
  <c r="P465"/>
  <c r="Q465"/>
  <c r="O466"/>
  <c r="P466"/>
  <c r="Q466"/>
  <c r="O467"/>
  <c r="P467"/>
  <c r="Q467"/>
  <c r="O468"/>
  <c r="P468"/>
  <c r="Q468"/>
  <c r="O469"/>
  <c r="P469"/>
  <c r="Q469"/>
  <c r="O470"/>
  <c r="P470"/>
  <c r="Q470"/>
  <c r="O471"/>
  <c r="P471"/>
  <c r="Q471"/>
  <c r="O472"/>
  <c r="P472"/>
  <c r="Q472"/>
  <c r="O473"/>
  <c r="P473"/>
  <c r="Q473"/>
  <c r="O474"/>
  <c r="P474"/>
  <c r="Q474"/>
  <c r="O475"/>
  <c r="P475"/>
  <c r="Q475"/>
  <c r="O476"/>
  <c r="P476"/>
  <c r="Q476"/>
  <c r="O477"/>
  <c r="P477"/>
  <c r="Q477"/>
  <c r="O478"/>
  <c r="P478"/>
  <c r="Q478"/>
  <c r="O479"/>
  <c r="P479"/>
  <c r="Q479"/>
  <c r="O480"/>
  <c r="P480"/>
  <c r="Q480"/>
  <c r="O481"/>
  <c r="P481"/>
  <c r="Q481"/>
  <c r="O482"/>
  <c r="P482"/>
  <c r="Q482"/>
  <c r="O483"/>
  <c r="P483"/>
  <c r="Q483"/>
  <c r="O484"/>
  <c r="P484"/>
  <c r="Q484"/>
  <c r="O485"/>
  <c r="P485"/>
  <c r="Q485"/>
  <c r="O486"/>
  <c r="P486"/>
  <c r="Q486"/>
  <c r="O487"/>
  <c r="P487"/>
  <c r="Q487"/>
  <c r="O488"/>
  <c r="P488"/>
  <c r="Q488"/>
  <c r="O489"/>
  <c r="P489"/>
  <c r="Q489"/>
  <c r="O490"/>
  <c r="P490"/>
  <c r="Q490"/>
  <c r="O491"/>
  <c r="P491"/>
  <c r="Q491"/>
  <c r="O492"/>
  <c r="P492"/>
  <c r="Q492"/>
  <c r="O493"/>
  <c r="P493"/>
  <c r="Q493"/>
  <c r="O494"/>
  <c r="P494"/>
  <c r="Q494"/>
  <c r="O495"/>
  <c r="P495"/>
  <c r="Q495"/>
  <c r="O496"/>
  <c r="P496"/>
  <c r="Q496"/>
  <c r="O497"/>
  <c r="P497"/>
  <c r="Q497"/>
  <c r="O498"/>
  <c r="P498"/>
  <c r="Q498"/>
  <c r="O499"/>
  <c r="P499"/>
  <c r="Q499"/>
  <c r="O500"/>
  <c r="P500"/>
  <c r="Q500"/>
  <c r="O501"/>
  <c r="P501"/>
  <c r="Q501"/>
  <c r="O502"/>
  <c r="P502"/>
  <c r="Q502"/>
  <c r="O503"/>
  <c r="P503"/>
  <c r="Q503"/>
  <c r="O504"/>
  <c r="P504"/>
  <c r="Q504"/>
  <c r="O505"/>
  <c r="P505"/>
  <c r="Q505"/>
  <c r="O506"/>
  <c r="P506"/>
  <c r="Q506"/>
  <c r="O507"/>
  <c r="P507"/>
  <c r="Q507"/>
  <c r="O508"/>
  <c r="P508"/>
  <c r="Q508"/>
  <c r="O509"/>
  <c r="P509"/>
  <c r="Q509"/>
  <c r="O510"/>
  <c r="P510"/>
  <c r="Q510"/>
  <c r="O511"/>
  <c r="P511"/>
  <c r="Q511"/>
  <c r="O512"/>
  <c r="P512"/>
  <c r="Q512"/>
  <c r="O513"/>
  <c r="P513"/>
  <c r="Q513"/>
  <c r="O514"/>
  <c r="P514"/>
  <c r="Q514"/>
  <c r="O515"/>
  <c r="P515"/>
  <c r="Q515"/>
  <c r="O516"/>
  <c r="P516"/>
  <c r="Q516"/>
  <c r="O517"/>
  <c r="P517"/>
  <c r="Q517"/>
  <c r="O518"/>
  <c r="P518"/>
  <c r="Q518"/>
  <c r="O519"/>
  <c r="P519"/>
  <c r="Q519"/>
  <c r="O520"/>
  <c r="P520"/>
  <c r="Q520"/>
  <c r="O521"/>
  <c r="P521"/>
  <c r="Q521"/>
  <c r="O522"/>
  <c r="P522"/>
  <c r="Q522"/>
  <c r="O523"/>
  <c r="P523"/>
  <c r="Q523"/>
  <c r="O524"/>
  <c r="P524"/>
  <c r="Q524"/>
  <c r="O525"/>
  <c r="P525"/>
  <c r="Q525"/>
  <c r="O526"/>
  <c r="P526"/>
  <c r="Q526"/>
  <c r="O527"/>
  <c r="P527"/>
  <c r="Q527"/>
  <c r="O528"/>
  <c r="P528"/>
  <c r="Q528"/>
  <c r="O529"/>
  <c r="P529"/>
  <c r="Q529"/>
  <c r="O530"/>
  <c r="P530"/>
  <c r="Q530"/>
  <c r="O531"/>
  <c r="P531"/>
  <c r="Q531"/>
  <c r="O532"/>
  <c r="P532"/>
  <c r="Q532"/>
  <c r="O533"/>
  <c r="P533"/>
  <c r="Q533"/>
  <c r="O534"/>
  <c r="P534"/>
  <c r="Q534"/>
  <c r="O535"/>
  <c r="P535"/>
  <c r="Q535"/>
  <c r="O536"/>
  <c r="P536"/>
  <c r="Q536"/>
  <c r="O537"/>
  <c r="P537"/>
  <c r="Q537"/>
  <c r="O538"/>
  <c r="P538"/>
  <c r="Q538"/>
  <c r="O539"/>
  <c r="P539"/>
  <c r="Q539"/>
  <c r="O540"/>
  <c r="P540"/>
  <c r="Q540"/>
  <c r="O541"/>
  <c r="P541"/>
  <c r="Q541"/>
  <c r="O542"/>
  <c r="P542"/>
  <c r="Q542"/>
  <c r="O543"/>
  <c r="P543"/>
  <c r="Q543"/>
  <c r="O544"/>
  <c r="P544"/>
  <c r="Q544"/>
  <c r="O545"/>
  <c r="P545"/>
  <c r="Q545"/>
  <c r="O546"/>
  <c r="P546"/>
  <c r="Q546"/>
  <c r="O547"/>
  <c r="P547"/>
  <c r="Q547"/>
  <c r="O548"/>
  <c r="P548"/>
  <c r="Q548"/>
  <c r="O549"/>
  <c r="P549"/>
  <c r="Q549"/>
  <c r="O550"/>
  <c r="P550"/>
  <c r="Q550"/>
  <c r="O551"/>
  <c r="P551"/>
  <c r="Q551"/>
  <c r="O552"/>
  <c r="P552"/>
  <c r="Q552"/>
  <c r="O553"/>
  <c r="P553"/>
  <c r="Q553"/>
  <c r="O554"/>
  <c r="P554"/>
  <c r="Q554"/>
  <c r="O555"/>
  <c r="P555"/>
  <c r="Q555"/>
  <c r="O556"/>
  <c r="P556"/>
  <c r="Q556"/>
  <c r="O557"/>
  <c r="P557"/>
  <c r="Q557"/>
  <c r="O558"/>
  <c r="P558"/>
  <c r="Q558"/>
  <c r="O559"/>
  <c r="P559"/>
  <c r="Q559"/>
  <c r="O560"/>
  <c r="P560"/>
  <c r="Q560"/>
  <c r="O561"/>
  <c r="P561"/>
  <c r="Q561"/>
  <c r="O562"/>
  <c r="P562"/>
  <c r="Q562"/>
  <c r="O563"/>
  <c r="P563"/>
  <c r="Q563"/>
  <c r="O564"/>
  <c r="P564"/>
  <c r="Q564"/>
  <c r="O565"/>
  <c r="P565"/>
  <c r="Q565"/>
  <c r="O566"/>
  <c r="P566"/>
  <c r="Q566"/>
  <c r="O567"/>
  <c r="P567"/>
  <c r="Q567"/>
  <c r="O568"/>
  <c r="P568"/>
  <c r="Q568"/>
  <c r="O569"/>
  <c r="P569"/>
  <c r="Q569"/>
  <c r="O570"/>
  <c r="P570"/>
  <c r="Q570"/>
  <c r="O571"/>
  <c r="P571"/>
  <c r="Q571"/>
  <c r="O572"/>
  <c r="P572"/>
  <c r="Q572"/>
  <c r="O573"/>
  <c r="P573"/>
  <c r="Q573"/>
  <c r="O574"/>
  <c r="P574"/>
  <c r="Q574"/>
  <c r="O575"/>
  <c r="P575"/>
  <c r="Q575"/>
  <c r="O576"/>
  <c r="P576"/>
  <c r="Q576"/>
  <c r="O577"/>
  <c r="P577"/>
  <c r="Q577"/>
  <c r="O578"/>
  <c r="P578"/>
  <c r="Q578"/>
  <c r="O579"/>
  <c r="P579"/>
  <c r="Q579"/>
  <c r="O580"/>
  <c r="P580"/>
  <c r="Q580"/>
  <c r="O581"/>
  <c r="P581"/>
  <c r="Q581"/>
  <c r="O582"/>
  <c r="P582"/>
  <c r="Q582"/>
  <c r="O583"/>
  <c r="P583"/>
  <c r="Q583"/>
  <c r="O584"/>
  <c r="P584"/>
  <c r="Q584"/>
  <c r="O585"/>
  <c r="P585"/>
  <c r="Q585"/>
  <c r="O586"/>
  <c r="P586"/>
  <c r="Q586"/>
  <c r="O587"/>
  <c r="P587"/>
  <c r="Q587"/>
  <c r="O588"/>
  <c r="P588"/>
  <c r="Q588"/>
  <c r="O589"/>
  <c r="P589"/>
  <c r="Q589"/>
  <c r="O590"/>
  <c r="P590"/>
  <c r="Q590"/>
  <c r="O591"/>
  <c r="P591"/>
  <c r="Q591"/>
  <c r="O592"/>
  <c r="P592"/>
  <c r="Q592"/>
  <c r="O593"/>
  <c r="P593"/>
  <c r="Q593"/>
  <c r="O594"/>
  <c r="P594"/>
  <c r="Q594"/>
  <c r="O595"/>
  <c r="P595"/>
  <c r="Q595"/>
  <c r="O596"/>
  <c r="P596"/>
  <c r="Q596"/>
  <c r="O597"/>
  <c r="P597"/>
  <c r="Q597"/>
  <c r="O598"/>
  <c r="P598"/>
  <c r="Q598"/>
  <c r="O599"/>
  <c r="P599"/>
  <c r="Q599"/>
  <c r="O600"/>
  <c r="P600"/>
  <c r="Q600"/>
  <c r="O601"/>
  <c r="P601"/>
  <c r="Q601"/>
  <c r="O602"/>
  <c r="P602"/>
  <c r="Q602"/>
  <c r="O603"/>
  <c r="P603"/>
  <c r="Q603"/>
  <c r="O604"/>
  <c r="P604"/>
  <c r="Q604"/>
  <c r="O605"/>
  <c r="P605"/>
  <c r="Q605"/>
  <c r="O606"/>
  <c r="P606"/>
  <c r="Q606"/>
  <c r="O607"/>
  <c r="P607"/>
  <c r="Q607"/>
  <c r="O608"/>
  <c r="P608"/>
  <c r="Q608"/>
  <c r="O609"/>
  <c r="P609"/>
  <c r="Q609"/>
  <c r="O610"/>
  <c r="P610"/>
  <c r="Q610"/>
  <c r="O611"/>
  <c r="P611"/>
  <c r="Q611"/>
  <c r="O612"/>
  <c r="P612"/>
  <c r="Q612"/>
  <c r="O613"/>
  <c r="P613"/>
  <c r="Q613"/>
  <c r="O614"/>
  <c r="P614"/>
  <c r="Q614"/>
  <c r="O615"/>
  <c r="P615"/>
  <c r="Q615"/>
  <c r="O616"/>
  <c r="P616"/>
  <c r="Q616"/>
  <c r="O617"/>
  <c r="P617"/>
  <c r="Q617"/>
  <c r="O618"/>
  <c r="P618"/>
  <c r="Q618"/>
  <c r="O619"/>
  <c r="P619"/>
  <c r="Q619"/>
  <c r="O620"/>
  <c r="P620"/>
  <c r="Q620"/>
  <c r="O621"/>
  <c r="P621"/>
  <c r="Q621"/>
  <c r="O622"/>
  <c r="P622"/>
  <c r="Q622"/>
  <c r="O623"/>
  <c r="P623"/>
  <c r="Q623"/>
  <c r="O624"/>
  <c r="P624"/>
  <c r="Q624"/>
  <c r="O625"/>
  <c r="P625"/>
  <c r="Q625"/>
  <c r="O626"/>
  <c r="P626"/>
  <c r="Q626"/>
  <c r="O627"/>
  <c r="P627"/>
  <c r="Q627"/>
  <c r="O628"/>
  <c r="P628"/>
  <c r="Q628"/>
  <c r="O629"/>
  <c r="P629"/>
  <c r="Q629"/>
  <c r="O630"/>
  <c r="P630"/>
  <c r="Q630"/>
  <c r="O631"/>
  <c r="P631"/>
  <c r="Q631"/>
  <c r="O632"/>
  <c r="P632"/>
  <c r="Q632"/>
  <c r="O633"/>
  <c r="P633"/>
  <c r="Q633"/>
  <c r="O634"/>
  <c r="P634"/>
  <c r="Q634"/>
  <c r="O635"/>
  <c r="P635"/>
  <c r="Q635"/>
  <c r="O636"/>
  <c r="P636"/>
  <c r="Q636"/>
  <c r="O637"/>
  <c r="P637"/>
  <c r="Q637"/>
  <c r="O638"/>
  <c r="P638"/>
  <c r="Q638"/>
  <c r="O639"/>
  <c r="P639"/>
  <c r="Q639"/>
  <c r="O640"/>
  <c r="P640"/>
  <c r="Q640"/>
  <c r="O641"/>
  <c r="P641"/>
  <c r="Q641"/>
  <c r="O642"/>
  <c r="P642"/>
  <c r="Q642"/>
  <c r="O643"/>
  <c r="P643"/>
  <c r="Q643"/>
  <c r="O644"/>
  <c r="P644"/>
  <c r="Q644"/>
  <c r="O645"/>
  <c r="P645"/>
  <c r="Q645"/>
  <c r="O646"/>
  <c r="P646"/>
  <c r="Q646"/>
  <c r="O647"/>
  <c r="P647"/>
  <c r="Q647"/>
  <c r="O648"/>
  <c r="P648"/>
  <c r="Q648"/>
  <c r="O649"/>
  <c r="P649"/>
  <c r="Q649"/>
  <c r="O650"/>
  <c r="P650"/>
  <c r="Q650"/>
  <c r="O651"/>
  <c r="P651"/>
  <c r="Q651"/>
  <c r="O652"/>
  <c r="P652"/>
  <c r="Q652"/>
  <c r="O653"/>
  <c r="P653"/>
  <c r="Q653"/>
  <c r="O654"/>
  <c r="P654"/>
  <c r="Q654"/>
  <c r="O655"/>
  <c r="P655"/>
  <c r="Q655"/>
  <c r="O656"/>
  <c r="P656"/>
  <c r="Q656"/>
  <c r="O657"/>
  <c r="P657"/>
  <c r="Q657"/>
  <c r="O658"/>
  <c r="P658"/>
  <c r="Q658"/>
  <c r="O659"/>
  <c r="P659"/>
  <c r="Q659"/>
  <c r="O660"/>
  <c r="P660"/>
  <c r="Q660"/>
  <c r="O661"/>
  <c r="P661"/>
  <c r="Q661"/>
  <c r="O662"/>
  <c r="P662"/>
  <c r="Q662"/>
  <c r="O663"/>
  <c r="P663"/>
  <c r="Q663"/>
  <c r="O664"/>
  <c r="P664"/>
  <c r="Q664"/>
  <c r="O665"/>
  <c r="P665"/>
  <c r="Q665"/>
  <c r="O666"/>
  <c r="P666"/>
  <c r="Q666"/>
  <c r="O667"/>
  <c r="P667"/>
  <c r="Q667"/>
  <c r="O668"/>
  <c r="P668"/>
  <c r="Q668"/>
  <c r="O669"/>
  <c r="P669"/>
  <c r="Q669"/>
  <c r="O670"/>
  <c r="P670"/>
  <c r="Q670"/>
  <c r="O671"/>
  <c r="P671"/>
  <c r="Q671"/>
  <c r="O672"/>
  <c r="P672"/>
  <c r="Q672"/>
  <c r="O673"/>
  <c r="P673"/>
  <c r="Q673"/>
  <c r="O674"/>
  <c r="P674"/>
  <c r="Q674"/>
  <c r="Q3"/>
  <c r="P3"/>
  <c r="O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F3"/>
  <c r="E3"/>
  <c r="D3"/>
  <c r="C4"/>
  <c r="G4" s="1"/>
  <c r="C5"/>
  <c r="C6"/>
  <c r="G6" s="1"/>
  <c r="E8" i="1" s="1"/>
  <c r="C7" i="2"/>
  <c r="C8"/>
  <c r="G8" s="1"/>
  <c r="C9"/>
  <c r="C10"/>
  <c r="G10" s="1"/>
  <c r="C11"/>
  <c r="C12"/>
  <c r="G12" s="1"/>
  <c r="C13"/>
  <c r="C14"/>
  <c r="G14" s="1"/>
  <c r="C15"/>
  <c r="C16"/>
  <c r="G16" s="1"/>
  <c r="C17"/>
  <c r="C18"/>
  <c r="G18" s="1"/>
  <c r="C19"/>
  <c r="C20"/>
  <c r="G20" s="1"/>
  <c r="C21"/>
  <c r="C22"/>
  <c r="G22" s="1"/>
  <c r="E24" i="1" s="1"/>
  <c r="C23" i="2"/>
  <c r="C24"/>
  <c r="G24" s="1"/>
  <c r="C25"/>
  <c r="C26"/>
  <c r="G26" s="1"/>
  <c r="C27"/>
  <c r="C28"/>
  <c r="G28" s="1"/>
  <c r="C29"/>
  <c r="C30"/>
  <c r="G30" s="1"/>
  <c r="C31"/>
  <c r="C32"/>
  <c r="G32" s="1"/>
  <c r="C33"/>
  <c r="C34"/>
  <c r="G34" s="1"/>
  <c r="C35"/>
  <c r="C36"/>
  <c r="G36" s="1"/>
  <c r="C37"/>
  <c r="C38"/>
  <c r="G38" s="1"/>
  <c r="E40" i="1" s="1"/>
  <c r="C39" i="2"/>
  <c r="C40"/>
  <c r="G40" s="1"/>
  <c r="C41"/>
  <c r="C42"/>
  <c r="G42" s="1"/>
  <c r="C43"/>
  <c r="C44"/>
  <c r="G44" s="1"/>
  <c r="C45"/>
  <c r="C46"/>
  <c r="G46" s="1"/>
  <c r="C47"/>
  <c r="C48"/>
  <c r="G48" s="1"/>
  <c r="C49"/>
  <c r="C50"/>
  <c r="G50" s="1"/>
  <c r="C51"/>
  <c r="C52"/>
  <c r="G52" s="1"/>
  <c r="C53"/>
  <c r="C54"/>
  <c r="G54" s="1"/>
  <c r="E56" i="1" s="1"/>
  <c r="C55" i="2"/>
  <c r="C56"/>
  <c r="G56" s="1"/>
  <c r="C57"/>
  <c r="C58"/>
  <c r="G58" s="1"/>
  <c r="C59"/>
  <c r="C60"/>
  <c r="G60" s="1"/>
  <c r="C61"/>
  <c r="C62"/>
  <c r="G62" s="1"/>
  <c r="C63"/>
  <c r="C64"/>
  <c r="G64" s="1"/>
  <c r="C65"/>
  <c r="C66"/>
  <c r="G66" s="1"/>
  <c r="C67"/>
  <c r="C68"/>
  <c r="G68" s="1"/>
  <c r="C69"/>
  <c r="C70"/>
  <c r="G70" s="1"/>
  <c r="E72" i="1" s="1"/>
  <c r="C71" i="2"/>
  <c r="C72"/>
  <c r="G72" s="1"/>
  <c r="C73"/>
  <c r="C74"/>
  <c r="G74" s="1"/>
  <c r="C75"/>
  <c r="C76"/>
  <c r="G76" s="1"/>
  <c r="C77"/>
  <c r="C78"/>
  <c r="G78" s="1"/>
  <c r="C79"/>
  <c r="C80"/>
  <c r="G80" s="1"/>
  <c r="C81"/>
  <c r="C82"/>
  <c r="G82" s="1"/>
  <c r="C83"/>
  <c r="C84"/>
  <c r="G84" s="1"/>
  <c r="C85"/>
  <c r="C86"/>
  <c r="G86" s="1"/>
  <c r="E88" i="1" s="1"/>
  <c r="C87" i="2"/>
  <c r="C88"/>
  <c r="G88" s="1"/>
  <c r="C89"/>
  <c r="C90"/>
  <c r="G90" s="1"/>
  <c r="C91"/>
  <c r="C92"/>
  <c r="G92" s="1"/>
  <c r="C93"/>
  <c r="C94"/>
  <c r="G94" s="1"/>
  <c r="C95"/>
  <c r="C96"/>
  <c r="G96" s="1"/>
  <c r="C97"/>
  <c r="C98"/>
  <c r="G98" s="1"/>
  <c r="C99"/>
  <c r="C100"/>
  <c r="G100" s="1"/>
  <c r="C101"/>
  <c r="C102"/>
  <c r="G102" s="1"/>
  <c r="E104" i="1" s="1"/>
  <c r="C103" i="2"/>
  <c r="C104"/>
  <c r="G104" s="1"/>
  <c r="C105"/>
  <c r="C106"/>
  <c r="G106" s="1"/>
  <c r="C107"/>
  <c r="C108"/>
  <c r="G108" s="1"/>
  <c r="C109"/>
  <c r="C110"/>
  <c r="G110" s="1"/>
  <c r="C111"/>
  <c r="C112"/>
  <c r="G112" s="1"/>
  <c r="C113"/>
  <c r="C114"/>
  <c r="G114" s="1"/>
  <c r="C115"/>
  <c r="C116"/>
  <c r="G116" s="1"/>
  <c r="C117"/>
  <c r="C118"/>
  <c r="G118" s="1"/>
  <c r="E120" i="1" s="1"/>
  <c r="C119" i="2"/>
  <c r="C120"/>
  <c r="G120" s="1"/>
  <c r="C121"/>
  <c r="C122"/>
  <c r="G122" s="1"/>
  <c r="C123"/>
  <c r="C124"/>
  <c r="G124" s="1"/>
  <c r="C125"/>
  <c r="C126"/>
  <c r="G126" s="1"/>
  <c r="C127"/>
  <c r="C128"/>
  <c r="G128" s="1"/>
  <c r="C129"/>
  <c r="C130"/>
  <c r="G130" s="1"/>
  <c r="C131"/>
  <c r="C132"/>
  <c r="C133"/>
  <c r="C134"/>
  <c r="G134" s="1"/>
  <c r="E136" i="1" s="1"/>
  <c r="C135" i="2"/>
  <c r="C136"/>
  <c r="C137"/>
  <c r="C138"/>
  <c r="G138" s="1"/>
  <c r="C139"/>
  <c r="C140"/>
  <c r="C141"/>
  <c r="C142"/>
  <c r="G142" s="1"/>
  <c r="C143"/>
  <c r="C144"/>
  <c r="C145"/>
  <c r="C146"/>
  <c r="G146" s="1"/>
  <c r="C147"/>
  <c r="C148"/>
  <c r="C149"/>
  <c r="C150"/>
  <c r="G150" s="1"/>
  <c r="E152" i="1" s="1"/>
  <c r="C151" i="2"/>
  <c r="C152"/>
  <c r="C153"/>
  <c r="C154"/>
  <c r="G154" s="1"/>
  <c r="C155"/>
  <c r="C156"/>
  <c r="C157"/>
  <c r="C158"/>
  <c r="G158" s="1"/>
  <c r="C159"/>
  <c r="C160"/>
  <c r="C161"/>
  <c r="C162"/>
  <c r="G162" s="1"/>
  <c r="C163"/>
  <c r="C164"/>
  <c r="C165"/>
  <c r="C166"/>
  <c r="G166" s="1"/>
  <c r="E168" i="1" s="1"/>
  <c r="C167" i="2"/>
  <c r="C168"/>
  <c r="C169"/>
  <c r="C170"/>
  <c r="G170" s="1"/>
  <c r="C171"/>
  <c r="C172"/>
  <c r="C173"/>
  <c r="C174"/>
  <c r="G174" s="1"/>
  <c r="C175"/>
  <c r="C176"/>
  <c r="C177"/>
  <c r="C178"/>
  <c r="G178" s="1"/>
  <c r="C179"/>
  <c r="C180"/>
  <c r="C181"/>
  <c r="C182"/>
  <c r="G182" s="1"/>
  <c r="E184" i="1" s="1"/>
  <c r="C183" i="2"/>
  <c r="C184"/>
  <c r="C185"/>
  <c r="C186"/>
  <c r="G186" s="1"/>
  <c r="C187"/>
  <c r="C188"/>
  <c r="C189"/>
  <c r="C190"/>
  <c r="G190" s="1"/>
  <c r="C191"/>
  <c r="C192"/>
  <c r="C193"/>
  <c r="C194"/>
  <c r="G194" s="1"/>
  <c r="C195"/>
  <c r="C196"/>
  <c r="C197"/>
  <c r="C198"/>
  <c r="G198" s="1"/>
  <c r="E200" i="1" s="1"/>
  <c r="C199" i="2"/>
  <c r="C200"/>
  <c r="C201"/>
  <c r="C202"/>
  <c r="G202" s="1"/>
  <c r="C203"/>
  <c r="C204"/>
  <c r="C205"/>
  <c r="C206"/>
  <c r="G206" s="1"/>
  <c r="C207"/>
  <c r="C208"/>
  <c r="C209"/>
  <c r="C210"/>
  <c r="G210" s="1"/>
  <c r="C211"/>
  <c r="C212"/>
  <c r="C213"/>
  <c r="C214"/>
  <c r="G214" s="1"/>
  <c r="C215"/>
  <c r="C216"/>
  <c r="C217"/>
  <c r="C218"/>
  <c r="G218" s="1"/>
  <c r="C219"/>
  <c r="C220"/>
  <c r="C221"/>
  <c r="C222"/>
  <c r="G222" s="1"/>
  <c r="C223"/>
  <c r="C224"/>
  <c r="C225"/>
  <c r="C226"/>
  <c r="G226" s="1"/>
  <c r="C227"/>
  <c r="C228"/>
  <c r="C229"/>
  <c r="C230"/>
  <c r="G230" s="1"/>
  <c r="E232" i="1" s="1"/>
  <c r="C231" i="2"/>
  <c r="C232"/>
  <c r="C233"/>
  <c r="C234"/>
  <c r="G234" s="1"/>
  <c r="C235"/>
  <c r="C236"/>
  <c r="C237"/>
  <c r="C238"/>
  <c r="G238" s="1"/>
  <c r="C239"/>
  <c r="C240"/>
  <c r="C241"/>
  <c r="C242"/>
  <c r="G242" s="1"/>
  <c r="C243"/>
  <c r="C244"/>
  <c r="C245"/>
  <c r="C246"/>
  <c r="G246" s="1"/>
  <c r="E248" i="1" s="1"/>
  <c r="C247" i="2"/>
  <c r="C248"/>
  <c r="C249"/>
  <c r="C250"/>
  <c r="G250" s="1"/>
  <c r="C251"/>
  <c r="C252"/>
  <c r="C253"/>
  <c r="C254"/>
  <c r="G254" s="1"/>
  <c r="C255"/>
  <c r="C256"/>
  <c r="C257"/>
  <c r="C258"/>
  <c r="G258" s="1"/>
  <c r="C259"/>
  <c r="C260"/>
  <c r="C261"/>
  <c r="C262"/>
  <c r="G262" s="1"/>
  <c r="E264" i="1" s="1"/>
  <c r="C263" i="2"/>
  <c r="C264"/>
  <c r="C265"/>
  <c r="C266"/>
  <c r="G266" s="1"/>
  <c r="C267"/>
  <c r="C268"/>
  <c r="C269"/>
  <c r="C270"/>
  <c r="G270" s="1"/>
  <c r="C271"/>
  <c r="C272"/>
  <c r="C273"/>
  <c r="C274"/>
  <c r="G274" s="1"/>
  <c r="C275"/>
  <c r="C276"/>
  <c r="C277"/>
  <c r="C278"/>
  <c r="G278" s="1"/>
  <c r="C279"/>
  <c r="C280"/>
  <c r="C281"/>
  <c r="C282"/>
  <c r="G282" s="1"/>
  <c r="C283"/>
  <c r="C284"/>
  <c r="C285"/>
  <c r="C286"/>
  <c r="G286" s="1"/>
  <c r="C287"/>
  <c r="C288"/>
  <c r="C289"/>
  <c r="C290"/>
  <c r="G290" s="1"/>
  <c r="C291"/>
  <c r="C292"/>
  <c r="C293"/>
  <c r="C294"/>
  <c r="G294" s="1"/>
  <c r="E296" i="1" s="1"/>
  <c r="C295" i="2"/>
  <c r="C296"/>
  <c r="C297"/>
  <c r="C298"/>
  <c r="G298" s="1"/>
  <c r="C299"/>
  <c r="C300"/>
  <c r="C301"/>
  <c r="C302"/>
  <c r="G302" s="1"/>
  <c r="C303"/>
  <c r="C304"/>
  <c r="C305"/>
  <c r="C306"/>
  <c r="G306" s="1"/>
  <c r="C307"/>
  <c r="C308"/>
  <c r="C309"/>
  <c r="C310"/>
  <c r="G310" s="1"/>
  <c r="E312" i="1" s="1"/>
  <c r="C311" i="2"/>
  <c r="C312"/>
  <c r="C313"/>
  <c r="C314"/>
  <c r="G314" s="1"/>
  <c r="C315"/>
  <c r="C316"/>
  <c r="C317"/>
  <c r="C318"/>
  <c r="G318" s="1"/>
  <c r="C319"/>
  <c r="C320"/>
  <c r="C321"/>
  <c r="C322"/>
  <c r="G322" s="1"/>
  <c r="C323"/>
  <c r="C324"/>
  <c r="C325"/>
  <c r="C326"/>
  <c r="G326" s="1"/>
  <c r="E328" i="1" s="1"/>
  <c r="C327" i="2"/>
  <c r="C328"/>
  <c r="C329"/>
  <c r="C330"/>
  <c r="G330" s="1"/>
  <c r="C331"/>
  <c r="C332"/>
  <c r="C333"/>
  <c r="C334"/>
  <c r="G334" s="1"/>
  <c r="C335"/>
  <c r="C336"/>
  <c r="C337"/>
  <c r="C338"/>
  <c r="G338" s="1"/>
  <c r="C339"/>
  <c r="C340"/>
  <c r="C341"/>
  <c r="C342"/>
  <c r="G342" s="1"/>
  <c r="C343"/>
  <c r="C344"/>
  <c r="C345"/>
  <c r="C346"/>
  <c r="G346" s="1"/>
  <c r="C347"/>
  <c r="C348"/>
  <c r="C349"/>
  <c r="C350"/>
  <c r="G350" s="1"/>
  <c r="C351"/>
  <c r="C352"/>
  <c r="C353"/>
  <c r="C354"/>
  <c r="G354" s="1"/>
  <c r="C355"/>
  <c r="C356"/>
  <c r="C357"/>
  <c r="C358"/>
  <c r="G358" s="1"/>
  <c r="E360" i="1" s="1"/>
  <c r="C359" i="2"/>
  <c r="C360"/>
  <c r="C361"/>
  <c r="C362"/>
  <c r="G362" s="1"/>
  <c r="C363"/>
  <c r="C364"/>
  <c r="C365"/>
  <c r="C366"/>
  <c r="G366" s="1"/>
  <c r="C367"/>
  <c r="C368"/>
  <c r="C369"/>
  <c r="C370"/>
  <c r="G370" s="1"/>
  <c r="C371"/>
  <c r="C372"/>
  <c r="C373"/>
  <c r="C374"/>
  <c r="G374" s="1"/>
  <c r="E376" i="1" s="1"/>
  <c r="C375" i="2"/>
  <c r="C376"/>
  <c r="C377"/>
  <c r="C378"/>
  <c r="G378" s="1"/>
  <c r="C379"/>
  <c r="C380"/>
  <c r="C381"/>
  <c r="C382"/>
  <c r="G382" s="1"/>
  <c r="C383"/>
  <c r="C384"/>
  <c r="C385"/>
  <c r="C386"/>
  <c r="G386" s="1"/>
  <c r="C387"/>
  <c r="C388"/>
  <c r="C389"/>
  <c r="C390"/>
  <c r="G390" s="1"/>
  <c r="E392" i="1" s="1"/>
  <c r="C391" i="2"/>
  <c r="C392"/>
  <c r="C393"/>
  <c r="C394"/>
  <c r="G394" s="1"/>
  <c r="C395"/>
  <c r="C396"/>
  <c r="C397"/>
  <c r="C398"/>
  <c r="G398" s="1"/>
  <c r="C399"/>
  <c r="C400"/>
  <c r="C401"/>
  <c r="C402"/>
  <c r="G402" s="1"/>
  <c r="C403"/>
  <c r="C404"/>
  <c r="C405"/>
  <c r="C406"/>
  <c r="G406" s="1"/>
  <c r="C407"/>
  <c r="C408"/>
  <c r="C409"/>
  <c r="C410"/>
  <c r="G410" s="1"/>
  <c r="C411"/>
  <c r="C412"/>
  <c r="C413"/>
  <c r="G413" s="1"/>
  <c r="C414"/>
  <c r="G414" s="1"/>
  <c r="C415"/>
  <c r="C416"/>
  <c r="C417"/>
  <c r="G417" s="1"/>
  <c r="C418"/>
  <c r="G418" s="1"/>
  <c r="C419"/>
  <c r="C420"/>
  <c r="C421"/>
  <c r="G421" s="1"/>
  <c r="C422"/>
  <c r="G422" s="1"/>
  <c r="E424" i="1" s="1"/>
  <c r="C423" i="2"/>
  <c r="C424"/>
  <c r="C425"/>
  <c r="G425" s="1"/>
  <c r="C426"/>
  <c r="G426" s="1"/>
  <c r="C427"/>
  <c r="C428"/>
  <c r="C429"/>
  <c r="G429" s="1"/>
  <c r="C430"/>
  <c r="G430" s="1"/>
  <c r="C431"/>
  <c r="C432"/>
  <c r="C433"/>
  <c r="G433" s="1"/>
  <c r="C434"/>
  <c r="G434" s="1"/>
  <c r="C435"/>
  <c r="C436"/>
  <c r="C437"/>
  <c r="G437" s="1"/>
  <c r="C438"/>
  <c r="G438" s="1"/>
  <c r="E440" i="1" s="1"/>
  <c r="C439" i="2"/>
  <c r="C440"/>
  <c r="C441"/>
  <c r="G441" s="1"/>
  <c r="C442"/>
  <c r="G442" s="1"/>
  <c r="C443"/>
  <c r="C444"/>
  <c r="C445"/>
  <c r="G445" s="1"/>
  <c r="C446"/>
  <c r="G446" s="1"/>
  <c r="C447"/>
  <c r="C448"/>
  <c r="C449"/>
  <c r="G449" s="1"/>
  <c r="C450"/>
  <c r="G450" s="1"/>
  <c r="C451"/>
  <c r="C452"/>
  <c r="C453"/>
  <c r="G453" s="1"/>
  <c r="C454"/>
  <c r="C455"/>
  <c r="C456"/>
  <c r="C457"/>
  <c r="G457" s="1"/>
  <c r="C458"/>
  <c r="G458" s="1"/>
  <c r="C459"/>
  <c r="C460"/>
  <c r="C461"/>
  <c r="G461" s="1"/>
  <c r="C462"/>
  <c r="G462" s="1"/>
  <c r="C463"/>
  <c r="C464"/>
  <c r="C465"/>
  <c r="G465" s="1"/>
  <c r="C466"/>
  <c r="G466" s="1"/>
  <c r="C467"/>
  <c r="C468"/>
  <c r="C469"/>
  <c r="G469" s="1"/>
  <c r="C470"/>
  <c r="C471"/>
  <c r="C472"/>
  <c r="C473"/>
  <c r="G473" s="1"/>
  <c r="C474"/>
  <c r="G474" s="1"/>
  <c r="C475"/>
  <c r="C476"/>
  <c r="C477"/>
  <c r="G477" s="1"/>
  <c r="C478"/>
  <c r="G478" s="1"/>
  <c r="C479"/>
  <c r="C480"/>
  <c r="C481"/>
  <c r="G481" s="1"/>
  <c r="C482"/>
  <c r="G482" s="1"/>
  <c r="C483"/>
  <c r="C484"/>
  <c r="C485"/>
  <c r="G485" s="1"/>
  <c r="C486"/>
  <c r="C487"/>
  <c r="C488"/>
  <c r="C489"/>
  <c r="G489" s="1"/>
  <c r="C490"/>
  <c r="G490" s="1"/>
  <c r="C491"/>
  <c r="C492"/>
  <c r="C493"/>
  <c r="G493" s="1"/>
  <c r="C494"/>
  <c r="G494" s="1"/>
  <c r="C495"/>
  <c r="C496"/>
  <c r="C497"/>
  <c r="G497" s="1"/>
  <c r="C498"/>
  <c r="G498" s="1"/>
  <c r="C499"/>
  <c r="C500"/>
  <c r="C501"/>
  <c r="G501" s="1"/>
  <c r="C502"/>
  <c r="C503"/>
  <c r="C504"/>
  <c r="C505"/>
  <c r="G505" s="1"/>
  <c r="C506"/>
  <c r="G506" s="1"/>
  <c r="C507"/>
  <c r="C508"/>
  <c r="C509"/>
  <c r="G509" s="1"/>
  <c r="C510"/>
  <c r="G510" s="1"/>
  <c r="C511"/>
  <c r="C512"/>
  <c r="C513"/>
  <c r="G513" s="1"/>
  <c r="C514"/>
  <c r="G514" s="1"/>
  <c r="C515"/>
  <c r="C516"/>
  <c r="C517"/>
  <c r="G517" s="1"/>
  <c r="C518"/>
  <c r="C519"/>
  <c r="C520"/>
  <c r="C521"/>
  <c r="G521" s="1"/>
  <c r="C522"/>
  <c r="G522" s="1"/>
  <c r="C523"/>
  <c r="C524"/>
  <c r="C525"/>
  <c r="G525" s="1"/>
  <c r="C526"/>
  <c r="G526" s="1"/>
  <c r="C527"/>
  <c r="C528"/>
  <c r="C529"/>
  <c r="G529" s="1"/>
  <c r="C530"/>
  <c r="G530" s="1"/>
  <c r="C531"/>
  <c r="C532"/>
  <c r="C533"/>
  <c r="G533" s="1"/>
  <c r="C534"/>
  <c r="C535"/>
  <c r="C536"/>
  <c r="C537"/>
  <c r="G537" s="1"/>
  <c r="C538"/>
  <c r="G538" s="1"/>
  <c r="C539"/>
  <c r="C540"/>
  <c r="C541"/>
  <c r="G541" s="1"/>
  <c r="C542"/>
  <c r="G542" s="1"/>
  <c r="C543"/>
  <c r="C544"/>
  <c r="C545"/>
  <c r="G545" s="1"/>
  <c r="C546"/>
  <c r="G546" s="1"/>
  <c r="C547"/>
  <c r="C548"/>
  <c r="C549"/>
  <c r="G549" s="1"/>
  <c r="C550"/>
  <c r="C551"/>
  <c r="C552"/>
  <c r="C553"/>
  <c r="G553" s="1"/>
  <c r="C554"/>
  <c r="G554" s="1"/>
  <c r="C555"/>
  <c r="C556"/>
  <c r="C557"/>
  <c r="G557" s="1"/>
  <c r="C558"/>
  <c r="G558" s="1"/>
  <c r="C559"/>
  <c r="C560"/>
  <c r="C561"/>
  <c r="G561" s="1"/>
  <c r="C562"/>
  <c r="G562" s="1"/>
  <c r="C563"/>
  <c r="C564"/>
  <c r="C565"/>
  <c r="G565" s="1"/>
  <c r="C566"/>
  <c r="C567"/>
  <c r="C568"/>
  <c r="C569"/>
  <c r="G569" s="1"/>
  <c r="C570"/>
  <c r="G570" s="1"/>
  <c r="C571"/>
  <c r="C572"/>
  <c r="C573"/>
  <c r="G573" s="1"/>
  <c r="C574"/>
  <c r="G574" s="1"/>
  <c r="C575"/>
  <c r="C576"/>
  <c r="C577"/>
  <c r="G577" s="1"/>
  <c r="C578"/>
  <c r="G578" s="1"/>
  <c r="C579"/>
  <c r="C580"/>
  <c r="C581"/>
  <c r="G581" s="1"/>
  <c r="C582"/>
  <c r="C583"/>
  <c r="C584"/>
  <c r="C585"/>
  <c r="G585" s="1"/>
  <c r="C586"/>
  <c r="G586" s="1"/>
  <c r="C587"/>
  <c r="C588"/>
  <c r="C589"/>
  <c r="G589" s="1"/>
  <c r="C590"/>
  <c r="G590" s="1"/>
  <c r="C591"/>
  <c r="C592"/>
  <c r="C593"/>
  <c r="G593" s="1"/>
  <c r="C594"/>
  <c r="G594" s="1"/>
  <c r="C595"/>
  <c r="C596"/>
  <c r="C597"/>
  <c r="G597" s="1"/>
  <c r="C598"/>
  <c r="C599"/>
  <c r="C600"/>
  <c r="C601"/>
  <c r="G601" s="1"/>
  <c r="C602"/>
  <c r="G602" s="1"/>
  <c r="C603"/>
  <c r="C604"/>
  <c r="C605"/>
  <c r="G605" s="1"/>
  <c r="C606"/>
  <c r="G606" s="1"/>
  <c r="C607"/>
  <c r="C608"/>
  <c r="C609"/>
  <c r="G609" s="1"/>
  <c r="C610"/>
  <c r="G610" s="1"/>
  <c r="C611"/>
  <c r="C612"/>
  <c r="C613"/>
  <c r="G613" s="1"/>
  <c r="C614"/>
  <c r="C615"/>
  <c r="C616"/>
  <c r="C617"/>
  <c r="G617" s="1"/>
  <c r="C618"/>
  <c r="G618" s="1"/>
  <c r="C619"/>
  <c r="C620"/>
  <c r="C621"/>
  <c r="G621" s="1"/>
  <c r="C622"/>
  <c r="G622" s="1"/>
  <c r="C623"/>
  <c r="C624"/>
  <c r="C625"/>
  <c r="G625" s="1"/>
  <c r="C626"/>
  <c r="G626" s="1"/>
  <c r="C627"/>
  <c r="C628"/>
  <c r="C629"/>
  <c r="G629" s="1"/>
  <c r="C630"/>
  <c r="C631"/>
  <c r="C632"/>
  <c r="C633"/>
  <c r="G633" s="1"/>
  <c r="C634"/>
  <c r="G634" s="1"/>
  <c r="C635"/>
  <c r="C636"/>
  <c r="C637"/>
  <c r="G637" s="1"/>
  <c r="C638"/>
  <c r="G638" s="1"/>
  <c r="C639"/>
  <c r="C640"/>
  <c r="C641"/>
  <c r="G641" s="1"/>
  <c r="C642"/>
  <c r="G642" s="1"/>
  <c r="C643"/>
  <c r="C644"/>
  <c r="C645"/>
  <c r="G645" s="1"/>
  <c r="C646"/>
  <c r="C647"/>
  <c r="C648"/>
  <c r="C649"/>
  <c r="G649" s="1"/>
  <c r="C650"/>
  <c r="G650" s="1"/>
  <c r="C651"/>
  <c r="C652"/>
  <c r="C653"/>
  <c r="G653" s="1"/>
  <c r="C654"/>
  <c r="G654" s="1"/>
  <c r="C655"/>
  <c r="C656"/>
  <c r="C657"/>
  <c r="G657" s="1"/>
  <c r="C658"/>
  <c r="G658" s="1"/>
  <c r="C659"/>
  <c r="C660"/>
  <c r="C661"/>
  <c r="G661" s="1"/>
  <c r="C662"/>
  <c r="C663"/>
  <c r="G663" s="1"/>
  <c r="C664"/>
  <c r="C665"/>
  <c r="G665" s="1"/>
  <c r="C666"/>
  <c r="G666" s="1"/>
  <c r="C667"/>
  <c r="G667" s="1"/>
  <c r="C668"/>
  <c r="C669"/>
  <c r="G669" s="1"/>
  <c r="C670"/>
  <c r="C671"/>
  <c r="G671" s="1"/>
  <c r="C672"/>
  <c r="C673"/>
  <c r="G673" s="1"/>
  <c r="C674"/>
  <c r="G674" s="1"/>
  <c r="C3"/>
  <c r="K674" i="1" l="1"/>
  <c r="S672" i="2"/>
  <c r="K670" i="1"/>
  <c r="S668" i="2"/>
  <c r="K666" i="1"/>
  <c r="S664" i="2"/>
  <c r="K662" i="1"/>
  <c r="S660" i="2"/>
  <c r="K658" i="1"/>
  <c r="S656" i="2"/>
  <c r="K654" i="1"/>
  <c r="S652" i="2"/>
  <c r="K650" i="1"/>
  <c r="S648" i="2"/>
  <c r="K646" i="1"/>
  <c r="S644" i="2"/>
  <c r="K642" i="1"/>
  <c r="S640" i="2"/>
  <c r="K638" i="1"/>
  <c r="S636" i="2"/>
  <c r="K634" i="1"/>
  <c r="S632" i="2"/>
  <c r="K630" i="1"/>
  <c r="S628" i="2"/>
  <c r="K626" i="1"/>
  <c r="S624" i="2"/>
  <c r="K622" i="1"/>
  <c r="S620" i="2"/>
  <c r="K618" i="1"/>
  <c r="S616" i="2"/>
  <c r="K614" i="1"/>
  <c r="S612" i="2"/>
  <c r="K610" i="1"/>
  <c r="S608" i="2"/>
  <c r="K606" i="1"/>
  <c r="S604" i="2"/>
  <c r="K602" i="1"/>
  <c r="S600" i="2"/>
  <c r="K598" i="1"/>
  <c r="S596" i="2"/>
  <c r="K594" i="1"/>
  <c r="S592" i="2"/>
  <c r="K590" i="1"/>
  <c r="S588" i="2"/>
  <c r="K586" i="1"/>
  <c r="S584" i="2"/>
  <c r="K582" i="1"/>
  <c r="S580" i="2"/>
  <c r="K578" i="1"/>
  <c r="S576" i="2"/>
  <c r="K574" i="1"/>
  <c r="S572" i="2"/>
  <c r="K570" i="1"/>
  <c r="S568" i="2"/>
  <c r="K566" i="1"/>
  <c r="S564" i="2"/>
  <c r="K562" i="1"/>
  <c r="S560" i="2"/>
  <c r="K558" i="1"/>
  <c r="S556" i="2"/>
  <c r="K554" i="1"/>
  <c r="S552" i="2"/>
  <c r="K550" i="1"/>
  <c r="S548" i="2"/>
  <c r="K546" i="1"/>
  <c r="S544" i="2"/>
  <c r="K542" i="1"/>
  <c r="S540" i="2"/>
  <c r="K538" i="1"/>
  <c r="S536" i="2"/>
  <c r="K534" i="1"/>
  <c r="S532" i="2"/>
  <c r="K530" i="1"/>
  <c r="S528" i="2"/>
  <c r="K526" i="1"/>
  <c r="S524" i="2"/>
  <c r="K522" i="1"/>
  <c r="S520" i="2"/>
  <c r="K518" i="1"/>
  <c r="S516" i="2"/>
  <c r="K514" i="1"/>
  <c r="S512" i="2"/>
  <c r="K510" i="1"/>
  <c r="S508" i="2"/>
  <c r="K506" i="1"/>
  <c r="S504" i="2"/>
  <c r="K502" i="1"/>
  <c r="S500" i="2"/>
  <c r="K498" i="1"/>
  <c r="S496" i="2"/>
  <c r="K494" i="1"/>
  <c r="S492" i="2"/>
  <c r="K490" i="1"/>
  <c r="S488" i="2"/>
  <c r="K486" i="1"/>
  <c r="S484" i="2"/>
  <c r="K482" i="1"/>
  <c r="S480" i="2"/>
  <c r="K478" i="1"/>
  <c r="S476" i="2"/>
  <c r="K474" i="1"/>
  <c r="S472" i="2"/>
  <c r="K470" i="1"/>
  <c r="S468" i="2"/>
  <c r="K466" i="1"/>
  <c r="S464" i="2"/>
  <c r="K462" i="1"/>
  <c r="S460" i="2"/>
  <c r="K458" i="1"/>
  <c r="S456" i="2"/>
  <c r="K454" i="1"/>
  <c r="S452" i="2"/>
  <c r="K450" i="1"/>
  <c r="S448" i="2"/>
  <c r="K446" i="1"/>
  <c r="S444" i="2"/>
  <c r="K442" i="1"/>
  <c r="S440" i="2"/>
  <c r="K438" i="1"/>
  <c r="S436" i="2"/>
  <c r="K434" i="1"/>
  <c r="S432" i="2"/>
  <c r="K430" i="1"/>
  <c r="S428" i="2"/>
  <c r="K426" i="1"/>
  <c r="S424" i="2"/>
  <c r="K422" i="1"/>
  <c r="S420" i="2"/>
  <c r="K418" i="1"/>
  <c r="S416" i="2"/>
  <c r="K414" i="1"/>
  <c r="S412" i="2"/>
  <c r="K410" i="1"/>
  <c r="S408" i="2"/>
  <c r="K406" i="1"/>
  <c r="S404" i="2"/>
  <c r="K402" i="1"/>
  <c r="S400" i="2"/>
  <c r="K398" i="1"/>
  <c r="S396" i="2"/>
  <c r="K394" i="1"/>
  <c r="S392" i="2"/>
  <c r="K390" i="1"/>
  <c r="S388" i="2"/>
  <c r="K386" i="1"/>
  <c r="S384" i="2"/>
  <c r="K382" i="1"/>
  <c r="S380" i="2"/>
  <c r="K378" i="1"/>
  <c r="S376" i="2"/>
  <c r="K374" i="1"/>
  <c r="S372" i="2"/>
  <c r="K370" i="1"/>
  <c r="S368" i="2"/>
  <c r="K366" i="1"/>
  <c r="S364" i="2"/>
  <c r="K362" i="1"/>
  <c r="S360" i="2"/>
  <c r="K358" i="1"/>
  <c r="S356" i="2"/>
  <c r="K354" i="1"/>
  <c r="S352" i="2"/>
  <c r="K350" i="1"/>
  <c r="S348" i="2"/>
  <c r="K346" i="1"/>
  <c r="S344" i="2"/>
  <c r="K342" i="1"/>
  <c r="S340" i="2"/>
  <c r="K338" i="1"/>
  <c r="S336" i="2"/>
  <c r="K334" i="1"/>
  <c r="S332" i="2"/>
  <c r="K330" i="1"/>
  <c r="S328" i="2"/>
  <c r="K326" i="1"/>
  <c r="S324" i="2"/>
  <c r="K322" i="1"/>
  <c r="S320" i="2"/>
  <c r="K318" i="1"/>
  <c r="S316" i="2"/>
  <c r="K314" i="1"/>
  <c r="S312" i="2"/>
  <c r="K310" i="1"/>
  <c r="S308" i="2"/>
  <c r="K306" i="1"/>
  <c r="S304" i="2"/>
  <c r="K302" i="1"/>
  <c r="S300" i="2"/>
  <c r="K298" i="1"/>
  <c r="S296" i="2"/>
  <c r="K294" i="1"/>
  <c r="S292" i="2"/>
  <c r="K290" i="1"/>
  <c r="S288" i="2"/>
  <c r="K286" i="1"/>
  <c r="S284" i="2"/>
  <c r="K282" i="1"/>
  <c r="S280" i="2"/>
  <c r="K278" i="1"/>
  <c r="S276" i="2"/>
  <c r="K274" i="1"/>
  <c r="S272" i="2"/>
  <c r="K270" i="1"/>
  <c r="S268" i="2"/>
  <c r="K266" i="1"/>
  <c r="S264" i="2"/>
  <c r="K262" i="1"/>
  <c r="S260" i="2"/>
  <c r="K258" i="1"/>
  <c r="S256" i="2"/>
  <c r="K254" i="1"/>
  <c r="S252" i="2"/>
  <c r="K250" i="1"/>
  <c r="S248" i="2"/>
  <c r="K246" i="1"/>
  <c r="S244" i="2"/>
  <c r="K242" i="1"/>
  <c r="S240" i="2"/>
  <c r="K238" i="1"/>
  <c r="S236" i="2"/>
  <c r="K234" i="1"/>
  <c r="S232" i="2"/>
  <c r="K230" i="1"/>
  <c r="S228" i="2"/>
  <c r="K226" i="1"/>
  <c r="S224" i="2"/>
  <c r="K222" i="1"/>
  <c r="S220" i="2"/>
  <c r="K218" i="1"/>
  <c r="S216" i="2"/>
  <c r="K214" i="1"/>
  <c r="S212" i="2"/>
  <c r="K210" i="1"/>
  <c r="S208" i="2"/>
  <c r="K206" i="1"/>
  <c r="S204" i="2"/>
  <c r="K202" i="1"/>
  <c r="S200" i="2"/>
  <c r="K198" i="1"/>
  <c r="S196" i="2"/>
  <c r="K194" i="1"/>
  <c r="S192" i="2"/>
  <c r="K190" i="1"/>
  <c r="S188" i="2"/>
  <c r="K186" i="1"/>
  <c r="S184" i="2"/>
  <c r="K182" i="1"/>
  <c r="S180" i="2"/>
  <c r="K178" i="1"/>
  <c r="S176" i="2"/>
  <c r="K174" i="1"/>
  <c r="S172" i="2"/>
  <c r="K170" i="1"/>
  <c r="S168" i="2"/>
  <c r="K166" i="1"/>
  <c r="S164" i="2"/>
  <c r="K162" i="1"/>
  <c r="S160" i="2"/>
  <c r="K158" i="1"/>
  <c r="S156" i="2"/>
  <c r="K154" i="1"/>
  <c r="S152" i="2"/>
  <c r="K150" i="1"/>
  <c r="S148" i="2"/>
  <c r="K146" i="1"/>
  <c r="S144" i="2"/>
  <c r="K142" i="1"/>
  <c r="S140" i="2"/>
  <c r="K138" i="1"/>
  <c r="S136" i="2"/>
  <c r="K134" i="1"/>
  <c r="S132" i="2"/>
  <c r="K130" i="1"/>
  <c r="S128" i="2"/>
  <c r="K126" i="1"/>
  <c r="S124" i="2"/>
  <c r="K122" i="1"/>
  <c r="S120" i="2"/>
  <c r="K118" i="1"/>
  <c r="S116" i="2"/>
  <c r="K114" i="1"/>
  <c r="S112" i="2"/>
  <c r="K110" i="1"/>
  <c r="S108" i="2"/>
  <c r="K106" i="1"/>
  <c r="S104" i="2"/>
  <c r="K102" i="1"/>
  <c r="S100" i="2"/>
  <c r="K98" i="1"/>
  <c r="S96" i="2"/>
  <c r="K94" i="1"/>
  <c r="S92" i="2"/>
  <c r="K90" i="1"/>
  <c r="S88" i="2"/>
  <c r="K86" i="1"/>
  <c r="S84" i="2"/>
  <c r="K82" i="1"/>
  <c r="S80" i="2"/>
  <c r="K78" i="1"/>
  <c r="S76" i="2"/>
  <c r="K74" i="1"/>
  <c r="S72" i="2"/>
  <c r="K70" i="1"/>
  <c r="S68" i="2"/>
  <c r="K66" i="1"/>
  <c r="S64" i="2"/>
  <c r="K62" i="1"/>
  <c r="S60" i="2"/>
  <c r="K58" i="1"/>
  <c r="S56" i="2"/>
  <c r="K54" i="1"/>
  <c r="S52" i="2"/>
  <c r="K50" i="1"/>
  <c r="S48" i="2"/>
  <c r="K46" i="1"/>
  <c r="S44" i="2"/>
  <c r="K42" i="1"/>
  <c r="S40" i="2"/>
  <c r="K38" i="1"/>
  <c r="S36" i="2"/>
  <c r="K34" i="1"/>
  <c r="S32" i="2"/>
  <c r="K30" i="1"/>
  <c r="S28" i="2"/>
  <c r="K26" i="1"/>
  <c r="S24" i="2"/>
  <c r="K22" i="1"/>
  <c r="S20" i="2"/>
  <c r="K18" i="1"/>
  <c r="S16" i="2"/>
  <c r="K14" i="1"/>
  <c r="S12" i="2"/>
  <c r="K10" i="1"/>
  <c r="S8" i="2"/>
  <c r="K6" i="1"/>
  <c r="S4" i="2"/>
  <c r="K675" i="1"/>
  <c r="S673" i="2"/>
  <c r="K671" i="1"/>
  <c r="S669" i="2"/>
  <c r="K667" i="1"/>
  <c r="S665" i="2"/>
  <c r="K663" i="1"/>
  <c r="S661" i="2"/>
  <c r="K659" i="1"/>
  <c r="S657" i="2"/>
  <c r="K655" i="1"/>
  <c r="S653" i="2"/>
  <c r="K651" i="1"/>
  <c r="S649" i="2"/>
  <c r="K647" i="1"/>
  <c r="S645" i="2"/>
  <c r="K643" i="1"/>
  <c r="S641" i="2"/>
  <c r="K639" i="1"/>
  <c r="S637" i="2"/>
  <c r="K635" i="1"/>
  <c r="S633" i="2"/>
  <c r="K631" i="1"/>
  <c r="S629" i="2"/>
  <c r="K627" i="1"/>
  <c r="S625" i="2"/>
  <c r="K623" i="1"/>
  <c r="S621" i="2"/>
  <c r="K619" i="1"/>
  <c r="S617" i="2"/>
  <c r="K615" i="1"/>
  <c r="S613" i="2"/>
  <c r="K611" i="1"/>
  <c r="S609" i="2"/>
  <c r="K607" i="1"/>
  <c r="S605" i="2"/>
  <c r="K603" i="1"/>
  <c r="S601" i="2"/>
  <c r="K599" i="1"/>
  <c r="S597" i="2"/>
  <c r="K595" i="1"/>
  <c r="S593" i="2"/>
  <c r="K591" i="1"/>
  <c r="S589" i="2"/>
  <c r="K587" i="1"/>
  <c r="S585" i="2"/>
  <c r="K583" i="1"/>
  <c r="S581" i="2"/>
  <c r="K579" i="1"/>
  <c r="S577" i="2"/>
  <c r="K575" i="1"/>
  <c r="S573" i="2"/>
  <c r="K571" i="1"/>
  <c r="S569" i="2"/>
  <c r="K567" i="1"/>
  <c r="S565" i="2"/>
  <c r="K563" i="1"/>
  <c r="S561" i="2"/>
  <c r="K559" i="1"/>
  <c r="S557" i="2"/>
  <c r="K555" i="1"/>
  <c r="S553" i="2"/>
  <c r="K551" i="1"/>
  <c r="S549" i="2"/>
  <c r="K547" i="1"/>
  <c r="S545" i="2"/>
  <c r="K543" i="1"/>
  <c r="S541" i="2"/>
  <c r="K539" i="1"/>
  <c r="S537" i="2"/>
  <c r="K535" i="1"/>
  <c r="S533" i="2"/>
  <c r="K531" i="1"/>
  <c r="S529" i="2"/>
  <c r="K527" i="1"/>
  <c r="S525" i="2"/>
  <c r="K523" i="1"/>
  <c r="S521" i="2"/>
  <c r="K519" i="1"/>
  <c r="S517" i="2"/>
  <c r="K515" i="1"/>
  <c r="S513" i="2"/>
  <c r="K511" i="1"/>
  <c r="S509" i="2"/>
  <c r="K507" i="1"/>
  <c r="S505" i="2"/>
  <c r="K503" i="1"/>
  <c r="S501" i="2"/>
  <c r="K499" i="1"/>
  <c r="S497" i="2"/>
  <c r="K495" i="1"/>
  <c r="S493" i="2"/>
  <c r="K491" i="1"/>
  <c r="S489" i="2"/>
  <c r="K487" i="1"/>
  <c r="S485" i="2"/>
  <c r="K483" i="1"/>
  <c r="S481" i="2"/>
  <c r="K479" i="1"/>
  <c r="S477" i="2"/>
  <c r="K475" i="1"/>
  <c r="S473" i="2"/>
  <c r="K471" i="1"/>
  <c r="S469" i="2"/>
  <c r="K467" i="1"/>
  <c r="S465" i="2"/>
  <c r="K463" i="1"/>
  <c r="S461" i="2"/>
  <c r="K459" i="1"/>
  <c r="S457" i="2"/>
  <c r="K455" i="1"/>
  <c r="S453" i="2"/>
  <c r="K451" i="1"/>
  <c r="S449" i="2"/>
  <c r="K447" i="1"/>
  <c r="S445" i="2"/>
  <c r="K443" i="1"/>
  <c r="S441" i="2"/>
  <c r="K439" i="1"/>
  <c r="S437" i="2"/>
  <c r="K435" i="1"/>
  <c r="S433" i="2"/>
  <c r="K431" i="1"/>
  <c r="S429" i="2"/>
  <c r="K427" i="1"/>
  <c r="S425" i="2"/>
  <c r="K423" i="1"/>
  <c r="S421" i="2"/>
  <c r="K419" i="1"/>
  <c r="S417" i="2"/>
  <c r="K415" i="1"/>
  <c r="S413" i="2"/>
  <c r="K411" i="1"/>
  <c r="S409" i="2"/>
  <c r="K407" i="1"/>
  <c r="S405" i="2"/>
  <c r="K403" i="1"/>
  <c r="S401" i="2"/>
  <c r="K399" i="1"/>
  <c r="S397" i="2"/>
  <c r="K395" i="1"/>
  <c r="S393" i="2"/>
  <c r="K391" i="1"/>
  <c r="S389" i="2"/>
  <c r="K387" i="1"/>
  <c r="S385" i="2"/>
  <c r="K383" i="1"/>
  <c r="S381" i="2"/>
  <c r="K379" i="1"/>
  <c r="S377" i="2"/>
  <c r="K375" i="1"/>
  <c r="S373" i="2"/>
  <c r="K371" i="1"/>
  <c r="S369" i="2"/>
  <c r="K367" i="1"/>
  <c r="S365" i="2"/>
  <c r="K363" i="1"/>
  <c r="S361" i="2"/>
  <c r="K359" i="1"/>
  <c r="S357" i="2"/>
  <c r="K355" i="1"/>
  <c r="S353" i="2"/>
  <c r="K351" i="1"/>
  <c r="S349" i="2"/>
  <c r="K347" i="1"/>
  <c r="S345" i="2"/>
  <c r="K343" i="1"/>
  <c r="S341" i="2"/>
  <c r="K339" i="1"/>
  <c r="S337" i="2"/>
  <c r="K335" i="1"/>
  <c r="S333" i="2"/>
  <c r="K331" i="1"/>
  <c r="S329" i="2"/>
  <c r="K327" i="1"/>
  <c r="S325" i="2"/>
  <c r="K323" i="1"/>
  <c r="S321" i="2"/>
  <c r="K319" i="1"/>
  <c r="S317" i="2"/>
  <c r="K315" i="1"/>
  <c r="S313" i="2"/>
  <c r="K311" i="1"/>
  <c r="S309" i="2"/>
  <c r="K307" i="1"/>
  <c r="S305" i="2"/>
  <c r="K303" i="1"/>
  <c r="S301" i="2"/>
  <c r="K299" i="1"/>
  <c r="S297" i="2"/>
  <c r="K295" i="1"/>
  <c r="S293" i="2"/>
  <c r="K291" i="1"/>
  <c r="S289" i="2"/>
  <c r="K287" i="1"/>
  <c r="S285" i="2"/>
  <c r="K283" i="1"/>
  <c r="S281" i="2"/>
  <c r="K279" i="1"/>
  <c r="S277" i="2"/>
  <c r="K275" i="1"/>
  <c r="S273" i="2"/>
  <c r="K271" i="1"/>
  <c r="S269" i="2"/>
  <c r="K267" i="1"/>
  <c r="S265" i="2"/>
  <c r="K263" i="1"/>
  <c r="S261" i="2"/>
  <c r="K259" i="1"/>
  <c r="S257" i="2"/>
  <c r="K255" i="1"/>
  <c r="S253" i="2"/>
  <c r="K251" i="1"/>
  <c r="S249" i="2"/>
  <c r="K247" i="1"/>
  <c r="S245" i="2"/>
  <c r="K243" i="1"/>
  <c r="S241" i="2"/>
  <c r="K239" i="1"/>
  <c r="S237" i="2"/>
  <c r="K235" i="1"/>
  <c r="S233" i="2"/>
  <c r="K231" i="1"/>
  <c r="S229" i="2"/>
  <c r="K227" i="1"/>
  <c r="S225" i="2"/>
  <c r="K223" i="1"/>
  <c r="S221" i="2"/>
  <c r="K219" i="1"/>
  <c r="S217" i="2"/>
  <c r="K215" i="1"/>
  <c r="S213" i="2"/>
  <c r="K211" i="1"/>
  <c r="S209" i="2"/>
  <c r="K207" i="1"/>
  <c r="S205" i="2"/>
  <c r="K203" i="1"/>
  <c r="S201" i="2"/>
  <c r="K199" i="1"/>
  <c r="S197" i="2"/>
  <c r="K195" i="1"/>
  <c r="S193" i="2"/>
  <c r="K191" i="1"/>
  <c r="S189" i="2"/>
  <c r="K187" i="1"/>
  <c r="S185" i="2"/>
  <c r="K183" i="1"/>
  <c r="S181" i="2"/>
  <c r="K179" i="1"/>
  <c r="S177" i="2"/>
  <c r="K175" i="1"/>
  <c r="S173" i="2"/>
  <c r="K171" i="1"/>
  <c r="S169" i="2"/>
  <c r="K167" i="1"/>
  <c r="S165" i="2"/>
  <c r="K163" i="1"/>
  <c r="S161" i="2"/>
  <c r="K159" i="1"/>
  <c r="S157" i="2"/>
  <c r="K155" i="1"/>
  <c r="S153" i="2"/>
  <c r="K151" i="1"/>
  <c r="S149" i="2"/>
  <c r="K147" i="1"/>
  <c r="S145" i="2"/>
  <c r="K143" i="1"/>
  <c r="S141" i="2"/>
  <c r="K139" i="1"/>
  <c r="S137" i="2"/>
  <c r="K135" i="1"/>
  <c r="S133" i="2"/>
  <c r="K131" i="1"/>
  <c r="S129" i="2"/>
  <c r="K127" i="1"/>
  <c r="S125" i="2"/>
  <c r="K123" i="1"/>
  <c r="S121" i="2"/>
  <c r="K119" i="1"/>
  <c r="S117" i="2"/>
  <c r="K115" i="1"/>
  <c r="S113" i="2"/>
  <c r="K111" i="1"/>
  <c r="S109" i="2"/>
  <c r="K107" i="1"/>
  <c r="S105" i="2"/>
  <c r="K103" i="1"/>
  <c r="S101" i="2"/>
  <c r="K99" i="1"/>
  <c r="S97" i="2"/>
  <c r="K95" i="1"/>
  <c r="S93" i="2"/>
  <c r="K91" i="1"/>
  <c r="S89" i="2"/>
  <c r="K87" i="1"/>
  <c r="S85" i="2"/>
  <c r="K83" i="1"/>
  <c r="S81" i="2"/>
  <c r="K79" i="1"/>
  <c r="S77" i="2"/>
  <c r="K75" i="1"/>
  <c r="S73" i="2"/>
  <c r="K71" i="1"/>
  <c r="S69" i="2"/>
  <c r="K67" i="1"/>
  <c r="S65" i="2"/>
  <c r="K63" i="1"/>
  <c r="S61" i="2"/>
  <c r="K59" i="1"/>
  <c r="S57" i="2"/>
  <c r="K55" i="1"/>
  <c r="S53" i="2"/>
  <c r="K51" i="1"/>
  <c r="S49" i="2"/>
  <c r="K47" i="1"/>
  <c r="S45" i="2"/>
  <c r="K43" i="1"/>
  <c r="S41" i="2"/>
  <c r="K39" i="1"/>
  <c r="S37" i="2"/>
  <c r="K35" i="1"/>
  <c r="S33" i="2"/>
  <c r="K31" i="1"/>
  <c r="S29" i="2"/>
  <c r="K27" i="1"/>
  <c r="S25" i="2"/>
  <c r="K23" i="1"/>
  <c r="S21" i="2"/>
  <c r="K19" i="1"/>
  <c r="S17" i="2"/>
  <c r="K15" i="1"/>
  <c r="S13" i="2"/>
  <c r="K11" i="1"/>
  <c r="S9" i="2"/>
  <c r="K7" i="1"/>
  <c r="S5" i="2"/>
  <c r="K676" i="1"/>
  <c r="S674" i="2"/>
  <c r="K672" i="1"/>
  <c r="S670" i="2"/>
  <c r="K668" i="1"/>
  <c r="S666" i="2"/>
  <c r="K664" i="1"/>
  <c r="S662" i="2"/>
  <c r="K660" i="1"/>
  <c r="S658" i="2"/>
  <c r="K656" i="1"/>
  <c r="S654" i="2"/>
  <c r="K652" i="1"/>
  <c r="S650" i="2"/>
  <c r="K648" i="1"/>
  <c r="S646" i="2"/>
  <c r="K644" i="1"/>
  <c r="S642" i="2"/>
  <c r="K640" i="1"/>
  <c r="S638" i="2"/>
  <c r="K636" i="1"/>
  <c r="S634" i="2"/>
  <c r="K632" i="1"/>
  <c r="S630" i="2"/>
  <c r="K628" i="1"/>
  <c r="S626" i="2"/>
  <c r="K624" i="1"/>
  <c r="S622" i="2"/>
  <c r="K620" i="1"/>
  <c r="S618" i="2"/>
  <c r="K616" i="1"/>
  <c r="S614" i="2"/>
  <c r="K612" i="1"/>
  <c r="S610" i="2"/>
  <c r="K608" i="1"/>
  <c r="S606" i="2"/>
  <c r="K604" i="1"/>
  <c r="S602" i="2"/>
  <c r="K600" i="1"/>
  <c r="S598" i="2"/>
  <c r="K596" i="1"/>
  <c r="S594" i="2"/>
  <c r="K592" i="1"/>
  <c r="S590" i="2"/>
  <c r="K588" i="1"/>
  <c r="S586" i="2"/>
  <c r="K584" i="1"/>
  <c r="S582" i="2"/>
  <c r="K580" i="1"/>
  <c r="S578" i="2"/>
  <c r="K576" i="1"/>
  <c r="S574" i="2"/>
  <c r="K572" i="1"/>
  <c r="S570" i="2"/>
  <c r="K568" i="1"/>
  <c r="S566" i="2"/>
  <c r="K564" i="1"/>
  <c r="S562" i="2"/>
  <c r="K560" i="1"/>
  <c r="S558" i="2"/>
  <c r="K556" i="1"/>
  <c r="S554" i="2"/>
  <c r="K552" i="1"/>
  <c r="S550" i="2"/>
  <c r="K548" i="1"/>
  <c r="S546" i="2"/>
  <c r="K544" i="1"/>
  <c r="S542" i="2"/>
  <c r="K540" i="1"/>
  <c r="S538" i="2"/>
  <c r="K536" i="1"/>
  <c r="S534" i="2"/>
  <c r="K532" i="1"/>
  <c r="S530" i="2"/>
  <c r="K528" i="1"/>
  <c r="S526" i="2"/>
  <c r="K524" i="1"/>
  <c r="S522" i="2"/>
  <c r="K520" i="1"/>
  <c r="S518" i="2"/>
  <c r="K516" i="1"/>
  <c r="S514" i="2"/>
  <c r="K512" i="1"/>
  <c r="S510" i="2"/>
  <c r="K508" i="1"/>
  <c r="S506" i="2"/>
  <c r="K504" i="1"/>
  <c r="S502" i="2"/>
  <c r="K500" i="1"/>
  <c r="S498" i="2"/>
  <c r="K496" i="1"/>
  <c r="S494" i="2"/>
  <c r="K492" i="1"/>
  <c r="S490" i="2"/>
  <c r="K488" i="1"/>
  <c r="S486" i="2"/>
  <c r="K484" i="1"/>
  <c r="S482" i="2"/>
  <c r="K480" i="1"/>
  <c r="S478" i="2"/>
  <c r="K476" i="1"/>
  <c r="S474" i="2"/>
  <c r="K472" i="1"/>
  <c r="S470" i="2"/>
  <c r="K468" i="1"/>
  <c r="S466" i="2"/>
  <c r="K464" i="1"/>
  <c r="S462" i="2"/>
  <c r="K460" i="1"/>
  <c r="S458" i="2"/>
  <c r="K456" i="1"/>
  <c r="S454" i="2"/>
  <c r="K452" i="1"/>
  <c r="S450" i="2"/>
  <c r="K448" i="1"/>
  <c r="S446" i="2"/>
  <c r="K444" i="1"/>
  <c r="S442" i="2"/>
  <c r="K440" i="1"/>
  <c r="S438" i="2"/>
  <c r="K436" i="1"/>
  <c r="S434" i="2"/>
  <c r="K432" i="1"/>
  <c r="S430" i="2"/>
  <c r="K428" i="1"/>
  <c r="S426" i="2"/>
  <c r="K424" i="1"/>
  <c r="S422" i="2"/>
  <c r="K420" i="1"/>
  <c r="S418" i="2"/>
  <c r="K416" i="1"/>
  <c r="S414" i="2"/>
  <c r="K412" i="1"/>
  <c r="S410" i="2"/>
  <c r="K408" i="1"/>
  <c r="S406" i="2"/>
  <c r="K404" i="1"/>
  <c r="S402" i="2"/>
  <c r="K400" i="1"/>
  <c r="S398" i="2"/>
  <c r="K396" i="1"/>
  <c r="S394" i="2"/>
  <c r="K392" i="1"/>
  <c r="S390" i="2"/>
  <c r="K388" i="1"/>
  <c r="S386" i="2"/>
  <c r="K384" i="1"/>
  <c r="S382" i="2"/>
  <c r="K380" i="1"/>
  <c r="S378" i="2"/>
  <c r="K376" i="1"/>
  <c r="S374" i="2"/>
  <c r="K372" i="1"/>
  <c r="S370" i="2"/>
  <c r="K368" i="1"/>
  <c r="S366" i="2"/>
  <c r="K364" i="1"/>
  <c r="S362" i="2"/>
  <c r="K360" i="1"/>
  <c r="S358" i="2"/>
  <c r="K356" i="1"/>
  <c r="S354" i="2"/>
  <c r="K352" i="1"/>
  <c r="S350" i="2"/>
  <c r="K348" i="1"/>
  <c r="S346" i="2"/>
  <c r="K344" i="1"/>
  <c r="S342" i="2"/>
  <c r="K340" i="1"/>
  <c r="S338" i="2"/>
  <c r="K336" i="1"/>
  <c r="S334" i="2"/>
  <c r="K332" i="1"/>
  <c r="S330" i="2"/>
  <c r="K328" i="1"/>
  <c r="S326" i="2"/>
  <c r="K324" i="1"/>
  <c r="S322" i="2"/>
  <c r="K320" i="1"/>
  <c r="S318" i="2"/>
  <c r="K316" i="1"/>
  <c r="S314" i="2"/>
  <c r="K312" i="1"/>
  <c r="S310" i="2"/>
  <c r="K308" i="1"/>
  <c r="S306" i="2"/>
  <c r="K304" i="1"/>
  <c r="S302" i="2"/>
  <c r="K300" i="1"/>
  <c r="S298" i="2"/>
  <c r="K296" i="1"/>
  <c r="S294" i="2"/>
  <c r="K292" i="1"/>
  <c r="S290" i="2"/>
  <c r="K288" i="1"/>
  <c r="S286" i="2"/>
  <c r="K284" i="1"/>
  <c r="S282" i="2"/>
  <c r="K280" i="1"/>
  <c r="S278" i="2"/>
  <c r="K276" i="1"/>
  <c r="S274" i="2"/>
  <c r="K272" i="1"/>
  <c r="S270" i="2"/>
  <c r="K268" i="1"/>
  <c r="S266" i="2"/>
  <c r="K264" i="1"/>
  <c r="S262" i="2"/>
  <c r="K260" i="1"/>
  <c r="S258" i="2"/>
  <c r="K256" i="1"/>
  <c r="S254" i="2"/>
  <c r="K252" i="1"/>
  <c r="S250" i="2"/>
  <c r="K248" i="1"/>
  <c r="S246" i="2"/>
  <c r="K244" i="1"/>
  <c r="S242" i="2"/>
  <c r="K240" i="1"/>
  <c r="S238" i="2"/>
  <c r="K236" i="1"/>
  <c r="S234" i="2"/>
  <c r="K232" i="1"/>
  <c r="S230" i="2"/>
  <c r="K228" i="1"/>
  <c r="S226" i="2"/>
  <c r="K224" i="1"/>
  <c r="S222" i="2"/>
  <c r="K220" i="1"/>
  <c r="S218" i="2"/>
  <c r="K216" i="1"/>
  <c r="S214" i="2"/>
  <c r="K212" i="1"/>
  <c r="S210" i="2"/>
  <c r="K208" i="1"/>
  <c r="S206" i="2"/>
  <c r="K204" i="1"/>
  <c r="S202" i="2"/>
  <c r="K200" i="1"/>
  <c r="S198" i="2"/>
  <c r="K196" i="1"/>
  <c r="S194" i="2"/>
  <c r="K192" i="1"/>
  <c r="S190" i="2"/>
  <c r="K188" i="1"/>
  <c r="S186" i="2"/>
  <c r="K184" i="1"/>
  <c r="S182" i="2"/>
  <c r="K180" i="1"/>
  <c r="S178" i="2"/>
  <c r="K176" i="1"/>
  <c r="S174" i="2"/>
  <c r="K172" i="1"/>
  <c r="S170" i="2"/>
  <c r="K168" i="1"/>
  <c r="S166" i="2"/>
  <c r="K164" i="1"/>
  <c r="S162" i="2"/>
  <c r="K160" i="1"/>
  <c r="S158" i="2"/>
  <c r="K156" i="1"/>
  <c r="S154" i="2"/>
  <c r="K152" i="1"/>
  <c r="S150" i="2"/>
  <c r="K148" i="1"/>
  <c r="S146" i="2"/>
  <c r="K144" i="1"/>
  <c r="S142" i="2"/>
  <c r="K140" i="1"/>
  <c r="S138" i="2"/>
  <c r="K136" i="1"/>
  <c r="S134" i="2"/>
  <c r="K132" i="1"/>
  <c r="S130" i="2"/>
  <c r="K128" i="1"/>
  <c r="S126" i="2"/>
  <c r="K124" i="1"/>
  <c r="S122" i="2"/>
  <c r="K120" i="1"/>
  <c r="S118" i="2"/>
  <c r="K116" i="1"/>
  <c r="S114" i="2"/>
  <c r="K112" i="1"/>
  <c r="S110" i="2"/>
  <c r="K108" i="1"/>
  <c r="S106" i="2"/>
  <c r="K104" i="1"/>
  <c r="S102" i="2"/>
  <c r="K100" i="1"/>
  <c r="S98" i="2"/>
  <c r="K96" i="1"/>
  <c r="S94" i="2"/>
  <c r="K92" i="1"/>
  <c r="S90" i="2"/>
  <c r="K88" i="1"/>
  <c r="S86" i="2"/>
  <c r="K84" i="1"/>
  <c r="S82" i="2"/>
  <c r="K80" i="1"/>
  <c r="S78" i="2"/>
  <c r="K76" i="1"/>
  <c r="S74" i="2"/>
  <c r="K72" i="1"/>
  <c r="S70" i="2"/>
  <c r="K68" i="1"/>
  <c r="S66" i="2"/>
  <c r="K64" i="1"/>
  <c r="S62" i="2"/>
  <c r="K60" i="1"/>
  <c r="S58" i="2"/>
  <c r="K56" i="1"/>
  <c r="S54" i="2"/>
  <c r="K52" i="1"/>
  <c r="S50" i="2"/>
  <c r="K48" i="1"/>
  <c r="S46" i="2"/>
  <c r="K44" i="1"/>
  <c r="S42" i="2"/>
  <c r="K40" i="1"/>
  <c r="S38" i="2"/>
  <c r="K36" i="1"/>
  <c r="S34" i="2"/>
  <c r="K32" i="1"/>
  <c r="S30" i="2"/>
  <c r="K28" i="1"/>
  <c r="S26" i="2"/>
  <c r="K24" i="1"/>
  <c r="S22" i="2"/>
  <c r="K20" i="1"/>
  <c r="S18" i="2"/>
  <c r="K16" i="1"/>
  <c r="S14" i="2"/>
  <c r="K12" i="1"/>
  <c r="S10" i="2"/>
  <c r="K8" i="1"/>
  <c r="S6" i="2"/>
  <c r="K5" i="1"/>
  <c r="S3" i="2"/>
  <c r="K673" i="1"/>
  <c r="S671" i="2"/>
  <c r="K669" i="1"/>
  <c r="S667" i="2"/>
  <c r="K665" i="1"/>
  <c r="S663" i="2"/>
  <c r="K661" i="1"/>
  <c r="S659" i="2"/>
  <c r="K657" i="1"/>
  <c r="S655" i="2"/>
  <c r="K653" i="1"/>
  <c r="S651" i="2"/>
  <c r="K649" i="1"/>
  <c r="S647" i="2"/>
  <c r="K645" i="1"/>
  <c r="S643" i="2"/>
  <c r="K641" i="1"/>
  <c r="S639" i="2"/>
  <c r="K637" i="1"/>
  <c r="S635" i="2"/>
  <c r="K633" i="1"/>
  <c r="S631" i="2"/>
  <c r="K629" i="1"/>
  <c r="S627" i="2"/>
  <c r="K625" i="1"/>
  <c r="S623" i="2"/>
  <c r="K621" i="1"/>
  <c r="S619" i="2"/>
  <c r="K617" i="1"/>
  <c r="S615" i="2"/>
  <c r="K613" i="1"/>
  <c r="S611" i="2"/>
  <c r="K609" i="1"/>
  <c r="S607" i="2"/>
  <c r="K605" i="1"/>
  <c r="S603" i="2"/>
  <c r="K601" i="1"/>
  <c r="S599" i="2"/>
  <c r="K597" i="1"/>
  <c r="S595" i="2"/>
  <c r="K593" i="1"/>
  <c r="S591" i="2"/>
  <c r="K589" i="1"/>
  <c r="S587" i="2"/>
  <c r="K585" i="1"/>
  <c r="S583" i="2"/>
  <c r="K581" i="1"/>
  <c r="S579" i="2"/>
  <c r="K577" i="1"/>
  <c r="S575" i="2"/>
  <c r="K573" i="1"/>
  <c r="S571" i="2"/>
  <c r="K569" i="1"/>
  <c r="S567" i="2"/>
  <c r="K565" i="1"/>
  <c r="S563" i="2"/>
  <c r="K561" i="1"/>
  <c r="S559" i="2"/>
  <c r="K557" i="1"/>
  <c r="S555" i="2"/>
  <c r="K553" i="1"/>
  <c r="S551" i="2"/>
  <c r="K549" i="1"/>
  <c r="S547" i="2"/>
  <c r="K545" i="1"/>
  <c r="S543" i="2"/>
  <c r="K541" i="1"/>
  <c r="S539" i="2"/>
  <c r="K537" i="1"/>
  <c r="S535" i="2"/>
  <c r="K533" i="1"/>
  <c r="S531" i="2"/>
  <c r="K529" i="1"/>
  <c r="S527" i="2"/>
  <c r="K525" i="1"/>
  <c r="S523" i="2"/>
  <c r="K521" i="1"/>
  <c r="S519" i="2"/>
  <c r="K517" i="1"/>
  <c r="S515" i="2"/>
  <c r="K513" i="1"/>
  <c r="S511" i="2"/>
  <c r="K509" i="1"/>
  <c r="S507" i="2"/>
  <c r="K505" i="1"/>
  <c r="S503" i="2"/>
  <c r="K501" i="1"/>
  <c r="S499" i="2"/>
  <c r="K497" i="1"/>
  <c r="S495" i="2"/>
  <c r="K493" i="1"/>
  <c r="S491" i="2"/>
  <c r="K489" i="1"/>
  <c r="S487" i="2"/>
  <c r="K485" i="1"/>
  <c r="S483" i="2"/>
  <c r="K481" i="1"/>
  <c r="S479" i="2"/>
  <c r="K477" i="1"/>
  <c r="S475" i="2"/>
  <c r="K473" i="1"/>
  <c r="S471" i="2"/>
  <c r="K469" i="1"/>
  <c r="S467" i="2"/>
  <c r="K465" i="1"/>
  <c r="S463" i="2"/>
  <c r="K461" i="1"/>
  <c r="S459" i="2"/>
  <c r="K457" i="1"/>
  <c r="S455" i="2"/>
  <c r="K453" i="1"/>
  <c r="S451" i="2"/>
  <c r="K449" i="1"/>
  <c r="S447" i="2"/>
  <c r="K445" i="1"/>
  <c r="S443" i="2"/>
  <c r="K441" i="1"/>
  <c r="S439" i="2"/>
  <c r="K437" i="1"/>
  <c r="S435" i="2"/>
  <c r="K433" i="1"/>
  <c r="S431" i="2"/>
  <c r="K429" i="1"/>
  <c r="S427" i="2"/>
  <c r="K425" i="1"/>
  <c r="S423" i="2"/>
  <c r="K421" i="1"/>
  <c r="S419" i="2"/>
  <c r="K417" i="1"/>
  <c r="S415" i="2"/>
  <c r="K413" i="1"/>
  <c r="S411" i="2"/>
  <c r="K409" i="1"/>
  <c r="S407" i="2"/>
  <c r="K405" i="1"/>
  <c r="S403" i="2"/>
  <c r="K401" i="1"/>
  <c r="S399" i="2"/>
  <c r="K397" i="1"/>
  <c r="S395" i="2"/>
  <c r="K393" i="1"/>
  <c r="S391" i="2"/>
  <c r="K389" i="1"/>
  <c r="S387" i="2"/>
  <c r="K385" i="1"/>
  <c r="S383" i="2"/>
  <c r="K381" i="1"/>
  <c r="S379" i="2"/>
  <c r="K377" i="1"/>
  <c r="S375" i="2"/>
  <c r="K373" i="1"/>
  <c r="S371" i="2"/>
  <c r="K369" i="1"/>
  <c r="S367" i="2"/>
  <c r="K365" i="1"/>
  <c r="S363" i="2"/>
  <c r="K361" i="1"/>
  <c r="S359" i="2"/>
  <c r="K357" i="1"/>
  <c r="S355" i="2"/>
  <c r="K353" i="1"/>
  <c r="S351" i="2"/>
  <c r="K349" i="1"/>
  <c r="S347" i="2"/>
  <c r="K345" i="1"/>
  <c r="S343" i="2"/>
  <c r="K341" i="1"/>
  <c r="S339" i="2"/>
  <c r="K337" i="1"/>
  <c r="S335" i="2"/>
  <c r="K333" i="1"/>
  <c r="S331" i="2"/>
  <c r="K329" i="1"/>
  <c r="S327" i="2"/>
  <c r="K325" i="1"/>
  <c r="S323" i="2"/>
  <c r="K321" i="1"/>
  <c r="S319" i="2"/>
  <c r="K317" i="1"/>
  <c r="S315" i="2"/>
  <c r="K313" i="1"/>
  <c r="S311" i="2"/>
  <c r="K309" i="1"/>
  <c r="S307" i="2"/>
  <c r="K305" i="1"/>
  <c r="S303" i="2"/>
  <c r="K301" i="1"/>
  <c r="S299" i="2"/>
  <c r="K297" i="1"/>
  <c r="S295" i="2"/>
  <c r="K293" i="1"/>
  <c r="S291" i="2"/>
  <c r="K289" i="1"/>
  <c r="S287" i="2"/>
  <c r="K285" i="1"/>
  <c r="S283" i="2"/>
  <c r="K281" i="1"/>
  <c r="S279" i="2"/>
  <c r="K277" i="1"/>
  <c r="S275" i="2"/>
  <c r="K273" i="1"/>
  <c r="S271" i="2"/>
  <c r="K269" i="1"/>
  <c r="S267" i="2"/>
  <c r="K265" i="1"/>
  <c r="S263" i="2"/>
  <c r="K261" i="1"/>
  <c r="S259" i="2"/>
  <c r="K257" i="1"/>
  <c r="S255" i="2"/>
  <c r="K253" i="1"/>
  <c r="S251" i="2"/>
  <c r="K249" i="1"/>
  <c r="S247" i="2"/>
  <c r="K245" i="1"/>
  <c r="S243" i="2"/>
  <c r="K241" i="1"/>
  <c r="S239" i="2"/>
  <c r="K237" i="1"/>
  <c r="S235" i="2"/>
  <c r="K233" i="1"/>
  <c r="S231" i="2"/>
  <c r="K229" i="1"/>
  <c r="S227" i="2"/>
  <c r="K225" i="1"/>
  <c r="S223" i="2"/>
  <c r="K221" i="1"/>
  <c r="S219" i="2"/>
  <c r="K217" i="1"/>
  <c r="S215" i="2"/>
  <c r="K213" i="1"/>
  <c r="S211" i="2"/>
  <c r="K209" i="1"/>
  <c r="S207" i="2"/>
  <c r="K205" i="1"/>
  <c r="S203" i="2"/>
  <c r="K201" i="1"/>
  <c r="S199" i="2"/>
  <c r="K197" i="1"/>
  <c r="S195" i="2"/>
  <c r="K193" i="1"/>
  <c r="S191" i="2"/>
  <c r="K189" i="1"/>
  <c r="S187" i="2"/>
  <c r="K185" i="1"/>
  <c r="S183" i="2"/>
  <c r="K181" i="1"/>
  <c r="S179" i="2"/>
  <c r="K177" i="1"/>
  <c r="S175" i="2"/>
  <c r="K173" i="1"/>
  <c r="S171" i="2"/>
  <c r="K169" i="1"/>
  <c r="S167" i="2"/>
  <c r="K165" i="1"/>
  <c r="S163" i="2"/>
  <c r="K161" i="1"/>
  <c r="S159" i="2"/>
  <c r="K157" i="1"/>
  <c r="S155" i="2"/>
  <c r="K153" i="1"/>
  <c r="S151" i="2"/>
  <c r="K149" i="1"/>
  <c r="S147" i="2"/>
  <c r="K145" i="1"/>
  <c r="S143" i="2"/>
  <c r="K141" i="1"/>
  <c r="S139" i="2"/>
  <c r="K137" i="1"/>
  <c r="S135" i="2"/>
  <c r="K133" i="1"/>
  <c r="S131" i="2"/>
  <c r="K129" i="1"/>
  <c r="S127" i="2"/>
  <c r="K125" i="1"/>
  <c r="S123" i="2"/>
  <c r="K121" i="1"/>
  <c r="S119" i="2"/>
  <c r="K117" i="1"/>
  <c r="S115" i="2"/>
  <c r="K113" i="1"/>
  <c r="S111" i="2"/>
  <c r="K109" i="1"/>
  <c r="S107" i="2"/>
  <c r="K105" i="1"/>
  <c r="S103" i="2"/>
  <c r="K101" i="1"/>
  <c r="S99" i="2"/>
  <c r="K97" i="1"/>
  <c r="S95" i="2"/>
  <c r="K93" i="1"/>
  <c r="S91" i="2"/>
  <c r="K89" i="1"/>
  <c r="S87" i="2"/>
  <c r="K85" i="1"/>
  <c r="S83" i="2"/>
  <c r="K81" i="1"/>
  <c r="S79" i="2"/>
  <c r="K77" i="1"/>
  <c r="S75" i="2"/>
  <c r="K73" i="1"/>
  <c r="S71" i="2"/>
  <c r="K69" i="1"/>
  <c r="S67" i="2"/>
  <c r="K65" i="1"/>
  <c r="S63" i="2"/>
  <c r="K61" i="1"/>
  <c r="S59" i="2"/>
  <c r="K57" i="1"/>
  <c r="S55" i="2"/>
  <c r="K53" i="1"/>
  <c r="S51" i="2"/>
  <c r="K49" i="1"/>
  <c r="S47" i="2"/>
  <c r="K45" i="1"/>
  <c r="S43" i="2"/>
  <c r="K41" i="1"/>
  <c r="S39" i="2"/>
  <c r="K37" i="1"/>
  <c r="S35" i="2"/>
  <c r="K33" i="1"/>
  <c r="S31" i="2"/>
  <c r="K29" i="1"/>
  <c r="S27" i="2"/>
  <c r="K25" i="1"/>
  <c r="S23" i="2"/>
  <c r="K21" i="1"/>
  <c r="S19" i="2"/>
  <c r="K17" i="1"/>
  <c r="S15" i="2"/>
  <c r="K13" i="1"/>
  <c r="S11" i="2"/>
  <c r="K9" i="1"/>
  <c r="S7" i="2"/>
  <c r="G409"/>
  <c r="G405"/>
  <c r="G401"/>
  <c r="G397"/>
  <c r="G393"/>
  <c r="G389"/>
  <c r="G385"/>
  <c r="G381"/>
  <c r="G377"/>
  <c r="G373"/>
  <c r="G369"/>
  <c r="G365"/>
  <c r="G361"/>
  <c r="G357"/>
  <c r="G353"/>
  <c r="G349"/>
  <c r="G345"/>
  <c r="G341"/>
  <c r="G337"/>
  <c r="G333"/>
  <c r="G329"/>
  <c r="G325"/>
  <c r="G321"/>
  <c r="G317"/>
  <c r="G313"/>
  <c r="G309"/>
  <c r="G305"/>
  <c r="G301"/>
  <c r="G297"/>
  <c r="G293"/>
  <c r="G289"/>
  <c r="G285"/>
  <c r="G281"/>
  <c r="G277"/>
  <c r="G273"/>
  <c r="G269"/>
  <c r="G265"/>
  <c r="G261"/>
  <c r="G257"/>
  <c r="G253"/>
  <c r="G249"/>
  <c r="G245"/>
  <c r="G241"/>
  <c r="G237"/>
  <c r="G233"/>
  <c r="G229"/>
  <c r="G225"/>
  <c r="G221"/>
  <c r="G217"/>
  <c r="G213"/>
  <c r="G209"/>
  <c r="G205"/>
  <c r="G201"/>
  <c r="G197"/>
  <c r="G193"/>
  <c r="G189"/>
  <c r="G185"/>
  <c r="G181"/>
  <c r="G177"/>
  <c r="G173"/>
  <c r="G169"/>
  <c r="G165"/>
  <c r="G161"/>
  <c r="G157"/>
  <c r="G153"/>
  <c r="G149"/>
  <c r="G145"/>
  <c r="G141"/>
  <c r="G137"/>
  <c r="G133"/>
  <c r="G129"/>
  <c r="G125"/>
  <c r="G121"/>
  <c r="G117"/>
  <c r="G113"/>
  <c r="G109"/>
  <c r="G105"/>
  <c r="G101"/>
  <c r="G97"/>
  <c r="G93"/>
  <c r="G89"/>
  <c r="G85"/>
  <c r="G81"/>
  <c r="G77"/>
  <c r="G73"/>
  <c r="G69"/>
  <c r="G65"/>
  <c r="G61"/>
  <c r="G57"/>
  <c r="G53"/>
  <c r="G49"/>
  <c r="G45"/>
  <c r="G41"/>
  <c r="G37"/>
  <c r="G33"/>
  <c r="G29"/>
  <c r="G25"/>
  <c r="G21"/>
  <c r="G17"/>
  <c r="G13"/>
  <c r="G9"/>
  <c r="G5"/>
  <c r="E344" i="1"/>
  <c r="H342" i="2"/>
  <c r="J342" s="1"/>
  <c r="K342" s="1"/>
  <c r="M344" i="1" s="1"/>
  <c r="E408"/>
  <c r="H406" i="2"/>
  <c r="J406" s="1"/>
  <c r="K406" s="1"/>
  <c r="M408" i="1" s="1"/>
  <c r="E280"/>
  <c r="H278" i="2"/>
  <c r="J278" s="1"/>
  <c r="K278" s="1"/>
  <c r="M280" i="1" s="1"/>
  <c r="E216"/>
  <c r="H214" i="2"/>
  <c r="J214" s="1"/>
  <c r="K214" s="1"/>
  <c r="M216" i="1" s="1"/>
  <c r="H134" i="2"/>
  <c r="J134" s="1"/>
  <c r="K134" s="1"/>
  <c r="M136" i="1" s="1"/>
  <c r="H6" i="2"/>
  <c r="J6" s="1"/>
  <c r="K6" s="1"/>
  <c r="M8" i="1" s="1"/>
  <c r="G3" i="2"/>
  <c r="E5" i="1" s="1"/>
  <c r="G670" i="2"/>
  <c r="E672" i="1" s="1"/>
  <c r="G662" i="2"/>
  <c r="E664" i="1" s="1"/>
  <c r="G646" i="2"/>
  <c r="E648" i="1" s="1"/>
  <c r="G630" i="2"/>
  <c r="E632" i="1" s="1"/>
  <c r="G614" i="2"/>
  <c r="E616" i="1" s="1"/>
  <c r="G598" i="2"/>
  <c r="H598" s="1"/>
  <c r="J598" s="1"/>
  <c r="K598" s="1"/>
  <c r="M600" i="1" s="1"/>
  <c r="G582" i="2"/>
  <c r="H582" s="1"/>
  <c r="J582" s="1"/>
  <c r="K582" s="1"/>
  <c r="M584" i="1" s="1"/>
  <c r="G566" i="2"/>
  <c r="H566" s="1"/>
  <c r="J566" s="1"/>
  <c r="K566" s="1"/>
  <c r="M568" i="1" s="1"/>
  <c r="G550" i="2"/>
  <c r="E552" i="1" s="1"/>
  <c r="G534" i="2"/>
  <c r="H534" s="1"/>
  <c r="J534" s="1"/>
  <c r="K534" s="1"/>
  <c r="M536" i="1" s="1"/>
  <c r="G518" i="2"/>
  <c r="H518" s="1"/>
  <c r="J518" s="1"/>
  <c r="K518" s="1"/>
  <c r="M520" i="1" s="1"/>
  <c r="G502" i="2"/>
  <c r="H502" s="1"/>
  <c r="J502" s="1"/>
  <c r="K502" s="1"/>
  <c r="M504" i="1" s="1"/>
  <c r="G486" i="2"/>
  <c r="E488" i="1" s="1"/>
  <c r="G470" i="2"/>
  <c r="E472" i="1" s="1"/>
  <c r="G454" i="2"/>
  <c r="H454" s="1"/>
  <c r="J454" s="1"/>
  <c r="K454" s="1"/>
  <c r="M456" i="1" s="1"/>
  <c r="H150" i="2"/>
  <c r="J150" s="1"/>
  <c r="K150" s="1"/>
  <c r="M152" i="1" s="1"/>
  <c r="H22" i="2"/>
  <c r="J22" s="1"/>
  <c r="K22" s="1"/>
  <c r="M24" i="1" s="1"/>
  <c r="H70" i="2"/>
  <c r="J70" s="1"/>
  <c r="K70" s="1"/>
  <c r="M72" i="1" s="1"/>
  <c r="H86" i="2"/>
  <c r="J86" s="1"/>
  <c r="K86" s="1"/>
  <c r="M88" i="1" s="1"/>
  <c r="H670" i="2"/>
  <c r="J670" s="1"/>
  <c r="K670" s="1"/>
  <c r="M672" i="1" s="1"/>
  <c r="H662" i="2"/>
  <c r="J662" s="1"/>
  <c r="K662" s="1"/>
  <c r="M664" i="1" s="1"/>
  <c r="H646" i="2"/>
  <c r="J646" s="1"/>
  <c r="K646" s="1"/>
  <c r="M648" i="1" s="1"/>
  <c r="H630" i="2"/>
  <c r="J630" s="1"/>
  <c r="K630" s="1"/>
  <c r="M632" i="1" s="1"/>
  <c r="H614" i="2"/>
  <c r="J614" s="1"/>
  <c r="K614" s="1"/>
  <c r="M616" i="1" s="1"/>
  <c r="E600"/>
  <c r="E584"/>
  <c r="H550" i="2"/>
  <c r="J550" s="1"/>
  <c r="K550" s="1"/>
  <c r="M552" i="1" s="1"/>
  <c r="E536"/>
  <c r="E520"/>
  <c r="H486" i="2"/>
  <c r="J486" s="1"/>
  <c r="K486" s="1"/>
  <c r="M488" i="1" s="1"/>
  <c r="H470" i="2"/>
  <c r="J470" s="1"/>
  <c r="K470" s="1"/>
  <c r="M472" i="1" s="1"/>
  <c r="E676"/>
  <c r="H674" i="2"/>
  <c r="J674" s="1"/>
  <c r="K674" s="1"/>
  <c r="M676" i="1" s="1"/>
  <c r="E668"/>
  <c r="H666" i="2"/>
  <c r="J666" s="1"/>
  <c r="K666" s="1"/>
  <c r="M668" i="1" s="1"/>
  <c r="E660"/>
  <c r="H658" i="2"/>
  <c r="J658" s="1"/>
  <c r="K658" s="1"/>
  <c r="M660" i="1" s="1"/>
  <c r="E656"/>
  <c r="H654" i="2"/>
  <c r="J654" s="1"/>
  <c r="K654" s="1"/>
  <c r="M656" i="1" s="1"/>
  <c r="E644"/>
  <c r="H642" i="2"/>
  <c r="J642" s="1"/>
  <c r="K642" s="1"/>
  <c r="M644" i="1" s="1"/>
  <c r="E640"/>
  <c r="H638" i="2"/>
  <c r="J638" s="1"/>
  <c r="K638" s="1"/>
  <c r="M640" i="1" s="1"/>
  <c r="E628"/>
  <c r="H626" i="2"/>
  <c r="J626" s="1"/>
  <c r="K626" s="1"/>
  <c r="M628" i="1" s="1"/>
  <c r="E624"/>
  <c r="H622" i="2"/>
  <c r="J622" s="1"/>
  <c r="K622" s="1"/>
  <c r="M624" i="1" s="1"/>
  <c r="E612"/>
  <c r="H610" i="2"/>
  <c r="J610" s="1"/>
  <c r="K610" s="1"/>
  <c r="M612" i="1" s="1"/>
  <c r="E608"/>
  <c r="H606" i="2"/>
  <c r="J606" s="1"/>
  <c r="K606" s="1"/>
  <c r="M608" i="1" s="1"/>
  <c r="E596"/>
  <c r="H594" i="2"/>
  <c r="J594" s="1"/>
  <c r="K594" s="1"/>
  <c r="M596" i="1" s="1"/>
  <c r="E592"/>
  <c r="H590" i="2"/>
  <c r="J590" s="1"/>
  <c r="K590" s="1"/>
  <c r="M592" i="1" s="1"/>
  <c r="E580"/>
  <c r="H578" i="2"/>
  <c r="J578" s="1"/>
  <c r="K578" s="1"/>
  <c r="M580" i="1" s="1"/>
  <c r="E576"/>
  <c r="H574" i="2"/>
  <c r="J574" s="1"/>
  <c r="K574" s="1"/>
  <c r="M576" i="1" s="1"/>
  <c r="E564"/>
  <c r="H562" i="2"/>
  <c r="J562" s="1"/>
  <c r="K562" s="1"/>
  <c r="M564" i="1" s="1"/>
  <c r="E560"/>
  <c r="H558" i="2"/>
  <c r="J558" s="1"/>
  <c r="K558" s="1"/>
  <c r="M560" i="1" s="1"/>
  <c r="E548"/>
  <c r="H546" i="2"/>
  <c r="J546" s="1"/>
  <c r="K546" s="1"/>
  <c r="M548" i="1" s="1"/>
  <c r="E544"/>
  <c r="H542" i="2"/>
  <c r="J542" s="1"/>
  <c r="K542" s="1"/>
  <c r="M544" i="1" s="1"/>
  <c r="E532"/>
  <c r="H530" i="2"/>
  <c r="J530" s="1"/>
  <c r="K530" s="1"/>
  <c r="M532" i="1" s="1"/>
  <c r="E528"/>
  <c r="H526" i="2"/>
  <c r="J526" s="1"/>
  <c r="K526" s="1"/>
  <c r="M528" i="1" s="1"/>
  <c r="E516"/>
  <c r="H514" i="2"/>
  <c r="J514" s="1"/>
  <c r="K514" s="1"/>
  <c r="M516" i="1" s="1"/>
  <c r="E512"/>
  <c r="H510" i="2"/>
  <c r="J510" s="1"/>
  <c r="K510" s="1"/>
  <c r="M512" i="1" s="1"/>
  <c r="E500"/>
  <c r="H498" i="2"/>
  <c r="J498" s="1"/>
  <c r="K498" s="1"/>
  <c r="M500" i="1" s="1"/>
  <c r="E496"/>
  <c r="H494" i="2"/>
  <c r="J494" s="1"/>
  <c r="K494" s="1"/>
  <c r="M496" i="1" s="1"/>
  <c r="E484"/>
  <c r="H482" i="2"/>
  <c r="J482" s="1"/>
  <c r="K482" s="1"/>
  <c r="M484" i="1" s="1"/>
  <c r="E480"/>
  <c r="H478" i="2"/>
  <c r="J478" s="1"/>
  <c r="K478" s="1"/>
  <c r="M480" i="1" s="1"/>
  <c r="E468"/>
  <c r="H466" i="2"/>
  <c r="J466" s="1"/>
  <c r="K466" s="1"/>
  <c r="M468" i="1" s="1"/>
  <c r="E464"/>
  <c r="H462" i="2"/>
  <c r="J462" s="1"/>
  <c r="K462" s="1"/>
  <c r="M464" i="1" s="1"/>
  <c r="E452"/>
  <c r="H450" i="2"/>
  <c r="J450" s="1"/>
  <c r="K450" s="1"/>
  <c r="M452" i="1" s="1"/>
  <c r="E448"/>
  <c r="H446" i="2"/>
  <c r="J446" s="1"/>
  <c r="K446" s="1"/>
  <c r="M448" i="1" s="1"/>
  <c r="E436"/>
  <c r="H434" i="2"/>
  <c r="J434" s="1"/>
  <c r="K434" s="1"/>
  <c r="M436" i="1" s="1"/>
  <c r="E432"/>
  <c r="H430" i="2"/>
  <c r="J430" s="1"/>
  <c r="K430" s="1"/>
  <c r="M432" i="1" s="1"/>
  <c r="E420"/>
  <c r="H418" i="2"/>
  <c r="J418" s="1"/>
  <c r="K418" s="1"/>
  <c r="M420" i="1" s="1"/>
  <c r="E416"/>
  <c r="H414" i="2"/>
  <c r="J414" s="1"/>
  <c r="K414" s="1"/>
  <c r="M416" i="1" s="1"/>
  <c r="E404"/>
  <c r="H402" i="2"/>
  <c r="J402" s="1"/>
  <c r="K402" s="1"/>
  <c r="M404" i="1" s="1"/>
  <c r="E400"/>
  <c r="H398" i="2"/>
  <c r="J398" s="1"/>
  <c r="K398" s="1"/>
  <c r="M400" i="1" s="1"/>
  <c r="E388"/>
  <c r="H386" i="2"/>
  <c r="J386" s="1"/>
  <c r="K386" s="1"/>
  <c r="M388" i="1" s="1"/>
  <c r="E384"/>
  <c r="H382" i="2"/>
  <c r="J382" s="1"/>
  <c r="K382" s="1"/>
  <c r="M384" i="1" s="1"/>
  <c r="E372"/>
  <c r="H370" i="2"/>
  <c r="J370" s="1"/>
  <c r="K370" s="1"/>
  <c r="M372" i="1" s="1"/>
  <c r="E368"/>
  <c r="H366" i="2"/>
  <c r="J366" s="1"/>
  <c r="K366" s="1"/>
  <c r="M368" i="1" s="1"/>
  <c r="E356"/>
  <c r="H354" i="2"/>
  <c r="J354" s="1"/>
  <c r="K354" s="1"/>
  <c r="M356" i="1" s="1"/>
  <c r="E352"/>
  <c r="H350" i="2"/>
  <c r="J350" s="1"/>
  <c r="K350" s="1"/>
  <c r="M352" i="1" s="1"/>
  <c r="E340"/>
  <c r="H338" i="2"/>
  <c r="J338" s="1"/>
  <c r="K338" s="1"/>
  <c r="M340" i="1" s="1"/>
  <c r="E336"/>
  <c r="H334" i="2"/>
  <c r="J334" s="1"/>
  <c r="K334" s="1"/>
  <c r="M336" i="1" s="1"/>
  <c r="E324"/>
  <c r="H322" i="2"/>
  <c r="J322" s="1"/>
  <c r="K322" s="1"/>
  <c r="M324" i="1" s="1"/>
  <c r="E320"/>
  <c r="H318" i="2"/>
  <c r="J318" s="1"/>
  <c r="K318" s="1"/>
  <c r="M320" i="1" s="1"/>
  <c r="E308"/>
  <c r="H306" i="2"/>
  <c r="J306" s="1"/>
  <c r="K306" s="1"/>
  <c r="M308" i="1" s="1"/>
  <c r="E304"/>
  <c r="H302" i="2"/>
  <c r="J302" s="1"/>
  <c r="K302" s="1"/>
  <c r="M304" i="1" s="1"/>
  <c r="E292"/>
  <c r="H290" i="2"/>
  <c r="J290" s="1"/>
  <c r="K290" s="1"/>
  <c r="M292" i="1" s="1"/>
  <c r="E288"/>
  <c r="H286" i="2"/>
  <c r="J286" s="1"/>
  <c r="K286" s="1"/>
  <c r="M288" i="1" s="1"/>
  <c r="E276"/>
  <c r="H274" i="2"/>
  <c r="J274" s="1"/>
  <c r="K274" s="1"/>
  <c r="M276" i="1" s="1"/>
  <c r="E272"/>
  <c r="H270" i="2"/>
  <c r="J270" s="1"/>
  <c r="K270" s="1"/>
  <c r="M272" i="1" s="1"/>
  <c r="E260"/>
  <c r="H258" i="2"/>
  <c r="J258" s="1"/>
  <c r="K258" s="1"/>
  <c r="M260" i="1" s="1"/>
  <c r="E256"/>
  <c r="H254" i="2"/>
  <c r="J254" s="1"/>
  <c r="K254" s="1"/>
  <c r="M256" i="1" s="1"/>
  <c r="E244"/>
  <c r="H242" i="2"/>
  <c r="J242" s="1"/>
  <c r="K242" s="1"/>
  <c r="M244" i="1" s="1"/>
  <c r="E240"/>
  <c r="H238" i="2"/>
  <c r="J238" s="1"/>
  <c r="K238" s="1"/>
  <c r="M240" i="1" s="1"/>
  <c r="E228"/>
  <c r="H226" i="2"/>
  <c r="J226" s="1"/>
  <c r="K226" s="1"/>
  <c r="M228" i="1" s="1"/>
  <c r="E224"/>
  <c r="H222" i="2"/>
  <c r="J222" s="1"/>
  <c r="K222" s="1"/>
  <c r="M224" i="1" s="1"/>
  <c r="E212"/>
  <c r="H210" i="2"/>
  <c r="J210" s="1"/>
  <c r="K210" s="1"/>
  <c r="M212" i="1" s="1"/>
  <c r="E208"/>
  <c r="H206" i="2"/>
  <c r="J206" s="1"/>
  <c r="K206" s="1"/>
  <c r="M208" i="1" s="1"/>
  <c r="E196"/>
  <c r="H194" i="2"/>
  <c r="J194" s="1"/>
  <c r="K194" s="1"/>
  <c r="M196" i="1" s="1"/>
  <c r="E192"/>
  <c r="H190" i="2"/>
  <c r="J190" s="1"/>
  <c r="K190" s="1"/>
  <c r="M192" i="1" s="1"/>
  <c r="E180"/>
  <c r="H178" i="2"/>
  <c r="J178" s="1"/>
  <c r="K178" s="1"/>
  <c r="M180" i="1" s="1"/>
  <c r="E176"/>
  <c r="H174" i="2"/>
  <c r="J174" s="1"/>
  <c r="K174" s="1"/>
  <c r="M176" i="1" s="1"/>
  <c r="E164"/>
  <c r="H162" i="2"/>
  <c r="J162" s="1"/>
  <c r="K162" s="1"/>
  <c r="M164" i="1" s="1"/>
  <c r="E160"/>
  <c r="H158" i="2"/>
  <c r="J158" s="1"/>
  <c r="K158" s="1"/>
  <c r="M160" i="1" s="1"/>
  <c r="E140"/>
  <c r="H138" i="2"/>
  <c r="J138" s="1"/>
  <c r="K138" s="1"/>
  <c r="M140" i="1" s="1"/>
  <c r="E132"/>
  <c r="H130" i="2"/>
  <c r="J130" s="1"/>
  <c r="K130" s="1"/>
  <c r="M132" i="1" s="1"/>
  <c r="E108"/>
  <c r="H106" i="2"/>
  <c r="J106" s="1"/>
  <c r="K106" s="1"/>
  <c r="M108" i="1" s="1"/>
  <c r="E100"/>
  <c r="H98" i="2"/>
  <c r="J98" s="1"/>
  <c r="K98" s="1"/>
  <c r="M100" i="1" s="1"/>
  <c r="E76"/>
  <c r="H74" i="2"/>
  <c r="J74" s="1"/>
  <c r="K74" s="1"/>
  <c r="M76" i="1" s="1"/>
  <c r="E68"/>
  <c r="H66" i="2"/>
  <c r="J66" s="1"/>
  <c r="K66" s="1"/>
  <c r="M68" i="1" s="1"/>
  <c r="E44"/>
  <c r="H42" i="2"/>
  <c r="J42" s="1"/>
  <c r="K42" s="1"/>
  <c r="M44" i="1" s="1"/>
  <c r="E36"/>
  <c r="H34" i="2"/>
  <c r="J34" s="1"/>
  <c r="K34" s="1"/>
  <c r="M36" i="1" s="1"/>
  <c r="E12"/>
  <c r="H10" i="2"/>
  <c r="J10" s="1"/>
  <c r="K10" s="1"/>
  <c r="M12" i="1" s="1"/>
  <c r="E669"/>
  <c r="H667" i="2"/>
  <c r="J667" s="1"/>
  <c r="K667" s="1"/>
  <c r="M669" i="1" s="1"/>
  <c r="E675"/>
  <c r="H673" i="2"/>
  <c r="J673" s="1"/>
  <c r="K673" s="1"/>
  <c r="M675" i="1" s="1"/>
  <c r="H665" i="2"/>
  <c r="J665" s="1"/>
  <c r="K665" s="1"/>
  <c r="M667" i="1" s="1"/>
  <c r="E667"/>
  <c r="E659"/>
  <c r="H657" i="2"/>
  <c r="J657" s="1"/>
  <c r="K657" s="1"/>
  <c r="M659" i="1" s="1"/>
  <c r="H649" i="2"/>
  <c r="J649" s="1"/>
  <c r="K649" s="1"/>
  <c r="M651" i="1" s="1"/>
  <c r="E651"/>
  <c r="E643"/>
  <c r="H641" i="2"/>
  <c r="J641" s="1"/>
  <c r="K641" s="1"/>
  <c r="M643" i="1" s="1"/>
  <c r="H633" i="2"/>
  <c r="J633" s="1"/>
  <c r="K633" s="1"/>
  <c r="M635" i="1" s="1"/>
  <c r="E635"/>
  <c r="E627"/>
  <c r="H625" i="2"/>
  <c r="J625" s="1"/>
  <c r="K625" s="1"/>
  <c r="M627" i="1" s="1"/>
  <c r="H617" i="2"/>
  <c r="J617" s="1"/>
  <c r="K617" s="1"/>
  <c r="M619" i="1" s="1"/>
  <c r="E619"/>
  <c r="H605" i="2"/>
  <c r="J605" s="1"/>
  <c r="K605" s="1"/>
  <c r="M607" i="1" s="1"/>
  <c r="E607"/>
  <c r="H601" i="2"/>
  <c r="J601" s="1"/>
  <c r="K601" s="1"/>
  <c r="M603" i="1" s="1"/>
  <c r="E603"/>
  <c r="E595"/>
  <c r="H593" i="2"/>
  <c r="J593" s="1"/>
  <c r="K593" s="1"/>
  <c r="M595" i="1" s="1"/>
  <c r="H585" i="2"/>
  <c r="J585" s="1"/>
  <c r="K585" s="1"/>
  <c r="M587" i="1" s="1"/>
  <c r="E587"/>
  <c r="E579"/>
  <c r="H577" i="2"/>
  <c r="J577" s="1"/>
  <c r="K577" s="1"/>
  <c r="M579" i="1" s="1"/>
  <c r="H569" i="2"/>
  <c r="J569" s="1"/>
  <c r="K569" s="1"/>
  <c r="M571" i="1" s="1"/>
  <c r="E571"/>
  <c r="E563"/>
  <c r="H561" i="2"/>
  <c r="J561" s="1"/>
  <c r="K561" s="1"/>
  <c r="M563" i="1" s="1"/>
  <c r="H553" i="2"/>
  <c r="J553" s="1"/>
  <c r="K553" s="1"/>
  <c r="M555" i="1" s="1"/>
  <c r="E555"/>
  <c r="E547"/>
  <c r="H545" i="2"/>
  <c r="J545" s="1"/>
  <c r="K545" s="1"/>
  <c r="M547" i="1" s="1"/>
  <c r="H537" i="2"/>
  <c r="J537" s="1"/>
  <c r="K537" s="1"/>
  <c r="M539" i="1" s="1"/>
  <c r="E539"/>
  <c r="E531"/>
  <c r="H529" i="2"/>
  <c r="J529" s="1"/>
  <c r="K529" s="1"/>
  <c r="M531" i="1" s="1"/>
  <c r="H521" i="2"/>
  <c r="J521" s="1"/>
  <c r="K521" s="1"/>
  <c r="M523" i="1" s="1"/>
  <c r="E523"/>
  <c r="E515"/>
  <c r="H513" i="2"/>
  <c r="J513" s="1"/>
  <c r="K513" s="1"/>
  <c r="M515" i="1" s="1"/>
  <c r="H505" i="2"/>
  <c r="J505" s="1"/>
  <c r="K505" s="1"/>
  <c r="M507" i="1" s="1"/>
  <c r="E507"/>
  <c r="E499"/>
  <c r="H497" i="2"/>
  <c r="J497" s="1"/>
  <c r="K497" s="1"/>
  <c r="M499" i="1" s="1"/>
  <c r="H485" i="2"/>
  <c r="J485" s="1"/>
  <c r="K485" s="1"/>
  <c r="M487" i="1" s="1"/>
  <c r="E487"/>
  <c r="H477" i="2"/>
  <c r="J477" s="1"/>
  <c r="K477" s="1"/>
  <c r="M479" i="1" s="1"/>
  <c r="E479"/>
  <c r="H469" i="2"/>
  <c r="J469" s="1"/>
  <c r="K469" s="1"/>
  <c r="M471" i="1" s="1"/>
  <c r="E471"/>
  <c r="H461" i="2"/>
  <c r="J461" s="1"/>
  <c r="K461" s="1"/>
  <c r="M463" i="1" s="1"/>
  <c r="E463"/>
  <c r="H453" i="2"/>
  <c r="J453" s="1"/>
  <c r="K453" s="1"/>
  <c r="M455" i="1" s="1"/>
  <c r="E455"/>
  <c r="H445" i="2"/>
  <c r="J445" s="1"/>
  <c r="K445" s="1"/>
  <c r="M447" i="1" s="1"/>
  <c r="E447"/>
  <c r="H441" i="2"/>
  <c r="J441" s="1"/>
  <c r="K441" s="1"/>
  <c r="M443" i="1" s="1"/>
  <c r="E443"/>
  <c r="E435"/>
  <c r="H433" i="2"/>
  <c r="J433" s="1"/>
  <c r="K433" s="1"/>
  <c r="M435" i="1" s="1"/>
  <c r="H425" i="2"/>
  <c r="J425" s="1"/>
  <c r="K425" s="1"/>
  <c r="M427" i="1" s="1"/>
  <c r="E427"/>
  <c r="E419"/>
  <c r="H417" i="2"/>
  <c r="J417" s="1"/>
  <c r="K417" s="1"/>
  <c r="M419" i="1" s="1"/>
  <c r="H409" i="2"/>
  <c r="J409" s="1"/>
  <c r="K409" s="1"/>
  <c r="M411" i="1" s="1"/>
  <c r="E411"/>
  <c r="E403"/>
  <c r="H401" i="2"/>
  <c r="J401" s="1"/>
  <c r="K401" s="1"/>
  <c r="M403" i="1" s="1"/>
  <c r="H393" i="2"/>
  <c r="J393" s="1"/>
  <c r="K393" s="1"/>
  <c r="M395" i="1" s="1"/>
  <c r="E395"/>
  <c r="E387"/>
  <c r="H385" i="2"/>
  <c r="J385" s="1"/>
  <c r="K385" s="1"/>
  <c r="M387" i="1" s="1"/>
  <c r="H377" i="2"/>
  <c r="J377" s="1"/>
  <c r="K377" s="1"/>
  <c r="M379" i="1" s="1"/>
  <c r="E379"/>
  <c r="E371"/>
  <c r="H369" i="2"/>
  <c r="J369" s="1"/>
  <c r="K369" s="1"/>
  <c r="M371" i="1" s="1"/>
  <c r="H361" i="2"/>
  <c r="J361" s="1"/>
  <c r="K361" s="1"/>
  <c r="M363" i="1" s="1"/>
  <c r="E363"/>
  <c r="E355"/>
  <c r="H353" i="2"/>
  <c r="J353" s="1"/>
  <c r="K353" s="1"/>
  <c r="M355" i="1" s="1"/>
  <c r="H349" i="2"/>
  <c r="J349" s="1"/>
  <c r="K349" s="1"/>
  <c r="M351" i="1" s="1"/>
  <c r="E351"/>
  <c r="H341" i="2"/>
  <c r="J341" s="1"/>
  <c r="K341" s="1"/>
  <c r="M343" i="1" s="1"/>
  <c r="E343"/>
  <c r="H333" i="2"/>
  <c r="J333" s="1"/>
  <c r="K333" s="1"/>
  <c r="M335" i="1" s="1"/>
  <c r="E335"/>
  <c r="H325" i="2"/>
  <c r="J325" s="1"/>
  <c r="K325" s="1"/>
  <c r="M327" i="1" s="1"/>
  <c r="E327"/>
  <c r="H317" i="2"/>
  <c r="J317" s="1"/>
  <c r="K317" s="1"/>
  <c r="M319" i="1" s="1"/>
  <c r="E319"/>
  <c r="H309" i="2"/>
  <c r="J309" s="1"/>
  <c r="K309" s="1"/>
  <c r="M311" i="1" s="1"/>
  <c r="E311"/>
  <c r="H301" i="2"/>
  <c r="J301" s="1"/>
  <c r="K301" s="1"/>
  <c r="M303" i="1" s="1"/>
  <c r="E303"/>
  <c r="H293" i="2"/>
  <c r="J293" s="1"/>
  <c r="K293" s="1"/>
  <c r="M295" i="1" s="1"/>
  <c r="E295"/>
  <c r="H285" i="2"/>
  <c r="J285" s="1"/>
  <c r="K285" s="1"/>
  <c r="M287" i="1" s="1"/>
  <c r="E287"/>
  <c r="H277" i="2"/>
  <c r="J277" s="1"/>
  <c r="K277" s="1"/>
  <c r="M279" i="1" s="1"/>
  <c r="E279"/>
  <c r="H269" i="2"/>
  <c r="J269" s="1"/>
  <c r="K269" s="1"/>
  <c r="M271" i="1" s="1"/>
  <c r="E271"/>
  <c r="H261" i="2"/>
  <c r="J261" s="1"/>
  <c r="K261" s="1"/>
  <c r="M263" i="1" s="1"/>
  <c r="E263"/>
  <c r="H253" i="2"/>
  <c r="J253" s="1"/>
  <c r="K253" s="1"/>
  <c r="M255" i="1" s="1"/>
  <c r="E255"/>
  <c r="H245" i="2"/>
  <c r="J245" s="1"/>
  <c r="K245" s="1"/>
  <c r="M247" i="1" s="1"/>
  <c r="E247"/>
  <c r="H237" i="2"/>
  <c r="J237" s="1"/>
  <c r="K237" s="1"/>
  <c r="M239" i="1" s="1"/>
  <c r="E239"/>
  <c r="H229" i="2"/>
  <c r="J229" s="1"/>
  <c r="K229" s="1"/>
  <c r="M231" i="1" s="1"/>
  <c r="E231"/>
  <c r="E223"/>
  <c r="H221" i="2"/>
  <c r="J221" s="1"/>
  <c r="K221" s="1"/>
  <c r="M223" i="1" s="1"/>
  <c r="E215"/>
  <c r="H213" i="2"/>
  <c r="J213" s="1"/>
  <c r="K213" s="1"/>
  <c r="M215" i="1" s="1"/>
  <c r="E207"/>
  <c r="H205" i="2"/>
  <c r="J205" s="1"/>
  <c r="K205" s="1"/>
  <c r="M207" i="1" s="1"/>
  <c r="E199"/>
  <c r="H197" i="2"/>
  <c r="J197" s="1"/>
  <c r="K197" s="1"/>
  <c r="M199" i="1" s="1"/>
  <c r="E191"/>
  <c r="H189" i="2"/>
  <c r="J189" s="1"/>
  <c r="K189" s="1"/>
  <c r="M191" i="1" s="1"/>
  <c r="E179"/>
  <c r="H177" i="2"/>
  <c r="J177" s="1"/>
  <c r="K177" s="1"/>
  <c r="M179" i="1" s="1"/>
  <c r="E171"/>
  <c r="H169" i="2"/>
  <c r="J169" s="1"/>
  <c r="K169" s="1"/>
  <c r="M171" i="1" s="1"/>
  <c r="E167"/>
  <c r="H165" i="2"/>
  <c r="J165" s="1"/>
  <c r="K165" s="1"/>
  <c r="M167" i="1" s="1"/>
  <c r="E159"/>
  <c r="H157" i="2"/>
  <c r="J157" s="1"/>
  <c r="K157" s="1"/>
  <c r="M159" i="1" s="1"/>
  <c r="E147"/>
  <c r="H145" i="2"/>
  <c r="J145" s="1"/>
  <c r="K145" s="1"/>
  <c r="M147" i="1" s="1"/>
  <c r="E139"/>
  <c r="H137" i="2"/>
  <c r="J137" s="1"/>
  <c r="K137" s="1"/>
  <c r="M139" i="1" s="1"/>
  <c r="E131"/>
  <c r="H129" i="2"/>
  <c r="J129" s="1"/>
  <c r="K129" s="1"/>
  <c r="M131" i="1" s="1"/>
  <c r="E123"/>
  <c r="H121" i="2"/>
  <c r="J121" s="1"/>
  <c r="K121" s="1"/>
  <c r="M123" i="1" s="1"/>
  <c r="E115"/>
  <c r="H113" i="2"/>
  <c r="J113" s="1"/>
  <c r="K113" s="1"/>
  <c r="M115" i="1" s="1"/>
  <c r="E107"/>
  <c r="H105" i="2"/>
  <c r="J105" s="1"/>
  <c r="K105" s="1"/>
  <c r="M107" i="1" s="1"/>
  <c r="E99"/>
  <c r="H97" i="2"/>
  <c r="J97" s="1"/>
  <c r="K97" s="1"/>
  <c r="M99" i="1" s="1"/>
  <c r="E91"/>
  <c r="H89" i="2"/>
  <c r="J89" s="1"/>
  <c r="K89" s="1"/>
  <c r="M91" i="1" s="1"/>
  <c r="E83"/>
  <c r="H81" i="2"/>
  <c r="J81" s="1"/>
  <c r="K81" s="1"/>
  <c r="M83" i="1" s="1"/>
  <c r="E75"/>
  <c r="H73" i="2"/>
  <c r="J73" s="1"/>
  <c r="K73" s="1"/>
  <c r="M75" i="1" s="1"/>
  <c r="E63"/>
  <c r="H61" i="2"/>
  <c r="J61" s="1"/>
  <c r="K61" s="1"/>
  <c r="M63" i="1" s="1"/>
  <c r="E55"/>
  <c r="H53" i="2"/>
  <c r="J53" s="1"/>
  <c r="K53" s="1"/>
  <c r="M55" i="1" s="1"/>
  <c r="E47"/>
  <c r="H45" i="2"/>
  <c r="J45" s="1"/>
  <c r="K45" s="1"/>
  <c r="M47" i="1" s="1"/>
  <c r="E39"/>
  <c r="H37" i="2"/>
  <c r="J37" s="1"/>
  <c r="K37" s="1"/>
  <c r="M39" i="1" s="1"/>
  <c r="E31"/>
  <c r="H29" i="2"/>
  <c r="J29" s="1"/>
  <c r="K29" s="1"/>
  <c r="M31" i="1" s="1"/>
  <c r="E23"/>
  <c r="H21" i="2"/>
  <c r="J21" s="1"/>
  <c r="K21" s="1"/>
  <c r="M23" i="1" s="1"/>
  <c r="E15"/>
  <c r="H13" i="2"/>
  <c r="J13" s="1"/>
  <c r="K13" s="1"/>
  <c r="M15" i="1" s="1"/>
  <c r="E7"/>
  <c r="H5" i="2"/>
  <c r="J5" s="1"/>
  <c r="K5" s="1"/>
  <c r="M7" i="1" s="1"/>
  <c r="E673"/>
  <c r="H671" i="2"/>
  <c r="J671" s="1"/>
  <c r="K671" s="1"/>
  <c r="M673" i="1" s="1"/>
  <c r="E652"/>
  <c r="H650" i="2"/>
  <c r="J650" s="1"/>
  <c r="K650" s="1"/>
  <c r="M652" i="1" s="1"/>
  <c r="E636"/>
  <c r="H634" i="2"/>
  <c r="J634" s="1"/>
  <c r="K634" s="1"/>
  <c r="M636" i="1" s="1"/>
  <c r="E604"/>
  <c r="H602" i="2"/>
  <c r="J602" s="1"/>
  <c r="K602" s="1"/>
  <c r="M604" i="1" s="1"/>
  <c r="E572"/>
  <c r="H570" i="2"/>
  <c r="J570" s="1"/>
  <c r="K570" s="1"/>
  <c r="M572" i="1" s="1"/>
  <c r="E540"/>
  <c r="H538" i="2"/>
  <c r="J538" s="1"/>
  <c r="K538" s="1"/>
  <c r="M540" i="1" s="1"/>
  <c r="E508"/>
  <c r="H506" i="2"/>
  <c r="J506" s="1"/>
  <c r="K506" s="1"/>
  <c r="M508" i="1" s="1"/>
  <c r="E476"/>
  <c r="H474" i="2"/>
  <c r="J474" s="1"/>
  <c r="K474" s="1"/>
  <c r="M476" i="1" s="1"/>
  <c r="E444"/>
  <c r="H442" i="2"/>
  <c r="J442" s="1"/>
  <c r="K442" s="1"/>
  <c r="M444" i="1" s="1"/>
  <c r="E412"/>
  <c r="H410" i="2"/>
  <c r="J410" s="1"/>
  <c r="K410" s="1"/>
  <c r="M412" i="1" s="1"/>
  <c r="E380"/>
  <c r="H378" i="2"/>
  <c r="J378" s="1"/>
  <c r="K378" s="1"/>
  <c r="M380" i="1" s="1"/>
  <c r="E348"/>
  <c r="H346" i="2"/>
  <c r="J346" s="1"/>
  <c r="K346" s="1"/>
  <c r="M348" i="1" s="1"/>
  <c r="E316"/>
  <c r="H314" i="2"/>
  <c r="J314" s="1"/>
  <c r="K314" s="1"/>
  <c r="M316" i="1" s="1"/>
  <c r="E284"/>
  <c r="H282" i="2"/>
  <c r="J282" s="1"/>
  <c r="K282" s="1"/>
  <c r="M284" i="1" s="1"/>
  <c r="E252"/>
  <c r="H250" i="2"/>
  <c r="J250" s="1"/>
  <c r="K250" s="1"/>
  <c r="M252" i="1" s="1"/>
  <c r="E220"/>
  <c r="H218" i="2"/>
  <c r="J218" s="1"/>
  <c r="K218" s="1"/>
  <c r="M220" i="1" s="1"/>
  <c r="E188"/>
  <c r="H186" i="2"/>
  <c r="J186" s="1"/>
  <c r="K186" s="1"/>
  <c r="M188" i="1" s="1"/>
  <c r="E156"/>
  <c r="H154" i="2"/>
  <c r="J154" s="1"/>
  <c r="K154" s="1"/>
  <c r="M156" i="1" s="1"/>
  <c r="E92"/>
  <c r="H90" i="2"/>
  <c r="J90" s="1"/>
  <c r="K90" s="1"/>
  <c r="M92" i="1" s="1"/>
  <c r="E28"/>
  <c r="H26" i="2"/>
  <c r="J26" s="1"/>
  <c r="K26" s="1"/>
  <c r="M28" i="1" s="1"/>
  <c r="E144"/>
  <c r="H142" i="2"/>
  <c r="J142" s="1"/>
  <c r="K142" s="1"/>
  <c r="M144" i="1" s="1"/>
  <c r="E128"/>
  <c r="H126" i="2"/>
  <c r="J126" s="1"/>
  <c r="K126" s="1"/>
  <c r="M128" i="1" s="1"/>
  <c r="E112"/>
  <c r="H110" i="2"/>
  <c r="J110" s="1"/>
  <c r="K110" s="1"/>
  <c r="M112" i="1" s="1"/>
  <c r="E96"/>
  <c r="H94" i="2"/>
  <c r="J94" s="1"/>
  <c r="K94" s="1"/>
  <c r="M96" i="1" s="1"/>
  <c r="E80"/>
  <c r="H78" i="2"/>
  <c r="J78" s="1"/>
  <c r="K78" s="1"/>
  <c r="M80" i="1" s="1"/>
  <c r="E64"/>
  <c r="H62" i="2"/>
  <c r="J62" s="1"/>
  <c r="K62" s="1"/>
  <c r="M64" i="1" s="1"/>
  <c r="E48"/>
  <c r="H46" i="2"/>
  <c r="J46" s="1"/>
  <c r="K46" s="1"/>
  <c r="M48" i="1" s="1"/>
  <c r="E32"/>
  <c r="H30" i="2"/>
  <c r="J30" s="1"/>
  <c r="K30" s="1"/>
  <c r="M32" i="1" s="1"/>
  <c r="E16"/>
  <c r="H14" i="2"/>
  <c r="J14" s="1"/>
  <c r="K14" s="1"/>
  <c r="M16" i="1" s="1"/>
  <c r="H422" i="2"/>
  <c r="J422" s="1"/>
  <c r="K422" s="1"/>
  <c r="M424" i="1" s="1"/>
  <c r="H358" i="2"/>
  <c r="J358" s="1"/>
  <c r="K358" s="1"/>
  <c r="M360" i="1" s="1"/>
  <c r="H294" i="2"/>
  <c r="J294" s="1"/>
  <c r="K294" s="1"/>
  <c r="M296" i="1" s="1"/>
  <c r="H230" i="2"/>
  <c r="J230" s="1"/>
  <c r="K230" s="1"/>
  <c r="M232" i="1" s="1"/>
  <c r="H166" i="2"/>
  <c r="J166" s="1"/>
  <c r="K166" s="1"/>
  <c r="M168" i="1" s="1"/>
  <c r="H102" i="2"/>
  <c r="J102" s="1"/>
  <c r="K102" s="1"/>
  <c r="M104" i="1" s="1"/>
  <c r="H38" i="2"/>
  <c r="J38" s="1"/>
  <c r="K38" s="1"/>
  <c r="M40" i="1" s="1"/>
  <c r="H669" i="2"/>
  <c r="J669" s="1"/>
  <c r="K669" s="1"/>
  <c r="M671" i="1" s="1"/>
  <c r="E671"/>
  <c r="H661" i="2"/>
  <c r="J661" s="1"/>
  <c r="K661" s="1"/>
  <c r="M663" i="1" s="1"/>
  <c r="E663"/>
  <c r="H653" i="2"/>
  <c r="J653" s="1"/>
  <c r="K653" s="1"/>
  <c r="M655" i="1" s="1"/>
  <c r="E655"/>
  <c r="H645" i="2"/>
  <c r="J645" s="1"/>
  <c r="K645" s="1"/>
  <c r="M647" i="1" s="1"/>
  <c r="E647"/>
  <c r="H637" i="2"/>
  <c r="J637" s="1"/>
  <c r="K637" s="1"/>
  <c r="M639" i="1" s="1"/>
  <c r="E639"/>
  <c r="H629" i="2"/>
  <c r="J629" s="1"/>
  <c r="K629" s="1"/>
  <c r="M631" i="1" s="1"/>
  <c r="E631"/>
  <c r="H621" i="2"/>
  <c r="J621" s="1"/>
  <c r="K621" s="1"/>
  <c r="M623" i="1" s="1"/>
  <c r="E623"/>
  <c r="H613" i="2"/>
  <c r="J613" s="1"/>
  <c r="K613" s="1"/>
  <c r="M615" i="1" s="1"/>
  <c r="E615"/>
  <c r="E611"/>
  <c r="H609" i="2"/>
  <c r="J609" s="1"/>
  <c r="K609" s="1"/>
  <c r="M611" i="1" s="1"/>
  <c r="H597" i="2"/>
  <c r="J597" s="1"/>
  <c r="K597" s="1"/>
  <c r="M599" i="1" s="1"/>
  <c r="E599"/>
  <c r="H589" i="2"/>
  <c r="J589" s="1"/>
  <c r="K589" s="1"/>
  <c r="M591" i="1" s="1"/>
  <c r="E591"/>
  <c r="H581" i="2"/>
  <c r="J581" s="1"/>
  <c r="K581" s="1"/>
  <c r="M583" i="1" s="1"/>
  <c r="E583"/>
  <c r="H573" i="2"/>
  <c r="J573" s="1"/>
  <c r="K573" s="1"/>
  <c r="M575" i="1" s="1"/>
  <c r="E575"/>
  <c r="H565" i="2"/>
  <c r="J565" s="1"/>
  <c r="K565" s="1"/>
  <c r="M567" i="1" s="1"/>
  <c r="E567"/>
  <c r="H557" i="2"/>
  <c r="J557" s="1"/>
  <c r="K557" s="1"/>
  <c r="M559" i="1" s="1"/>
  <c r="E559"/>
  <c r="H549" i="2"/>
  <c r="J549" s="1"/>
  <c r="K549" s="1"/>
  <c r="M551" i="1" s="1"/>
  <c r="E551"/>
  <c r="H541" i="2"/>
  <c r="J541" s="1"/>
  <c r="K541" s="1"/>
  <c r="M543" i="1" s="1"/>
  <c r="E543"/>
  <c r="H533" i="2"/>
  <c r="J533" s="1"/>
  <c r="K533" s="1"/>
  <c r="M535" i="1" s="1"/>
  <c r="E535"/>
  <c r="H525" i="2"/>
  <c r="J525" s="1"/>
  <c r="K525" s="1"/>
  <c r="M527" i="1" s="1"/>
  <c r="E527"/>
  <c r="H517" i="2"/>
  <c r="J517" s="1"/>
  <c r="K517" s="1"/>
  <c r="M519" i="1" s="1"/>
  <c r="E519"/>
  <c r="H509" i="2"/>
  <c r="J509" s="1"/>
  <c r="K509" s="1"/>
  <c r="M511" i="1" s="1"/>
  <c r="E511"/>
  <c r="H501" i="2"/>
  <c r="J501" s="1"/>
  <c r="K501" s="1"/>
  <c r="M503" i="1" s="1"/>
  <c r="E503"/>
  <c r="H493" i="2"/>
  <c r="J493" s="1"/>
  <c r="K493" s="1"/>
  <c r="M495" i="1" s="1"/>
  <c r="E495"/>
  <c r="H489" i="2"/>
  <c r="J489" s="1"/>
  <c r="K489" s="1"/>
  <c r="M491" i="1" s="1"/>
  <c r="E491"/>
  <c r="E483"/>
  <c r="H481" i="2"/>
  <c r="J481" s="1"/>
  <c r="K481" s="1"/>
  <c r="M483" i="1" s="1"/>
  <c r="H473" i="2"/>
  <c r="J473" s="1"/>
  <c r="K473" s="1"/>
  <c r="M475" i="1" s="1"/>
  <c r="E475"/>
  <c r="E467"/>
  <c r="H465" i="2"/>
  <c r="J465" s="1"/>
  <c r="K465" s="1"/>
  <c r="M467" i="1" s="1"/>
  <c r="H457" i="2"/>
  <c r="J457" s="1"/>
  <c r="K457" s="1"/>
  <c r="M459" i="1" s="1"/>
  <c r="E459"/>
  <c r="E451"/>
  <c r="H449" i="2"/>
  <c r="J449" s="1"/>
  <c r="K449" s="1"/>
  <c r="M451" i="1" s="1"/>
  <c r="H437" i="2"/>
  <c r="J437" s="1"/>
  <c r="K437" s="1"/>
  <c r="M439" i="1" s="1"/>
  <c r="E439"/>
  <c r="H429" i="2"/>
  <c r="J429" s="1"/>
  <c r="K429" s="1"/>
  <c r="M431" i="1" s="1"/>
  <c r="E431"/>
  <c r="H421" i="2"/>
  <c r="J421" s="1"/>
  <c r="K421" s="1"/>
  <c r="M423" i="1" s="1"/>
  <c r="E423"/>
  <c r="H413" i="2"/>
  <c r="J413" s="1"/>
  <c r="K413" s="1"/>
  <c r="M415" i="1" s="1"/>
  <c r="E415"/>
  <c r="H405" i="2"/>
  <c r="J405" s="1"/>
  <c r="K405" s="1"/>
  <c r="M407" i="1" s="1"/>
  <c r="E407"/>
  <c r="H397" i="2"/>
  <c r="J397" s="1"/>
  <c r="K397" s="1"/>
  <c r="M399" i="1" s="1"/>
  <c r="E399"/>
  <c r="H389" i="2"/>
  <c r="J389" s="1"/>
  <c r="K389" s="1"/>
  <c r="M391" i="1" s="1"/>
  <c r="E391"/>
  <c r="H381" i="2"/>
  <c r="J381" s="1"/>
  <c r="K381" s="1"/>
  <c r="M383" i="1" s="1"/>
  <c r="E383"/>
  <c r="H373" i="2"/>
  <c r="J373" s="1"/>
  <c r="K373" s="1"/>
  <c r="M375" i="1" s="1"/>
  <c r="E375"/>
  <c r="H365" i="2"/>
  <c r="J365" s="1"/>
  <c r="K365" s="1"/>
  <c r="M367" i="1" s="1"/>
  <c r="E367"/>
  <c r="H357" i="2"/>
  <c r="J357" s="1"/>
  <c r="K357" s="1"/>
  <c r="M359" i="1" s="1"/>
  <c r="E359"/>
  <c r="H345" i="2"/>
  <c r="J345" s="1"/>
  <c r="K345" s="1"/>
  <c r="M347" i="1" s="1"/>
  <c r="E347"/>
  <c r="E339"/>
  <c r="H337" i="2"/>
  <c r="J337" s="1"/>
  <c r="K337" s="1"/>
  <c r="M339" i="1" s="1"/>
  <c r="H329" i="2"/>
  <c r="J329" s="1"/>
  <c r="K329" s="1"/>
  <c r="M331" i="1" s="1"/>
  <c r="E331"/>
  <c r="E323"/>
  <c r="H321" i="2"/>
  <c r="J321" s="1"/>
  <c r="K321" s="1"/>
  <c r="M323" i="1" s="1"/>
  <c r="H313" i="2"/>
  <c r="J313" s="1"/>
  <c r="K313" s="1"/>
  <c r="M315" i="1" s="1"/>
  <c r="E315"/>
  <c r="E307"/>
  <c r="H305" i="2"/>
  <c r="J305" s="1"/>
  <c r="K305" s="1"/>
  <c r="M307" i="1" s="1"/>
  <c r="H297" i="2"/>
  <c r="J297" s="1"/>
  <c r="K297" s="1"/>
  <c r="M299" i="1" s="1"/>
  <c r="E299"/>
  <c r="H281" i="2"/>
  <c r="J281" s="1"/>
  <c r="K281" s="1"/>
  <c r="M283" i="1" s="1"/>
  <c r="E283"/>
  <c r="E275"/>
  <c r="H273" i="2"/>
  <c r="J273" s="1"/>
  <c r="K273" s="1"/>
  <c r="M275" i="1" s="1"/>
  <c r="H265" i="2"/>
  <c r="J265" s="1"/>
  <c r="K265" s="1"/>
  <c r="M267" i="1" s="1"/>
  <c r="E267"/>
  <c r="E259"/>
  <c r="H257" i="2"/>
  <c r="J257" s="1"/>
  <c r="K257" s="1"/>
  <c r="M259" i="1" s="1"/>
  <c r="H249" i="2"/>
  <c r="J249" s="1"/>
  <c r="K249" s="1"/>
  <c r="M251" i="1" s="1"/>
  <c r="E251"/>
  <c r="E243"/>
  <c r="H241" i="2"/>
  <c r="J241" s="1"/>
  <c r="K241" s="1"/>
  <c r="M243" i="1" s="1"/>
  <c r="H233" i="2"/>
  <c r="J233" s="1"/>
  <c r="K233" s="1"/>
  <c r="M235" i="1" s="1"/>
  <c r="E235"/>
  <c r="E227"/>
  <c r="H225" i="2"/>
  <c r="J225" s="1"/>
  <c r="K225" s="1"/>
  <c r="M227" i="1" s="1"/>
  <c r="E219"/>
  <c r="H217" i="2"/>
  <c r="J217" s="1"/>
  <c r="K217" s="1"/>
  <c r="M219" i="1" s="1"/>
  <c r="E211"/>
  <c r="H209" i="2"/>
  <c r="J209" s="1"/>
  <c r="K209" s="1"/>
  <c r="M211" i="1" s="1"/>
  <c r="E203"/>
  <c r="H201" i="2"/>
  <c r="J201" s="1"/>
  <c r="K201" s="1"/>
  <c r="M203" i="1" s="1"/>
  <c r="E195"/>
  <c r="H193" i="2"/>
  <c r="J193" s="1"/>
  <c r="K193" s="1"/>
  <c r="M195" i="1" s="1"/>
  <c r="E187"/>
  <c r="H185" i="2"/>
  <c r="J185" s="1"/>
  <c r="K185" s="1"/>
  <c r="M187" i="1" s="1"/>
  <c r="E183"/>
  <c r="H181" i="2"/>
  <c r="J181" s="1"/>
  <c r="K181" s="1"/>
  <c r="M183" i="1" s="1"/>
  <c r="E175"/>
  <c r="H173" i="2"/>
  <c r="J173" s="1"/>
  <c r="K173" s="1"/>
  <c r="M175" i="1" s="1"/>
  <c r="E163"/>
  <c r="H161" i="2"/>
  <c r="J161" s="1"/>
  <c r="K161" s="1"/>
  <c r="M163" i="1" s="1"/>
  <c r="E155"/>
  <c r="H153" i="2"/>
  <c r="J153" s="1"/>
  <c r="K153" s="1"/>
  <c r="M155" i="1" s="1"/>
  <c r="E151"/>
  <c r="H149" i="2"/>
  <c r="J149" s="1"/>
  <c r="K149" s="1"/>
  <c r="M151" i="1" s="1"/>
  <c r="E143"/>
  <c r="H141" i="2"/>
  <c r="J141" s="1"/>
  <c r="K141" s="1"/>
  <c r="M143" i="1" s="1"/>
  <c r="E135"/>
  <c r="H133" i="2"/>
  <c r="J133" s="1"/>
  <c r="K133" s="1"/>
  <c r="M135" i="1" s="1"/>
  <c r="E127"/>
  <c r="H125" i="2"/>
  <c r="J125" s="1"/>
  <c r="K125" s="1"/>
  <c r="M127" i="1" s="1"/>
  <c r="E119"/>
  <c r="H117" i="2"/>
  <c r="J117" s="1"/>
  <c r="K117" s="1"/>
  <c r="M119" i="1" s="1"/>
  <c r="E111"/>
  <c r="H109" i="2"/>
  <c r="J109" s="1"/>
  <c r="K109" s="1"/>
  <c r="M111" i="1" s="1"/>
  <c r="E103"/>
  <c r="H101" i="2"/>
  <c r="J101" s="1"/>
  <c r="K101" s="1"/>
  <c r="M103" i="1" s="1"/>
  <c r="E95"/>
  <c r="H93" i="2"/>
  <c r="J93" s="1"/>
  <c r="K93" s="1"/>
  <c r="M95" i="1" s="1"/>
  <c r="E87"/>
  <c r="H85" i="2"/>
  <c r="J85" s="1"/>
  <c r="K85" s="1"/>
  <c r="M87" i="1" s="1"/>
  <c r="E79"/>
  <c r="H77" i="2"/>
  <c r="J77" s="1"/>
  <c r="K77" s="1"/>
  <c r="M79" i="1" s="1"/>
  <c r="E71"/>
  <c r="H69" i="2"/>
  <c r="J69" s="1"/>
  <c r="K69" s="1"/>
  <c r="M71" i="1" s="1"/>
  <c r="E67"/>
  <c r="H65" i="2"/>
  <c r="J65" s="1"/>
  <c r="K65" s="1"/>
  <c r="M67" i="1" s="1"/>
  <c r="E59"/>
  <c r="H57" i="2"/>
  <c r="J57" s="1"/>
  <c r="K57" s="1"/>
  <c r="M59" i="1" s="1"/>
  <c r="E51"/>
  <c r="H49" i="2"/>
  <c r="J49" s="1"/>
  <c r="K49" s="1"/>
  <c r="M51" i="1" s="1"/>
  <c r="E43"/>
  <c r="H41" i="2"/>
  <c r="J41" s="1"/>
  <c r="K41" s="1"/>
  <c r="M43" i="1" s="1"/>
  <c r="E35"/>
  <c r="H33" i="2"/>
  <c r="J33" s="1"/>
  <c r="K33" s="1"/>
  <c r="M35" i="1" s="1"/>
  <c r="E27"/>
  <c r="H25" i="2"/>
  <c r="J25" s="1"/>
  <c r="K25" s="1"/>
  <c r="M27" i="1" s="1"/>
  <c r="E19"/>
  <c r="H17" i="2"/>
  <c r="J17" s="1"/>
  <c r="K17" s="1"/>
  <c r="M19" i="1" s="1"/>
  <c r="E11"/>
  <c r="H9" i="2"/>
  <c r="J9" s="1"/>
  <c r="K9" s="1"/>
  <c r="M11" i="1" s="1"/>
  <c r="E665"/>
  <c r="H663" i="2"/>
  <c r="J663" s="1"/>
  <c r="K663" s="1"/>
  <c r="M665" i="1" s="1"/>
  <c r="E620"/>
  <c r="H618" i="2"/>
  <c r="J618" s="1"/>
  <c r="K618" s="1"/>
  <c r="M620" i="1" s="1"/>
  <c r="E588"/>
  <c r="H586" i="2"/>
  <c r="J586" s="1"/>
  <c r="K586" s="1"/>
  <c r="M588" i="1" s="1"/>
  <c r="E556"/>
  <c r="H554" i="2"/>
  <c r="J554" s="1"/>
  <c r="K554" s="1"/>
  <c r="M556" i="1" s="1"/>
  <c r="E524"/>
  <c r="H522" i="2"/>
  <c r="J522" s="1"/>
  <c r="K522" s="1"/>
  <c r="M524" i="1" s="1"/>
  <c r="E492"/>
  <c r="H490" i="2"/>
  <c r="J490" s="1"/>
  <c r="K490" s="1"/>
  <c r="M492" i="1" s="1"/>
  <c r="E460"/>
  <c r="H458" i="2"/>
  <c r="J458" s="1"/>
  <c r="K458" s="1"/>
  <c r="M460" i="1" s="1"/>
  <c r="E428"/>
  <c r="H426" i="2"/>
  <c r="J426" s="1"/>
  <c r="K426" s="1"/>
  <c r="M428" i="1" s="1"/>
  <c r="E396"/>
  <c r="H394" i="2"/>
  <c r="J394" s="1"/>
  <c r="K394" s="1"/>
  <c r="M396" i="1" s="1"/>
  <c r="E364"/>
  <c r="H362" i="2"/>
  <c r="J362" s="1"/>
  <c r="K362" s="1"/>
  <c r="M364" i="1" s="1"/>
  <c r="E332"/>
  <c r="H330" i="2"/>
  <c r="J330" s="1"/>
  <c r="K330" s="1"/>
  <c r="M332" i="1" s="1"/>
  <c r="E300"/>
  <c r="H298" i="2"/>
  <c r="J298" s="1"/>
  <c r="K298" s="1"/>
  <c r="M300" i="1" s="1"/>
  <c r="E268"/>
  <c r="H266" i="2"/>
  <c r="J266" s="1"/>
  <c r="K266" s="1"/>
  <c r="M268" i="1" s="1"/>
  <c r="E236"/>
  <c r="H234" i="2"/>
  <c r="J234" s="1"/>
  <c r="K234" s="1"/>
  <c r="M236" i="1" s="1"/>
  <c r="E204"/>
  <c r="H202" i="2"/>
  <c r="J202" s="1"/>
  <c r="K202" s="1"/>
  <c r="M204" i="1" s="1"/>
  <c r="E172"/>
  <c r="H170" i="2"/>
  <c r="J170" s="1"/>
  <c r="K170" s="1"/>
  <c r="M172" i="1" s="1"/>
  <c r="E124"/>
  <c r="H122" i="2"/>
  <c r="J122" s="1"/>
  <c r="K122" s="1"/>
  <c r="M124" i="1" s="1"/>
  <c r="E60"/>
  <c r="H58" i="2"/>
  <c r="J58" s="1"/>
  <c r="K58" s="1"/>
  <c r="M60" i="1" s="1"/>
  <c r="G659" i="2"/>
  <c r="G655"/>
  <c r="G651"/>
  <c r="G647"/>
  <c r="G643"/>
  <c r="G639"/>
  <c r="G635"/>
  <c r="G631"/>
  <c r="G627"/>
  <c r="G623"/>
  <c r="G619"/>
  <c r="G615"/>
  <c r="G611"/>
  <c r="G607"/>
  <c r="G603"/>
  <c r="G599"/>
  <c r="G595"/>
  <c r="G591"/>
  <c r="G587"/>
  <c r="G583"/>
  <c r="G579"/>
  <c r="G575"/>
  <c r="G571"/>
  <c r="G567"/>
  <c r="G563"/>
  <c r="G559"/>
  <c r="G555"/>
  <c r="G551"/>
  <c r="G547"/>
  <c r="G543"/>
  <c r="G539"/>
  <c r="G535"/>
  <c r="G531"/>
  <c r="G527"/>
  <c r="G523"/>
  <c r="G519"/>
  <c r="G515"/>
  <c r="G511"/>
  <c r="G507"/>
  <c r="G503"/>
  <c r="G499"/>
  <c r="G495"/>
  <c r="G491"/>
  <c r="G487"/>
  <c r="G483"/>
  <c r="G479"/>
  <c r="G475"/>
  <c r="G471"/>
  <c r="G467"/>
  <c r="G463"/>
  <c r="G459"/>
  <c r="G455"/>
  <c r="G451"/>
  <c r="G447"/>
  <c r="G443"/>
  <c r="G439"/>
  <c r="G435"/>
  <c r="G431"/>
  <c r="G427"/>
  <c r="G423"/>
  <c r="G419"/>
  <c r="G415"/>
  <c r="G411"/>
  <c r="G407"/>
  <c r="G403"/>
  <c r="G399"/>
  <c r="G395"/>
  <c r="G391"/>
  <c r="G387"/>
  <c r="G383"/>
  <c r="G379"/>
  <c r="G375"/>
  <c r="G371"/>
  <c r="G367"/>
  <c r="G363"/>
  <c r="G359"/>
  <c r="G355"/>
  <c r="G351"/>
  <c r="G347"/>
  <c r="G343"/>
  <c r="G339"/>
  <c r="G335"/>
  <c r="G331"/>
  <c r="G327"/>
  <c r="G323"/>
  <c r="G319"/>
  <c r="G315"/>
  <c r="G311"/>
  <c r="G307"/>
  <c r="G303"/>
  <c r="G299"/>
  <c r="G295"/>
  <c r="G291"/>
  <c r="G287"/>
  <c r="G283"/>
  <c r="G279"/>
  <c r="G275"/>
  <c r="G271"/>
  <c r="G267"/>
  <c r="G263"/>
  <c r="G259"/>
  <c r="G255"/>
  <c r="G251"/>
  <c r="G247"/>
  <c r="G243"/>
  <c r="G239"/>
  <c r="G235"/>
  <c r="G231"/>
  <c r="G227"/>
  <c r="G223"/>
  <c r="G219"/>
  <c r="G215"/>
  <c r="G211"/>
  <c r="G207"/>
  <c r="G203"/>
  <c r="G199"/>
  <c r="G195"/>
  <c r="G191"/>
  <c r="G187"/>
  <c r="G183"/>
  <c r="G179"/>
  <c r="G175"/>
  <c r="G171"/>
  <c r="G167"/>
  <c r="G163"/>
  <c r="G159"/>
  <c r="G155"/>
  <c r="G151"/>
  <c r="G147"/>
  <c r="G143"/>
  <c r="G139"/>
  <c r="G135"/>
  <c r="G131"/>
  <c r="G127"/>
  <c r="G123"/>
  <c r="G119"/>
  <c r="G115"/>
  <c r="G111"/>
  <c r="G107"/>
  <c r="G103"/>
  <c r="G99"/>
  <c r="G95"/>
  <c r="G91"/>
  <c r="G87"/>
  <c r="G83"/>
  <c r="G79"/>
  <c r="G75"/>
  <c r="G71"/>
  <c r="G67"/>
  <c r="G63"/>
  <c r="G59"/>
  <c r="G55"/>
  <c r="G51"/>
  <c r="G47"/>
  <c r="G43"/>
  <c r="G39"/>
  <c r="G35"/>
  <c r="G31"/>
  <c r="G27"/>
  <c r="G23"/>
  <c r="G19"/>
  <c r="G15"/>
  <c r="G11"/>
  <c r="G7"/>
  <c r="H438"/>
  <c r="J438" s="1"/>
  <c r="K438" s="1"/>
  <c r="M440" i="1" s="1"/>
  <c r="H374" i="2"/>
  <c r="J374" s="1"/>
  <c r="K374" s="1"/>
  <c r="M376" i="1" s="1"/>
  <c r="H310" i="2"/>
  <c r="J310" s="1"/>
  <c r="K310" s="1"/>
  <c r="M312" i="1" s="1"/>
  <c r="H246" i="2"/>
  <c r="J246" s="1"/>
  <c r="K246" s="1"/>
  <c r="M248" i="1" s="1"/>
  <c r="H182" i="2"/>
  <c r="J182" s="1"/>
  <c r="K182" s="1"/>
  <c r="M184" i="1" s="1"/>
  <c r="H118" i="2"/>
  <c r="J118" s="1"/>
  <c r="K118" s="1"/>
  <c r="M120" i="1" s="1"/>
  <c r="H54" i="2"/>
  <c r="J54" s="1"/>
  <c r="K54" s="1"/>
  <c r="M56" i="1" s="1"/>
  <c r="E291"/>
  <c r="H289" i="2"/>
  <c r="J289" s="1"/>
  <c r="K289" s="1"/>
  <c r="M291" i="1" s="1"/>
  <c r="E130"/>
  <c r="H128" i="2"/>
  <c r="J128" s="1"/>
  <c r="K128" s="1"/>
  <c r="M130" i="1" s="1"/>
  <c r="E126"/>
  <c r="H124" i="2"/>
  <c r="J124" s="1"/>
  <c r="K124" s="1"/>
  <c r="M126" i="1" s="1"/>
  <c r="E122"/>
  <c r="H120" i="2"/>
  <c r="J120" s="1"/>
  <c r="K120" s="1"/>
  <c r="M122" i="1" s="1"/>
  <c r="E118"/>
  <c r="H116" i="2"/>
  <c r="J116" s="1"/>
  <c r="K116" s="1"/>
  <c r="M118" i="1" s="1"/>
  <c r="E114"/>
  <c r="H112" i="2"/>
  <c r="J112" s="1"/>
  <c r="K112" s="1"/>
  <c r="M114" i="1" s="1"/>
  <c r="E110"/>
  <c r="H108" i="2"/>
  <c r="J108" s="1"/>
  <c r="K108" s="1"/>
  <c r="M110" i="1" s="1"/>
  <c r="E106"/>
  <c r="H104" i="2"/>
  <c r="J104" s="1"/>
  <c r="K104" s="1"/>
  <c r="M106" i="1" s="1"/>
  <c r="E102"/>
  <c r="H100" i="2"/>
  <c r="J100" s="1"/>
  <c r="K100" s="1"/>
  <c r="M102" i="1" s="1"/>
  <c r="E98"/>
  <c r="H96" i="2"/>
  <c r="J96" s="1"/>
  <c r="K96" s="1"/>
  <c r="M98" i="1" s="1"/>
  <c r="E94"/>
  <c r="H92" i="2"/>
  <c r="J92" s="1"/>
  <c r="K92" s="1"/>
  <c r="M94" i="1" s="1"/>
  <c r="E90"/>
  <c r="H88" i="2"/>
  <c r="J88" s="1"/>
  <c r="K88" s="1"/>
  <c r="M90" i="1" s="1"/>
  <c r="E86"/>
  <c r="H84" i="2"/>
  <c r="J84" s="1"/>
  <c r="K84" s="1"/>
  <c r="M86" i="1" s="1"/>
  <c r="E82"/>
  <c r="H80" i="2"/>
  <c r="J80" s="1"/>
  <c r="K80" s="1"/>
  <c r="M82" i="1" s="1"/>
  <c r="E78"/>
  <c r="H76" i="2"/>
  <c r="J76" s="1"/>
  <c r="K76" s="1"/>
  <c r="M78" i="1" s="1"/>
  <c r="E74"/>
  <c r="H72" i="2"/>
  <c r="J72" s="1"/>
  <c r="K72" s="1"/>
  <c r="M74" i="1" s="1"/>
  <c r="E70"/>
  <c r="H68" i="2"/>
  <c r="J68" s="1"/>
  <c r="K68" s="1"/>
  <c r="M70" i="1" s="1"/>
  <c r="E66"/>
  <c r="H64" i="2"/>
  <c r="J64" s="1"/>
  <c r="K64" s="1"/>
  <c r="M66" i="1" s="1"/>
  <c r="E62"/>
  <c r="H60" i="2"/>
  <c r="J60" s="1"/>
  <c r="K60" s="1"/>
  <c r="M62" i="1" s="1"/>
  <c r="E58"/>
  <c r="H56" i="2"/>
  <c r="J56" s="1"/>
  <c r="K56" s="1"/>
  <c r="M58" i="1" s="1"/>
  <c r="E54"/>
  <c r="H52" i="2"/>
  <c r="J52" s="1"/>
  <c r="K52" s="1"/>
  <c r="M54" i="1" s="1"/>
  <c r="E50"/>
  <c r="H48" i="2"/>
  <c r="J48" s="1"/>
  <c r="K48" s="1"/>
  <c r="M50" i="1" s="1"/>
  <c r="E46"/>
  <c r="H44" i="2"/>
  <c r="J44" s="1"/>
  <c r="K44" s="1"/>
  <c r="M46" i="1" s="1"/>
  <c r="E42"/>
  <c r="H40" i="2"/>
  <c r="J40" s="1"/>
  <c r="K40" s="1"/>
  <c r="M42" i="1" s="1"/>
  <c r="E38"/>
  <c r="H36" i="2"/>
  <c r="J36" s="1"/>
  <c r="K36" s="1"/>
  <c r="M38" i="1" s="1"/>
  <c r="E34"/>
  <c r="H32" i="2"/>
  <c r="J32" s="1"/>
  <c r="K32" s="1"/>
  <c r="M34" i="1" s="1"/>
  <c r="E30"/>
  <c r="H28" i="2"/>
  <c r="J28" s="1"/>
  <c r="K28" s="1"/>
  <c r="M30" i="1" s="1"/>
  <c r="E26"/>
  <c r="H24" i="2"/>
  <c r="J24" s="1"/>
  <c r="K24" s="1"/>
  <c r="M26" i="1" s="1"/>
  <c r="E22"/>
  <c r="H20" i="2"/>
  <c r="J20" s="1"/>
  <c r="K20" s="1"/>
  <c r="M22" i="1" s="1"/>
  <c r="E18"/>
  <c r="H16" i="2"/>
  <c r="J16" s="1"/>
  <c r="K16" s="1"/>
  <c r="M18" i="1" s="1"/>
  <c r="E14"/>
  <c r="H12" i="2"/>
  <c r="J12" s="1"/>
  <c r="K12" s="1"/>
  <c r="M14" i="1" s="1"/>
  <c r="E10"/>
  <c r="H8" i="2"/>
  <c r="J8" s="1"/>
  <c r="K8" s="1"/>
  <c r="M10" i="1" s="1"/>
  <c r="E6"/>
  <c r="H4" i="2"/>
  <c r="J4" s="1"/>
  <c r="K4" s="1"/>
  <c r="M6" i="1" s="1"/>
  <c r="E148"/>
  <c r="H146" i="2"/>
  <c r="J146" s="1"/>
  <c r="K146" s="1"/>
  <c r="M148" i="1" s="1"/>
  <c r="E116"/>
  <c r="H114" i="2"/>
  <c r="J114" s="1"/>
  <c r="K114" s="1"/>
  <c r="M116" i="1" s="1"/>
  <c r="E84"/>
  <c r="H82" i="2"/>
  <c r="J82" s="1"/>
  <c r="K82" s="1"/>
  <c r="M84" i="1" s="1"/>
  <c r="E52"/>
  <c r="H50" i="2"/>
  <c r="J50" s="1"/>
  <c r="K50" s="1"/>
  <c r="M52" i="1" s="1"/>
  <c r="E20"/>
  <c r="H18" i="2"/>
  <c r="J18" s="1"/>
  <c r="K18" s="1"/>
  <c r="M20" i="1" s="1"/>
  <c r="G672" i="2"/>
  <c r="G668"/>
  <c r="G664"/>
  <c r="G660"/>
  <c r="G656"/>
  <c r="G652"/>
  <c r="G648"/>
  <c r="G644"/>
  <c r="G640"/>
  <c r="G636"/>
  <c r="G632"/>
  <c r="G628"/>
  <c r="G624"/>
  <c r="G620"/>
  <c r="G616"/>
  <c r="G612"/>
  <c r="G608"/>
  <c r="G604"/>
  <c r="G600"/>
  <c r="G596"/>
  <c r="G592"/>
  <c r="G588"/>
  <c r="G584"/>
  <c r="G580"/>
  <c r="G576"/>
  <c r="G572"/>
  <c r="G568"/>
  <c r="G564"/>
  <c r="G560"/>
  <c r="G556"/>
  <c r="G552"/>
  <c r="G548"/>
  <c r="G544"/>
  <c r="G540"/>
  <c r="G536"/>
  <c r="G532"/>
  <c r="G528"/>
  <c r="G524"/>
  <c r="G520"/>
  <c r="G516"/>
  <c r="G512"/>
  <c r="G508"/>
  <c r="G504"/>
  <c r="G500"/>
  <c r="G496"/>
  <c r="G492"/>
  <c r="G488"/>
  <c r="G484"/>
  <c r="G480"/>
  <c r="G476"/>
  <c r="G472"/>
  <c r="G468"/>
  <c r="G464"/>
  <c r="G460"/>
  <c r="G456"/>
  <c r="G452"/>
  <c r="G448"/>
  <c r="G444"/>
  <c r="G440"/>
  <c r="G436"/>
  <c r="G432"/>
  <c r="G428"/>
  <c r="G424"/>
  <c r="G420"/>
  <c r="G416"/>
  <c r="G412"/>
  <c r="G408"/>
  <c r="G404"/>
  <c r="G400"/>
  <c r="G396"/>
  <c r="G392"/>
  <c r="G388"/>
  <c r="G384"/>
  <c r="G380"/>
  <c r="G376"/>
  <c r="G372"/>
  <c r="G368"/>
  <c r="G364"/>
  <c r="G360"/>
  <c r="G356"/>
  <c r="G352"/>
  <c r="G348"/>
  <c r="G344"/>
  <c r="G340"/>
  <c r="G336"/>
  <c r="G332"/>
  <c r="G328"/>
  <c r="G324"/>
  <c r="G320"/>
  <c r="G316"/>
  <c r="G312"/>
  <c r="G308"/>
  <c r="G304"/>
  <c r="G300"/>
  <c r="G296"/>
  <c r="G292"/>
  <c r="G288"/>
  <c r="G284"/>
  <c r="G280"/>
  <c r="G276"/>
  <c r="G272"/>
  <c r="G268"/>
  <c r="G264"/>
  <c r="G260"/>
  <c r="G256"/>
  <c r="G252"/>
  <c r="G248"/>
  <c r="G244"/>
  <c r="G240"/>
  <c r="G236"/>
  <c r="G232"/>
  <c r="G228"/>
  <c r="G224"/>
  <c r="G220"/>
  <c r="G216"/>
  <c r="G212"/>
  <c r="G208"/>
  <c r="G204"/>
  <c r="G200"/>
  <c r="G196"/>
  <c r="G192"/>
  <c r="G188"/>
  <c r="G184"/>
  <c r="G180"/>
  <c r="G176"/>
  <c r="G172"/>
  <c r="G168"/>
  <c r="G164"/>
  <c r="G160"/>
  <c r="G156"/>
  <c r="G152"/>
  <c r="G148"/>
  <c r="G144"/>
  <c r="G140"/>
  <c r="G136"/>
  <c r="G132"/>
  <c r="H390"/>
  <c r="J390" s="1"/>
  <c r="K390" s="1"/>
  <c r="M392" i="1" s="1"/>
  <c r="H326" i="2"/>
  <c r="J326" s="1"/>
  <c r="K326" s="1"/>
  <c r="M328" i="1" s="1"/>
  <c r="H262" i="2"/>
  <c r="J262" s="1"/>
  <c r="K262" s="1"/>
  <c r="M264" i="1" s="1"/>
  <c r="H198" i="2"/>
  <c r="J198" s="1"/>
  <c r="K198" s="1"/>
  <c r="M200" i="1" s="1"/>
  <c r="K677" l="1"/>
  <c r="E456"/>
  <c r="S675" i="2"/>
  <c r="H3"/>
  <c r="J3" s="1"/>
  <c r="E504" i="1"/>
  <c r="E568"/>
  <c r="G675" i="2"/>
  <c r="E146" i="1"/>
  <c r="H144" i="2"/>
  <c r="J144" s="1"/>
  <c r="K144" s="1"/>
  <c r="M146" i="1" s="1"/>
  <c r="E178"/>
  <c r="H176" i="2"/>
  <c r="J176" s="1"/>
  <c r="K176" s="1"/>
  <c r="M178" i="1" s="1"/>
  <c r="E210"/>
  <c r="H208" i="2"/>
  <c r="J208" s="1"/>
  <c r="K208" s="1"/>
  <c r="M210" i="1" s="1"/>
  <c r="E242"/>
  <c r="H240" i="2"/>
  <c r="J240" s="1"/>
  <c r="K240" s="1"/>
  <c r="M242" i="1" s="1"/>
  <c r="E274"/>
  <c r="H272" i="2"/>
  <c r="J272" s="1"/>
  <c r="K272" s="1"/>
  <c r="M274" i="1" s="1"/>
  <c r="E306"/>
  <c r="H304" i="2"/>
  <c r="J304" s="1"/>
  <c r="K304" s="1"/>
  <c r="M306" i="1" s="1"/>
  <c r="E338"/>
  <c r="H336" i="2"/>
  <c r="J336" s="1"/>
  <c r="K336" s="1"/>
  <c r="M338" i="1" s="1"/>
  <c r="E370"/>
  <c r="H368" i="2"/>
  <c r="J368" s="1"/>
  <c r="K368" s="1"/>
  <c r="M370" i="1" s="1"/>
  <c r="E402"/>
  <c r="H400" i="2"/>
  <c r="J400" s="1"/>
  <c r="K400" s="1"/>
  <c r="M402" i="1" s="1"/>
  <c r="E434"/>
  <c r="H432" i="2"/>
  <c r="J432" s="1"/>
  <c r="K432" s="1"/>
  <c r="M434" i="1" s="1"/>
  <c r="E466"/>
  <c r="H464" i="2"/>
  <c r="J464" s="1"/>
  <c r="K464" s="1"/>
  <c r="M466" i="1" s="1"/>
  <c r="E498"/>
  <c r="H496" i="2"/>
  <c r="J496" s="1"/>
  <c r="K496" s="1"/>
  <c r="M498" i="1" s="1"/>
  <c r="E514"/>
  <c r="H512" i="2"/>
  <c r="J512" s="1"/>
  <c r="K512" s="1"/>
  <c r="M514" i="1" s="1"/>
  <c r="E546"/>
  <c r="H544" i="2"/>
  <c r="J544" s="1"/>
  <c r="K544" s="1"/>
  <c r="M546" i="1" s="1"/>
  <c r="E578"/>
  <c r="H576" i="2"/>
  <c r="J576" s="1"/>
  <c r="K576" s="1"/>
  <c r="M578" i="1" s="1"/>
  <c r="E610"/>
  <c r="H608" i="2"/>
  <c r="J608" s="1"/>
  <c r="K608" s="1"/>
  <c r="M610" i="1" s="1"/>
  <c r="E642"/>
  <c r="H640" i="2"/>
  <c r="J640" s="1"/>
  <c r="K640" s="1"/>
  <c r="M642" i="1" s="1"/>
  <c r="E674"/>
  <c r="H672" i="2"/>
  <c r="J672" s="1"/>
  <c r="K672" s="1"/>
  <c r="M674" i="1" s="1"/>
  <c r="E33"/>
  <c r="H31" i="2"/>
  <c r="J31" s="1"/>
  <c r="K31" s="1"/>
  <c r="M33" i="1" s="1"/>
  <c r="E49"/>
  <c r="H47" i="2"/>
  <c r="J47" s="1"/>
  <c r="K47" s="1"/>
  <c r="M49" i="1" s="1"/>
  <c r="E81"/>
  <c r="H79" i="2"/>
  <c r="J79" s="1"/>
  <c r="K79" s="1"/>
  <c r="M81" i="1" s="1"/>
  <c r="E129"/>
  <c r="H127" i="2"/>
  <c r="J127" s="1"/>
  <c r="K127" s="1"/>
  <c r="M129" i="1" s="1"/>
  <c r="E161"/>
  <c r="H159" i="2"/>
  <c r="J159" s="1"/>
  <c r="K159" s="1"/>
  <c r="M161" i="1" s="1"/>
  <c r="E193"/>
  <c r="H191" i="2"/>
  <c r="J191" s="1"/>
  <c r="K191" s="1"/>
  <c r="M193" i="1" s="1"/>
  <c r="E225"/>
  <c r="H223" i="2"/>
  <c r="J223" s="1"/>
  <c r="K223" s="1"/>
  <c r="M225" i="1" s="1"/>
  <c r="E257"/>
  <c r="H255" i="2"/>
  <c r="J255" s="1"/>
  <c r="K255" s="1"/>
  <c r="M257" i="1" s="1"/>
  <c r="E289"/>
  <c r="H287" i="2"/>
  <c r="J287" s="1"/>
  <c r="K287" s="1"/>
  <c r="M289" i="1" s="1"/>
  <c r="E321"/>
  <c r="H319" i="2"/>
  <c r="J319" s="1"/>
  <c r="K319" s="1"/>
  <c r="M321" i="1" s="1"/>
  <c r="E353"/>
  <c r="H351" i="2"/>
  <c r="J351" s="1"/>
  <c r="K351" s="1"/>
  <c r="M353" i="1" s="1"/>
  <c r="E385"/>
  <c r="H383" i="2"/>
  <c r="J383" s="1"/>
  <c r="K383" s="1"/>
  <c r="M385" i="1" s="1"/>
  <c r="E417"/>
  <c r="H415" i="2"/>
  <c r="J415" s="1"/>
  <c r="K415" s="1"/>
  <c r="M417" i="1" s="1"/>
  <c r="E449"/>
  <c r="H447" i="2"/>
  <c r="J447" s="1"/>
  <c r="K447" s="1"/>
  <c r="M449" i="1" s="1"/>
  <c r="E481"/>
  <c r="H479" i="2"/>
  <c r="J479" s="1"/>
  <c r="K479" s="1"/>
  <c r="M481" i="1" s="1"/>
  <c r="E513"/>
  <c r="H511" i="2"/>
  <c r="J511" s="1"/>
  <c r="K511" s="1"/>
  <c r="M513" i="1" s="1"/>
  <c r="E545"/>
  <c r="H543" i="2"/>
  <c r="J543" s="1"/>
  <c r="K543" s="1"/>
  <c r="M545" i="1" s="1"/>
  <c r="E577"/>
  <c r="H575" i="2"/>
  <c r="J575" s="1"/>
  <c r="K575" s="1"/>
  <c r="M577" i="1" s="1"/>
  <c r="E609"/>
  <c r="H607" i="2"/>
  <c r="J607" s="1"/>
  <c r="K607" s="1"/>
  <c r="M609" i="1" s="1"/>
  <c r="E641"/>
  <c r="H639" i="2"/>
  <c r="J639" s="1"/>
  <c r="K639" s="1"/>
  <c r="M641" i="1" s="1"/>
  <c r="E657"/>
  <c r="H655" i="2"/>
  <c r="J655" s="1"/>
  <c r="K655" s="1"/>
  <c r="M657" i="1" s="1"/>
  <c r="E142"/>
  <c r="H140" i="2"/>
  <c r="J140" s="1"/>
  <c r="K140" s="1"/>
  <c r="M142" i="1" s="1"/>
  <c r="E174"/>
  <c r="H172" i="2"/>
  <c r="J172" s="1"/>
  <c r="K172" s="1"/>
  <c r="M174" i="1" s="1"/>
  <c r="E206"/>
  <c r="H204" i="2"/>
  <c r="J204" s="1"/>
  <c r="K204" s="1"/>
  <c r="M206" i="1" s="1"/>
  <c r="E238"/>
  <c r="H236" i="2"/>
  <c r="J236" s="1"/>
  <c r="K236" s="1"/>
  <c r="M238" i="1" s="1"/>
  <c r="E270"/>
  <c r="H268" i="2"/>
  <c r="J268" s="1"/>
  <c r="K268" s="1"/>
  <c r="M270" i="1" s="1"/>
  <c r="E302"/>
  <c r="H300" i="2"/>
  <c r="J300" s="1"/>
  <c r="K300" s="1"/>
  <c r="M302" i="1" s="1"/>
  <c r="E318"/>
  <c r="H316" i="2"/>
  <c r="J316" s="1"/>
  <c r="K316" s="1"/>
  <c r="M318" i="1" s="1"/>
  <c r="E350"/>
  <c r="H348" i="2"/>
  <c r="J348" s="1"/>
  <c r="K348" s="1"/>
  <c r="M350" i="1" s="1"/>
  <c r="E382"/>
  <c r="H380" i="2"/>
  <c r="J380" s="1"/>
  <c r="K380" s="1"/>
  <c r="M382" i="1" s="1"/>
  <c r="E430"/>
  <c r="H428" i="2"/>
  <c r="J428" s="1"/>
  <c r="K428" s="1"/>
  <c r="M430" i="1" s="1"/>
  <c r="E462"/>
  <c r="H460" i="2"/>
  <c r="J460" s="1"/>
  <c r="K460" s="1"/>
  <c r="M462" i="1" s="1"/>
  <c r="E494"/>
  <c r="H492" i="2"/>
  <c r="J492" s="1"/>
  <c r="K492" s="1"/>
  <c r="M494" i="1" s="1"/>
  <c r="E526"/>
  <c r="H524" i="2"/>
  <c r="J524" s="1"/>
  <c r="K524" s="1"/>
  <c r="M526" i="1" s="1"/>
  <c r="E558"/>
  <c r="H556" i="2"/>
  <c r="J556" s="1"/>
  <c r="K556" s="1"/>
  <c r="M558" i="1" s="1"/>
  <c r="E590"/>
  <c r="H588" i="2"/>
  <c r="J588" s="1"/>
  <c r="K588" s="1"/>
  <c r="M590" i="1" s="1"/>
  <c r="E622"/>
  <c r="H620" i="2"/>
  <c r="J620" s="1"/>
  <c r="K620" s="1"/>
  <c r="M622" i="1" s="1"/>
  <c r="E654"/>
  <c r="H652" i="2"/>
  <c r="J652" s="1"/>
  <c r="K652" s="1"/>
  <c r="M654" i="1" s="1"/>
  <c r="E13"/>
  <c r="H11" i="2"/>
  <c r="J11" s="1"/>
  <c r="K11" s="1"/>
  <c r="M13" i="1" s="1"/>
  <c r="E29"/>
  <c r="H27" i="2"/>
  <c r="J27" s="1"/>
  <c r="K27" s="1"/>
  <c r="M29" i="1" s="1"/>
  <c r="E61"/>
  <c r="H59" i="2"/>
  <c r="J59" s="1"/>
  <c r="K59" s="1"/>
  <c r="M61" i="1" s="1"/>
  <c r="E93"/>
  <c r="H91" i="2"/>
  <c r="J91" s="1"/>
  <c r="K91" s="1"/>
  <c r="M93" i="1" s="1"/>
  <c r="E125"/>
  <c r="H123" i="2"/>
  <c r="J123" s="1"/>
  <c r="K123" s="1"/>
  <c r="M125" i="1" s="1"/>
  <c r="E157"/>
  <c r="H155" i="2"/>
  <c r="J155" s="1"/>
  <c r="K155" s="1"/>
  <c r="M157" i="1" s="1"/>
  <c r="E189"/>
  <c r="H187" i="2"/>
  <c r="J187" s="1"/>
  <c r="K187" s="1"/>
  <c r="M189" i="1" s="1"/>
  <c r="E221"/>
  <c r="H219" i="2"/>
  <c r="J219" s="1"/>
  <c r="K219" s="1"/>
  <c r="M221" i="1" s="1"/>
  <c r="E253"/>
  <c r="H251" i="2"/>
  <c r="J251" s="1"/>
  <c r="K251" s="1"/>
  <c r="M253" i="1" s="1"/>
  <c r="E285"/>
  <c r="H283" i="2"/>
  <c r="J283" s="1"/>
  <c r="K283" s="1"/>
  <c r="M285" i="1" s="1"/>
  <c r="E317"/>
  <c r="H315" i="2"/>
  <c r="J315" s="1"/>
  <c r="K315" s="1"/>
  <c r="M317" i="1" s="1"/>
  <c r="E349"/>
  <c r="H347" i="2"/>
  <c r="J347" s="1"/>
  <c r="K347" s="1"/>
  <c r="M349" i="1" s="1"/>
  <c r="E381"/>
  <c r="H379" i="2"/>
  <c r="J379" s="1"/>
  <c r="K379" s="1"/>
  <c r="M381" i="1" s="1"/>
  <c r="E413"/>
  <c r="H411" i="2"/>
  <c r="J411" s="1"/>
  <c r="K411" s="1"/>
  <c r="M413" i="1" s="1"/>
  <c r="E445"/>
  <c r="H443" i="2"/>
  <c r="J443" s="1"/>
  <c r="K443" s="1"/>
  <c r="M445" i="1" s="1"/>
  <c r="E477"/>
  <c r="H475" i="2"/>
  <c r="J475" s="1"/>
  <c r="K475" s="1"/>
  <c r="M477" i="1" s="1"/>
  <c r="E525"/>
  <c r="H523" i="2"/>
  <c r="J523" s="1"/>
  <c r="K523" s="1"/>
  <c r="M525" i="1" s="1"/>
  <c r="E557"/>
  <c r="H555" i="2"/>
  <c r="J555" s="1"/>
  <c r="K555" s="1"/>
  <c r="M557" i="1" s="1"/>
  <c r="E573"/>
  <c r="H571" i="2"/>
  <c r="J571" s="1"/>
  <c r="K571" s="1"/>
  <c r="M573" i="1" s="1"/>
  <c r="E605"/>
  <c r="H603" i="2"/>
  <c r="J603" s="1"/>
  <c r="K603" s="1"/>
  <c r="M605" i="1" s="1"/>
  <c r="E637"/>
  <c r="H635" i="2"/>
  <c r="J635" s="1"/>
  <c r="K635" s="1"/>
  <c r="M637" i="1" s="1"/>
  <c r="E138"/>
  <c r="H136" i="2"/>
  <c r="J136" s="1"/>
  <c r="K136" s="1"/>
  <c r="M138" i="1" s="1"/>
  <c r="E154"/>
  <c r="H152" i="2"/>
  <c r="J152" s="1"/>
  <c r="K152" s="1"/>
  <c r="M154" i="1" s="1"/>
  <c r="E170"/>
  <c r="H168" i="2"/>
  <c r="J168" s="1"/>
  <c r="K168" s="1"/>
  <c r="M170" i="1" s="1"/>
  <c r="E186"/>
  <c r="H184" i="2"/>
  <c r="J184" s="1"/>
  <c r="K184" s="1"/>
  <c r="M186" i="1" s="1"/>
  <c r="E202"/>
  <c r="H200" i="2"/>
  <c r="J200" s="1"/>
  <c r="K200" s="1"/>
  <c r="M202" i="1" s="1"/>
  <c r="E218"/>
  <c r="H216" i="2"/>
  <c r="J216" s="1"/>
  <c r="K216" s="1"/>
  <c r="M218" i="1" s="1"/>
  <c r="E234"/>
  <c r="H232" i="2"/>
  <c r="J232" s="1"/>
  <c r="K232" s="1"/>
  <c r="M234" i="1" s="1"/>
  <c r="E250"/>
  <c r="H248" i="2"/>
  <c r="J248" s="1"/>
  <c r="K248" s="1"/>
  <c r="M250" i="1" s="1"/>
  <c r="E266"/>
  <c r="H264" i="2"/>
  <c r="J264" s="1"/>
  <c r="K264" s="1"/>
  <c r="M266" i="1" s="1"/>
  <c r="E282"/>
  <c r="H280" i="2"/>
  <c r="J280" s="1"/>
  <c r="K280" s="1"/>
  <c r="M282" i="1" s="1"/>
  <c r="E298"/>
  <c r="H296" i="2"/>
  <c r="J296" s="1"/>
  <c r="K296" s="1"/>
  <c r="M298" i="1" s="1"/>
  <c r="E314"/>
  <c r="H312" i="2"/>
  <c r="J312" s="1"/>
  <c r="K312" s="1"/>
  <c r="M314" i="1" s="1"/>
  <c r="E330"/>
  <c r="H328" i="2"/>
  <c r="J328" s="1"/>
  <c r="K328" s="1"/>
  <c r="M330" i="1" s="1"/>
  <c r="E346"/>
  <c r="H344" i="2"/>
  <c r="J344" s="1"/>
  <c r="K344" s="1"/>
  <c r="M346" i="1" s="1"/>
  <c r="E362"/>
  <c r="H360" i="2"/>
  <c r="J360" s="1"/>
  <c r="K360" s="1"/>
  <c r="M362" i="1" s="1"/>
  <c r="E378"/>
  <c r="H376" i="2"/>
  <c r="J376" s="1"/>
  <c r="K376" s="1"/>
  <c r="M378" i="1" s="1"/>
  <c r="E394"/>
  <c r="H392" i="2"/>
  <c r="J392" s="1"/>
  <c r="K392" s="1"/>
  <c r="M394" i="1" s="1"/>
  <c r="E410"/>
  <c r="H408" i="2"/>
  <c r="J408" s="1"/>
  <c r="K408" s="1"/>
  <c r="M410" i="1" s="1"/>
  <c r="E426"/>
  <c r="H424" i="2"/>
  <c r="J424" s="1"/>
  <c r="K424" s="1"/>
  <c r="M426" i="1" s="1"/>
  <c r="E442"/>
  <c r="H440" i="2"/>
  <c r="J440" s="1"/>
  <c r="K440" s="1"/>
  <c r="M442" i="1" s="1"/>
  <c r="E458"/>
  <c r="H456" i="2"/>
  <c r="J456" s="1"/>
  <c r="K456" s="1"/>
  <c r="M458" i="1" s="1"/>
  <c r="E474"/>
  <c r="H472" i="2"/>
  <c r="J472" s="1"/>
  <c r="K472" s="1"/>
  <c r="M474" i="1" s="1"/>
  <c r="E490"/>
  <c r="H488" i="2"/>
  <c r="J488" s="1"/>
  <c r="K488" s="1"/>
  <c r="M490" i="1" s="1"/>
  <c r="E506"/>
  <c r="H504" i="2"/>
  <c r="J504" s="1"/>
  <c r="K504" s="1"/>
  <c r="M506" i="1" s="1"/>
  <c r="E522"/>
  <c r="H520" i="2"/>
  <c r="J520" s="1"/>
  <c r="K520" s="1"/>
  <c r="M522" i="1" s="1"/>
  <c r="E538"/>
  <c r="H536" i="2"/>
  <c r="J536" s="1"/>
  <c r="K536" s="1"/>
  <c r="M538" i="1" s="1"/>
  <c r="E554"/>
  <c r="H552" i="2"/>
  <c r="J552" s="1"/>
  <c r="K552" s="1"/>
  <c r="M554" i="1" s="1"/>
  <c r="E570"/>
  <c r="H568" i="2"/>
  <c r="J568" s="1"/>
  <c r="K568" s="1"/>
  <c r="M570" i="1" s="1"/>
  <c r="E586"/>
  <c r="H584" i="2"/>
  <c r="J584" s="1"/>
  <c r="K584" s="1"/>
  <c r="M586" i="1" s="1"/>
  <c r="E602"/>
  <c r="H600" i="2"/>
  <c r="J600" s="1"/>
  <c r="K600" s="1"/>
  <c r="M602" i="1" s="1"/>
  <c r="E618"/>
  <c r="H616" i="2"/>
  <c r="J616" s="1"/>
  <c r="K616" s="1"/>
  <c r="M618" i="1" s="1"/>
  <c r="E634"/>
  <c r="H632" i="2"/>
  <c r="J632" s="1"/>
  <c r="K632" s="1"/>
  <c r="M634" i="1" s="1"/>
  <c r="E650"/>
  <c r="H648" i="2"/>
  <c r="J648" s="1"/>
  <c r="K648" s="1"/>
  <c r="M650" i="1" s="1"/>
  <c r="E666"/>
  <c r="H664" i="2"/>
  <c r="J664" s="1"/>
  <c r="K664" s="1"/>
  <c r="M666" i="1" s="1"/>
  <c r="E9"/>
  <c r="H7" i="2"/>
  <c r="J7" s="1"/>
  <c r="K7" s="1"/>
  <c r="M9" i="1" s="1"/>
  <c r="E25"/>
  <c r="H23" i="2"/>
  <c r="J23" s="1"/>
  <c r="K23" s="1"/>
  <c r="M25" i="1" s="1"/>
  <c r="E41"/>
  <c r="H39" i="2"/>
  <c r="J39" s="1"/>
  <c r="K39" s="1"/>
  <c r="M41" i="1" s="1"/>
  <c r="E57"/>
  <c r="H55" i="2"/>
  <c r="J55" s="1"/>
  <c r="K55" s="1"/>
  <c r="M57" i="1" s="1"/>
  <c r="E73"/>
  <c r="H71" i="2"/>
  <c r="J71" s="1"/>
  <c r="K71" s="1"/>
  <c r="M73" i="1" s="1"/>
  <c r="E89"/>
  <c r="H87" i="2"/>
  <c r="J87" s="1"/>
  <c r="K87" s="1"/>
  <c r="M89" i="1" s="1"/>
  <c r="E105"/>
  <c r="H103" i="2"/>
  <c r="J103" s="1"/>
  <c r="K103" s="1"/>
  <c r="M105" i="1" s="1"/>
  <c r="E121"/>
  <c r="H119" i="2"/>
  <c r="J119" s="1"/>
  <c r="K119" s="1"/>
  <c r="M121" i="1" s="1"/>
  <c r="E137"/>
  <c r="H135" i="2"/>
  <c r="J135" s="1"/>
  <c r="K135" s="1"/>
  <c r="M137" i="1" s="1"/>
  <c r="E153"/>
  <c r="H151" i="2"/>
  <c r="J151" s="1"/>
  <c r="K151" s="1"/>
  <c r="M153" i="1" s="1"/>
  <c r="E169"/>
  <c r="H167" i="2"/>
  <c r="J167" s="1"/>
  <c r="K167" s="1"/>
  <c r="M169" i="1" s="1"/>
  <c r="E185"/>
  <c r="H183" i="2"/>
  <c r="J183" s="1"/>
  <c r="K183" s="1"/>
  <c r="M185" i="1" s="1"/>
  <c r="E201"/>
  <c r="H199" i="2"/>
  <c r="J199" s="1"/>
  <c r="K199" s="1"/>
  <c r="M201" i="1" s="1"/>
  <c r="E217"/>
  <c r="H215" i="2"/>
  <c r="J215" s="1"/>
  <c r="K215" s="1"/>
  <c r="M217" i="1" s="1"/>
  <c r="E233"/>
  <c r="H231" i="2"/>
  <c r="J231" s="1"/>
  <c r="K231" s="1"/>
  <c r="M233" i="1" s="1"/>
  <c r="E249"/>
  <c r="H247" i="2"/>
  <c r="J247" s="1"/>
  <c r="K247" s="1"/>
  <c r="M249" i="1" s="1"/>
  <c r="E265"/>
  <c r="H263" i="2"/>
  <c r="J263" s="1"/>
  <c r="K263" s="1"/>
  <c r="M265" i="1" s="1"/>
  <c r="E281"/>
  <c r="H279" i="2"/>
  <c r="J279" s="1"/>
  <c r="K279" s="1"/>
  <c r="M281" i="1" s="1"/>
  <c r="E297"/>
  <c r="H295" i="2"/>
  <c r="J295" s="1"/>
  <c r="K295" s="1"/>
  <c r="M297" i="1" s="1"/>
  <c r="E313"/>
  <c r="H311" i="2"/>
  <c r="J311" s="1"/>
  <c r="K311" s="1"/>
  <c r="M313" i="1" s="1"/>
  <c r="E329"/>
  <c r="H327" i="2"/>
  <c r="J327" s="1"/>
  <c r="K327" s="1"/>
  <c r="M329" i="1" s="1"/>
  <c r="E345"/>
  <c r="H343" i="2"/>
  <c r="J343" s="1"/>
  <c r="K343" s="1"/>
  <c r="M345" i="1" s="1"/>
  <c r="E361"/>
  <c r="H359" i="2"/>
  <c r="J359" s="1"/>
  <c r="K359" s="1"/>
  <c r="M361" i="1" s="1"/>
  <c r="E377"/>
  <c r="H375" i="2"/>
  <c r="J375" s="1"/>
  <c r="K375" s="1"/>
  <c r="M377" i="1" s="1"/>
  <c r="E393"/>
  <c r="H391" i="2"/>
  <c r="J391" s="1"/>
  <c r="K391" s="1"/>
  <c r="M393" i="1" s="1"/>
  <c r="E409"/>
  <c r="H407" i="2"/>
  <c r="J407" s="1"/>
  <c r="K407" s="1"/>
  <c r="M409" i="1" s="1"/>
  <c r="E425"/>
  <c r="H423" i="2"/>
  <c r="J423" s="1"/>
  <c r="K423" s="1"/>
  <c r="M425" i="1" s="1"/>
  <c r="E441"/>
  <c r="H439" i="2"/>
  <c r="J439" s="1"/>
  <c r="K439" s="1"/>
  <c r="M441" i="1" s="1"/>
  <c r="E457"/>
  <c r="H455" i="2"/>
  <c r="J455" s="1"/>
  <c r="K455" s="1"/>
  <c r="M457" i="1" s="1"/>
  <c r="E473"/>
  <c r="H471" i="2"/>
  <c r="J471" s="1"/>
  <c r="K471" s="1"/>
  <c r="M473" i="1" s="1"/>
  <c r="E489"/>
  <c r="H487" i="2"/>
  <c r="J487" s="1"/>
  <c r="K487" s="1"/>
  <c r="M489" i="1" s="1"/>
  <c r="E505"/>
  <c r="H503" i="2"/>
  <c r="J503" s="1"/>
  <c r="K503" s="1"/>
  <c r="M505" i="1" s="1"/>
  <c r="E521"/>
  <c r="H519" i="2"/>
  <c r="J519" s="1"/>
  <c r="K519" s="1"/>
  <c r="M521" i="1" s="1"/>
  <c r="E537"/>
  <c r="H535" i="2"/>
  <c r="J535" s="1"/>
  <c r="K535" s="1"/>
  <c r="M537" i="1" s="1"/>
  <c r="E553"/>
  <c r="H551" i="2"/>
  <c r="J551" s="1"/>
  <c r="K551" s="1"/>
  <c r="M553" i="1" s="1"/>
  <c r="E569"/>
  <c r="H567" i="2"/>
  <c r="J567" s="1"/>
  <c r="K567" s="1"/>
  <c r="M569" i="1" s="1"/>
  <c r="E585"/>
  <c r="H583" i="2"/>
  <c r="J583" s="1"/>
  <c r="K583" s="1"/>
  <c r="M585" i="1" s="1"/>
  <c r="E601"/>
  <c r="H599" i="2"/>
  <c r="J599" s="1"/>
  <c r="K599" s="1"/>
  <c r="M601" i="1" s="1"/>
  <c r="E617"/>
  <c r="H615" i="2"/>
  <c r="J615" s="1"/>
  <c r="K615" s="1"/>
  <c r="M617" i="1" s="1"/>
  <c r="E633"/>
  <c r="H631" i="2"/>
  <c r="J631" s="1"/>
  <c r="K631" s="1"/>
  <c r="M633" i="1" s="1"/>
  <c r="E649"/>
  <c r="H647" i="2"/>
  <c r="J647" s="1"/>
  <c r="K647" s="1"/>
  <c r="M649" i="1" s="1"/>
  <c r="E162"/>
  <c r="H160" i="2"/>
  <c r="J160" s="1"/>
  <c r="K160" s="1"/>
  <c r="M162" i="1" s="1"/>
  <c r="E194"/>
  <c r="H192" i="2"/>
  <c r="J192" s="1"/>
  <c r="K192" s="1"/>
  <c r="M194" i="1" s="1"/>
  <c r="E226"/>
  <c r="H224" i="2"/>
  <c r="J224" s="1"/>
  <c r="K224" s="1"/>
  <c r="M226" i="1" s="1"/>
  <c r="E258"/>
  <c r="H256" i="2"/>
  <c r="J256" s="1"/>
  <c r="K256" s="1"/>
  <c r="M258" i="1" s="1"/>
  <c r="E290"/>
  <c r="H288" i="2"/>
  <c r="J288" s="1"/>
  <c r="K288" s="1"/>
  <c r="M290" i="1" s="1"/>
  <c r="E322"/>
  <c r="H320" i="2"/>
  <c r="J320" s="1"/>
  <c r="K320" s="1"/>
  <c r="M322" i="1" s="1"/>
  <c r="E354"/>
  <c r="H352" i="2"/>
  <c r="J352" s="1"/>
  <c r="K352" s="1"/>
  <c r="M354" i="1" s="1"/>
  <c r="E386"/>
  <c r="H384" i="2"/>
  <c r="J384" s="1"/>
  <c r="K384" s="1"/>
  <c r="M386" i="1" s="1"/>
  <c r="E418"/>
  <c r="H416" i="2"/>
  <c r="J416" s="1"/>
  <c r="K416" s="1"/>
  <c r="M418" i="1" s="1"/>
  <c r="E450"/>
  <c r="H448" i="2"/>
  <c r="J448" s="1"/>
  <c r="K448" s="1"/>
  <c r="M450" i="1" s="1"/>
  <c r="E482"/>
  <c r="H480" i="2"/>
  <c r="J480" s="1"/>
  <c r="K480" s="1"/>
  <c r="M482" i="1" s="1"/>
  <c r="E530"/>
  <c r="H528" i="2"/>
  <c r="J528" s="1"/>
  <c r="K528" s="1"/>
  <c r="M530" i="1" s="1"/>
  <c r="E562"/>
  <c r="H560" i="2"/>
  <c r="J560" s="1"/>
  <c r="K560" s="1"/>
  <c r="M562" i="1" s="1"/>
  <c r="E594"/>
  <c r="H592" i="2"/>
  <c r="J592" s="1"/>
  <c r="K592" s="1"/>
  <c r="M594" i="1" s="1"/>
  <c r="E626"/>
  <c r="H624" i="2"/>
  <c r="J624" s="1"/>
  <c r="K624" s="1"/>
  <c r="M626" i="1" s="1"/>
  <c r="E658"/>
  <c r="H656" i="2"/>
  <c r="J656" s="1"/>
  <c r="K656" s="1"/>
  <c r="M658" i="1" s="1"/>
  <c r="E17"/>
  <c r="H15" i="2"/>
  <c r="J15" s="1"/>
  <c r="K15" s="1"/>
  <c r="M17" i="1" s="1"/>
  <c r="E65"/>
  <c r="H63" i="2"/>
  <c r="J63" s="1"/>
  <c r="K63" s="1"/>
  <c r="M65" i="1" s="1"/>
  <c r="E97"/>
  <c r="H95" i="2"/>
  <c r="J95" s="1"/>
  <c r="K95" s="1"/>
  <c r="M97" i="1" s="1"/>
  <c r="E113"/>
  <c r="H111" i="2"/>
  <c r="J111" s="1"/>
  <c r="K111" s="1"/>
  <c r="M113" i="1" s="1"/>
  <c r="E145"/>
  <c r="H143" i="2"/>
  <c r="J143" s="1"/>
  <c r="K143" s="1"/>
  <c r="M145" i="1" s="1"/>
  <c r="E177"/>
  <c r="H175" i="2"/>
  <c r="J175" s="1"/>
  <c r="K175" s="1"/>
  <c r="M177" i="1" s="1"/>
  <c r="E209"/>
  <c r="H207" i="2"/>
  <c r="J207" s="1"/>
  <c r="K207" s="1"/>
  <c r="M209" i="1" s="1"/>
  <c r="E241"/>
  <c r="H239" i="2"/>
  <c r="J239" s="1"/>
  <c r="K239" s="1"/>
  <c r="M241" i="1" s="1"/>
  <c r="E273"/>
  <c r="H271" i="2"/>
  <c r="J271" s="1"/>
  <c r="K271" s="1"/>
  <c r="M273" i="1" s="1"/>
  <c r="E305"/>
  <c r="H303" i="2"/>
  <c r="J303" s="1"/>
  <c r="K303" s="1"/>
  <c r="M305" i="1" s="1"/>
  <c r="E337"/>
  <c r="H335" i="2"/>
  <c r="J335" s="1"/>
  <c r="K335" s="1"/>
  <c r="M337" i="1" s="1"/>
  <c r="E369"/>
  <c r="H367" i="2"/>
  <c r="J367" s="1"/>
  <c r="K367" s="1"/>
  <c r="M369" i="1" s="1"/>
  <c r="E401"/>
  <c r="H399" i="2"/>
  <c r="J399" s="1"/>
  <c r="K399" s="1"/>
  <c r="M401" i="1" s="1"/>
  <c r="E433"/>
  <c r="H431" i="2"/>
  <c r="J431" s="1"/>
  <c r="K431" s="1"/>
  <c r="M433" i="1" s="1"/>
  <c r="E465"/>
  <c r="H463" i="2"/>
  <c r="J463" s="1"/>
  <c r="K463" s="1"/>
  <c r="M465" i="1" s="1"/>
  <c r="E497"/>
  <c r="H495" i="2"/>
  <c r="J495" s="1"/>
  <c r="K495" s="1"/>
  <c r="M497" i="1" s="1"/>
  <c r="E529"/>
  <c r="H527" i="2"/>
  <c r="J527" s="1"/>
  <c r="K527" s="1"/>
  <c r="M529" i="1" s="1"/>
  <c r="E561"/>
  <c r="H559" i="2"/>
  <c r="J559" s="1"/>
  <c r="K559" s="1"/>
  <c r="M561" i="1" s="1"/>
  <c r="E593"/>
  <c r="H591" i="2"/>
  <c r="J591" s="1"/>
  <c r="K591" s="1"/>
  <c r="M593" i="1" s="1"/>
  <c r="E625"/>
  <c r="H623" i="2"/>
  <c r="J623" s="1"/>
  <c r="K623" s="1"/>
  <c r="M625" i="1" s="1"/>
  <c r="E158"/>
  <c r="H156" i="2"/>
  <c r="J156" s="1"/>
  <c r="K156" s="1"/>
  <c r="M158" i="1" s="1"/>
  <c r="E190"/>
  <c r="H188" i="2"/>
  <c r="J188" s="1"/>
  <c r="K188" s="1"/>
  <c r="M190" i="1" s="1"/>
  <c r="E222"/>
  <c r="H220" i="2"/>
  <c r="J220" s="1"/>
  <c r="K220" s="1"/>
  <c r="M222" i="1" s="1"/>
  <c r="E254"/>
  <c r="H252" i="2"/>
  <c r="J252" s="1"/>
  <c r="K252" s="1"/>
  <c r="M254" i="1" s="1"/>
  <c r="E286"/>
  <c r="H284" i="2"/>
  <c r="J284" s="1"/>
  <c r="K284" s="1"/>
  <c r="M286" i="1" s="1"/>
  <c r="E334"/>
  <c r="H332" i="2"/>
  <c r="J332" s="1"/>
  <c r="K332" s="1"/>
  <c r="M334" i="1" s="1"/>
  <c r="E366"/>
  <c r="H364" i="2"/>
  <c r="J364" s="1"/>
  <c r="K364" s="1"/>
  <c r="M366" i="1" s="1"/>
  <c r="E398"/>
  <c r="H396" i="2"/>
  <c r="J396" s="1"/>
  <c r="K396" s="1"/>
  <c r="M398" i="1" s="1"/>
  <c r="E414"/>
  <c r="H412" i="2"/>
  <c r="J412" s="1"/>
  <c r="K412" s="1"/>
  <c r="M414" i="1" s="1"/>
  <c r="E446"/>
  <c r="H444" i="2"/>
  <c r="J444" s="1"/>
  <c r="K444" s="1"/>
  <c r="M446" i="1" s="1"/>
  <c r="E478"/>
  <c r="H476" i="2"/>
  <c r="J476" s="1"/>
  <c r="K476" s="1"/>
  <c r="M478" i="1" s="1"/>
  <c r="E510"/>
  <c r="H508" i="2"/>
  <c r="J508" s="1"/>
  <c r="K508" s="1"/>
  <c r="M510" i="1" s="1"/>
  <c r="E542"/>
  <c r="H540" i="2"/>
  <c r="J540" s="1"/>
  <c r="K540" s="1"/>
  <c r="M542" i="1" s="1"/>
  <c r="E574"/>
  <c r="H572" i="2"/>
  <c r="J572" s="1"/>
  <c r="K572" s="1"/>
  <c r="M574" i="1" s="1"/>
  <c r="E606"/>
  <c r="H604" i="2"/>
  <c r="J604" s="1"/>
  <c r="K604" s="1"/>
  <c r="M606" i="1" s="1"/>
  <c r="E638"/>
  <c r="H636" i="2"/>
  <c r="J636" s="1"/>
  <c r="K636" s="1"/>
  <c r="M638" i="1" s="1"/>
  <c r="E670"/>
  <c r="H668" i="2"/>
  <c r="J668" s="1"/>
  <c r="K668" s="1"/>
  <c r="M670" i="1" s="1"/>
  <c r="E45"/>
  <c r="H43" i="2"/>
  <c r="J43" s="1"/>
  <c r="K43" s="1"/>
  <c r="M45" i="1" s="1"/>
  <c r="E77"/>
  <c r="H75" i="2"/>
  <c r="J75" s="1"/>
  <c r="K75" s="1"/>
  <c r="M77" i="1" s="1"/>
  <c r="E109"/>
  <c r="H107" i="2"/>
  <c r="J107" s="1"/>
  <c r="K107" s="1"/>
  <c r="M109" i="1" s="1"/>
  <c r="E141"/>
  <c r="H139" i="2"/>
  <c r="J139" s="1"/>
  <c r="K139" s="1"/>
  <c r="M141" i="1" s="1"/>
  <c r="E173"/>
  <c r="H171" i="2"/>
  <c r="J171" s="1"/>
  <c r="K171" s="1"/>
  <c r="M173" i="1" s="1"/>
  <c r="E205"/>
  <c r="H203" i="2"/>
  <c r="J203" s="1"/>
  <c r="K203" s="1"/>
  <c r="M205" i="1" s="1"/>
  <c r="E237"/>
  <c r="H235" i="2"/>
  <c r="J235" s="1"/>
  <c r="K235" s="1"/>
  <c r="M237" i="1" s="1"/>
  <c r="E269"/>
  <c r="H267" i="2"/>
  <c r="J267" s="1"/>
  <c r="K267" s="1"/>
  <c r="M269" i="1" s="1"/>
  <c r="E301"/>
  <c r="H299" i="2"/>
  <c r="J299" s="1"/>
  <c r="K299" s="1"/>
  <c r="M301" i="1" s="1"/>
  <c r="E333"/>
  <c r="H331" i="2"/>
  <c r="J331" s="1"/>
  <c r="K331" s="1"/>
  <c r="M333" i="1" s="1"/>
  <c r="E365"/>
  <c r="H363" i="2"/>
  <c r="J363" s="1"/>
  <c r="K363" s="1"/>
  <c r="M365" i="1" s="1"/>
  <c r="E397"/>
  <c r="H395" i="2"/>
  <c r="J395" s="1"/>
  <c r="K395" s="1"/>
  <c r="M397" i="1" s="1"/>
  <c r="E429"/>
  <c r="H427" i="2"/>
  <c r="J427" s="1"/>
  <c r="K427" s="1"/>
  <c r="M429" i="1" s="1"/>
  <c r="E461"/>
  <c r="H459" i="2"/>
  <c r="J459" s="1"/>
  <c r="K459" s="1"/>
  <c r="M461" i="1" s="1"/>
  <c r="E493"/>
  <c r="H491" i="2"/>
  <c r="J491" s="1"/>
  <c r="K491" s="1"/>
  <c r="M493" i="1" s="1"/>
  <c r="E509"/>
  <c r="H507" i="2"/>
  <c r="J507" s="1"/>
  <c r="K507" s="1"/>
  <c r="M509" i="1" s="1"/>
  <c r="E541"/>
  <c r="H539" i="2"/>
  <c r="J539" s="1"/>
  <c r="K539" s="1"/>
  <c r="M541" i="1" s="1"/>
  <c r="E589"/>
  <c r="H587" i="2"/>
  <c r="J587" s="1"/>
  <c r="K587" s="1"/>
  <c r="M589" i="1" s="1"/>
  <c r="E621"/>
  <c r="H619" i="2"/>
  <c r="J619" s="1"/>
  <c r="K619" s="1"/>
  <c r="M621" i="1" s="1"/>
  <c r="E653"/>
  <c r="H651" i="2"/>
  <c r="J651" s="1"/>
  <c r="K651" s="1"/>
  <c r="M653" i="1" s="1"/>
  <c r="E134"/>
  <c r="H132" i="2"/>
  <c r="J132" s="1"/>
  <c r="K132" s="1"/>
  <c r="M134" i="1" s="1"/>
  <c r="E150"/>
  <c r="H148" i="2"/>
  <c r="J148" s="1"/>
  <c r="K148" s="1"/>
  <c r="M150" i="1" s="1"/>
  <c r="E166"/>
  <c r="H164" i="2"/>
  <c r="J164" s="1"/>
  <c r="K164" s="1"/>
  <c r="M166" i="1" s="1"/>
  <c r="E182"/>
  <c r="H180" i="2"/>
  <c r="J180" s="1"/>
  <c r="K180" s="1"/>
  <c r="M182" i="1" s="1"/>
  <c r="E198"/>
  <c r="H196" i="2"/>
  <c r="J196" s="1"/>
  <c r="K196" s="1"/>
  <c r="M198" i="1" s="1"/>
  <c r="E214"/>
  <c r="H212" i="2"/>
  <c r="J212" s="1"/>
  <c r="K212" s="1"/>
  <c r="M214" i="1" s="1"/>
  <c r="E230"/>
  <c r="H228" i="2"/>
  <c r="J228" s="1"/>
  <c r="K228" s="1"/>
  <c r="M230" i="1" s="1"/>
  <c r="E246"/>
  <c r="H244" i="2"/>
  <c r="J244" s="1"/>
  <c r="K244" s="1"/>
  <c r="M246" i="1" s="1"/>
  <c r="E262"/>
  <c r="H260" i="2"/>
  <c r="J260" s="1"/>
  <c r="K260" s="1"/>
  <c r="M262" i="1" s="1"/>
  <c r="E278"/>
  <c r="H276" i="2"/>
  <c r="J276" s="1"/>
  <c r="K276" s="1"/>
  <c r="M278" i="1" s="1"/>
  <c r="E294"/>
  <c r="H292" i="2"/>
  <c r="J292" s="1"/>
  <c r="K292" s="1"/>
  <c r="M294" i="1" s="1"/>
  <c r="E310"/>
  <c r="H308" i="2"/>
  <c r="J308" s="1"/>
  <c r="K308" s="1"/>
  <c r="M310" i="1" s="1"/>
  <c r="E326"/>
  <c r="H324" i="2"/>
  <c r="J324" s="1"/>
  <c r="K324" s="1"/>
  <c r="M326" i="1" s="1"/>
  <c r="E342"/>
  <c r="H340" i="2"/>
  <c r="J340" s="1"/>
  <c r="K340" s="1"/>
  <c r="M342" i="1" s="1"/>
  <c r="E358"/>
  <c r="H356" i="2"/>
  <c r="J356" s="1"/>
  <c r="K356" s="1"/>
  <c r="M358" i="1" s="1"/>
  <c r="E374"/>
  <c r="H372" i="2"/>
  <c r="J372" s="1"/>
  <c r="K372" s="1"/>
  <c r="M374" i="1" s="1"/>
  <c r="E390"/>
  <c r="H388" i="2"/>
  <c r="J388" s="1"/>
  <c r="K388" s="1"/>
  <c r="M390" i="1" s="1"/>
  <c r="E406"/>
  <c r="H404" i="2"/>
  <c r="J404" s="1"/>
  <c r="K404" s="1"/>
  <c r="M406" i="1" s="1"/>
  <c r="E422"/>
  <c r="H420" i="2"/>
  <c r="J420" s="1"/>
  <c r="K420" s="1"/>
  <c r="M422" i="1" s="1"/>
  <c r="E438"/>
  <c r="H436" i="2"/>
  <c r="J436" s="1"/>
  <c r="K436" s="1"/>
  <c r="M438" i="1" s="1"/>
  <c r="E454"/>
  <c r="H452" i="2"/>
  <c r="J452" s="1"/>
  <c r="K452" s="1"/>
  <c r="M454" i="1" s="1"/>
  <c r="E470"/>
  <c r="H468" i="2"/>
  <c r="J468" s="1"/>
  <c r="K468" s="1"/>
  <c r="M470" i="1" s="1"/>
  <c r="E486"/>
  <c r="H484" i="2"/>
  <c r="J484" s="1"/>
  <c r="K484" s="1"/>
  <c r="M486" i="1" s="1"/>
  <c r="E502"/>
  <c r="H500" i="2"/>
  <c r="J500" s="1"/>
  <c r="K500" s="1"/>
  <c r="M502" i="1" s="1"/>
  <c r="E518"/>
  <c r="H516" i="2"/>
  <c r="J516" s="1"/>
  <c r="K516" s="1"/>
  <c r="M518" i="1" s="1"/>
  <c r="E534"/>
  <c r="H532" i="2"/>
  <c r="J532" s="1"/>
  <c r="K532" s="1"/>
  <c r="M534" i="1" s="1"/>
  <c r="E550"/>
  <c r="H548" i="2"/>
  <c r="J548" s="1"/>
  <c r="K548" s="1"/>
  <c r="M550" i="1" s="1"/>
  <c r="E566"/>
  <c r="H564" i="2"/>
  <c r="J564" s="1"/>
  <c r="K564" s="1"/>
  <c r="M566" i="1" s="1"/>
  <c r="E582"/>
  <c r="H580" i="2"/>
  <c r="J580" s="1"/>
  <c r="K580" s="1"/>
  <c r="M582" i="1" s="1"/>
  <c r="E598"/>
  <c r="H596" i="2"/>
  <c r="J596" s="1"/>
  <c r="K596" s="1"/>
  <c r="M598" i="1" s="1"/>
  <c r="E614"/>
  <c r="H612" i="2"/>
  <c r="J612" s="1"/>
  <c r="K612" s="1"/>
  <c r="M614" i="1" s="1"/>
  <c r="E630"/>
  <c r="H628" i="2"/>
  <c r="J628" s="1"/>
  <c r="K628" s="1"/>
  <c r="M630" i="1" s="1"/>
  <c r="E646"/>
  <c r="H644" i="2"/>
  <c r="J644" s="1"/>
  <c r="K644" s="1"/>
  <c r="M646" i="1" s="1"/>
  <c r="E662"/>
  <c r="H660" i="2"/>
  <c r="J660" s="1"/>
  <c r="K660" s="1"/>
  <c r="M662" i="1" s="1"/>
  <c r="E21"/>
  <c r="H19" i="2"/>
  <c r="J19" s="1"/>
  <c r="K19" s="1"/>
  <c r="M21" i="1" s="1"/>
  <c r="E37"/>
  <c r="H35" i="2"/>
  <c r="J35" s="1"/>
  <c r="K35" s="1"/>
  <c r="M37" i="1" s="1"/>
  <c r="E53"/>
  <c r="H51" i="2"/>
  <c r="J51" s="1"/>
  <c r="K51" s="1"/>
  <c r="M53" i="1" s="1"/>
  <c r="E69"/>
  <c r="H67" i="2"/>
  <c r="J67" s="1"/>
  <c r="K67" s="1"/>
  <c r="M69" i="1" s="1"/>
  <c r="E85"/>
  <c r="H83" i="2"/>
  <c r="J83" s="1"/>
  <c r="K83" s="1"/>
  <c r="M85" i="1" s="1"/>
  <c r="E101"/>
  <c r="H99" i="2"/>
  <c r="J99" s="1"/>
  <c r="K99" s="1"/>
  <c r="M101" i="1" s="1"/>
  <c r="E117"/>
  <c r="H115" i="2"/>
  <c r="J115" s="1"/>
  <c r="K115" s="1"/>
  <c r="M117" i="1" s="1"/>
  <c r="E133"/>
  <c r="H131" i="2"/>
  <c r="J131" s="1"/>
  <c r="K131" s="1"/>
  <c r="M133" i="1" s="1"/>
  <c r="E149"/>
  <c r="H147" i="2"/>
  <c r="J147" s="1"/>
  <c r="K147" s="1"/>
  <c r="M149" i="1" s="1"/>
  <c r="E165"/>
  <c r="H163" i="2"/>
  <c r="J163" s="1"/>
  <c r="K163" s="1"/>
  <c r="M165" i="1" s="1"/>
  <c r="E181"/>
  <c r="H179" i="2"/>
  <c r="J179" s="1"/>
  <c r="K179" s="1"/>
  <c r="M181" i="1" s="1"/>
  <c r="E197"/>
  <c r="H195" i="2"/>
  <c r="J195" s="1"/>
  <c r="K195" s="1"/>
  <c r="M197" i="1" s="1"/>
  <c r="E213"/>
  <c r="H211" i="2"/>
  <c r="J211" s="1"/>
  <c r="K211" s="1"/>
  <c r="M213" i="1" s="1"/>
  <c r="E229"/>
  <c r="H227" i="2"/>
  <c r="J227" s="1"/>
  <c r="K227" s="1"/>
  <c r="M229" i="1" s="1"/>
  <c r="E245"/>
  <c r="H243" i="2"/>
  <c r="J243" s="1"/>
  <c r="K243" s="1"/>
  <c r="M245" i="1" s="1"/>
  <c r="E261"/>
  <c r="H259" i="2"/>
  <c r="J259" s="1"/>
  <c r="K259" s="1"/>
  <c r="M261" i="1" s="1"/>
  <c r="E277"/>
  <c r="H275" i="2"/>
  <c r="J275" s="1"/>
  <c r="K275" s="1"/>
  <c r="M277" i="1" s="1"/>
  <c r="E293"/>
  <c r="H291" i="2"/>
  <c r="J291" s="1"/>
  <c r="K291" s="1"/>
  <c r="M293" i="1" s="1"/>
  <c r="E309"/>
  <c r="H307" i="2"/>
  <c r="J307" s="1"/>
  <c r="K307" s="1"/>
  <c r="M309" i="1" s="1"/>
  <c r="E325"/>
  <c r="H323" i="2"/>
  <c r="J323" s="1"/>
  <c r="K323" s="1"/>
  <c r="M325" i="1" s="1"/>
  <c r="E341"/>
  <c r="H339" i="2"/>
  <c r="J339" s="1"/>
  <c r="K339" s="1"/>
  <c r="M341" i="1" s="1"/>
  <c r="E357"/>
  <c r="H355" i="2"/>
  <c r="J355" s="1"/>
  <c r="K355" s="1"/>
  <c r="M357" i="1" s="1"/>
  <c r="E373"/>
  <c r="H371" i="2"/>
  <c r="J371" s="1"/>
  <c r="K371" s="1"/>
  <c r="M373" i="1" s="1"/>
  <c r="E389"/>
  <c r="H387" i="2"/>
  <c r="J387" s="1"/>
  <c r="K387" s="1"/>
  <c r="M389" i="1" s="1"/>
  <c r="E405"/>
  <c r="H403" i="2"/>
  <c r="J403" s="1"/>
  <c r="K403" s="1"/>
  <c r="M405" i="1" s="1"/>
  <c r="E421"/>
  <c r="H419" i="2"/>
  <c r="J419" s="1"/>
  <c r="K419" s="1"/>
  <c r="M421" i="1" s="1"/>
  <c r="E437"/>
  <c r="H435" i="2"/>
  <c r="J435" s="1"/>
  <c r="K435" s="1"/>
  <c r="M437" i="1" s="1"/>
  <c r="E453"/>
  <c r="H451" i="2"/>
  <c r="J451" s="1"/>
  <c r="K451" s="1"/>
  <c r="M453" i="1" s="1"/>
  <c r="E469"/>
  <c r="H467" i="2"/>
  <c r="J467" s="1"/>
  <c r="K467" s="1"/>
  <c r="M469" i="1" s="1"/>
  <c r="E485"/>
  <c r="H483" i="2"/>
  <c r="J483" s="1"/>
  <c r="K483" s="1"/>
  <c r="M485" i="1" s="1"/>
  <c r="E501"/>
  <c r="H499" i="2"/>
  <c r="J499" s="1"/>
  <c r="K499" s="1"/>
  <c r="M501" i="1" s="1"/>
  <c r="E517"/>
  <c r="H515" i="2"/>
  <c r="J515" s="1"/>
  <c r="K515" s="1"/>
  <c r="M517" i="1" s="1"/>
  <c r="E533"/>
  <c r="H531" i="2"/>
  <c r="J531" s="1"/>
  <c r="K531" s="1"/>
  <c r="M533" i="1" s="1"/>
  <c r="E549"/>
  <c r="H547" i="2"/>
  <c r="J547" s="1"/>
  <c r="K547" s="1"/>
  <c r="M549" i="1" s="1"/>
  <c r="E565"/>
  <c r="H563" i="2"/>
  <c r="J563" s="1"/>
  <c r="K563" s="1"/>
  <c r="M565" i="1" s="1"/>
  <c r="E581"/>
  <c r="H579" i="2"/>
  <c r="J579" s="1"/>
  <c r="K579" s="1"/>
  <c r="M581" i="1" s="1"/>
  <c r="E597"/>
  <c r="H595" i="2"/>
  <c r="J595" s="1"/>
  <c r="K595" s="1"/>
  <c r="M597" i="1" s="1"/>
  <c r="E613"/>
  <c r="H611" i="2"/>
  <c r="J611" s="1"/>
  <c r="K611" s="1"/>
  <c r="M613" i="1" s="1"/>
  <c r="E629"/>
  <c r="H627" i="2"/>
  <c r="J627" s="1"/>
  <c r="K627" s="1"/>
  <c r="M629" i="1" s="1"/>
  <c r="E645"/>
  <c r="H643" i="2"/>
  <c r="J643" s="1"/>
  <c r="K643" s="1"/>
  <c r="M645" i="1" s="1"/>
  <c r="E661"/>
  <c r="H659" i="2"/>
  <c r="J659" s="1"/>
  <c r="K659" s="1"/>
  <c r="M661" i="1" s="1"/>
  <c r="K3" i="2" l="1"/>
  <c r="J675"/>
  <c r="H675"/>
  <c r="M5" i="1" l="1"/>
  <c r="K675" i="2"/>
</calcChain>
</file>

<file path=xl/sharedStrings.xml><?xml version="1.0" encoding="utf-8"?>
<sst xmlns="http://schemas.openxmlformats.org/spreadsheetml/2006/main" count="8023" uniqueCount="206">
  <si>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</si>
  <si>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</si>
  <si>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</si>
  <si>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</si>
  <si>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</si>
  <si>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</si>
  <si>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</si>
  <si>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</si>
  <si>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</si>
  <si>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</si>
  <si>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</si>
  <si>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</si>
  <si>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</si>
  <si>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</si>
  <si>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</si>
  <si>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</si>
  <si>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</si>
  <si>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</si>
  <si>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</si>
  <si>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</si>
  <si>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</si>
  <si>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</si>
  <si>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</si>
  <si>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</si>
  <si>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</si>
  <si>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</si>
  <si>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</si>
  <si>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</si>
  <si>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</si>
  <si>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</si>
  <si>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</si>
  <si>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</si>
  <si>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</si>
  <si>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</si>
  <si>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</si>
  <si>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</si>
  <si>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</si>
  <si>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</si>
  <si>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</si>
  <si>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</si>
  <si>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</si>
  <si>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</si>
  <si>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</si>
  <si>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</si>
  <si>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</si>
  <si>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</si>
  <si>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</si>
  <si>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</si>
  <si>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</si>
  <si>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</si>
  <si>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</si>
  <si>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</si>
  <si>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</si>
  <si>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</si>
  <si>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</si>
  <si>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</si>
  <si>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</si>
  <si>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</si>
  <si>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</si>
  <si>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</si>
  <si>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</si>
  <si>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</si>
  <si>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</si>
  <si>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</si>
  <si>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</si>
  <si>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</si>
  <si>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</si>
  <si>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</si>
  <si>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</si>
  <si>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</si>
  <si>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</si>
  <si>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</si>
  <si>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</si>
  <si>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</si>
  <si>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</si>
  <si>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</si>
  <si>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</si>
  <si>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</si>
  <si>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</si>
  <si>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</si>
  <si>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</si>
  <si>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</si>
  <si>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</si>
  <si>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</si>
  <si>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</si>
  <si>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</si>
  <si>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</si>
  <si>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</si>
  <si>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</si>
  <si>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</si>
  <si>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</si>
  <si>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</si>
  <si>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</si>
  <si>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</si>
  <si>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</si>
  <si>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</si>
  <si>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</si>
  <si>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</si>
  <si>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</si>
  <si>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</si>
  <si>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</si>
  <si>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</si>
  <si>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</si>
  <si>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</si>
  <si>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</si>
  <si>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</si>
  <si>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</si>
  <si>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</si>
  <si>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</si>
  <si>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</si>
  <si>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</si>
  <si>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</si>
  <si>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</si>
  <si>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</si>
  <si>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</si>
  <si>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</si>
  <si>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</si>
  <si>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</si>
  <si>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</si>
  <si>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</si>
  <si>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</si>
  <si>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</si>
  <si>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</si>
  <si>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</si>
  <si>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</si>
  <si>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</si>
  <si>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</si>
  <si>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</si>
  <si>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</si>
  <si>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</si>
  <si>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</si>
  <si>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</si>
  <si>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</si>
  <si>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</si>
  <si>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</si>
  <si>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</si>
  <si>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</si>
  <si>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</si>
  <si>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</si>
  <si>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</si>
  <si>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</si>
  <si>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</si>
  <si>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</si>
  <si>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</si>
  <si>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</si>
  <si>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</si>
  <si>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</si>
  <si>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</si>
  <si>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</si>
  <si>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</si>
  <si>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</si>
  <si>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</si>
  <si>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</si>
  <si>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</si>
  <si>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</si>
  <si>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</si>
  <si>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</si>
  <si>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</si>
  <si>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</si>
  <si>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</si>
  <si>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</si>
  <si>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</si>
  <si>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</si>
  <si>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</si>
  <si>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</si>
  <si>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</si>
  <si>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</si>
  <si>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sieť [kWh]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</si>
  <si>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</si>
  <si>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</si>
  <si>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</si>
  <si>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</si>
  <si>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</si>
  <si>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</si>
  <si>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</si>
  <si>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</si>
  <si>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</si>
  <si>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02/01/25</t>
  </si>
  <si>
    <t>02/02/25</t>
  </si>
  <si>
    <t>02/03/25</t>
  </si>
  <si>
    <t>02/04/25</t>
  </si>
  <si>
    <t>02/05/25</t>
  </si>
  <si>
    <t>02/06/25</t>
  </si>
  <si>
    <t>02/07/25</t>
  </si>
  <si>
    <t>02/08/25</t>
  </si>
  <si>
    <t>02/09/25</t>
  </si>
  <si>
    <t>02/10/25</t>
  </si>
  <si>
    <t>02/11/25</t>
  </si>
  <si>
    <t>02/12/25</t>
  </si>
  <si>
    <t>02/13/25</t>
  </si>
  <si>
    <t>02/14/25</t>
  </si>
  <si>
    <t>02/15/25</t>
  </si>
  <si>
    <t>02/16/25</t>
  </si>
  <si>
    <t>02/17/25</t>
  </si>
  <si>
    <t>02/18/25</t>
  </si>
  <si>
    <t>02/19/25</t>
  </si>
  <si>
    <t>02/20/25</t>
  </si>
  <si>
    <t>02/21/25</t>
  </si>
  <si>
    <t>02/22/25</t>
  </si>
  <si>
    <t>02/23/25</t>
  </si>
  <si>
    <t>02/24/25</t>
  </si>
  <si>
    <t>02/25/25</t>
  </si>
  <si>
    <t>02/26/25</t>
  </si>
  <si>
    <t>02/27/25</t>
  </si>
  <si>
    <t>;</t>
  </si>
  <si>
    <t>02/28/25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</si>
</sst>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</numFmts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Font="1" applyBorder="1"/>
    <xf numFmtId="164" fontId="0" fillId="0" borderId="9" xfId="0" applyNumberFormat="1" applyFont="1" applyBorder="1"/>
    <xf numFmtId="164" fontId="0" fillId="0" borderId="11" xfId="0" applyNumberFormat="1" applyFont="1" applyBorder="1"/>
    <xf numFmtId="49" fontId="0" fillId="6" borderId="2" xfId="0" applyNumberFormat="1" applyFont="1" applyFill="1" applyBorder="1" applyAlignment="1">
      <alignment horizontal="center" vertical="center"/>
    </xf>
    <xf numFmtId="49" fontId="0" fillId="6" borderId="0" xfId="0" applyNumberFormat="1" applyFont="1" applyFill="1" applyBorder="1" applyAlignment="1">
      <alignment horizontal="center" vertical="center"/>
    </xf>
    <xf numFmtId="49" fontId="0" fillId="7" borderId="0" xfId="0" applyNumberFormat="1" applyFont="1" applyFill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wrapText="1"/>
    </xf>
    <xf numFmtId="0" fontId="0" fillId="9" borderId="14" xfId="0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0" fontId="0" fillId="5" borderId="14" xfId="0" applyFill="1" applyBorder="1" applyAlignment="1" applyProtection="1">
      <alignment horizontal="center" vertical="center" wrapText="1"/>
    </xf>
    <xf numFmtId="0" fontId="0" fillId="10" borderId="15" xfId="0" applyFill="1" applyBorder="1" applyAlignment="1" applyProtection="1">
      <alignment horizontal="center" vertical="center" wrapText="1"/>
    </xf>
    <xf numFmtId="49" fontId="0" fillId="0" borderId="0" xfId="0" applyNumberFormat="1" applyBorder="1"/>
    <xf numFmtId="49" fontId="0" fillId="11" borderId="2" xfId="0" applyNumberFormat="1" applyFill="1" applyBorder="1" applyAlignment="1">
      <alignment horizontal="center" vertical="center"/>
    </xf>
    <xf numFmtId="49" fontId="0" fillId="11" borderId="0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11" borderId="12" xfId="0" applyNumberFormat="1" applyFill="1" applyBorder="1" applyAlignment="1">
      <alignment horizontal="center" vertical="center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6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6" fontId="0" fillId="5" borderId="9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166" fontId="0" fillId="5" borderId="1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7" borderId="1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3" borderId="0" xfId="0" applyFill="1"/>
    <xf numFmtId="0" fontId="0" fillId="9" borderId="0" xfId="0" applyFill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6" borderId="8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11" borderId="13" xfId="0" applyNumberFormat="1" applyFill="1" applyBorder="1" applyAlignment="1">
      <alignment horizontal="center" vertical="center"/>
    </xf>
    <xf numFmtId="167" fontId="0" fillId="11" borderId="14" xfId="0" applyNumberFormat="1" applyFill="1" applyBorder="1" applyAlignment="1">
      <alignment horizontal="center" vertical="center"/>
    </xf>
    <xf numFmtId="167" fontId="0" fillId="7" borderId="13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167" fontId="0" fillId="7" borderId="15" xfId="0" applyNumberFormat="1" applyFill="1" applyBorder="1" applyAlignment="1">
      <alignment horizontal="center" vertical="center"/>
    </xf>
    <xf numFmtId="167" fontId="0" fillId="11" borderId="15" xfId="0" applyNumberFormat="1" applyFill="1" applyBorder="1" applyAlignment="1">
      <alignment horizontal="center" vertical="center"/>
    </xf>
    <xf numFmtId="0" fontId="0" fillId="8" borderId="13" xfId="0" applyFill="1" applyBorder="1" applyAlignment="1" applyProtection="1">
      <alignment horizontal="center" vertical="center" wrapText="1"/>
    </xf>
    <xf numFmtId="0" fontId="0" fillId="8" borderId="14" xfId="0" applyFill="1" applyBorder="1" applyAlignment="1" applyProtection="1">
      <alignment horizontal="center" vertical="center" wrapText="1"/>
    </xf>
    <xf numFmtId="0" fontId="0" fillId="8" borderId="13" xfId="0" applyFont="1" applyFill="1" applyBorder="1" applyAlignment="1" applyProtection="1">
      <alignment horizontal="center" vertical="center" wrapText="1"/>
    </xf>
    <xf numFmtId="0" fontId="0" fillId="8" borderId="14" xfId="0" applyFont="1" applyFill="1" applyBorder="1" applyAlignment="1" applyProtection="1">
      <alignment horizontal="center" vertical="center" wrapText="1"/>
    </xf>
    <xf numFmtId="0" fontId="0" fillId="8" borderId="15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čiarky" xfId="1" builtinId="3"/>
    <cellStyle name="normálne" xfId="0" builtinId="0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77"/>
  <sheetViews>
    <sheetView tabSelected="1" workbookViewId="0">
      <pane ySplit="4" topLeftCell="A644" activePane="bottomLeft" state="frozen"/>
      <selection pane="bottomLeft" activeCell="L653" sqref="L653"/>
    </sheetView>
  </sheetViews>
  <sheetFormatPr defaultRowHeight="15"/>
  <cols>
    <col min="3" max="3" width="24.28515625" bestFit="1" customWidth="1"/>
    <col min="4" max="4" width="9.140625" customWidth="1"/>
    <col min="5" max="5" width="12.85546875" customWidth="1"/>
    <col min="6" max="6" width="10.5703125" customWidth="1"/>
    <col min="7" max="7" width="11.140625" customWidth="1"/>
    <col min="8" max="8" width="11.28515625" customWidth="1"/>
    <col min="9" max="9" width="18.85546875" bestFit="1" customWidth="1"/>
    <col min="10" max="10" width="19.28515625" customWidth="1"/>
    <col min="11" max="11" width="14.7109375" customWidth="1"/>
    <col min="12" max="12" width="30.140625" bestFit="1" customWidth="1"/>
    <col min="13" max="13" width="15.5703125" bestFit="1" customWidth="1"/>
    <col min="14" max="14" width="26.5703125" style="11" bestFit="1" customWidth="1"/>
  </cols>
  <sheetData>
    <row r="1" spans="1:14" ht="26.25" customHeight="1">
      <c r="A1" s="35"/>
      <c r="B1" s="35"/>
      <c r="C1" s="110" t="s">
        <v>165</v>
      </c>
      <c r="D1" s="111" t="s">
        <v>166</v>
      </c>
      <c r="E1" s="108" t="s">
        <v>167</v>
      </c>
      <c r="F1" s="108" t="s">
        <v>168</v>
      </c>
      <c r="G1" s="110" t="s">
        <v>13</v>
      </c>
      <c r="H1" s="108" t="s">
        <v>169</v>
      </c>
      <c r="I1" s="108" t="s">
        <v>170</v>
      </c>
      <c r="J1" s="110" t="s">
        <v>15</v>
      </c>
      <c r="K1" s="111" t="s">
        <v>16</v>
      </c>
      <c r="L1" s="37" t="s">
        <v>171</v>
      </c>
    </row>
    <row r="2" spans="1:14" ht="12.75" customHeight="1">
      <c r="A2" s="35"/>
      <c r="B2" s="35"/>
      <c r="C2" s="111"/>
      <c r="D2" s="111"/>
      <c r="E2" s="109"/>
      <c r="F2" s="109"/>
      <c r="G2" s="111"/>
      <c r="H2" s="109"/>
      <c r="I2" s="109"/>
      <c r="J2" s="111"/>
      <c r="K2" s="111"/>
      <c r="L2" s="38" t="s">
        <v>172</v>
      </c>
    </row>
    <row r="3" spans="1:14" ht="12.75" customHeight="1">
      <c r="A3" s="35"/>
      <c r="B3" s="35"/>
      <c r="C3" s="111"/>
      <c r="D3" s="111"/>
      <c r="E3" s="109"/>
      <c r="F3" s="109"/>
      <c r="G3" s="111"/>
      <c r="H3" s="109"/>
      <c r="I3" s="109"/>
      <c r="J3" s="111"/>
      <c r="K3" s="111"/>
      <c r="L3" s="36" t="s">
        <v>173</v>
      </c>
    </row>
    <row r="4" spans="1:14" ht="13.5" customHeight="1" thickBot="1">
      <c r="A4" s="35"/>
      <c r="B4" s="35"/>
      <c r="C4" s="111"/>
      <c r="D4" s="111"/>
      <c r="E4" s="109"/>
      <c r="F4" s="109"/>
      <c r="G4" s="111"/>
      <c r="H4" s="109"/>
      <c r="I4" s="109"/>
      <c r="J4" s="112"/>
      <c r="K4" s="112"/>
      <c r="L4" s="39" t="s">
        <v>174</v>
      </c>
      <c r="M4" s="47" t="s">
        <v>175</v>
      </c>
      <c r="N4" s="98" t="s">
        <v>176</v>
      </c>
    </row>
    <row r="5" spans="1:14" ht="15.75" thickBot="1">
      <c r="C5" s="102">
        <f>Predikcia!A3</f>
        <v>45689</v>
      </c>
      <c r="D5" s="41" t="str">
        <f>Predikcia!B3</f>
        <v>00:00:00</v>
      </c>
      <c r="E5" s="64">
        <f>Predikcia!G3</f>
        <v>8455</v>
      </c>
      <c r="F5" s="65">
        <f>'DHS2025'!C2</f>
        <v>6183</v>
      </c>
      <c r="G5" s="66">
        <f>'DHS2025'!D2</f>
        <v>2395</v>
      </c>
      <c r="H5" s="84">
        <v>2</v>
      </c>
      <c r="I5" s="85">
        <f>'DHS2025'!E2/1000</f>
        <v>2.0630000000000002</v>
      </c>
      <c r="J5" s="50">
        <f>Predikcia!R3</f>
        <v>138.97999999999999</v>
      </c>
      <c r="K5" s="48">
        <f>(J5*0.99-1.9)*I5</f>
        <v>279.92888259999995</v>
      </c>
      <c r="M5" s="11">
        <f>Predikcia!K3</f>
        <v>4</v>
      </c>
      <c r="N5" s="11">
        <v>2</v>
      </c>
    </row>
    <row r="6" spans="1:14" ht="15.75" thickBot="1">
      <c r="C6" s="103">
        <f>Predikcia!A4</f>
        <v>45689</v>
      </c>
      <c r="D6" s="42" t="str">
        <f>Predikcia!B4</f>
        <v>01:00:00</v>
      </c>
      <c r="E6" s="67">
        <f>Predikcia!G4</f>
        <v>10543.25</v>
      </c>
      <c r="F6" s="68">
        <f>'DHS2025'!C3</f>
        <v>9138</v>
      </c>
      <c r="G6" s="69">
        <f>'DHS2025'!D3</f>
        <v>108</v>
      </c>
      <c r="H6" s="86">
        <v>2</v>
      </c>
      <c r="I6" s="87">
        <f>'DHS2025'!E3/1000</f>
        <v>2.0680000000000001</v>
      </c>
      <c r="J6" s="50">
        <f>Predikcia!R4</f>
        <v>130.97</v>
      </c>
      <c r="K6" s="48">
        <f t="shared" ref="K6:K69" si="0">(J6*0.99-1.9)*I6</f>
        <v>264.20830039999998</v>
      </c>
      <c r="M6" s="11">
        <f>Predikcia!K4</f>
        <v>4</v>
      </c>
      <c r="N6" s="11">
        <v>2</v>
      </c>
    </row>
    <row r="7" spans="1:14" ht="15.75" thickBot="1">
      <c r="C7" s="103">
        <f>Predikcia!A5</f>
        <v>45689</v>
      </c>
      <c r="D7" s="42" t="str">
        <f>Predikcia!B5</f>
        <v>02:00:00</v>
      </c>
      <c r="E7" s="67">
        <f>Predikcia!G5</f>
        <v>12401.25</v>
      </c>
      <c r="F7" s="68">
        <f>'DHS2025'!C4</f>
        <v>8597</v>
      </c>
      <c r="G7" s="69">
        <f>'DHS2025'!D4</f>
        <v>368</v>
      </c>
      <c r="H7" s="86">
        <v>2</v>
      </c>
      <c r="I7" s="87">
        <f>'DHS2025'!E4/1000</f>
        <v>2.056</v>
      </c>
      <c r="J7" s="50">
        <f>Predikcia!R5</f>
        <v>125.43</v>
      </c>
      <c r="K7" s="48">
        <f t="shared" si="0"/>
        <v>251.3988392</v>
      </c>
      <c r="M7" s="11">
        <f>Predikcia!K5</f>
        <v>5</v>
      </c>
      <c r="N7" s="11">
        <v>2</v>
      </c>
    </row>
    <row r="8" spans="1:14" ht="15.75" thickBot="1">
      <c r="C8" s="103">
        <f>Predikcia!A6</f>
        <v>45689</v>
      </c>
      <c r="D8" s="42" t="str">
        <f>Predikcia!B6</f>
        <v>03:00:00</v>
      </c>
      <c r="E8" s="67">
        <f>Predikcia!G6</f>
        <v>12821.75</v>
      </c>
      <c r="F8" s="68">
        <f>'DHS2025'!C5</f>
        <v>14026</v>
      </c>
      <c r="G8" s="69">
        <f>'DHS2025'!D5</f>
        <v>43</v>
      </c>
      <c r="H8" s="86">
        <v>5</v>
      </c>
      <c r="I8" s="87">
        <f>'DHS2025'!E5/1000</f>
        <v>3.972</v>
      </c>
      <c r="J8" s="50">
        <f>Predikcia!R6</f>
        <v>119.21</v>
      </c>
      <c r="K8" s="48">
        <f t="shared" si="0"/>
        <v>461.22029879999997</v>
      </c>
      <c r="M8" s="11">
        <f>Predikcia!K6</f>
        <v>5</v>
      </c>
      <c r="N8" s="11">
        <v>5</v>
      </c>
    </row>
    <row r="9" spans="1:14" ht="15.75" thickBot="1">
      <c r="C9" s="103">
        <f>Predikcia!A7</f>
        <v>45689</v>
      </c>
      <c r="D9" s="42" t="str">
        <f>Predikcia!B7</f>
        <v>04:00:00</v>
      </c>
      <c r="E9" s="67">
        <f>Predikcia!G7</f>
        <v>15899.75</v>
      </c>
      <c r="F9" s="68">
        <f>'DHS2025'!C6</f>
        <v>16121</v>
      </c>
      <c r="G9" s="69">
        <f>'DHS2025'!D6</f>
        <v>27</v>
      </c>
      <c r="H9" s="86">
        <v>5</v>
      </c>
      <c r="I9" s="87">
        <f>'DHS2025'!E6/1000</f>
        <v>5.0510000000000002</v>
      </c>
      <c r="J9" s="50">
        <f>Predikcia!R7</f>
        <v>119.45</v>
      </c>
      <c r="K9" s="48">
        <f t="shared" si="0"/>
        <v>587.71163049999996</v>
      </c>
      <c r="M9" s="11">
        <f>Predikcia!K7</f>
        <v>5</v>
      </c>
      <c r="N9" s="11">
        <v>5</v>
      </c>
    </row>
    <row r="10" spans="1:14" ht="15.75" thickBot="1">
      <c r="C10" s="103">
        <f>Predikcia!A8</f>
        <v>45689</v>
      </c>
      <c r="D10" s="42" t="str">
        <f>Predikcia!B8</f>
        <v>05:00:00</v>
      </c>
      <c r="E10" s="67">
        <f>Predikcia!G8</f>
        <v>16612.5</v>
      </c>
      <c r="F10" s="68">
        <f>'DHS2025'!C7</f>
        <v>16884</v>
      </c>
      <c r="G10" s="69">
        <f>'DHS2025'!D7</f>
        <v>102</v>
      </c>
      <c r="H10" s="86">
        <v>6</v>
      </c>
      <c r="I10" s="87">
        <f>'DHS2025'!E7/1000</f>
        <v>5.9059999999999997</v>
      </c>
      <c r="J10" s="50">
        <f>Predikcia!R8</f>
        <v>121.06</v>
      </c>
      <c r="K10" s="48">
        <f t="shared" si="0"/>
        <v>696.60915639999996</v>
      </c>
      <c r="M10" s="11">
        <f>Predikcia!K8</f>
        <v>6</v>
      </c>
      <c r="N10" s="11">
        <v>6</v>
      </c>
    </row>
    <row r="11" spans="1:14" ht="15.75" thickBot="1">
      <c r="C11" s="103">
        <f>Predikcia!A9</f>
        <v>45689</v>
      </c>
      <c r="D11" s="42" t="str">
        <f>Predikcia!B9</f>
        <v>06:00:00</v>
      </c>
      <c r="E11" s="67">
        <f>Predikcia!G9</f>
        <v>18886.5</v>
      </c>
      <c r="F11" s="68">
        <f>'DHS2025'!C8</f>
        <v>21088</v>
      </c>
      <c r="G11" s="69">
        <f>'DHS2025'!D8</f>
        <v>30</v>
      </c>
      <c r="H11" s="86">
        <v>8</v>
      </c>
      <c r="I11" s="87">
        <f>'DHS2025'!E8/1000</f>
        <v>6.9420000000000002</v>
      </c>
      <c r="J11" s="50">
        <f>Predikcia!R9</f>
        <v>127.22</v>
      </c>
      <c r="K11" s="48">
        <f t="shared" si="0"/>
        <v>861.13982759999999</v>
      </c>
      <c r="M11" s="11">
        <f>Predikcia!K9</f>
        <v>6</v>
      </c>
      <c r="N11" s="11">
        <v>6</v>
      </c>
    </row>
    <row r="12" spans="1:14" ht="15.75" thickBot="1">
      <c r="C12" s="103">
        <f>Predikcia!A10</f>
        <v>45689</v>
      </c>
      <c r="D12" s="42" t="str">
        <f>Predikcia!B10</f>
        <v>07:00:00</v>
      </c>
      <c r="E12" s="67">
        <f>Predikcia!G10</f>
        <v>16658.75</v>
      </c>
      <c r="F12" s="68">
        <f>'DHS2025'!C9</f>
        <v>18198</v>
      </c>
      <c r="G12" s="69">
        <f>'DHS2025'!D9</f>
        <v>5997</v>
      </c>
      <c r="H12" s="86">
        <v>8</v>
      </c>
      <c r="I12" s="87">
        <f>'DHS2025'!E9/1000</f>
        <v>8.0649999999999995</v>
      </c>
      <c r="J12" s="50">
        <f>Predikcia!R10</f>
        <v>144.74</v>
      </c>
      <c r="K12" s="48">
        <f t="shared" si="0"/>
        <v>1140.3313190000001</v>
      </c>
      <c r="M12" s="11">
        <f>Predikcia!K10</f>
        <v>6</v>
      </c>
      <c r="N12" s="11">
        <v>8</v>
      </c>
    </row>
    <row r="13" spans="1:14" ht="15.75" thickBot="1">
      <c r="C13" s="103">
        <f>Predikcia!A11</f>
        <v>45689</v>
      </c>
      <c r="D13" s="42" t="str">
        <f>Predikcia!B11</f>
        <v>08:00:00</v>
      </c>
      <c r="E13" s="67">
        <f>Predikcia!G11</f>
        <v>15555.5</v>
      </c>
      <c r="F13" s="68">
        <f>'DHS2025'!C10</f>
        <v>15724</v>
      </c>
      <c r="G13" s="69">
        <f>'DHS2025'!D10</f>
        <v>8921</v>
      </c>
      <c r="H13" s="86">
        <v>8</v>
      </c>
      <c r="I13" s="87">
        <f>'DHS2025'!E10/1000</f>
        <v>8.0340000000000007</v>
      </c>
      <c r="J13" s="50">
        <f>Predikcia!R11</f>
        <v>153.46</v>
      </c>
      <c r="K13" s="48">
        <f t="shared" si="0"/>
        <v>1205.3040636000001</v>
      </c>
      <c r="M13" s="11">
        <f>Predikcia!K11</f>
        <v>5</v>
      </c>
      <c r="N13" s="11">
        <v>8</v>
      </c>
    </row>
    <row r="14" spans="1:14" ht="15.75" thickBot="1">
      <c r="C14" s="103">
        <f>Predikcia!A12</f>
        <v>45689</v>
      </c>
      <c r="D14" s="42" t="str">
        <f>Predikcia!B12</f>
        <v>09:00:00</v>
      </c>
      <c r="E14" s="67">
        <f>Predikcia!G12</f>
        <v>15908</v>
      </c>
      <c r="F14" s="68">
        <f>'DHS2025'!C11</f>
        <v>14875</v>
      </c>
      <c r="G14" s="69">
        <f>'DHS2025'!D11</f>
        <v>8924</v>
      </c>
      <c r="H14" s="86">
        <v>8</v>
      </c>
      <c r="I14" s="87">
        <f>'DHS2025'!E11/1000</f>
        <v>8.0570000000000004</v>
      </c>
      <c r="J14" s="50">
        <f>Predikcia!R12</f>
        <v>142.44</v>
      </c>
      <c r="K14" s="48">
        <f t="shared" si="0"/>
        <v>1120.8543892</v>
      </c>
      <c r="M14" s="11">
        <f>Predikcia!K12</f>
        <v>5</v>
      </c>
      <c r="N14" s="11">
        <v>8</v>
      </c>
    </row>
    <row r="15" spans="1:14" ht="15.75" thickBot="1">
      <c r="C15" s="103">
        <f>Predikcia!A13</f>
        <v>45689</v>
      </c>
      <c r="D15" s="42" t="str">
        <f>Predikcia!B13</f>
        <v>10:00:00</v>
      </c>
      <c r="E15" s="67">
        <f>Predikcia!G13</f>
        <v>14906</v>
      </c>
      <c r="F15" s="68">
        <f>'DHS2025'!C12</f>
        <v>13798</v>
      </c>
      <c r="G15" s="69">
        <f>'DHS2025'!D12</f>
        <v>10864</v>
      </c>
      <c r="H15" s="86">
        <v>8</v>
      </c>
      <c r="I15" s="87">
        <f>'DHS2025'!E12/1000</f>
        <v>8.0690000000000008</v>
      </c>
      <c r="J15" s="50">
        <f>Predikcia!R13</f>
        <v>128.4</v>
      </c>
      <c r="K15" s="48">
        <f t="shared" si="0"/>
        <v>1010.3679040000001</v>
      </c>
      <c r="M15" s="11">
        <f>Predikcia!K13</f>
        <v>5</v>
      </c>
      <c r="N15" s="11">
        <v>5</v>
      </c>
    </row>
    <row r="16" spans="1:14" ht="15.75" thickBot="1">
      <c r="C16" s="103">
        <f>Predikcia!A14</f>
        <v>45689</v>
      </c>
      <c r="D16" s="42" t="str">
        <f>Predikcia!B14</f>
        <v>11:00:00</v>
      </c>
      <c r="E16" s="67">
        <f>Predikcia!G14</f>
        <v>14064.25</v>
      </c>
      <c r="F16" s="68">
        <f>'DHS2025'!C13</f>
        <v>12996</v>
      </c>
      <c r="G16" s="69">
        <f>'DHS2025'!D13</f>
        <v>11129</v>
      </c>
      <c r="H16" s="86">
        <v>8</v>
      </c>
      <c r="I16" s="87">
        <f>'DHS2025'!E13/1000</f>
        <v>8.0410000000000004</v>
      </c>
      <c r="J16" s="50">
        <f>Predikcia!R14</f>
        <v>120.08</v>
      </c>
      <c r="K16" s="48">
        <f t="shared" si="0"/>
        <v>940.6297472</v>
      </c>
      <c r="M16" s="11">
        <f>Predikcia!K14</f>
        <v>5</v>
      </c>
      <c r="N16" s="11">
        <v>5</v>
      </c>
    </row>
    <row r="17" spans="3:14" ht="15.75" thickBot="1">
      <c r="C17" s="103">
        <f>Predikcia!A15</f>
        <v>45689</v>
      </c>
      <c r="D17" s="42" t="str">
        <f>Predikcia!B15</f>
        <v>12:00:00</v>
      </c>
      <c r="E17" s="67">
        <f>Predikcia!G15</f>
        <v>13553.25</v>
      </c>
      <c r="F17" s="68">
        <f>'DHS2025'!C14</f>
        <v>13266</v>
      </c>
      <c r="G17" s="69">
        <f>'DHS2025'!D14</f>
        <v>6105</v>
      </c>
      <c r="H17" s="86">
        <v>5</v>
      </c>
      <c r="I17" s="87">
        <f>'DHS2025'!E14/1000</f>
        <v>6.7089999999999996</v>
      </c>
      <c r="J17" s="50">
        <f>Predikcia!R15</f>
        <v>110.29</v>
      </c>
      <c r="K17" s="48">
        <f t="shared" si="0"/>
        <v>719.78915389999997</v>
      </c>
      <c r="M17" s="11">
        <f>Predikcia!K15</f>
        <v>5</v>
      </c>
      <c r="N17" s="11">
        <v>5</v>
      </c>
    </row>
    <row r="18" spans="3:14" ht="15.75" thickBot="1">
      <c r="C18" s="103">
        <f>Predikcia!A16</f>
        <v>45689</v>
      </c>
      <c r="D18" s="42" t="str">
        <f>Predikcia!B16</f>
        <v>13:00:00</v>
      </c>
      <c r="E18" s="67">
        <f>Predikcia!G16</f>
        <v>13684.25</v>
      </c>
      <c r="F18" s="68">
        <f>'DHS2025'!C15</f>
        <v>12232</v>
      </c>
      <c r="G18" s="69">
        <f>'DHS2025'!D15</f>
        <v>4541</v>
      </c>
      <c r="H18" s="86">
        <v>5</v>
      </c>
      <c r="I18" s="87">
        <f>'DHS2025'!E15/1000</f>
        <v>5.0679999999999996</v>
      </c>
      <c r="J18" s="50">
        <f>Predikcia!R16</f>
        <v>103.4</v>
      </c>
      <c r="K18" s="48">
        <f t="shared" si="0"/>
        <v>509.16168799999991</v>
      </c>
      <c r="M18" s="11">
        <f>Predikcia!K16</f>
        <v>5</v>
      </c>
      <c r="N18" s="11">
        <v>5</v>
      </c>
    </row>
    <row r="19" spans="3:14" ht="15.75" thickBot="1">
      <c r="C19" s="103">
        <f>Predikcia!A17</f>
        <v>45689</v>
      </c>
      <c r="D19" s="42" t="str">
        <f>Predikcia!B17</f>
        <v>14:00:00</v>
      </c>
      <c r="E19" s="67">
        <f>Predikcia!G17</f>
        <v>13982</v>
      </c>
      <c r="F19" s="68">
        <f>'DHS2025'!C16</f>
        <v>11526</v>
      </c>
      <c r="G19" s="69">
        <f>'DHS2025'!D16</f>
        <v>4411</v>
      </c>
      <c r="H19" s="86">
        <v>5</v>
      </c>
      <c r="I19" s="87">
        <f>'DHS2025'!E16/1000</f>
        <v>5.0590000000000002</v>
      </c>
      <c r="J19" s="50">
        <f>Predikcia!R17</f>
        <v>113.7</v>
      </c>
      <c r="K19" s="48">
        <f t="shared" si="0"/>
        <v>559.84411699999998</v>
      </c>
      <c r="M19" s="11">
        <f>Predikcia!K17</f>
        <v>5</v>
      </c>
      <c r="N19" s="11">
        <v>5</v>
      </c>
    </row>
    <row r="20" spans="3:14" ht="15.75" thickBot="1">
      <c r="C20" s="103">
        <f>Predikcia!A18</f>
        <v>45689</v>
      </c>
      <c r="D20" s="42" t="str">
        <f>Predikcia!B18</f>
        <v>15:00:00</v>
      </c>
      <c r="E20" s="67">
        <f>Predikcia!G18</f>
        <v>13570</v>
      </c>
      <c r="F20" s="68">
        <f>'DHS2025'!C17</f>
        <v>12188</v>
      </c>
      <c r="G20" s="69">
        <f>'DHS2025'!D17</f>
        <v>7941</v>
      </c>
      <c r="H20" s="86">
        <v>8</v>
      </c>
      <c r="I20" s="87">
        <f>'DHS2025'!E17/1000</f>
        <v>6.4039999999999999</v>
      </c>
      <c r="J20" s="50">
        <f>Predikcia!R18</f>
        <v>130.16</v>
      </c>
      <c r="K20" s="48">
        <f t="shared" si="0"/>
        <v>813.04159359999983</v>
      </c>
      <c r="M20" s="11">
        <f>Predikcia!K18</f>
        <v>5</v>
      </c>
      <c r="N20" s="11">
        <v>8</v>
      </c>
    </row>
    <row r="21" spans="3:14" ht="15.75" thickBot="1">
      <c r="C21" s="103">
        <f>Predikcia!A19</f>
        <v>45689</v>
      </c>
      <c r="D21" s="42" t="str">
        <f>Predikcia!B19</f>
        <v>16:00:00</v>
      </c>
      <c r="E21" s="67">
        <f>Predikcia!G19</f>
        <v>14457</v>
      </c>
      <c r="F21" s="68">
        <f>'DHS2025'!C18</f>
        <v>14030</v>
      </c>
      <c r="G21" s="69">
        <f>'DHS2025'!D18</f>
        <v>10680</v>
      </c>
      <c r="H21" s="86">
        <v>8</v>
      </c>
      <c r="I21" s="87">
        <f>'DHS2025'!E18/1000</f>
        <v>8.0909999999999993</v>
      </c>
      <c r="J21" s="50">
        <f>Predikcia!R19</f>
        <v>155.29</v>
      </c>
      <c r="K21" s="48">
        <f t="shared" si="0"/>
        <v>1228.5139760999998</v>
      </c>
      <c r="M21" s="11">
        <f>Predikcia!K19</f>
        <v>5</v>
      </c>
      <c r="N21" s="11">
        <v>8</v>
      </c>
    </row>
    <row r="22" spans="3:14" ht="15.75" thickBot="1">
      <c r="C22" s="103">
        <f>Predikcia!A20</f>
        <v>45689</v>
      </c>
      <c r="D22" s="42" t="str">
        <f>Predikcia!B20</f>
        <v>17:00:00</v>
      </c>
      <c r="E22" s="67">
        <f>Predikcia!G20</f>
        <v>15424.5</v>
      </c>
      <c r="F22" s="68">
        <f>'DHS2025'!C19</f>
        <v>15815</v>
      </c>
      <c r="G22" s="69">
        <f>'DHS2025'!D19</f>
        <v>8501</v>
      </c>
      <c r="H22" s="86">
        <v>8</v>
      </c>
      <c r="I22" s="87">
        <f>'DHS2025'!E19/1000</f>
        <v>8.0609999999999999</v>
      </c>
      <c r="J22" s="50">
        <f>Predikcia!R20</f>
        <v>167.33</v>
      </c>
      <c r="K22" s="48">
        <f t="shared" si="0"/>
        <v>1320.0427586999999</v>
      </c>
      <c r="M22" s="11">
        <f>Predikcia!K20</f>
        <v>5</v>
      </c>
      <c r="N22" s="11">
        <v>8</v>
      </c>
    </row>
    <row r="23" spans="3:14" ht="15.75" thickBot="1">
      <c r="C23" s="103">
        <f>Predikcia!A21</f>
        <v>45689</v>
      </c>
      <c r="D23" s="42" t="str">
        <f>Predikcia!B21</f>
        <v>18:00:00</v>
      </c>
      <c r="E23" s="67">
        <f>Predikcia!G21</f>
        <v>15178.75</v>
      </c>
      <c r="F23" s="68">
        <f>'DHS2025'!C20</f>
        <v>16487</v>
      </c>
      <c r="G23" s="69">
        <f>'DHS2025'!D20</f>
        <v>8134</v>
      </c>
      <c r="H23" s="86">
        <v>8</v>
      </c>
      <c r="I23" s="87">
        <f>'DHS2025'!E20/1000</f>
        <v>8.0630000000000006</v>
      </c>
      <c r="J23" s="50">
        <f>Predikcia!R21</f>
        <v>167.17</v>
      </c>
      <c r="K23" s="48">
        <f t="shared" si="0"/>
        <v>1319.0930928999999</v>
      </c>
      <c r="M23" s="11">
        <f>Predikcia!K21</f>
        <v>5</v>
      </c>
      <c r="N23" s="11">
        <v>8</v>
      </c>
    </row>
    <row r="24" spans="3:14" ht="15.75" thickBot="1">
      <c r="C24" s="103">
        <f>Predikcia!A22</f>
        <v>45689</v>
      </c>
      <c r="D24" s="42" t="str">
        <f>Predikcia!B22</f>
        <v>19:00:00</v>
      </c>
      <c r="E24" s="67">
        <f>Predikcia!G22</f>
        <v>15820</v>
      </c>
      <c r="F24" s="68">
        <f>'DHS2025'!C21</f>
        <v>17069</v>
      </c>
      <c r="G24" s="69">
        <f>'DHS2025'!D21</f>
        <v>6927</v>
      </c>
      <c r="H24" s="86">
        <v>8</v>
      </c>
      <c r="I24" s="87">
        <f>'DHS2025'!E21/1000</f>
        <v>8.0429999999999993</v>
      </c>
      <c r="J24" s="50">
        <f>Predikcia!R22</f>
        <v>162.97999999999999</v>
      </c>
      <c r="K24" s="48">
        <f t="shared" si="0"/>
        <v>1282.4579585999998</v>
      </c>
      <c r="M24" s="11">
        <f>Predikcia!K22</f>
        <v>5</v>
      </c>
      <c r="N24" s="11">
        <v>8</v>
      </c>
    </row>
    <row r="25" spans="3:14" ht="15.75" thickBot="1">
      <c r="C25" s="103">
        <f>Predikcia!A23</f>
        <v>45689</v>
      </c>
      <c r="D25" s="42" t="str">
        <f>Predikcia!B23</f>
        <v>20:00:00</v>
      </c>
      <c r="E25" s="67">
        <f>Predikcia!G23</f>
        <v>15601.25</v>
      </c>
      <c r="F25" s="68">
        <f>'DHS2025'!C22</f>
        <v>17316</v>
      </c>
      <c r="G25" s="69">
        <f>'DHS2025'!D22</f>
        <v>7478</v>
      </c>
      <c r="H25" s="86">
        <v>8</v>
      </c>
      <c r="I25" s="87">
        <f>'DHS2025'!E22/1000</f>
        <v>8.0790000000000006</v>
      </c>
      <c r="J25" s="50">
        <f>Predikcia!R23</f>
        <v>156.6</v>
      </c>
      <c r="K25" s="48">
        <f t="shared" si="0"/>
        <v>1237.169586</v>
      </c>
      <c r="M25" s="11">
        <f>Predikcia!K23</f>
        <v>5</v>
      </c>
      <c r="N25" s="11">
        <v>8</v>
      </c>
    </row>
    <row r="26" spans="3:14" ht="15.75" thickBot="1">
      <c r="C26" s="103">
        <f>Predikcia!A24</f>
        <v>45689</v>
      </c>
      <c r="D26" s="42" t="str">
        <f>Predikcia!B24</f>
        <v>21:00:00</v>
      </c>
      <c r="E26" s="67">
        <f>Predikcia!G24</f>
        <v>15690.25</v>
      </c>
      <c r="F26" s="68">
        <f>'DHS2025'!C23</f>
        <v>17906</v>
      </c>
      <c r="G26" s="69">
        <f>'DHS2025'!D23</f>
        <v>6580</v>
      </c>
      <c r="H26" s="86">
        <v>5</v>
      </c>
      <c r="I26" s="87">
        <f>'DHS2025'!E23/1000</f>
        <v>8.0579999999999998</v>
      </c>
      <c r="J26" s="50">
        <f>Predikcia!R24</f>
        <v>145.24</v>
      </c>
      <c r="K26" s="48">
        <f t="shared" si="0"/>
        <v>1143.3302807999999</v>
      </c>
      <c r="M26" s="11">
        <f>Predikcia!K24</f>
        <v>5</v>
      </c>
      <c r="N26" s="11">
        <v>5</v>
      </c>
    </row>
    <row r="27" spans="3:14" ht="15.75" thickBot="1">
      <c r="C27" s="103">
        <f>Predikcia!A25</f>
        <v>45689</v>
      </c>
      <c r="D27" s="42" t="str">
        <f>Predikcia!B25</f>
        <v>22:00:00</v>
      </c>
      <c r="E27" s="67">
        <f>Predikcia!G25</f>
        <v>13769.75</v>
      </c>
      <c r="F27" s="68">
        <f>'DHS2025'!C24</f>
        <v>14570</v>
      </c>
      <c r="G27" s="69">
        <f>'DHS2025'!D24</f>
        <v>5166</v>
      </c>
      <c r="H27" s="86">
        <v>5</v>
      </c>
      <c r="I27" s="87">
        <f>'DHS2025'!E24/1000</f>
        <v>6.6989999999999998</v>
      </c>
      <c r="J27" s="50">
        <f>Predikcia!R25</f>
        <v>141.72999999999999</v>
      </c>
      <c r="K27" s="48">
        <f t="shared" si="0"/>
        <v>927.22667729999978</v>
      </c>
      <c r="M27" s="11">
        <f>Predikcia!K25</f>
        <v>5</v>
      </c>
      <c r="N27" s="11">
        <v>5</v>
      </c>
    </row>
    <row r="28" spans="3:14" ht="15.75" thickBot="1">
      <c r="C28" s="103">
        <f>Predikcia!A26</f>
        <v>45689</v>
      </c>
      <c r="D28" s="42" t="str">
        <f>Predikcia!B26</f>
        <v>23:00:00</v>
      </c>
      <c r="E28" s="67">
        <f>Predikcia!G26</f>
        <v>8454.5</v>
      </c>
      <c r="F28" s="68">
        <f>'DHS2025'!C25</f>
        <v>8366</v>
      </c>
      <c r="G28" s="69">
        <f>'DHS2025'!D25</f>
        <v>8316</v>
      </c>
      <c r="H28" s="86">
        <v>2</v>
      </c>
      <c r="I28" s="87">
        <f>'DHS2025'!E25/1000</f>
        <v>5.2160000000000002</v>
      </c>
      <c r="J28" s="50">
        <f>Predikcia!R26</f>
        <v>131.74</v>
      </c>
      <c r="K28" s="48">
        <f t="shared" si="0"/>
        <v>670.37388160000012</v>
      </c>
      <c r="M28" s="11">
        <f>Predikcia!K26</f>
        <v>4</v>
      </c>
      <c r="N28" s="11">
        <v>2</v>
      </c>
    </row>
    <row r="29" spans="3:14" ht="15.75" thickBot="1">
      <c r="C29" s="104">
        <f>Predikcia!A27</f>
        <v>45690</v>
      </c>
      <c r="D29" s="43" t="str">
        <f>Predikcia!B27</f>
        <v>00:00:00</v>
      </c>
      <c r="E29" s="64">
        <f>Predikcia!G27</f>
        <v>9221.25</v>
      </c>
      <c r="F29" s="65">
        <f>'DHS2025'!C26</f>
        <v>8768</v>
      </c>
      <c r="G29" s="66">
        <f>'DHS2025'!D26</f>
        <v>4415</v>
      </c>
      <c r="H29" s="84">
        <v>4</v>
      </c>
      <c r="I29" s="85">
        <f>'DHS2025'!E26/1000</f>
        <v>4.0570000000000004</v>
      </c>
      <c r="J29" s="50">
        <f>Predikcia!R27</f>
        <v>133.26</v>
      </c>
      <c r="K29" s="48">
        <f t="shared" si="0"/>
        <v>527.52116179999996</v>
      </c>
      <c r="M29" s="11">
        <f>Predikcia!K27</f>
        <v>4</v>
      </c>
      <c r="N29" s="11">
        <v>4</v>
      </c>
    </row>
    <row r="30" spans="3:14" ht="15.75" thickBot="1">
      <c r="C30" s="105">
        <f>Predikcia!A28</f>
        <v>45690</v>
      </c>
      <c r="D30" s="44" t="str">
        <f>Predikcia!B28</f>
        <v>01:00:00</v>
      </c>
      <c r="E30" s="67">
        <f>Predikcia!G28</f>
        <v>9703.5</v>
      </c>
      <c r="F30" s="68">
        <f>'DHS2025'!C27</f>
        <v>9560</v>
      </c>
      <c r="G30" s="69">
        <f>'DHS2025'!D27</f>
        <v>4294</v>
      </c>
      <c r="H30" s="86">
        <v>4</v>
      </c>
      <c r="I30" s="87">
        <f>'DHS2025'!E27/1000</f>
        <v>4.0720000000000001</v>
      </c>
      <c r="J30" s="50">
        <f>Predikcia!R28</f>
        <v>126.91</v>
      </c>
      <c r="K30" s="48">
        <f t="shared" si="0"/>
        <v>503.87294479999997</v>
      </c>
      <c r="M30" s="11">
        <f>Predikcia!K28</f>
        <v>4</v>
      </c>
      <c r="N30" s="11">
        <v>4</v>
      </c>
    </row>
    <row r="31" spans="3:14" ht="15.75" thickBot="1">
      <c r="C31" s="105">
        <f>Predikcia!A29</f>
        <v>45690</v>
      </c>
      <c r="D31" s="44" t="str">
        <f>Predikcia!B29</f>
        <v>02:00:00</v>
      </c>
      <c r="E31" s="67">
        <f>Predikcia!G29</f>
        <v>10370.25</v>
      </c>
      <c r="F31" s="68">
        <f>'DHS2025'!C28</f>
        <v>9743</v>
      </c>
      <c r="G31" s="69">
        <f>'DHS2025'!D28</f>
        <v>3807</v>
      </c>
      <c r="H31" s="86">
        <v>4</v>
      </c>
      <c r="I31" s="87">
        <f>'DHS2025'!E28/1000</f>
        <v>4.0640000000000001</v>
      </c>
      <c r="J31" s="50">
        <f>Predikcia!R29</f>
        <v>122.99</v>
      </c>
      <c r="K31" s="48">
        <f t="shared" si="0"/>
        <v>487.11144639999998</v>
      </c>
      <c r="M31" s="11">
        <f>Predikcia!K29</f>
        <v>4</v>
      </c>
      <c r="N31" s="11">
        <v>4</v>
      </c>
    </row>
    <row r="32" spans="3:14" ht="15.75" thickBot="1">
      <c r="C32" s="105">
        <f>Predikcia!A30</f>
        <v>45690</v>
      </c>
      <c r="D32" s="44" t="str">
        <f>Predikcia!B30</f>
        <v>03:00:00</v>
      </c>
      <c r="E32" s="67">
        <f>Predikcia!G30</f>
        <v>10993.25</v>
      </c>
      <c r="F32" s="68">
        <f>'DHS2025'!C29</f>
        <v>10702</v>
      </c>
      <c r="G32" s="69">
        <f>'DHS2025'!D29</f>
        <v>2776</v>
      </c>
      <c r="H32" s="86">
        <v>4</v>
      </c>
      <c r="I32" s="87">
        <f>'DHS2025'!E29/1000</f>
        <v>4.0780000000000003</v>
      </c>
      <c r="J32" s="50">
        <f>Predikcia!R30</f>
        <v>120.66</v>
      </c>
      <c r="K32" s="48">
        <f t="shared" si="0"/>
        <v>479.38276519999999</v>
      </c>
      <c r="M32" s="11">
        <f>Predikcia!K30</f>
        <v>4</v>
      </c>
      <c r="N32" s="11">
        <v>4</v>
      </c>
    </row>
    <row r="33" spans="3:14" ht="15.75" thickBot="1">
      <c r="C33" s="105">
        <f>Predikcia!A31</f>
        <v>45690</v>
      </c>
      <c r="D33" s="44" t="str">
        <f>Predikcia!B31</f>
        <v>04:00:00</v>
      </c>
      <c r="E33" s="67">
        <f>Predikcia!G31</f>
        <v>15184.75</v>
      </c>
      <c r="F33" s="68">
        <f>'DHS2025'!C30</f>
        <v>15953</v>
      </c>
      <c r="G33" s="69">
        <f>'DHS2025'!D30</f>
        <v>129</v>
      </c>
      <c r="H33" s="86">
        <v>5</v>
      </c>
      <c r="I33" s="87">
        <f>'DHS2025'!E30/1000</f>
        <v>5.0369999999999999</v>
      </c>
      <c r="J33" s="50">
        <f>Predikcia!R31</f>
        <v>122.34</v>
      </c>
      <c r="K33" s="48">
        <f t="shared" si="0"/>
        <v>600.49401420000004</v>
      </c>
      <c r="M33" s="11">
        <f>Predikcia!K31</f>
        <v>5</v>
      </c>
      <c r="N33" s="11">
        <v>5</v>
      </c>
    </row>
    <row r="34" spans="3:14" ht="15.75" thickBot="1">
      <c r="C34" s="105">
        <f>Predikcia!A32</f>
        <v>45690</v>
      </c>
      <c r="D34" s="44" t="str">
        <f>Predikcia!B32</f>
        <v>05:00:00</v>
      </c>
      <c r="E34" s="67">
        <f>Predikcia!G32</f>
        <v>16370.25</v>
      </c>
      <c r="F34" s="68">
        <f>'DHS2025'!C31</f>
        <v>17184</v>
      </c>
      <c r="G34" s="69">
        <f>'DHS2025'!D31</f>
        <v>35</v>
      </c>
      <c r="H34" s="86">
        <v>6</v>
      </c>
      <c r="I34" s="87">
        <f>'DHS2025'!E31/1000</f>
        <v>5.8730000000000002</v>
      </c>
      <c r="J34" s="50">
        <f>Predikcia!R32</f>
        <v>123.41</v>
      </c>
      <c r="K34" s="48">
        <f t="shared" si="0"/>
        <v>706.38036069999998</v>
      </c>
      <c r="M34" s="11">
        <f>Predikcia!K32</f>
        <v>6</v>
      </c>
      <c r="N34" s="11">
        <v>6</v>
      </c>
    </row>
    <row r="35" spans="3:14" ht="15.75" thickBot="1">
      <c r="C35" s="105">
        <f>Predikcia!A33</f>
        <v>45690</v>
      </c>
      <c r="D35" s="44" t="str">
        <f>Predikcia!B33</f>
        <v>06:00:00</v>
      </c>
      <c r="E35" s="67">
        <f>Predikcia!G33</f>
        <v>17003.25</v>
      </c>
      <c r="F35" s="68">
        <f>'DHS2025'!C32</f>
        <v>19426</v>
      </c>
      <c r="G35" s="69">
        <f>'DHS2025'!D32</f>
        <v>89</v>
      </c>
      <c r="H35" s="86">
        <v>6</v>
      </c>
      <c r="I35" s="87">
        <f>'DHS2025'!E32/1000</f>
        <v>6.0540000000000003</v>
      </c>
      <c r="J35" s="50">
        <f>Predikcia!R33</f>
        <v>128.09</v>
      </c>
      <c r="K35" s="48">
        <f t="shared" si="0"/>
        <v>756.19969140000001</v>
      </c>
      <c r="M35" s="11">
        <f>Predikcia!K33</f>
        <v>6</v>
      </c>
      <c r="N35" s="11">
        <v>6</v>
      </c>
    </row>
    <row r="36" spans="3:14" ht="15.75" thickBot="1">
      <c r="C36" s="105">
        <f>Predikcia!A34</f>
        <v>45690</v>
      </c>
      <c r="D36" s="44" t="str">
        <f>Predikcia!B34</f>
        <v>07:00:00</v>
      </c>
      <c r="E36" s="67">
        <f>Predikcia!G34</f>
        <v>14873.5</v>
      </c>
      <c r="F36" s="68">
        <f>'DHS2025'!C33</f>
        <v>14589</v>
      </c>
      <c r="G36" s="69">
        <f>'DHS2025'!D33</f>
        <v>10892</v>
      </c>
      <c r="H36" s="86">
        <v>8</v>
      </c>
      <c r="I36" s="87">
        <f>'DHS2025'!E33/1000</f>
        <v>8.0060000000000002</v>
      </c>
      <c r="J36" s="50">
        <f>Predikcia!R34</f>
        <v>135.9</v>
      </c>
      <c r="K36" s="48">
        <f t="shared" si="0"/>
        <v>1061.9238459999999</v>
      </c>
      <c r="M36" s="11">
        <f>Predikcia!K34</f>
        <v>5</v>
      </c>
      <c r="N36" s="11">
        <v>8</v>
      </c>
    </row>
    <row r="37" spans="3:14" ht="15.75" thickBot="1">
      <c r="C37" s="105">
        <f>Predikcia!A35</f>
        <v>45690</v>
      </c>
      <c r="D37" s="44" t="str">
        <f>Predikcia!B35</f>
        <v>08:00:00</v>
      </c>
      <c r="E37" s="67">
        <f>Predikcia!G35</f>
        <v>15511.25</v>
      </c>
      <c r="F37" s="68">
        <f>'DHS2025'!C34</f>
        <v>14541</v>
      </c>
      <c r="G37" s="69">
        <f>'DHS2025'!D34</f>
        <v>9421</v>
      </c>
      <c r="H37" s="86">
        <v>8</v>
      </c>
      <c r="I37" s="87">
        <f>'DHS2025'!E34/1000</f>
        <v>8.0459999999999994</v>
      </c>
      <c r="J37" s="50">
        <f>Predikcia!R35</f>
        <v>137.30000000000001</v>
      </c>
      <c r="K37" s="48">
        <f t="shared" si="0"/>
        <v>1078.3812419999999</v>
      </c>
      <c r="M37" s="11">
        <f>Predikcia!K35</f>
        <v>5</v>
      </c>
      <c r="N37" s="11">
        <v>8</v>
      </c>
    </row>
    <row r="38" spans="3:14" ht="15.75" thickBot="1">
      <c r="C38" s="105">
        <f>Predikcia!A36</f>
        <v>45690</v>
      </c>
      <c r="D38" s="44" t="str">
        <f>Predikcia!B36</f>
        <v>09:00:00</v>
      </c>
      <c r="E38" s="67">
        <f>Predikcia!G36</f>
        <v>14659.25</v>
      </c>
      <c r="F38" s="68">
        <f>'DHS2025'!C35</f>
        <v>16426</v>
      </c>
      <c r="G38" s="69">
        <f>'DHS2025'!D35</f>
        <v>7522</v>
      </c>
      <c r="H38" s="86">
        <v>8</v>
      </c>
      <c r="I38" s="87">
        <f>'DHS2025'!E35/1000</f>
        <v>8.0429999999999993</v>
      </c>
      <c r="J38" s="50">
        <f>Predikcia!R36</f>
        <v>137.69999999999999</v>
      </c>
      <c r="K38" s="48">
        <f t="shared" si="0"/>
        <v>1081.1641889999996</v>
      </c>
      <c r="M38" s="11">
        <f>Predikcia!K36</f>
        <v>5</v>
      </c>
      <c r="N38" s="11">
        <v>8</v>
      </c>
    </row>
    <row r="39" spans="3:14" ht="15.75" thickBot="1">
      <c r="C39" s="105">
        <f>Predikcia!A37</f>
        <v>45690</v>
      </c>
      <c r="D39" s="44" t="str">
        <f>Predikcia!B37</f>
        <v>10:00:00</v>
      </c>
      <c r="E39" s="67">
        <f>Predikcia!G37</f>
        <v>14583.75</v>
      </c>
      <c r="F39" s="68">
        <f>'DHS2025'!C36</f>
        <v>15696</v>
      </c>
      <c r="G39" s="69">
        <f>'DHS2025'!D36</f>
        <v>8427</v>
      </c>
      <c r="H39" s="86">
        <v>7.9</v>
      </c>
      <c r="I39" s="87">
        <f>'DHS2025'!E36/1000</f>
        <v>8.0229999999999997</v>
      </c>
      <c r="J39" s="50">
        <f>Predikcia!R37</f>
        <v>130.04</v>
      </c>
      <c r="K39" s="48">
        <f t="shared" si="0"/>
        <v>1017.6341107999999</v>
      </c>
      <c r="M39" s="11">
        <f>Predikcia!K37</f>
        <v>5</v>
      </c>
      <c r="N39" s="11">
        <v>7.9</v>
      </c>
    </row>
    <row r="40" spans="3:14" ht="15.75" thickBot="1">
      <c r="C40" s="105">
        <f>Predikcia!A38</f>
        <v>45690</v>
      </c>
      <c r="D40" s="44" t="str">
        <f>Predikcia!B38</f>
        <v>11:00:00</v>
      </c>
      <c r="E40" s="67">
        <f>Predikcia!G38</f>
        <v>13330</v>
      </c>
      <c r="F40" s="68">
        <f>'DHS2025'!C37</f>
        <v>15209</v>
      </c>
      <c r="G40" s="69">
        <f>'DHS2025'!D37</f>
        <v>2590</v>
      </c>
      <c r="H40" s="86">
        <v>5</v>
      </c>
      <c r="I40" s="87">
        <f>'DHS2025'!E37/1000</f>
        <v>5.9560000000000004</v>
      </c>
      <c r="J40" s="50">
        <f>Predikcia!R38</f>
        <v>129.33000000000001</v>
      </c>
      <c r="K40" s="48">
        <f t="shared" si="0"/>
        <v>751.27018520000013</v>
      </c>
      <c r="M40" s="11">
        <f>Predikcia!K38</f>
        <v>5</v>
      </c>
      <c r="N40" s="11">
        <v>5</v>
      </c>
    </row>
    <row r="41" spans="3:14" ht="15.75" thickBot="1">
      <c r="C41" s="105">
        <f>Predikcia!A39</f>
        <v>45690</v>
      </c>
      <c r="D41" s="44" t="str">
        <f>Predikcia!B39</f>
        <v>12:00:00</v>
      </c>
      <c r="E41" s="67">
        <f>Predikcia!G39</f>
        <v>13167</v>
      </c>
      <c r="F41" s="68">
        <f>'DHS2025'!C38</f>
        <v>14784</v>
      </c>
      <c r="G41" s="69">
        <f>'DHS2025'!D38</f>
        <v>1376</v>
      </c>
      <c r="H41" s="86">
        <v>5</v>
      </c>
      <c r="I41" s="87">
        <f>'DHS2025'!E38/1000</f>
        <v>5.0490000000000004</v>
      </c>
      <c r="J41" s="50">
        <f>Predikcia!R39</f>
        <v>122.24</v>
      </c>
      <c r="K41" s="48">
        <f t="shared" si="0"/>
        <v>601.42476239999996</v>
      </c>
      <c r="M41" s="11">
        <f>Predikcia!K39</f>
        <v>5</v>
      </c>
      <c r="N41" s="11">
        <v>5</v>
      </c>
    </row>
    <row r="42" spans="3:14" ht="15.75" thickBot="1">
      <c r="C42" s="105">
        <f>Predikcia!A40</f>
        <v>45690</v>
      </c>
      <c r="D42" s="44" t="str">
        <f>Predikcia!B40</f>
        <v>13:00:00</v>
      </c>
      <c r="E42" s="67">
        <f>Predikcia!G40</f>
        <v>14036.25</v>
      </c>
      <c r="F42" s="68">
        <f>'DHS2025'!C39</f>
        <v>14093</v>
      </c>
      <c r="G42" s="69">
        <f>'DHS2025'!D39</f>
        <v>2917</v>
      </c>
      <c r="H42" s="86">
        <v>5</v>
      </c>
      <c r="I42" s="87">
        <f>'DHS2025'!E39/1000</f>
        <v>5.085</v>
      </c>
      <c r="J42" s="50">
        <f>Predikcia!R40</f>
        <v>111.88</v>
      </c>
      <c r="K42" s="48">
        <f t="shared" si="0"/>
        <v>553.55920199999991</v>
      </c>
      <c r="M42" s="11">
        <f>Predikcia!K40</f>
        <v>5</v>
      </c>
      <c r="N42" s="11">
        <v>5</v>
      </c>
    </row>
    <row r="43" spans="3:14" ht="15.75" thickBot="1">
      <c r="C43" s="105">
        <f>Predikcia!A41</f>
        <v>45690</v>
      </c>
      <c r="D43" s="44" t="str">
        <f>Predikcia!B41</f>
        <v>14:00:00</v>
      </c>
      <c r="E43" s="67">
        <f>Predikcia!G41</f>
        <v>14010.25</v>
      </c>
      <c r="F43" s="68">
        <f>'DHS2025'!C40</f>
        <v>13024</v>
      </c>
      <c r="G43" s="69">
        <f>'DHS2025'!D40</f>
        <v>6860</v>
      </c>
      <c r="H43" s="86">
        <v>8</v>
      </c>
      <c r="I43" s="87">
        <f>'DHS2025'!E40/1000</f>
        <v>6.5540000000000003</v>
      </c>
      <c r="J43" s="50">
        <f>Predikcia!R41</f>
        <v>116.75</v>
      </c>
      <c r="K43" s="48">
        <f t="shared" si="0"/>
        <v>745.07510500000001</v>
      </c>
      <c r="M43" s="11">
        <f>Predikcia!K41</f>
        <v>5</v>
      </c>
      <c r="N43" s="11">
        <v>5</v>
      </c>
    </row>
    <row r="44" spans="3:14" ht="15.75" thickBot="1">
      <c r="C44" s="105">
        <f>Predikcia!A42</f>
        <v>45690</v>
      </c>
      <c r="D44" s="44" t="str">
        <f>Predikcia!B42</f>
        <v>15:00:00</v>
      </c>
      <c r="E44" s="67">
        <f>Predikcia!G42</f>
        <v>13789.25</v>
      </c>
      <c r="F44" s="68">
        <f>'DHS2025'!C41</f>
        <v>14127</v>
      </c>
      <c r="G44" s="69">
        <f>'DHS2025'!D41</f>
        <v>9817</v>
      </c>
      <c r="H44" s="86">
        <v>8</v>
      </c>
      <c r="I44" s="87">
        <f>'DHS2025'!E41/1000</f>
        <v>8.0269999999999992</v>
      </c>
      <c r="J44" s="50">
        <f>Predikcia!R42</f>
        <v>129.30000000000001</v>
      </c>
      <c r="K44" s="48">
        <f t="shared" si="0"/>
        <v>1012.2608889999999</v>
      </c>
      <c r="M44" s="11">
        <f>Predikcia!K42</f>
        <v>5</v>
      </c>
      <c r="N44" s="11">
        <v>5</v>
      </c>
    </row>
    <row r="45" spans="3:14" ht="15.75" thickBot="1">
      <c r="C45" s="105">
        <f>Predikcia!A43</f>
        <v>45690</v>
      </c>
      <c r="D45" s="44" t="str">
        <f>Predikcia!B43</f>
        <v>16:00:00</v>
      </c>
      <c r="E45" s="67">
        <f>Predikcia!G43</f>
        <v>14076.25</v>
      </c>
      <c r="F45" s="68">
        <f>'DHS2025'!C42</f>
        <v>15398</v>
      </c>
      <c r="G45" s="69">
        <f>'DHS2025'!D42</f>
        <v>8637</v>
      </c>
      <c r="H45" s="86">
        <v>8</v>
      </c>
      <c r="I45" s="87">
        <f>'DHS2025'!E42/1000</f>
        <v>8.0530000000000008</v>
      </c>
      <c r="J45" s="50">
        <f>Predikcia!R43</f>
        <v>153.93</v>
      </c>
      <c r="K45" s="48">
        <f t="shared" si="0"/>
        <v>1211.9016071000001</v>
      </c>
      <c r="M45" s="11">
        <f>Predikcia!K43</f>
        <v>5</v>
      </c>
      <c r="N45" s="11">
        <v>8</v>
      </c>
    </row>
    <row r="46" spans="3:14" ht="15.75" thickBot="1">
      <c r="C46" s="105">
        <f>Predikcia!A44</f>
        <v>45690</v>
      </c>
      <c r="D46" s="44" t="str">
        <f>Predikcia!B44</f>
        <v>17:00:00</v>
      </c>
      <c r="E46" s="67">
        <f>Predikcia!G44</f>
        <v>15031.75</v>
      </c>
      <c r="F46" s="68">
        <f>'DHS2025'!C43</f>
        <v>15980</v>
      </c>
      <c r="G46" s="69">
        <f>'DHS2025'!D43</f>
        <v>7852</v>
      </c>
      <c r="H46" s="86">
        <v>8</v>
      </c>
      <c r="I46" s="87">
        <f>'DHS2025'!E43/1000</f>
        <v>8.0559999999999992</v>
      </c>
      <c r="J46" s="50">
        <f>Predikcia!R44</f>
        <v>165.75</v>
      </c>
      <c r="K46" s="48">
        <f t="shared" si="0"/>
        <v>1306.6227799999999</v>
      </c>
      <c r="M46" s="11">
        <f>Predikcia!K44</f>
        <v>5</v>
      </c>
      <c r="N46" s="11">
        <v>8</v>
      </c>
    </row>
    <row r="47" spans="3:14" ht="15.75" thickBot="1">
      <c r="C47" s="105">
        <f>Predikcia!A45</f>
        <v>45690</v>
      </c>
      <c r="D47" s="44" t="str">
        <f>Predikcia!B45</f>
        <v>18:00:00</v>
      </c>
      <c r="E47" s="67">
        <f>Predikcia!G45</f>
        <v>15049.5</v>
      </c>
      <c r="F47" s="68">
        <f>'DHS2025'!C44</f>
        <v>15492</v>
      </c>
      <c r="G47" s="69">
        <f>'DHS2025'!D44</f>
        <v>9021</v>
      </c>
      <c r="H47" s="86">
        <v>8</v>
      </c>
      <c r="I47" s="87">
        <f>'DHS2025'!E44/1000</f>
        <v>8.0470000000000006</v>
      </c>
      <c r="J47" s="50">
        <f>Predikcia!R45</f>
        <v>172.15</v>
      </c>
      <c r="K47" s="48">
        <f t="shared" si="0"/>
        <v>1356.1488395000001</v>
      </c>
      <c r="M47" s="11">
        <f>Predikcia!K45</f>
        <v>5</v>
      </c>
      <c r="N47" s="11">
        <v>8</v>
      </c>
    </row>
    <row r="48" spans="3:14" ht="15.75" thickBot="1">
      <c r="C48" s="105">
        <f>Predikcia!A46</f>
        <v>45690</v>
      </c>
      <c r="D48" s="44" t="str">
        <f>Predikcia!B46</f>
        <v>19:00:00</v>
      </c>
      <c r="E48" s="67">
        <f>Predikcia!G46</f>
        <v>14452.5</v>
      </c>
      <c r="F48" s="68">
        <f>'DHS2025'!C45</f>
        <v>16055</v>
      </c>
      <c r="G48" s="69">
        <f>'DHS2025'!D45</f>
        <v>8765</v>
      </c>
      <c r="H48" s="86">
        <v>8</v>
      </c>
      <c r="I48" s="87">
        <f>'DHS2025'!E45/1000</f>
        <v>8.0489999999999995</v>
      </c>
      <c r="J48" s="50">
        <f>Predikcia!R46</f>
        <v>173.95</v>
      </c>
      <c r="K48" s="48">
        <f t="shared" si="0"/>
        <v>1370.8292144999998</v>
      </c>
      <c r="M48" s="11">
        <f>Predikcia!K46</f>
        <v>5</v>
      </c>
      <c r="N48" s="11">
        <v>8</v>
      </c>
    </row>
    <row r="49" spans="3:14" ht="15.75" thickBot="1">
      <c r="C49" s="105">
        <f>Predikcia!A47</f>
        <v>45690</v>
      </c>
      <c r="D49" s="44" t="str">
        <f>Predikcia!B47</f>
        <v>20:00:00</v>
      </c>
      <c r="E49" s="67">
        <f>Predikcia!G47</f>
        <v>14889.25</v>
      </c>
      <c r="F49" s="68">
        <f>'DHS2025'!C46</f>
        <v>16599</v>
      </c>
      <c r="G49" s="69">
        <f>'DHS2025'!D46</f>
        <v>7797</v>
      </c>
      <c r="H49" s="86">
        <v>8</v>
      </c>
      <c r="I49" s="87">
        <f>'DHS2025'!E46/1000</f>
        <v>8.0640000000000001</v>
      </c>
      <c r="J49" s="50">
        <f>Predikcia!R47</f>
        <v>165.5</v>
      </c>
      <c r="K49" s="48">
        <f t="shared" si="0"/>
        <v>1305.9244799999999</v>
      </c>
      <c r="M49" s="11">
        <f>Predikcia!K47</f>
        <v>5</v>
      </c>
      <c r="N49" s="11">
        <v>8</v>
      </c>
    </row>
    <row r="50" spans="3:14" ht="15.75" thickBot="1">
      <c r="C50" s="105">
        <f>Predikcia!A48</f>
        <v>45690</v>
      </c>
      <c r="D50" s="44" t="str">
        <f>Predikcia!B48</f>
        <v>21:00:00</v>
      </c>
      <c r="E50" s="67">
        <f>Predikcia!G48</f>
        <v>14463.75</v>
      </c>
      <c r="F50" s="68">
        <f>'DHS2025'!C47</f>
        <v>16619</v>
      </c>
      <c r="G50" s="69">
        <f>'DHS2025'!D47</f>
        <v>7502</v>
      </c>
      <c r="H50" s="86">
        <v>8</v>
      </c>
      <c r="I50" s="87">
        <f>'DHS2025'!E47/1000</f>
        <v>8.06</v>
      </c>
      <c r="J50" s="50">
        <f>Predikcia!R48</f>
        <v>155.77000000000001</v>
      </c>
      <c r="K50" s="48">
        <f t="shared" si="0"/>
        <v>1227.637138</v>
      </c>
      <c r="M50" s="11">
        <f>Predikcia!K48</f>
        <v>5</v>
      </c>
      <c r="N50" s="11">
        <v>8</v>
      </c>
    </row>
    <row r="51" spans="3:14" ht="15.75" thickBot="1">
      <c r="C51" s="105">
        <f>Predikcia!A49</f>
        <v>45690</v>
      </c>
      <c r="D51" s="44" t="str">
        <f>Predikcia!B49</f>
        <v>22:00:00</v>
      </c>
      <c r="E51" s="67">
        <f>Predikcia!G49</f>
        <v>12795.75</v>
      </c>
      <c r="F51" s="68">
        <f>'DHS2025'!C48</f>
        <v>14649</v>
      </c>
      <c r="G51" s="69">
        <f>'DHS2025'!D48</f>
        <v>5257</v>
      </c>
      <c r="H51" s="86">
        <v>5</v>
      </c>
      <c r="I51" s="87">
        <f>'DHS2025'!E48/1000</f>
        <v>6.7839999999999998</v>
      </c>
      <c r="J51" s="50">
        <f>Predikcia!R49</f>
        <v>148.44</v>
      </c>
      <c r="K51" s="48">
        <f t="shared" si="0"/>
        <v>984.05719039999997</v>
      </c>
      <c r="M51" s="11">
        <f>Predikcia!K49</f>
        <v>5</v>
      </c>
      <c r="N51" s="11">
        <v>5</v>
      </c>
    </row>
    <row r="52" spans="3:14" ht="15.75" thickBot="1">
      <c r="C52" s="106">
        <f>Predikcia!A50</f>
        <v>45690</v>
      </c>
      <c r="D52" s="45" t="str">
        <f>Predikcia!B50</f>
        <v>23:00:00</v>
      </c>
      <c r="E52" s="70">
        <f>Predikcia!G50</f>
        <v>7467</v>
      </c>
      <c r="F52" s="71">
        <f>'DHS2025'!C49</f>
        <v>8134</v>
      </c>
      <c r="G52" s="72">
        <f>'DHS2025'!D49</f>
        <v>4380</v>
      </c>
      <c r="H52" s="88">
        <v>3</v>
      </c>
      <c r="I52" s="87">
        <f>'DHS2025'!E49/1000</f>
        <v>3.6960000000000002</v>
      </c>
      <c r="J52" s="50">
        <f>Predikcia!R50</f>
        <v>133.24</v>
      </c>
      <c r="K52" s="48">
        <f t="shared" si="0"/>
        <v>480.50808960000001</v>
      </c>
      <c r="M52" s="11">
        <f>Predikcia!K50</f>
        <v>3</v>
      </c>
      <c r="N52" s="11">
        <v>3</v>
      </c>
    </row>
    <row r="53" spans="3:14" ht="15.75" thickBot="1">
      <c r="C53" s="102">
        <f>Predikcia!A51</f>
        <v>45691</v>
      </c>
      <c r="D53" s="41" t="str">
        <f>Predikcia!B51</f>
        <v>00:00:00</v>
      </c>
      <c r="E53" s="64">
        <f>Predikcia!G51</f>
        <v>7796.25</v>
      </c>
      <c r="F53" s="65">
        <f>'DHS2025'!C50</f>
        <v>7479</v>
      </c>
      <c r="G53" s="66">
        <f>'DHS2025'!D50</f>
        <v>3086</v>
      </c>
      <c r="H53" s="84">
        <v>3</v>
      </c>
      <c r="I53" s="85">
        <f>'DHS2025'!E50/1000</f>
        <v>3.05</v>
      </c>
      <c r="J53" s="50">
        <f>Predikcia!R51</f>
        <v>129.54</v>
      </c>
      <c r="K53" s="48">
        <f t="shared" si="0"/>
        <v>385.35102999999992</v>
      </c>
      <c r="M53" s="11">
        <f>Predikcia!K51</f>
        <v>3</v>
      </c>
      <c r="N53" s="11">
        <v>3</v>
      </c>
    </row>
    <row r="54" spans="3:14" ht="15.75" thickBot="1">
      <c r="C54" s="103">
        <f>Predikcia!A52</f>
        <v>45691</v>
      </c>
      <c r="D54" s="42" t="str">
        <f>Predikcia!B52</f>
        <v>01:00:00</v>
      </c>
      <c r="E54" s="67">
        <f>Predikcia!G52</f>
        <v>9325.75</v>
      </c>
      <c r="F54" s="68">
        <f>'DHS2025'!C51</f>
        <v>10778</v>
      </c>
      <c r="G54" s="69">
        <f>'DHS2025'!D51</f>
        <v>2911</v>
      </c>
      <c r="H54" s="86">
        <v>4</v>
      </c>
      <c r="I54" s="87">
        <f>'DHS2025'!E51/1000</f>
        <v>3.4980000000000002</v>
      </c>
      <c r="J54" s="50">
        <f>Predikcia!R52</f>
        <v>126.63</v>
      </c>
      <c r="K54" s="48">
        <f t="shared" si="0"/>
        <v>431.8760226</v>
      </c>
      <c r="M54" s="11">
        <f>Predikcia!K52</f>
        <v>4</v>
      </c>
      <c r="N54" s="11">
        <v>4</v>
      </c>
    </row>
    <row r="55" spans="3:14" ht="15.75" thickBot="1">
      <c r="C55" s="103">
        <f>Predikcia!A53</f>
        <v>45691</v>
      </c>
      <c r="D55" s="42" t="str">
        <f>Predikcia!B53</f>
        <v>02:00:00</v>
      </c>
      <c r="E55" s="67">
        <f>Predikcia!G53</f>
        <v>9357.75</v>
      </c>
      <c r="F55" s="68">
        <f>'DHS2025'!C52</f>
        <v>11677</v>
      </c>
      <c r="G55" s="69">
        <f>'DHS2025'!D52</f>
        <v>2605</v>
      </c>
      <c r="H55" s="86">
        <v>4</v>
      </c>
      <c r="I55" s="87">
        <f>'DHS2025'!E52/1000</f>
        <v>4.0709999999999997</v>
      </c>
      <c r="J55" s="50">
        <f>Predikcia!R53</f>
        <v>124.72</v>
      </c>
      <c r="K55" s="48">
        <f t="shared" si="0"/>
        <v>494.92286879999989</v>
      </c>
      <c r="M55" s="11">
        <f>Predikcia!K53</f>
        <v>4</v>
      </c>
      <c r="N55" s="11">
        <v>4</v>
      </c>
    </row>
    <row r="56" spans="3:14" ht="15.75" thickBot="1">
      <c r="C56" s="103">
        <f>Predikcia!A54</f>
        <v>45691</v>
      </c>
      <c r="D56" s="42" t="str">
        <f>Predikcia!B54</f>
        <v>03:00:00</v>
      </c>
      <c r="E56" s="67">
        <f>Predikcia!G54</f>
        <v>10901.5</v>
      </c>
      <c r="F56" s="68">
        <f>'DHS2025'!C53</f>
        <v>13662</v>
      </c>
      <c r="G56" s="69">
        <f>'DHS2025'!D53</f>
        <v>1144</v>
      </c>
      <c r="H56" s="86">
        <v>4</v>
      </c>
      <c r="I56" s="87">
        <f>'DHS2025'!E53/1000</f>
        <v>4.0679999999999996</v>
      </c>
      <c r="J56" s="50">
        <f>Predikcia!R54</f>
        <v>120.04</v>
      </c>
      <c r="K56" s="48">
        <f t="shared" si="0"/>
        <v>475.71029279999993</v>
      </c>
      <c r="M56" s="11">
        <f>Predikcia!K54</f>
        <v>4</v>
      </c>
      <c r="N56" s="11">
        <v>4</v>
      </c>
    </row>
    <row r="57" spans="3:14" ht="15.75" thickBot="1">
      <c r="C57" s="103">
        <f>Predikcia!A55</f>
        <v>45691</v>
      </c>
      <c r="D57" s="42" t="str">
        <f>Predikcia!B55</f>
        <v>04:00:00</v>
      </c>
      <c r="E57" s="67">
        <f>Predikcia!G55</f>
        <v>14410.5</v>
      </c>
      <c r="F57" s="68">
        <f>'DHS2025'!C54</f>
        <v>14184</v>
      </c>
      <c r="G57" s="69">
        <f>'DHS2025'!D54</f>
        <v>76</v>
      </c>
      <c r="H57" s="86">
        <v>5</v>
      </c>
      <c r="I57" s="87">
        <f>'DHS2025'!E54/1000</f>
        <v>4.4640000000000004</v>
      </c>
      <c r="J57" s="50">
        <f>Predikcia!R55</f>
        <v>123.24</v>
      </c>
      <c r="K57" s="48">
        <f t="shared" si="0"/>
        <v>536.16032640000003</v>
      </c>
      <c r="M57" s="11">
        <f>Predikcia!K55</f>
        <v>5</v>
      </c>
      <c r="N57" s="11">
        <v>5</v>
      </c>
    </row>
    <row r="58" spans="3:14" ht="15.75" thickBot="1">
      <c r="C58" s="103">
        <f>Predikcia!A56</f>
        <v>45691</v>
      </c>
      <c r="D58" s="42" t="str">
        <f>Predikcia!B56</f>
        <v>05:00:00</v>
      </c>
      <c r="E58" s="67">
        <f>Predikcia!G56</f>
        <v>14858</v>
      </c>
      <c r="F58" s="68">
        <f>'DHS2025'!C55</f>
        <v>16195</v>
      </c>
      <c r="G58" s="69">
        <f>'DHS2025'!D55</f>
        <v>97</v>
      </c>
      <c r="H58" s="86">
        <v>5</v>
      </c>
      <c r="I58" s="87">
        <f>'DHS2025'!E55/1000</f>
        <v>5.0529999999999999</v>
      </c>
      <c r="J58" s="50">
        <f>Predikcia!R56</f>
        <v>127.77</v>
      </c>
      <c r="K58" s="48">
        <f t="shared" si="0"/>
        <v>629.56489190000002</v>
      </c>
      <c r="M58" s="11">
        <f>Predikcia!K56</f>
        <v>5</v>
      </c>
      <c r="N58" s="11">
        <v>5</v>
      </c>
    </row>
    <row r="59" spans="3:14" ht="15.75" thickBot="1">
      <c r="C59" s="103">
        <f>Predikcia!A57</f>
        <v>45691</v>
      </c>
      <c r="D59" s="42" t="str">
        <f>Predikcia!B57</f>
        <v>06:00:00</v>
      </c>
      <c r="E59" s="67">
        <f>Predikcia!G57</f>
        <v>15816.75</v>
      </c>
      <c r="F59" s="68">
        <f>'DHS2025'!C56</f>
        <v>20023</v>
      </c>
      <c r="G59" s="69">
        <f>'DHS2025'!D56</f>
        <v>139</v>
      </c>
      <c r="H59" s="86">
        <v>8</v>
      </c>
      <c r="I59" s="87">
        <f>'DHS2025'!E56/1000</f>
        <v>6.48</v>
      </c>
      <c r="J59" s="50">
        <f>Predikcia!R57</f>
        <v>159.18</v>
      </c>
      <c r="K59" s="48">
        <f t="shared" si="0"/>
        <v>1008.859536</v>
      </c>
      <c r="M59" s="11">
        <f>Predikcia!K57</f>
        <v>5</v>
      </c>
      <c r="N59" s="11">
        <v>8</v>
      </c>
    </row>
    <row r="60" spans="3:14" ht="15.75" thickBot="1">
      <c r="C60" s="103">
        <f>Predikcia!A58</f>
        <v>45691</v>
      </c>
      <c r="D60" s="42" t="str">
        <f>Predikcia!B58</f>
        <v>07:00:00</v>
      </c>
      <c r="E60" s="67">
        <f>Predikcia!G58</f>
        <v>15095.5</v>
      </c>
      <c r="F60" s="68">
        <f>'DHS2025'!C57</f>
        <v>18251</v>
      </c>
      <c r="G60" s="69">
        <f>'DHS2025'!D57</f>
        <v>5857</v>
      </c>
      <c r="H60" s="86">
        <v>8</v>
      </c>
      <c r="I60" s="87">
        <f>'DHS2025'!E57/1000</f>
        <v>8.0549999999999997</v>
      </c>
      <c r="J60" s="50">
        <f>Predikcia!R58</f>
        <v>207.88</v>
      </c>
      <c r="K60" s="48">
        <f t="shared" si="0"/>
        <v>1642.4241659999998</v>
      </c>
      <c r="M60" s="11">
        <f>Predikcia!K58</f>
        <v>5</v>
      </c>
      <c r="N60" s="11">
        <v>8</v>
      </c>
    </row>
    <row r="61" spans="3:14" ht="15.75" thickBot="1">
      <c r="C61" s="103">
        <f>Predikcia!A59</f>
        <v>45691</v>
      </c>
      <c r="D61" s="42" t="str">
        <f>Predikcia!B59</f>
        <v>08:00:00</v>
      </c>
      <c r="E61" s="67">
        <f>Predikcia!G59</f>
        <v>15645.5</v>
      </c>
      <c r="F61" s="68">
        <f>'DHS2025'!C58</f>
        <v>15792</v>
      </c>
      <c r="G61" s="69">
        <f>'DHS2025'!D58</f>
        <v>7895</v>
      </c>
      <c r="H61" s="86">
        <v>8</v>
      </c>
      <c r="I61" s="87">
        <f>'DHS2025'!E58/1000</f>
        <v>8.0549999999999997</v>
      </c>
      <c r="J61" s="50">
        <f>Predikcia!R59</f>
        <v>243.23</v>
      </c>
      <c r="K61" s="48">
        <f t="shared" si="0"/>
        <v>1924.3209734999998</v>
      </c>
      <c r="M61" s="11">
        <f>Predikcia!K59</f>
        <v>5</v>
      </c>
      <c r="N61" s="11">
        <v>8</v>
      </c>
    </row>
    <row r="62" spans="3:14" ht="15.75" thickBot="1">
      <c r="C62" s="103">
        <f>Predikcia!A60</f>
        <v>45691</v>
      </c>
      <c r="D62" s="42" t="str">
        <f>Predikcia!B60</f>
        <v>09:00:00</v>
      </c>
      <c r="E62" s="67">
        <f>Predikcia!G60</f>
        <v>15679.25</v>
      </c>
      <c r="F62" s="68">
        <f>'DHS2025'!C59</f>
        <v>16164</v>
      </c>
      <c r="G62" s="69">
        <f>'DHS2025'!D59</f>
        <v>8282</v>
      </c>
      <c r="H62" s="86">
        <v>8</v>
      </c>
      <c r="I62" s="87">
        <f>'DHS2025'!E59/1000</f>
        <v>8.0559999999999992</v>
      </c>
      <c r="J62" s="50">
        <f>Predikcia!R60</f>
        <v>178.04</v>
      </c>
      <c r="K62" s="48">
        <f t="shared" si="0"/>
        <v>1404.6409375999997</v>
      </c>
      <c r="M62" s="11">
        <f>Predikcia!K60</f>
        <v>5</v>
      </c>
      <c r="N62" s="11">
        <v>8</v>
      </c>
    </row>
    <row r="63" spans="3:14" ht="15.75" thickBot="1">
      <c r="C63" s="103">
        <f>Predikcia!A61</f>
        <v>45691</v>
      </c>
      <c r="D63" s="42" t="str">
        <f>Predikcia!B61</f>
        <v>10:00:00</v>
      </c>
      <c r="E63" s="67">
        <f>Predikcia!G61</f>
        <v>14574.5</v>
      </c>
      <c r="F63" s="68">
        <f>'DHS2025'!C60</f>
        <v>15067</v>
      </c>
      <c r="G63" s="69">
        <f>'DHS2025'!D60</f>
        <v>8795</v>
      </c>
      <c r="H63" s="86">
        <v>8</v>
      </c>
      <c r="I63" s="87">
        <f>'DHS2025'!E60/1000</f>
        <v>8.0730000000000004</v>
      </c>
      <c r="J63" s="50">
        <f>Predikcia!R61</f>
        <v>149.94999999999999</v>
      </c>
      <c r="K63" s="48">
        <f t="shared" si="0"/>
        <v>1183.1021864999998</v>
      </c>
      <c r="M63" s="11">
        <f>Predikcia!K61</f>
        <v>5</v>
      </c>
      <c r="N63" s="11">
        <v>8</v>
      </c>
    </row>
    <row r="64" spans="3:14" ht="15.75" thickBot="1">
      <c r="C64" s="103">
        <f>Predikcia!A62</f>
        <v>45691</v>
      </c>
      <c r="D64" s="42" t="str">
        <f>Predikcia!B62</f>
        <v>11:00:00</v>
      </c>
      <c r="E64" s="67">
        <f>Predikcia!G62</f>
        <v>14216</v>
      </c>
      <c r="F64" s="68">
        <f>'DHS2025'!C61</f>
        <v>14682</v>
      </c>
      <c r="G64" s="69">
        <f>'DHS2025'!D61</f>
        <v>9019</v>
      </c>
      <c r="H64" s="86">
        <v>8</v>
      </c>
      <c r="I64" s="87">
        <f>'DHS2025'!E61/1000</f>
        <v>8.0530000000000008</v>
      </c>
      <c r="J64" s="50">
        <f>Predikcia!R62</f>
        <v>126.18</v>
      </c>
      <c r="K64" s="48">
        <f t="shared" si="0"/>
        <v>990.66556460000004</v>
      </c>
      <c r="M64" s="11">
        <f>Predikcia!K62</f>
        <v>5</v>
      </c>
      <c r="N64" s="11">
        <v>5</v>
      </c>
    </row>
    <row r="65" spans="3:14" ht="15.75" thickBot="1">
      <c r="C65" s="103">
        <f>Predikcia!A63</f>
        <v>45691</v>
      </c>
      <c r="D65" s="42" t="str">
        <f>Predikcia!B63</f>
        <v>12:00:00</v>
      </c>
      <c r="E65" s="67">
        <f>Predikcia!G63</f>
        <v>13783.75</v>
      </c>
      <c r="F65" s="68">
        <f>'DHS2025'!C62</f>
        <v>15141</v>
      </c>
      <c r="G65" s="69">
        <f>'DHS2025'!D62</f>
        <v>1848</v>
      </c>
      <c r="H65" s="86">
        <v>5</v>
      </c>
      <c r="I65" s="87">
        <f>'DHS2025'!E62/1000</f>
        <v>5.3410000000000002</v>
      </c>
      <c r="J65" s="50">
        <f>Predikcia!R63</f>
        <v>117.27</v>
      </c>
      <c r="K65" s="48">
        <f t="shared" si="0"/>
        <v>609.92777929999988</v>
      </c>
      <c r="M65" s="11">
        <f>Predikcia!K63</f>
        <v>5</v>
      </c>
      <c r="N65" s="11">
        <v>5</v>
      </c>
    </row>
    <row r="66" spans="3:14" ht="15.75" thickBot="1">
      <c r="C66" s="103">
        <f>Predikcia!A64</f>
        <v>45691</v>
      </c>
      <c r="D66" s="42" t="str">
        <f>Predikcia!B64</f>
        <v>13:00:00</v>
      </c>
      <c r="E66" s="67">
        <f>Predikcia!G64</f>
        <v>14169</v>
      </c>
      <c r="F66" s="68">
        <f>'DHS2025'!C63</f>
        <v>13783</v>
      </c>
      <c r="G66" s="69">
        <f>'DHS2025'!D63</f>
        <v>1533</v>
      </c>
      <c r="H66" s="86">
        <v>5</v>
      </c>
      <c r="I66" s="87">
        <f>'DHS2025'!E63/1000</f>
        <v>5.0339999999999998</v>
      </c>
      <c r="J66" s="50">
        <f>Predikcia!R64</f>
        <v>115.69</v>
      </c>
      <c r="K66" s="48">
        <f t="shared" si="0"/>
        <v>566.99502539999992</v>
      </c>
      <c r="M66" s="11">
        <f>Predikcia!K64</f>
        <v>5</v>
      </c>
      <c r="N66" s="11">
        <v>5</v>
      </c>
    </row>
    <row r="67" spans="3:14" ht="15.75" thickBot="1">
      <c r="C67" s="103">
        <f>Predikcia!A65</f>
        <v>45691</v>
      </c>
      <c r="D67" s="42" t="str">
        <f>Predikcia!B65</f>
        <v>14:00:00</v>
      </c>
      <c r="E67" s="67">
        <f>Predikcia!G65</f>
        <v>14070.75</v>
      </c>
      <c r="F67" s="68">
        <f>'DHS2025'!C64</f>
        <v>14772</v>
      </c>
      <c r="G67" s="69">
        <f>'DHS2025'!D64</f>
        <v>7485</v>
      </c>
      <c r="H67" s="86">
        <v>8</v>
      </c>
      <c r="I67" s="87">
        <f>'DHS2025'!E64/1000</f>
        <v>7.835</v>
      </c>
      <c r="J67" s="50">
        <f>Predikcia!R65</f>
        <v>124.53</v>
      </c>
      <c r="K67" s="48">
        <f t="shared" si="0"/>
        <v>951.04912449999995</v>
      </c>
      <c r="M67" s="11">
        <f>Predikcia!K65</f>
        <v>5</v>
      </c>
      <c r="N67" s="11">
        <v>5</v>
      </c>
    </row>
    <row r="68" spans="3:14" ht="15.75" thickBot="1">
      <c r="C68" s="103">
        <f>Predikcia!A66</f>
        <v>45691</v>
      </c>
      <c r="D68" s="42" t="str">
        <f>Predikcia!B66</f>
        <v>15:00:00</v>
      </c>
      <c r="E68" s="67">
        <f>Predikcia!G66</f>
        <v>14824.5</v>
      </c>
      <c r="F68" s="68">
        <f>'DHS2025'!C65</f>
        <v>15557</v>
      </c>
      <c r="G68" s="69">
        <f>'DHS2025'!D65</f>
        <v>9495</v>
      </c>
      <c r="H68" s="86">
        <v>8</v>
      </c>
      <c r="I68" s="87">
        <f>'DHS2025'!E65/1000</f>
        <v>8.0280000000000005</v>
      </c>
      <c r="J68" s="50">
        <f>Predikcia!R66</f>
        <v>148.1</v>
      </c>
      <c r="K68" s="48">
        <f t="shared" si="0"/>
        <v>1161.804132</v>
      </c>
      <c r="M68" s="11">
        <f>Predikcia!K66</f>
        <v>5</v>
      </c>
      <c r="N68" s="11">
        <v>8</v>
      </c>
    </row>
    <row r="69" spans="3:14" ht="15.75" thickBot="1">
      <c r="C69" s="103">
        <f>Predikcia!A67</f>
        <v>45691</v>
      </c>
      <c r="D69" s="42" t="str">
        <f>Predikcia!B67</f>
        <v>16:00:00</v>
      </c>
      <c r="E69" s="67">
        <f>Predikcia!G67</f>
        <v>14537.5</v>
      </c>
      <c r="F69" s="68">
        <f>'DHS2025'!C66</f>
        <v>15540</v>
      </c>
      <c r="G69" s="69">
        <f>'DHS2025'!D66</f>
        <v>8310</v>
      </c>
      <c r="H69" s="86">
        <v>8</v>
      </c>
      <c r="I69" s="87">
        <f>'DHS2025'!E66/1000</f>
        <v>8.0679999999999996</v>
      </c>
      <c r="J69" s="50">
        <f>Predikcia!R67</f>
        <v>168.42</v>
      </c>
      <c r="K69" s="48">
        <f t="shared" si="0"/>
        <v>1329.8952343999997</v>
      </c>
      <c r="M69" s="11">
        <f>Predikcia!K67</f>
        <v>5</v>
      </c>
      <c r="N69" s="11">
        <v>8</v>
      </c>
    </row>
    <row r="70" spans="3:14" ht="15.75" thickBot="1">
      <c r="C70" s="103">
        <f>Predikcia!A68</f>
        <v>45691</v>
      </c>
      <c r="D70" s="42" t="str">
        <f>Predikcia!B68</f>
        <v>17:00:00</v>
      </c>
      <c r="E70" s="67">
        <f>Predikcia!G68</f>
        <v>15107</v>
      </c>
      <c r="F70" s="68">
        <f>'DHS2025'!C67</f>
        <v>15642</v>
      </c>
      <c r="G70" s="69">
        <f>'DHS2025'!D67</f>
        <v>9165</v>
      </c>
      <c r="H70" s="86">
        <v>8</v>
      </c>
      <c r="I70" s="87">
        <f>'DHS2025'!E67/1000</f>
        <v>8.0579999999999998</v>
      </c>
      <c r="J70" s="50">
        <f>Predikcia!R68</f>
        <v>213.2</v>
      </c>
      <c r="K70" s="48">
        <f t="shared" ref="K70:K133" si="1">(J70*0.99-1.9)*I70</f>
        <v>1685.4757439999998</v>
      </c>
      <c r="M70" s="11">
        <f>Predikcia!K68</f>
        <v>5</v>
      </c>
      <c r="N70" s="11">
        <v>8</v>
      </c>
    </row>
    <row r="71" spans="3:14" ht="15.75" thickBot="1">
      <c r="C71" s="103">
        <f>Predikcia!A69</f>
        <v>45691</v>
      </c>
      <c r="D71" s="42" t="str">
        <f>Predikcia!B69</f>
        <v>18:00:00</v>
      </c>
      <c r="E71" s="67">
        <f>Predikcia!G69</f>
        <v>15152.5</v>
      </c>
      <c r="F71" s="68">
        <f>'DHS2025'!C68</f>
        <v>15447</v>
      </c>
      <c r="G71" s="69">
        <f>'DHS2025'!D68</f>
        <v>8203</v>
      </c>
      <c r="H71" s="86">
        <v>8</v>
      </c>
      <c r="I71" s="87">
        <f>'DHS2025'!E68/1000</f>
        <v>8.0559999999999992</v>
      </c>
      <c r="J71" s="50">
        <f>Predikcia!R69</f>
        <v>200.73</v>
      </c>
      <c r="K71" s="48">
        <f t="shared" si="1"/>
        <v>1585.6036711999996</v>
      </c>
      <c r="M71" s="11">
        <f>Predikcia!K69</f>
        <v>5</v>
      </c>
      <c r="N71" s="11">
        <v>7.8999999999999986</v>
      </c>
    </row>
    <row r="72" spans="3:14" ht="15.75" thickBot="1">
      <c r="C72" s="103">
        <f>Predikcia!A70</f>
        <v>45691</v>
      </c>
      <c r="D72" s="42" t="str">
        <f>Predikcia!B70</f>
        <v>19:00:00</v>
      </c>
      <c r="E72" s="67">
        <f>Predikcia!G70</f>
        <v>15121.75</v>
      </c>
      <c r="F72" s="68">
        <f>'DHS2025'!C69</f>
        <v>16587</v>
      </c>
      <c r="G72" s="69">
        <f>'DHS2025'!D69</f>
        <v>7155</v>
      </c>
      <c r="H72" s="86">
        <v>8</v>
      </c>
      <c r="I72" s="87">
        <f>'DHS2025'!E69/1000</f>
        <v>8.06</v>
      </c>
      <c r="J72" s="50">
        <f>Predikcia!R70</f>
        <v>201.1</v>
      </c>
      <c r="K72" s="48">
        <f t="shared" si="1"/>
        <v>1589.3433400000001</v>
      </c>
      <c r="M72" s="11">
        <f>Predikcia!K70</f>
        <v>5</v>
      </c>
      <c r="N72" s="11">
        <v>8</v>
      </c>
    </row>
    <row r="73" spans="3:14" ht="15.75" thickBot="1">
      <c r="C73" s="103">
        <f>Predikcia!A71</f>
        <v>45691</v>
      </c>
      <c r="D73" s="42" t="str">
        <f>Predikcia!B71</f>
        <v>20:00:00</v>
      </c>
      <c r="E73" s="67">
        <f>Predikcia!G71</f>
        <v>14816.5</v>
      </c>
      <c r="F73" s="68">
        <f>'DHS2025'!C70</f>
        <v>17250</v>
      </c>
      <c r="G73" s="69">
        <f>'DHS2025'!D70</f>
        <v>7685</v>
      </c>
      <c r="H73" s="86">
        <v>8</v>
      </c>
      <c r="I73" s="87">
        <f>'DHS2025'!E70/1000</f>
        <v>8.0559999999999992</v>
      </c>
      <c r="J73" s="50">
        <f>Predikcia!R71</f>
        <v>167.74</v>
      </c>
      <c r="K73" s="48">
        <f t="shared" si="1"/>
        <v>1322.4939055999998</v>
      </c>
      <c r="M73" s="11">
        <f>Predikcia!K71</f>
        <v>5</v>
      </c>
      <c r="N73" s="11">
        <v>7.8999999999999986</v>
      </c>
    </row>
    <row r="74" spans="3:14" ht="15.75" thickBot="1">
      <c r="C74" s="103">
        <f>Predikcia!A72</f>
        <v>45691</v>
      </c>
      <c r="D74" s="42" t="str">
        <f>Predikcia!B72</f>
        <v>21:00:00</v>
      </c>
      <c r="E74" s="67">
        <f>Predikcia!G72</f>
        <v>15053.25</v>
      </c>
      <c r="F74" s="68">
        <f>'DHS2025'!C71</f>
        <v>17913</v>
      </c>
      <c r="G74" s="69">
        <f>'DHS2025'!D71</f>
        <v>6366</v>
      </c>
      <c r="H74" s="86">
        <v>8</v>
      </c>
      <c r="I74" s="87">
        <f>'DHS2025'!E71/1000</f>
        <v>8.0670000000000002</v>
      </c>
      <c r="J74" s="50">
        <f>Predikcia!R72</f>
        <v>153</v>
      </c>
      <c r="K74" s="48">
        <f t="shared" si="1"/>
        <v>1206.5811899999999</v>
      </c>
      <c r="M74" s="11">
        <f>Predikcia!K72</f>
        <v>5</v>
      </c>
      <c r="N74" s="11">
        <v>8</v>
      </c>
    </row>
    <row r="75" spans="3:14" ht="15.75" thickBot="1">
      <c r="C75" s="103">
        <f>Predikcia!A73</f>
        <v>45691</v>
      </c>
      <c r="D75" s="42" t="str">
        <f>Predikcia!B73</f>
        <v>22:00:00</v>
      </c>
      <c r="E75" s="67">
        <f>Predikcia!G73</f>
        <v>13399</v>
      </c>
      <c r="F75" s="68">
        <f>'DHS2025'!C72</f>
        <v>15360</v>
      </c>
      <c r="G75" s="69">
        <f>'DHS2025'!D72</f>
        <v>3728</v>
      </c>
      <c r="H75" s="86">
        <v>6</v>
      </c>
      <c r="I75" s="87">
        <f>'DHS2025'!E72/1000</f>
        <v>6.3040000000000003</v>
      </c>
      <c r="J75" s="50">
        <f>Predikcia!R73</f>
        <v>144.19999999999999</v>
      </c>
      <c r="K75" s="48">
        <f t="shared" si="1"/>
        <v>887.96883199999991</v>
      </c>
      <c r="M75" s="11">
        <f>Predikcia!K73</f>
        <v>5</v>
      </c>
      <c r="N75" s="11">
        <v>5</v>
      </c>
    </row>
    <row r="76" spans="3:14" ht="15.75" thickBot="1">
      <c r="C76" s="107">
        <f>Predikcia!A74</f>
        <v>45691</v>
      </c>
      <c r="D76" s="46" t="str">
        <f>Predikcia!B74</f>
        <v>23:00:00</v>
      </c>
      <c r="E76" s="70">
        <f>Predikcia!G74</f>
        <v>7058</v>
      </c>
      <c r="F76" s="71">
        <f>'DHS2025'!C73</f>
        <v>11481</v>
      </c>
      <c r="G76" s="72">
        <f>'DHS2025'!D73</f>
        <v>1416</v>
      </c>
      <c r="H76" s="88">
        <v>4</v>
      </c>
      <c r="I76" s="87">
        <f>'DHS2025'!E73/1000</f>
        <v>4.1100000000000003</v>
      </c>
      <c r="J76" s="50">
        <f>Predikcia!R74</f>
        <v>135.81</v>
      </c>
      <c r="K76" s="48">
        <f t="shared" si="1"/>
        <v>544.78830900000003</v>
      </c>
      <c r="M76" s="11">
        <f>Predikcia!K74</f>
        <v>3</v>
      </c>
      <c r="N76" s="11">
        <v>3</v>
      </c>
    </row>
    <row r="77" spans="3:14" ht="15.75" thickBot="1">
      <c r="C77" s="104">
        <f>Predikcia!A75</f>
        <v>45692</v>
      </c>
      <c r="D77" s="43" t="str">
        <f>Predikcia!B75</f>
        <v>00:00:00</v>
      </c>
      <c r="E77" s="64">
        <f>Predikcia!G75</f>
        <v>7052.25</v>
      </c>
      <c r="F77" s="65">
        <f>'DHS2025'!C74</f>
        <v>8992</v>
      </c>
      <c r="G77" s="66">
        <f>'DHS2025'!D74</f>
        <v>4626</v>
      </c>
      <c r="H77" s="84">
        <v>4</v>
      </c>
      <c r="I77" s="85">
        <f>'DHS2025'!E74/1000</f>
        <v>4.056</v>
      </c>
      <c r="J77" s="50">
        <f>Predikcia!R75</f>
        <v>132.4</v>
      </c>
      <c r="K77" s="48">
        <f t="shared" si="1"/>
        <v>523.93785600000001</v>
      </c>
      <c r="M77" s="11">
        <f>Predikcia!K75</f>
        <v>3</v>
      </c>
      <c r="N77" s="11">
        <v>3</v>
      </c>
    </row>
    <row r="78" spans="3:14" ht="15.75" thickBot="1">
      <c r="C78" s="105">
        <f>Predikcia!A76</f>
        <v>45692</v>
      </c>
      <c r="D78" s="44" t="str">
        <f>Predikcia!B76</f>
        <v>01:00:00</v>
      </c>
      <c r="E78" s="67">
        <f>Predikcia!G76</f>
        <v>8763.5</v>
      </c>
      <c r="F78" s="68">
        <f>'DHS2025'!C75</f>
        <v>10479</v>
      </c>
      <c r="G78" s="69">
        <f>'DHS2025'!D75</f>
        <v>3274</v>
      </c>
      <c r="H78" s="86">
        <v>4</v>
      </c>
      <c r="I78" s="87">
        <f>'DHS2025'!E75/1000</f>
        <v>4.0449999999999999</v>
      </c>
      <c r="J78" s="50">
        <f>Predikcia!R76</f>
        <v>125.54</v>
      </c>
      <c r="K78" s="48">
        <f t="shared" si="1"/>
        <v>495.04570699999999</v>
      </c>
      <c r="M78" s="11">
        <f>Predikcia!K76</f>
        <v>4</v>
      </c>
      <c r="N78" s="11">
        <v>4</v>
      </c>
    </row>
    <row r="79" spans="3:14" ht="15.75" thickBot="1">
      <c r="C79" s="105">
        <f>Predikcia!A77</f>
        <v>45692</v>
      </c>
      <c r="D79" s="44" t="str">
        <f>Predikcia!B77</f>
        <v>02:00:00</v>
      </c>
      <c r="E79" s="67">
        <f>Predikcia!G77</f>
        <v>9493.5</v>
      </c>
      <c r="F79" s="68">
        <f>'DHS2025'!C76</f>
        <v>11063</v>
      </c>
      <c r="G79" s="69">
        <f>'DHS2025'!D76</f>
        <v>2397</v>
      </c>
      <c r="H79" s="86">
        <v>4</v>
      </c>
      <c r="I79" s="87">
        <f>'DHS2025'!E76/1000</f>
        <v>4.0919999999999996</v>
      </c>
      <c r="J79" s="50">
        <f>Predikcia!R77</f>
        <v>123.18</v>
      </c>
      <c r="K79" s="48">
        <f t="shared" si="1"/>
        <v>491.23723439999992</v>
      </c>
      <c r="M79" s="11">
        <f>Predikcia!K77</f>
        <v>4</v>
      </c>
      <c r="N79" s="11">
        <v>4</v>
      </c>
    </row>
    <row r="80" spans="3:14" ht="15.75" thickBot="1">
      <c r="C80" s="105">
        <f>Predikcia!A78</f>
        <v>45692</v>
      </c>
      <c r="D80" s="44" t="str">
        <f>Predikcia!B78</f>
        <v>03:00:00</v>
      </c>
      <c r="E80" s="67">
        <f>Predikcia!G78</f>
        <v>9919.75</v>
      </c>
      <c r="F80" s="68">
        <f>'DHS2025'!C77</f>
        <v>13418</v>
      </c>
      <c r="G80" s="69">
        <f>'DHS2025'!D77</f>
        <v>21</v>
      </c>
      <c r="H80" s="86">
        <v>4</v>
      </c>
      <c r="I80" s="87">
        <f>'DHS2025'!E77/1000</f>
        <v>4.0460000000000003</v>
      </c>
      <c r="J80" s="50">
        <f>Predikcia!R78</f>
        <v>123.99</v>
      </c>
      <c r="K80" s="48">
        <f t="shared" si="1"/>
        <v>488.95950459999995</v>
      </c>
      <c r="M80" s="11">
        <f>Predikcia!K78</f>
        <v>4</v>
      </c>
      <c r="N80" s="11">
        <v>4</v>
      </c>
    </row>
    <row r="81" spans="3:14" ht="15.75" thickBot="1">
      <c r="C81" s="105">
        <f>Predikcia!A79</f>
        <v>45692</v>
      </c>
      <c r="D81" s="44" t="str">
        <f>Predikcia!B79</f>
        <v>04:00:00</v>
      </c>
      <c r="E81" s="67">
        <f>Predikcia!G79</f>
        <v>15608</v>
      </c>
      <c r="F81" s="68">
        <f>'DHS2025'!C78</f>
        <v>14931</v>
      </c>
      <c r="G81" s="69">
        <f>'DHS2025'!D78</f>
        <v>86</v>
      </c>
      <c r="H81" s="86">
        <v>5</v>
      </c>
      <c r="I81" s="87">
        <f>'DHS2025'!E78/1000</f>
        <v>4.9669999999999996</v>
      </c>
      <c r="J81" s="50">
        <f>Predikcia!R79</f>
        <v>123.25</v>
      </c>
      <c r="K81" s="48">
        <f t="shared" si="1"/>
        <v>596.6236224999999</v>
      </c>
      <c r="M81" s="11">
        <f>Predikcia!K79</f>
        <v>5</v>
      </c>
      <c r="N81" s="11">
        <v>5</v>
      </c>
    </row>
    <row r="82" spans="3:14" ht="15.75" thickBot="1">
      <c r="C82" s="105">
        <f>Predikcia!A80</f>
        <v>45692</v>
      </c>
      <c r="D82" s="44" t="str">
        <f>Predikcia!B80</f>
        <v>05:00:00</v>
      </c>
      <c r="E82" s="67">
        <f>Predikcia!G80</f>
        <v>16163.5</v>
      </c>
      <c r="F82" s="68">
        <f>'DHS2025'!C79</f>
        <v>20918</v>
      </c>
      <c r="G82" s="69">
        <f>'DHS2025'!D79</f>
        <v>127</v>
      </c>
      <c r="H82" s="86">
        <v>8</v>
      </c>
      <c r="I82" s="87">
        <f>'DHS2025'!E79/1000</f>
        <v>6.55</v>
      </c>
      <c r="J82" s="50">
        <f>Predikcia!R80</f>
        <v>127.63</v>
      </c>
      <c r="K82" s="48">
        <f t="shared" si="1"/>
        <v>815.1717349999999</v>
      </c>
      <c r="M82" s="11">
        <f>Predikcia!K80</f>
        <v>6</v>
      </c>
      <c r="N82" s="11">
        <v>6</v>
      </c>
    </row>
    <row r="83" spans="3:14" ht="15.75" thickBot="1">
      <c r="C83" s="105">
        <f>Predikcia!A81</f>
        <v>45692</v>
      </c>
      <c r="D83" s="44" t="str">
        <f>Predikcia!B81</f>
        <v>06:00:00</v>
      </c>
      <c r="E83" s="67">
        <f>Predikcia!G81</f>
        <v>15824.25</v>
      </c>
      <c r="F83" s="68">
        <f>'DHS2025'!C80</f>
        <v>23528</v>
      </c>
      <c r="G83" s="69">
        <f>'DHS2025'!D80</f>
        <v>1409</v>
      </c>
      <c r="H83" s="86">
        <v>8</v>
      </c>
      <c r="I83" s="87">
        <f>'DHS2025'!E80/1000</f>
        <v>8.0739999999999998</v>
      </c>
      <c r="J83" s="50">
        <f>Predikcia!R81</f>
        <v>155.27000000000001</v>
      </c>
      <c r="K83" s="48">
        <f t="shared" si="1"/>
        <v>1225.7728802000001</v>
      </c>
      <c r="M83" s="11">
        <f>Predikcia!K81</f>
        <v>5</v>
      </c>
      <c r="N83" s="11">
        <v>8</v>
      </c>
    </row>
    <row r="84" spans="3:14" ht="15.75" thickBot="1">
      <c r="C84" s="105">
        <f>Predikcia!A82</f>
        <v>45692</v>
      </c>
      <c r="D84" s="44" t="str">
        <f>Predikcia!B82</f>
        <v>07:00:00</v>
      </c>
      <c r="E84" s="67">
        <f>Predikcia!G82</f>
        <v>13541.5</v>
      </c>
      <c r="F84" s="68">
        <f>'DHS2025'!C81</f>
        <v>17819</v>
      </c>
      <c r="G84" s="69">
        <f>'DHS2025'!D81</f>
        <v>7011</v>
      </c>
      <c r="H84" s="86">
        <v>8</v>
      </c>
      <c r="I84" s="87">
        <f>'DHS2025'!E81/1000</f>
        <v>8.0749999999999993</v>
      </c>
      <c r="J84" s="50">
        <f>Predikcia!R82</f>
        <v>190.93</v>
      </c>
      <c r="K84" s="48">
        <f t="shared" si="1"/>
        <v>1510.9996524999999</v>
      </c>
      <c r="M84" s="11">
        <f>Predikcia!K82</f>
        <v>5</v>
      </c>
      <c r="N84" s="11">
        <v>8</v>
      </c>
    </row>
    <row r="85" spans="3:14" ht="15.75" thickBot="1">
      <c r="C85" s="105">
        <f>Predikcia!A83</f>
        <v>45692</v>
      </c>
      <c r="D85" s="44" t="str">
        <f>Predikcia!B83</f>
        <v>08:00:00</v>
      </c>
      <c r="E85" s="67">
        <f>Predikcia!G83</f>
        <v>14254.25</v>
      </c>
      <c r="F85" s="68">
        <f>'DHS2025'!C82</f>
        <v>16675</v>
      </c>
      <c r="G85" s="69">
        <f>'DHS2025'!D82</f>
        <v>7898</v>
      </c>
      <c r="H85" s="86">
        <v>8</v>
      </c>
      <c r="I85" s="87">
        <f>'DHS2025'!E82/1000</f>
        <v>8.0909999999999993</v>
      </c>
      <c r="J85" s="50">
        <f>Predikcia!R83</f>
        <v>211.99</v>
      </c>
      <c r="K85" s="48">
        <f t="shared" si="1"/>
        <v>1682.6860790999999</v>
      </c>
      <c r="M85" s="11">
        <f>Predikcia!K83</f>
        <v>5</v>
      </c>
      <c r="N85" s="11">
        <v>8</v>
      </c>
    </row>
    <row r="86" spans="3:14" ht="15.75" thickBot="1">
      <c r="C86" s="105">
        <f>Predikcia!A84</f>
        <v>45692</v>
      </c>
      <c r="D86" s="44" t="str">
        <f>Predikcia!B84</f>
        <v>09:00:00</v>
      </c>
      <c r="E86" s="67">
        <f>Predikcia!G84</f>
        <v>14494.75</v>
      </c>
      <c r="F86" s="68">
        <f>'DHS2025'!C83</f>
        <v>17304</v>
      </c>
      <c r="G86" s="69">
        <f>'DHS2025'!D83</f>
        <v>6816</v>
      </c>
      <c r="H86" s="86">
        <v>8</v>
      </c>
      <c r="I86" s="87">
        <f>'DHS2025'!E83/1000</f>
        <v>8.0570000000000004</v>
      </c>
      <c r="J86" s="50">
        <f>Predikcia!R84</f>
        <v>163.31</v>
      </c>
      <c r="K86" s="48">
        <f t="shared" si="1"/>
        <v>1287.3224832999999</v>
      </c>
      <c r="M86" s="11">
        <f>Predikcia!K84</f>
        <v>5</v>
      </c>
      <c r="N86" s="11">
        <v>8</v>
      </c>
    </row>
    <row r="87" spans="3:14" ht="15.75" thickBot="1">
      <c r="C87" s="105">
        <f>Predikcia!A85</f>
        <v>45692</v>
      </c>
      <c r="D87" s="44" t="str">
        <f>Predikcia!B85</f>
        <v>10:00:00</v>
      </c>
      <c r="E87" s="67">
        <f>Predikcia!G85</f>
        <v>14665.5</v>
      </c>
      <c r="F87" s="68">
        <f>'DHS2025'!C84</f>
        <v>16158</v>
      </c>
      <c r="G87" s="69">
        <f>'DHS2025'!D84</f>
        <v>8240</v>
      </c>
      <c r="H87" s="86">
        <v>8</v>
      </c>
      <c r="I87" s="87">
        <f>'DHS2025'!E84/1000</f>
        <v>8.0440000000000005</v>
      </c>
      <c r="J87" s="50">
        <f>Predikcia!R85</f>
        <v>136.53</v>
      </c>
      <c r="K87" s="48">
        <f t="shared" si="1"/>
        <v>1071.9812468</v>
      </c>
      <c r="M87" s="11">
        <f>Predikcia!K85</f>
        <v>5</v>
      </c>
      <c r="N87" s="11">
        <v>8</v>
      </c>
    </row>
    <row r="88" spans="3:14" ht="15.75" thickBot="1">
      <c r="C88" s="105">
        <f>Predikcia!A86</f>
        <v>45692</v>
      </c>
      <c r="D88" s="44" t="str">
        <f>Predikcia!B86</f>
        <v>11:00:00</v>
      </c>
      <c r="E88" s="67">
        <f>Predikcia!G86</f>
        <v>13877.25</v>
      </c>
      <c r="F88" s="68">
        <f>'DHS2025'!C85</f>
        <v>12111</v>
      </c>
      <c r="G88" s="69">
        <f>'DHS2025'!D85</f>
        <v>8555</v>
      </c>
      <c r="H88" s="86">
        <v>5</v>
      </c>
      <c r="I88" s="87">
        <f>'DHS2025'!E85/1000</f>
        <v>6.9340000000000002</v>
      </c>
      <c r="J88" s="50">
        <f>Predikcia!R86</f>
        <v>126.74</v>
      </c>
      <c r="K88" s="48">
        <f t="shared" si="1"/>
        <v>856.85240839999994</v>
      </c>
      <c r="M88" s="11">
        <f>Predikcia!K86</f>
        <v>5</v>
      </c>
      <c r="N88" s="11">
        <v>5</v>
      </c>
    </row>
    <row r="89" spans="3:14" ht="15.75" thickBot="1">
      <c r="C89" s="105">
        <f>Predikcia!A87</f>
        <v>45692</v>
      </c>
      <c r="D89" s="44" t="str">
        <f>Predikcia!B87</f>
        <v>12:00:00</v>
      </c>
      <c r="E89" s="67">
        <f>Predikcia!G87</f>
        <v>13317.25</v>
      </c>
      <c r="F89" s="68">
        <f>'DHS2025'!C86</f>
        <v>13435</v>
      </c>
      <c r="G89" s="69">
        <f>'DHS2025'!D86</f>
        <v>3116</v>
      </c>
      <c r="H89" s="86">
        <v>5</v>
      </c>
      <c r="I89" s="87">
        <f>'DHS2025'!E86/1000</f>
        <v>5.0640000000000001</v>
      </c>
      <c r="J89" s="50">
        <f>Predikcia!R87</f>
        <v>117.72</v>
      </c>
      <c r="K89" s="48">
        <f t="shared" si="1"/>
        <v>580.55113919999997</v>
      </c>
      <c r="M89" s="11">
        <f>Predikcia!K87</f>
        <v>5</v>
      </c>
      <c r="N89" s="11">
        <v>5</v>
      </c>
    </row>
    <row r="90" spans="3:14" ht="15.75" thickBot="1">
      <c r="C90" s="105">
        <f>Predikcia!A88</f>
        <v>45692</v>
      </c>
      <c r="D90" s="44" t="str">
        <f>Predikcia!B88</f>
        <v>13:00:00</v>
      </c>
      <c r="E90" s="67">
        <f>Predikcia!G88</f>
        <v>14233.5</v>
      </c>
      <c r="F90" s="68">
        <f>'DHS2025'!C87</f>
        <v>13351</v>
      </c>
      <c r="G90" s="69">
        <f>'DHS2025'!D87</f>
        <v>3875</v>
      </c>
      <c r="H90" s="86">
        <v>8</v>
      </c>
      <c r="I90" s="87">
        <f>'DHS2025'!E87/1000</f>
        <v>5.8559999999999999</v>
      </c>
      <c r="J90" s="50">
        <f>Predikcia!R88</f>
        <v>113.18</v>
      </c>
      <c r="K90" s="48">
        <f t="shared" si="1"/>
        <v>645.02785919999997</v>
      </c>
      <c r="M90" s="11">
        <f>Predikcia!K88</f>
        <v>5</v>
      </c>
      <c r="N90" s="11">
        <v>5</v>
      </c>
    </row>
    <row r="91" spans="3:14" ht="15.75" thickBot="1">
      <c r="C91" s="105">
        <f>Predikcia!A89</f>
        <v>45692</v>
      </c>
      <c r="D91" s="44" t="str">
        <f>Predikcia!B89</f>
        <v>14:00:00</v>
      </c>
      <c r="E91" s="67">
        <f>Predikcia!G89</f>
        <v>13962.25</v>
      </c>
      <c r="F91" s="68">
        <f>'DHS2025'!C88</f>
        <v>13399</v>
      </c>
      <c r="G91" s="69">
        <f>'DHS2025'!D88</f>
        <v>10495</v>
      </c>
      <c r="H91" s="86">
        <v>8</v>
      </c>
      <c r="I91" s="87">
        <f>'DHS2025'!E88/1000</f>
        <v>8.0609999999999999</v>
      </c>
      <c r="J91" s="50">
        <f>Predikcia!R89</f>
        <v>120.09</v>
      </c>
      <c r="K91" s="48">
        <f t="shared" si="1"/>
        <v>943.04913509999994</v>
      </c>
      <c r="M91" s="11">
        <f>Predikcia!K89</f>
        <v>5</v>
      </c>
      <c r="N91" s="11">
        <v>5</v>
      </c>
    </row>
    <row r="92" spans="3:14" ht="15.75" thickBot="1">
      <c r="C92" s="105">
        <f>Predikcia!A90</f>
        <v>45692</v>
      </c>
      <c r="D92" s="44" t="str">
        <f>Predikcia!B90</f>
        <v>15:00:00</v>
      </c>
      <c r="E92" s="67">
        <f>Predikcia!G90</f>
        <v>13500.25</v>
      </c>
      <c r="F92" s="68">
        <f>'DHS2025'!C89</f>
        <v>14251</v>
      </c>
      <c r="G92" s="69">
        <f>'DHS2025'!D89</f>
        <v>9987</v>
      </c>
      <c r="H92" s="86">
        <v>8</v>
      </c>
      <c r="I92" s="87">
        <f>'DHS2025'!E89/1000</f>
        <v>8.0559999999999992</v>
      </c>
      <c r="J92" s="50">
        <f>Predikcia!R90</f>
        <v>142.77000000000001</v>
      </c>
      <c r="K92" s="48">
        <f t="shared" si="1"/>
        <v>1123.3471688</v>
      </c>
      <c r="M92" s="11">
        <f>Predikcia!K90</f>
        <v>5</v>
      </c>
      <c r="N92" s="11">
        <v>8</v>
      </c>
    </row>
    <row r="93" spans="3:14" ht="15.75" thickBot="1">
      <c r="C93" s="105">
        <f>Predikcia!A91</f>
        <v>45692</v>
      </c>
      <c r="D93" s="44" t="str">
        <f>Predikcia!B91</f>
        <v>16:00:00</v>
      </c>
      <c r="E93" s="67">
        <f>Predikcia!G91</f>
        <v>13600.25</v>
      </c>
      <c r="F93" s="68">
        <f>'DHS2025'!C90</f>
        <v>14146</v>
      </c>
      <c r="G93" s="69">
        <f>'DHS2025'!D90</f>
        <v>10209</v>
      </c>
      <c r="H93" s="86">
        <v>8</v>
      </c>
      <c r="I93" s="87">
        <f>'DHS2025'!E90/1000</f>
        <v>8.0589999999999993</v>
      </c>
      <c r="J93" s="50">
        <f>Predikcia!R91</f>
        <v>172.44</v>
      </c>
      <c r="K93" s="48">
        <f t="shared" si="1"/>
        <v>1360.4849203999997</v>
      </c>
      <c r="M93" s="11">
        <f>Predikcia!K91</f>
        <v>5</v>
      </c>
      <c r="N93" s="11">
        <v>8</v>
      </c>
    </row>
    <row r="94" spans="3:14" ht="15.75" thickBot="1">
      <c r="C94" s="105">
        <f>Predikcia!A92</f>
        <v>45692</v>
      </c>
      <c r="D94" s="44" t="str">
        <f>Predikcia!B92</f>
        <v>17:00:00</v>
      </c>
      <c r="E94" s="67">
        <f>Predikcia!G92</f>
        <v>14103</v>
      </c>
      <c r="F94" s="68">
        <f>'DHS2025'!C91</f>
        <v>15090</v>
      </c>
      <c r="G94" s="69">
        <f>'DHS2025'!D91</f>
        <v>8625</v>
      </c>
      <c r="H94" s="86">
        <v>8</v>
      </c>
      <c r="I94" s="87">
        <f>'DHS2025'!E91/1000</f>
        <v>8.0879999999999992</v>
      </c>
      <c r="J94" s="50">
        <f>Predikcia!R92</f>
        <v>181.87</v>
      </c>
      <c r="K94" s="48">
        <f t="shared" si="1"/>
        <v>1440.8877143999998</v>
      </c>
      <c r="M94" s="11">
        <f>Predikcia!K92</f>
        <v>5</v>
      </c>
      <c r="N94" s="11">
        <v>8</v>
      </c>
    </row>
    <row r="95" spans="3:14" ht="15.75" thickBot="1">
      <c r="C95" s="105">
        <f>Predikcia!A93</f>
        <v>45692</v>
      </c>
      <c r="D95" s="44" t="str">
        <f>Predikcia!B93</f>
        <v>18:00:00</v>
      </c>
      <c r="E95" s="67">
        <f>Predikcia!G93</f>
        <v>14684</v>
      </c>
      <c r="F95" s="68">
        <f>'DHS2025'!C92</f>
        <v>16699</v>
      </c>
      <c r="G95" s="69">
        <f>'DHS2025'!D92</f>
        <v>7349</v>
      </c>
      <c r="H95" s="86">
        <v>8</v>
      </c>
      <c r="I95" s="87">
        <f>'DHS2025'!E92/1000</f>
        <v>7.95</v>
      </c>
      <c r="J95" s="50">
        <f>Predikcia!R93</f>
        <v>175</v>
      </c>
      <c r="K95" s="48">
        <f t="shared" si="1"/>
        <v>1362.2325000000001</v>
      </c>
      <c r="M95" s="11">
        <f>Predikcia!K93</f>
        <v>5</v>
      </c>
      <c r="N95" s="11">
        <v>8</v>
      </c>
    </row>
    <row r="96" spans="3:14" ht="15.75" thickBot="1">
      <c r="C96" s="105">
        <f>Predikcia!A94</f>
        <v>45692</v>
      </c>
      <c r="D96" s="44" t="str">
        <f>Predikcia!B94</f>
        <v>19:00:00</v>
      </c>
      <c r="E96" s="67">
        <f>Predikcia!G94</f>
        <v>15352.75</v>
      </c>
      <c r="F96" s="68">
        <f>'DHS2025'!C93</f>
        <v>17116</v>
      </c>
      <c r="G96" s="69">
        <f>'DHS2025'!D93</f>
        <v>7534</v>
      </c>
      <c r="H96" s="86">
        <v>8</v>
      </c>
      <c r="I96" s="87">
        <f>'DHS2025'!E93/1000</f>
        <v>8.0559999999999992</v>
      </c>
      <c r="J96" s="50">
        <f>Predikcia!R94</f>
        <v>174.53</v>
      </c>
      <c r="K96" s="48">
        <f t="shared" si="1"/>
        <v>1376.6471431999996</v>
      </c>
      <c r="M96" s="11">
        <f>Predikcia!K94</f>
        <v>5</v>
      </c>
      <c r="N96" s="11">
        <v>8</v>
      </c>
    </row>
    <row r="97" spans="3:14" ht="15.75" thickBot="1">
      <c r="C97" s="105">
        <f>Predikcia!A95</f>
        <v>45692</v>
      </c>
      <c r="D97" s="44" t="str">
        <f>Predikcia!B95</f>
        <v>20:00:00</v>
      </c>
      <c r="E97" s="67">
        <f>Predikcia!G95</f>
        <v>15480.75</v>
      </c>
      <c r="F97" s="68">
        <f>'DHS2025'!C94</f>
        <v>18538</v>
      </c>
      <c r="G97" s="69">
        <f>'DHS2025'!D94</f>
        <v>6481</v>
      </c>
      <c r="H97" s="86">
        <v>8</v>
      </c>
      <c r="I97" s="87">
        <f>'DHS2025'!E94/1000</f>
        <v>8.0570000000000004</v>
      </c>
      <c r="J97" s="50">
        <f>Predikcia!R95</f>
        <v>164.78</v>
      </c>
      <c r="K97" s="48">
        <f t="shared" si="1"/>
        <v>1299.0478354000002</v>
      </c>
      <c r="M97" s="11">
        <f>Predikcia!K95</f>
        <v>5</v>
      </c>
      <c r="N97" s="11">
        <v>8</v>
      </c>
    </row>
    <row r="98" spans="3:14" ht="15.75" thickBot="1">
      <c r="C98" s="105">
        <f>Predikcia!A96</f>
        <v>45692</v>
      </c>
      <c r="D98" s="44" t="str">
        <f>Predikcia!B96</f>
        <v>21:00:00</v>
      </c>
      <c r="E98" s="67">
        <f>Predikcia!G96</f>
        <v>15544.75</v>
      </c>
      <c r="F98" s="68">
        <f>'DHS2025'!C95</f>
        <v>18766</v>
      </c>
      <c r="G98" s="69">
        <f>'DHS2025'!D95</f>
        <v>5932</v>
      </c>
      <c r="H98" s="86">
        <v>8</v>
      </c>
      <c r="I98" s="87">
        <f>'DHS2025'!E95/1000</f>
        <v>8.0570000000000004</v>
      </c>
      <c r="J98" s="50">
        <f>Predikcia!R96</f>
        <v>139.07</v>
      </c>
      <c r="K98" s="48">
        <f t="shared" si="1"/>
        <v>1093.9738200999998</v>
      </c>
      <c r="M98" s="11">
        <f>Predikcia!K96</f>
        <v>5</v>
      </c>
      <c r="N98" s="11">
        <v>8</v>
      </c>
    </row>
    <row r="99" spans="3:14" ht="15.75" thickBot="1">
      <c r="C99" s="105">
        <f>Predikcia!A97</f>
        <v>45692</v>
      </c>
      <c r="D99" s="44" t="str">
        <f>Predikcia!B97</f>
        <v>22:00:00</v>
      </c>
      <c r="E99" s="67">
        <f>Predikcia!G97</f>
        <v>13060</v>
      </c>
      <c r="F99" s="68">
        <f>'DHS2025'!C96</f>
        <v>15901</v>
      </c>
      <c r="G99" s="69">
        <f>'DHS2025'!D96</f>
        <v>1888</v>
      </c>
      <c r="H99" s="86">
        <v>5</v>
      </c>
      <c r="I99" s="87">
        <f>'DHS2025'!E96/1000</f>
        <v>5.3010000000000002</v>
      </c>
      <c r="J99" s="50">
        <f>Predikcia!R97</f>
        <v>131.07</v>
      </c>
      <c r="K99" s="48">
        <f t="shared" si="1"/>
        <v>677.78214930000001</v>
      </c>
      <c r="M99" s="11">
        <f>Predikcia!K97</f>
        <v>5</v>
      </c>
      <c r="N99" s="11">
        <v>5</v>
      </c>
    </row>
    <row r="100" spans="3:14" ht="15.75" thickBot="1">
      <c r="C100" s="106">
        <f>Predikcia!A98</f>
        <v>45692</v>
      </c>
      <c r="D100" s="45" t="str">
        <f>Predikcia!B98</f>
        <v>23:00:00</v>
      </c>
      <c r="E100" s="70">
        <f>Predikcia!G98</f>
        <v>6933.75</v>
      </c>
      <c r="F100" s="71">
        <f>'DHS2025'!C97</f>
        <v>9836</v>
      </c>
      <c r="G100" s="72">
        <f>'DHS2025'!D97</f>
        <v>2121</v>
      </c>
      <c r="H100" s="88">
        <v>3</v>
      </c>
      <c r="I100" s="87">
        <f>'DHS2025'!E97/1000</f>
        <v>3.9670000000000001</v>
      </c>
      <c r="J100" s="50">
        <f>Predikcia!R98</f>
        <v>123.54</v>
      </c>
      <c r="K100" s="48">
        <f t="shared" si="1"/>
        <v>477.64504820000002</v>
      </c>
      <c r="M100" s="11">
        <f>Predikcia!K98</f>
        <v>3</v>
      </c>
      <c r="N100" s="11">
        <v>3</v>
      </c>
    </row>
    <row r="101" spans="3:14" ht="15.75" thickBot="1">
      <c r="C101" s="102">
        <f>Predikcia!A99</f>
        <v>45693</v>
      </c>
      <c r="D101" s="41" t="str">
        <f>Predikcia!B99</f>
        <v>00:00:00</v>
      </c>
      <c r="E101" s="64">
        <f>Predikcia!G99</f>
        <v>7265.75</v>
      </c>
      <c r="F101" s="65">
        <f>'DHS2025'!C98</f>
        <v>9301</v>
      </c>
      <c r="G101" s="66">
        <f>'DHS2025'!D98</f>
        <v>2032</v>
      </c>
      <c r="H101" s="84">
        <v>3</v>
      </c>
      <c r="I101" s="85">
        <f>'DHS2025'!E98/1000</f>
        <v>3.0430000000000001</v>
      </c>
      <c r="J101" s="50">
        <f>Predikcia!R99</f>
        <v>115.63</v>
      </c>
      <c r="K101" s="48">
        <f t="shared" si="1"/>
        <v>342.56176909999999</v>
      </c>
      <c r="M101" s="11">
        <f>Predikcia!K99</f>
        <v>3</v>
      </c>
      <c r="N101" s="11">
        <v>3</v>
      </c>
    </row>
    <row r="102" spans="3:14" ht="15.75" thickBot="1">
      <c r="C102" s="103">
        <f>Predikcia!A100</f>
        <v>45693</v>
      </c>
      <c r="D102" s="42" t="str">
        <f>Predikcia!B100</f>
        <v>01:00:00</v>
      </c>
      <c r="E102" s="67">
        <f>Predikcia!G100</f>
        <v>7538.25</v>
      </c>
      <c r="F102" s="68">
        <f>'DHS2025'!C99</f>
        <v>10779</v>
      </c>
      <c r="G102" s="69">
        <f>'DHS2025'!D99</f>
        <v>88</v>
      </c>
      <c r="H102" s="86">
        <v>3</v>
      </c>
      <c r="I102" s="87">
        <f>'DHS2025'!E99/1000</f>
        <v>3.0419999999999998</v>
      </c>
      <c r="J102" s="50">
        <f>Predikcia!R100</f>
        <v>111.13</v>
      </c>
      <c r="K102" s="48">
        <f t="shared" si="1"/>
        <v>328.89708539999992</v>
      </c>
      <c r="M102" s="11">
        <f>Predikcia!K100</f>
        <v>3</v>
      </c>
      <c r="N102" s="11">
        <v>3</v>
      </c>
    </row>
    <row r="103" spans="3:14" ht="15.75" thickBot="1">
      <c r="C103" s="103">
        <f>Predikcia!A101</f>
        <v>45693</v>
      </c>
      <c r="D103" s="42" t="str">
        <f>Predikcia!B101</f>
        <v>02:00:00</v>
      </c>
      <c r="E103" s="67">
        <f>Predikcia!G101</f>
        <v>8478.25</v>
      </c>
      <c r="F103" s="68">
        <f>'DHS2025'!C100</f>
        <v>11914</v>
      </c>
      <c r="G103" s="69">
        <f>'DHS2025'!D100</f>
        <v>2779</v>
      </c>
      <c r="H103" s="86">
        <v>4</v>
      </c>
      <c r="I103" s="87">
        <f>'DHS2025'!E100/1000</f>
        <v>3.9790000000000001</v>
      </c>
      <c r="J103" s="50">
        <f>Predikcia!R101</f>
        <v>110.47</v>
      </c>
      <c r="K103" s="48">
        <f t="shared" si="1"/>
        <v>427.60442870000003</v>
      </c>
      <c r="M103" s="11">
        <f>Predikcia!K101</f>
        <v>4</v>
      </c>
      <c r="N103" s="11">
        <v>4</v>
      </c>
    </row>
    <row r="104" spans="3:14" ht="15.75" thickBot="1">
      <c r="C104" s="103">
        <f>Predikcia!A102</f>
        <v>45693</v>
      </c>
      <c r="D104" s="42" t="str">
        <f>Predikcia!B102</f>
        <v>03:00:00</v>
      </c>
      <c r="E104" s="67">
        <f>Predikcia!G102</f>
        <v>9614.25</v>
      </c>
      <c r="F104" s="68">
        <f>'DHS2025'!C101</f>
        <v>14098</v>
      </c>
      <c r="G104" s="69">
        <f>'DHS2025'!D101</f>
        <v>155</v>
      </c>
      <c r="H104" s="86">
        <v>4</v>
      </c>
      <c r="I104" s="87">
        <f>'DHS2025'!E101/1000</f>
        <v>4.048</v>
      </c>
      <c r="J104" s="50">
        <f>Predikcia!R102</f>
        <v>109.3</v>
      </c>
      <c r="K104" s="48">
        <f t="shared" si="1"/>
        <v>430.33073599999994</v>
      </c>
      <c r="M104" s="11">
        <f>Predikcia!K102</f>
        <v>4</v>
      </c>
      <c r="N104" s="11">
        <v>4</v>
      </c>
    </row>
    <row r="105" spans="3:14" ht="15.75" thickBot="1">
      <c r="C105" s="103">
        <f>Predikcia!A103</f>
        <v>45693</v>
      </c>
      <c r="D105" s="42" t="str">
        <f>Predikcia!B103</f>
        <v>04:00:00</v>
      </c>
      <c r="E105" s="67">
        <f>Predikcia!G103</f>
        <v>16307.5</v>
      </c>
      <c r="F105" s="68">
        <f>'DHS2025'!C102</f>
        <v>19460</v>
      </c>
      <c r="G105" s="69">
        <f>'DHS2025'!D102</f>
        <v>115</v>
      </c>
      <c r="H105" s="86">
        <v>6</v>
      </c>
      <c r="I105" s="87">
        <f>'DHS2025'!E102/1000</f>
        <v>6.06</v>
      </c>
      <c r="J105" s="50">
        <f>Predikcia!R103</f>
        <v>115.49</v>
      </c>
      <c r="K105" s="48">
        <f t="shared" si="1"/>
        <v>681.35670599999992</v>
      </c>
      <c r="M105" s="11">
        <f>Predikcia!K103</f>
        <v>6</v>
      </c>
      <c r="N105" s="11">
        <v>6</v>
      </c>
    </row>
    <row r="106" spans="3:14" ht="15.75" thickBot="1">
      <c r="C106" s="103">
        <f>Predikcia!A104</f>
        <v>45693</v>
      </c>
      <c r="D106" s="42" t="str">
        <f>Predikcia!B104</f>
        <v>05:00:00</v>
      </c>
      <c r="E106" s="67">
        <f>Predikcia!G104</f>
        <v>16473.75</v>
      </c>
      <c r="F106" s="68">
        <f>'DHS2025'!C103</f>
        <v>21568</v>
      </c>
      <c r="G106" s="69">
        <f>'DHS2025'!D103</f>
        <v>8986</v>
      </c>
      <c r="H106" s="86">
        <v>8</v>
      </c>
      <c r="I106" s="87">
        <f>'DHS2025'!E103/1000</f>
        <v>8.0570000000000004</v>
      </c>
      <c r="J106" s="50">
        <f>Predikcia!R104</f>
        <v>122.51</v>
      </c>
      <c r="K106" s="48">
        <f t="shared" si="1"/>
        <v>961.88413930000002</v>
      </c>
      <c r="M106" s="11">
        <f>Predikcia!K104</f>
        <v>6</v>
      </c>
      <c r="N106" s="11">
        <v>6</v>
      </c>
    </row>
    <row r="107" spans="3:14" ht="15.75" thickBot="1">
      <c r="C107" s="103">
        <f>Predikcia!A105</f>
        <v>45693</v>
      </c>
      <c r="D107" s="42" t="str">
        <f>Predikcia!B105</f>
        <v>06:00:00</v>
      </c>
      <c r="E107" s="67">
        <f>Predikcia!G105</f>
        <v>17715.5</v>
      </c>
      <c r="F107" s="68">
        <f>'DHS2025'!C104</f>
        <v>19868</v>
      </c>
      <c r="G107" s="69">
        <f>'DHS2025'!D104</f>
        <v>4539</v>
      </c>
      <c r="H107" s="86">
        <v>8</v>
      </c>
      <c r="I107" s="87">
        <f>'DHS2025'!E104/1000</f>
        <v>8.0449999999999999</v>
      </c>
      <c r="J107" s="50">
        <f>Predikcia!R105</f>
        <v>152.16999999999999</v>
      </c>
      <c r="K107" s="48">
        <f t="shared" si="1"/>
        <v>1196.6800734999997</v>
      </c>
      <c r="M107" s="11">
        <f>Predikcia!K105</f>
        <v>6</v>
      </c>
      <c r="N107" s="11">
        <v>8</v>
      </c>
    </row>
    <row r="108" spans="3:14" ht="15.75" thickBot="1">
      <c r="C108" s="103">
        <f>Predikcia!A106</f>
        <v>45693</v>
      </c>
      <c r="D108" s="42" t="str">
        <f>Predikcia!B106</f>
        <v>07:00:00</v>
      </c>
      <c r="E108" s="67">
        <f>Predikcia!G106</f>
        <v>16636.5</v>
      </c>
      <c r="F108" s="68">
        <f>'DHS2025'!C105</f>
        <v>18404</v>
      </c>
      <c r="G108" s="69">
        <f>'DHS2025'!D105</f>
        <v>6774</v>
      </c>
      <c r="H108" s="86">
        <v>8</v>
      </c>
      <c r="I108" s="87">
        <f>'DHS2025'!E105/1000</f>
        <v>8.0869999999999997</v>
      </c>
      <c r="J108" s="50">
        <f>Predikcia!R106</f>
        <v>169.39</v>
      </c>
      <c r="K108" s="48">
        <f t="shared" si="1"/>
        <v>1340.7930606999996</v>
      </c>
      <c r="M108" s="11">
        <f>Predikcia!K106</f>
        <v>6</v>
      </c>
      <c r="N108" s="11">
        <v>8</v>
      </c>
    </row>
    <row r="109" spans="3:14" ht="15.75" thickBot="1">
      <c r="C109" s="103">
        <f>Predikcia!A107</f>
        <v>45693</v>
      </c>
      <c r="D109" s="42" t="str">
        <f>Predikcia!B107</f>
        <v>08:00:00</v>
      </c>
      <c r="E109" s="67">
        <f>Predikcia!G107</f>
        <v>15707.25</v>
      </c>
      <c r="F109" s="68">
        <f>'DHS2025'!C106</f>
        <v>16678</v>
      </c>
      <c r="G109" s="69">
        <f>'DHS2025'!D106</f>
        <v>7939</v>
      </c>
      <c r="H109" s="86">
        <v>8</v>
      </c>
      <c r="I109" s="87">
        <f>'DHS2025'!E106/1000</f>
        <v>8.0719999999999992</v>
      </c>
      <c r="J109" s="50">
        <f>Predikcia!R107</f>
        <v>180.81</v>
      </c>
      <c r="K109" s="48">
        <f t="shared" si="1"/>
        <v>1429.5665367999998</v>
      </c>
      <c r="M109" s="11">
        <f>Predikcia!K107</f>
        <v>5</v>
      </c>
      <c r="N109" s="11">
        <v>8</v>
      </c>
    </row>
    <row r="110" spans="3:14" ht="15.75" thickBot="1">
      <c r="C110" s="103">
        <f>Predikcia!A108</f>
        <v>45693</v>
      </c>
      <c r="D110" s="42" t="str">
        <f>Predikcia!B108</f>
        <v>09:00:00</v>
      </c>
      <c r="E110" s="67">
        <f>Predikcia!G108</f>
        <v>15893.25</v>
      </c>
      <c r="F110" s="68">
        <f>'DHS2025'!C107</f>
        <v>16971</v>
      </c>
      <c r="G110" s="69">
        <f>'DHS2025'!D107</f>
        <v>6704</v>
      </c>
      <c r="H110" s="86">
        <v>8</v>
      </c>
      <c r="I110" s="87">
        <f>'DHS2025'!E107/1000</f>
        <v>8.06</v>
      </c>
      <c r="J110" s="50">
        <f>Predikcia!R108</f>
        <v>159.33000000000001</v>
      </c>
      <c r="K110" s="48">
        <f t="shared" si="1"/>
        <v>1256.0438020000001</v>
      </c>
      <c r="M110" s="11">
        <f>Predikcia!K108</f>
        <v>5</v>
      </c>
      <c r="N110" s="11">
        <v>8</v>
      </c>
    </row>
    <row r="111" spans="3:14" ht="15.75" thickBot="1">
      <c r="C111" s="103">
        <f>Predikcia!A109</f>
        <v>45693</v>
      </c>
      <c r="D111" s="42" t="str">
        <f>Predikcia!B109</f>
        <v>10:00:00</v>
      </c>
      <c r="E111" s="67">
        <f>Predikcia!G109</f>
        <v>15125.25</v>
      </c>
      <c r="F111" s="68">
        <f>'DHS2025'!C108</f>
        <v>15419</v>
      </c>
      <c r="G111" s="69">
        <f>'DHS2025'!D108</f>
        <v>8966</v>
      </c>
      <c r="H111" s="86">
        <v>8</v>
      </c>
      <c r="I111" s="87">
        <f>'DHS2025'!E108/1000</f>
        <v>8.0519999999999996</v>
      </c>
      <c r="J111" s="50">
        <f>Predikcia!R109</f>
        <v>133.86000000000001</v>
      </c>
      <c r="K111" s="48">
        <f t="shared" si="1"/>
        <v>1051.7635127999999</v>
      </c>
      <c r="M111" s="11">
        <f>Predikcia!K109</f>
        <v>5</v>
      </c>
      <c r="N111" s="11">
        <v>8</v>
      </c>
    </row>
    <row r="112" spans="3:14" ht="15.75" thickBot="1">
      <c r="C112" s="103">
        <f>Predikcia!A110</f>
        <v>45693</v>
      </c>
      <c r="D112" s="42" t="str">
        <f>Predikcia!B110</f>
        <v>11:00:00</v>
      </c>
      <c r="E112" s="67">
        <f>Predikcia!G110</f>
        <v>14697.75</v>
      </c>
      <c r="F112" s="68">
        <f>'DHS2025'!C109</f>
        <v>15108</v>
      </c>
      <c r="G112" s="69">
        <f>'DHS2025'!D109</f>
        <v>5045</v>
      </c>
      <c r="H112" s="86">
        <v>5</v>
      </c>
      <c r="I112" s="87">
        <f>'DHS2025'!E109/1000</f>
        <v>6.42</v>
      </c>
      <c r="J112" s="50">
        <f>Predikcia!R110</f>
        <v>122.52</v>
      </c>
      <c r="K112" s="48">
        <f t="shared" si="1"/>
        <v>766.51461599999993</v>
      </c>
      <c r="M112" s="11">
        <f>Predikcia!K110</f>
        <v>5</v>
      </c>
      <c r="N112" s="11">
        <v>5</v>
      </c>
    </row>
    <row r="113" spans="3:14" ht="15.75" thickBot="1">
      <c r="C113" s="103">
        <f>Predikcia!A111</f>
        <v>45693</v>
      </c>
      <c r="D113" s="42" t="str">
        <f>Predikcia!B111</f>
        <v>12:00:00</v>
      </c>
      <c r="E113" s="67">
        <f>Predikcia!G111</f>
        <v>14365</v>
      </c>
      <c r="F113" s="68">
        <f>'DHS2025'!C110</f>
        <v>12888</v>
      </c>
      <c r="G113" s="69">
        <f>'DHS2025'!D110</f>
        <v>3110</v>
      </c>
      <c r="H113" s="86">
        <v>5</v>
      </c>
      <c r="I113" s="87">
        <f>'DHS2025'!E110/1000</f>
        <v>5.0620000000000003</v>
      </c>
      <c r="J113" s="50">
        <f>Predikcia!R111</f>
        <v>117.45</v>
      </c>
      <c r="K113" s="48">
        <f t="shared" si="1"/>
        <v>578.96878100000004</v>
      </c>
      <c r="M113" s="11">
        <f>Predikcia!K111</f>
        <v>5</v>
      </c>
      <c r="N113" s="11">
        <v>5</v>
      </c>
    </row>
    <row r="114" spans="3:14" ht="15.75" thickBot="1">
      <c r="C114" s="103">
        <f>Predikcia!A112</f>
        <v>45693</v>
      </c>
      <c r="D114" s="42" t="str">
        <f>Predikcia!B112</f>
        <v>13:00:00</v>
      </c>
      <c r="E114" s="67">
        <f>Predikcia!G112</f>
        <v>14518.75</v>
      </c>
      <c r="F114" s="68">
        <f>'DHS2025'!C111</f>
        <v>12278</v>
      </c>
      <c r="G114" s="69">
        <f>'DHS2025'!D111</f>
        <v>3581</v>
      </c>
      <c r="H114" s="86">
        <v>5</v>
      </c>
      <c r="I114" s="87">
        <f>'DHS2025'!E111/1000</f>
        <v>5.0540000000000003</v>
      </c>
      <c r="J114" s="50">
        <f>Predikcia!R112</f>
        <v>119.69</v>
      </c>
      <c r="K114" s="48">
        <f t="shared" si="1"/>
        <v>589.26152739999998</v>
      </c>
      <c r="M114" s="11">
        <f>Predikcia!K112</f>
        <v>5</v>
      </c>
      <c r="N114" s="11">
        <v>5</v>
      </c>
    </row>
    <row r="115" spans="3:14" ht="15.75" thickBot="1">
      <c r="C115" s="103">
        <f>Predikcia!A113</f>
        <v>45693</v>
      </c>
      <c r="D115" s="42" t="str">
        <f>Predikcia!B113</f>
        <v>14:00:00</v>
      </c>
      <c r="E115" s="67">
        <f>Predikcia!G113</f>
        <v>14248</v>
      </c>
      <c r="F115" s="68">
        <f>'DHS2025'!C112</f>
        <v>12193</v>
      </c>
      <c r="G115" s="69">
        <f>'DHS2025'!D112</f>
        <v>8327</v>
      </c>
      <c r="H115" s="86">
        <v>8</v>
      </c>
      <c r="I115" s="87">
        <f>'DHS2025'!E112/1000</f>
        <v>6.7850000000000001</v>
      </c>
      <c r="J115" s="50">
        <f>Predikcia!R113</f>
        <v>128.85</v>
      </c>
      <c r="K115" s="48">
        <f t="shared" si="1"/>
        <v>852.61327749999998</v>
      </c>
      <c r="M115" s="11">
        <f>Predikcia!K113</f>
        <v>5</v>
      </c>
      <c r="N115" s="11">
        <v>5</v>
      </c>
    </row>
    <row r="116" spans="3:14" ht="15.75" thickBot="1">
      <c r="C116" s="103">
        <f>Predikcia!A114</f>
        <v>45693</v>
      </c>
      <c r="D116" s="42" t="str">
        <f>Predikcia!B114</f>
        <v>15:00:00</v>
      </c>
      <c r="E116" s="67">
        <f>Predikcia!G114</f>
        <v>14385</v>
      </c>
      <c r="F116" s="68">
        <f>'DHS2025'!C113</f>
        <v>13056</v>
      </c>
      <c r="G116" s="69">
        <f>'DHS2025'!D113</f>
        <v>11246</v>
      </c>
      <c r="H116" s="86">
        <v>8</v>
      </c>
      <c r="I116" s="87">
        <f>'DHS2025'!E113/1000</f>
        <v>8.0670000000000002</v>
      </c>
      <c r="J116" s="50">
        <f>Predikcia!R114</f>
        <v>144.12</v>
      </c>
      <c r="K116" s="48">
        <f t="shared" si="1"/>
        <v>1135.6625795999998</v>
      </c>
      <c r="M116" s="11">
        <f>Predikcia!K114</f>
        <v>5</v>
      </c>
      <c r="N116" s="11">
        <v>8</v>
      </c>
    </row>
    <row r="117" spans="3:14" ht="15.75" thickBot="1">
      <c r="C117" s="103">
        <f>Predikcia!A115</f>
        <v>45693</v>
      </c>
      <c r="D117" s="42" t="str">
        <f>Predikcia!B115</f>
        <v>16:00:00</v>
      </c>
      <c r="E117" s="67">
        <f>Predikcia!G115</f>
        <v>14286.5</v>
      </c>
      <c r="F117" s="68">
        <f>'DHS2025'!C114</f>
        <v>13598</v>
      </c>
      <c r="G117" s="69">
        <f>'DHS2025'!D114</f>
        <v>10736</v>
      </c>
      <c r="H117" s="86">
        <v>8</v>
      </c>
      <c r="I117" s="87">
        <f>'DHS2025'!E114/1000</f>
        <v>8.0449999999999999</v>
      </c>
      <c r="J117" s="50">
        <f>Predikcia!R115</f>
        <v>159.97</v>
      </c>
      <c r="K117" s="48">
        <f t="shared" si="1"/>
        <v>1258.8035634999999</v>
      </c>
      <c r="M117" s="11">
        <f>Predikcia!K115</f>
        <v>5</v>
      </c>
      <c r="N117" s="11">
        <v>8</v>
      </c>
    </row>
    <row r="118" spans="3:14" ht="15.75" thickBot="1">
      <c r="C118" s="103">
        <f>Predikcia!A116</f>
        <v>45693</v>
      </c>
      <c r="D118" s="42" t="str">
        <f>Predikcia!B116</f>
        <v>17:00:00</v>
      </c>
      <c r="E118" s="67">
        <f>Predikcia!G116</f>
        <v>14882.5</v>
      </c>
      <c r="F118" s="68">
        <f>'DHS2025'!C115</f>
        <v>14829</v>
      </c>
      <c r="G118" s="69">
        <f>'DHS2025'!D115</f>
        <v>8793</v>
      </c>
      <c r="H118" s="86">
        <v>8</v>
      </c>
      <c r="I118" s="87">
        <f>'DHS2025'!E115/1000</f>
        <v>8.0579999999999998</v>
      </c>
      <c r="J118" s="50">
        <f>Predikcia!R116</f>
        <v>177.15</v>
      </c>
      <c r="K118" s="48">
        <f t="shared" si="1"/>
        <v>1397.8897529999999</v>
      </c>
      <c r="M118" s="11">
        <f>Predikcia!K116</f>
        <v>5</v>
      </c>
      <c r="N118" s="11">
        <v>8</v>
      </c>
    </row>
    <row r="119" spans="3:14" ht="15.75" thickBot="1">
      <c r="C119" s="103">
        <f>Predikcia!A117</f>
        <v>45693</v>
      </c>
      <c r="D119" s="42" t="str">
        <f>Predikcia!B117</f>
        <v>18:00:00</v>
      </c>
      <c r="E119" s="67">
        <f>Predikcia!G117</f>
        <v>15154.25</v>
      </c>
      <c r="F119" s="68">
        <f>'DHS2025'!C116</f>
        <v>16830</v>
      </c>
      <c r="G119" s="69">
        <f>'DHS2025'!D116</f>
        <v>7150</v>
      </c>
      <c r="H119" s="86">
        <v>8</v>
      </c>
      <c r="I119" s="87">
        <f>'DHS2025'!E116/1000</f>
        <v>8.0589999999999993</v>
      </c>
      <c r="J119" s="50">
        <f>Predikcia!R117</f>
        <v>189.9</v>
      </c>
      <c r="K119" s="48">
        <f t="shared" si="1"/>
        <v>1499.7879589999998</v>
      </c>
      <c r="M119" s="11">
        <f>Predikcia!K117</f>
        <v>5</v>
      </c>
      <c r="N119" s="11">
        <v>8</v>
      </c>
    </row>
    <row r="120" spans="3:14" ht="15.75" thickBot="1">
      <c r="C120" s="103">
        <f>Predikcia!A118</f>
        <v>45693</v>
      </c>
      <c r="D120" s="42" t="str">
        <f>Predikcia!B118</f>
        <v>19:00:00</v>
      </c>
      <c r="E120" s="67">
        <f>Predikcia!G118</f>
        <v>15394</v>
      </c>
      <c r="F120" s="68">
        <f>'DHS2025'!C117</f>
        <v>17185</v>
      </c>
      <c r="G120" s="69">
        <f>'DHS2025'!D117</f>
        <v>7038</v>
      </c>
      <c r="H120" s="86">
        <v>8</v>
      </c>
      <c r="I120" s="87">
        <f>'DHS2025'!E117/1000</f>
        <v>8.0559999999999992</v>
      </c>
      <c r="J120" s="50">
        <f>Predikcia!R118</f>
        <v>189.63</v>
      </c>
      <c r="K120" s="48">
        <f t="shared" si="1"/>
        <v>1497.0762871999998</v>
      </c>
      <c r="M120" s="11">
        <f>Predikcia!K118</f>
        <v>5</v>
      </c>
      <c r="N120" s="11">
        <v>8</v>
      </c>
    </row>
    <row r="121" spans="3:14" ht="15.75" thickBot="1">
      <c r="C121" s="103">
        <f>Predikcia!A119</f>
        <v>45693</v>
      </c>
      <c r="D121" s="42" t="str">
        <f>Predikcia!B119</f>
        <v>20:00:00</v>
      </c>
      <c r="E121" s="67">
        <f>Predikcia!G119</f>
        <v>15158.25</v>
      </c>
      <c r="F121" s="68">
        <f>'DHS2025'!C118</f>
        <v>18107</v>
      </c>
      <c r="G121" s="69">
        <f>'DHS2025'!D118</f>
        <v>7013</v>
      </c>
      <c r="H121" s="86">
        <v>8</v>
      </c>
      <c r="I121" s="87">
        <f>'DHS2025'!E118/1000</f>
        <v>8.06</v>
      </c>
      <c r="J121" s="50">
        <f>Predikcia!R119</f>
        <v>170</v>
      </c>
      <c r="K121" s="48">
        <f t="shared" si="1"/>
        <v>1341.1840000000002</v>
      </c>
      <c r="M121" s="11">
        <f>Predikcia!K119</f>
        <v>5</v>
      </c>
      <c r="N121" s="11">
        <v>8</v>
      </c>
    </row>
    <row r="122" spans="3:14" ht="15.75" thickBot="1">
      <c r="C122" s="103">
        <f>Predikcia!A120</f>
        <v>45693</v>
      </c>
      <c r="D122" s="42" t="str">
        <f>Predikcia!B120</f>
        <v>21:00:00</v>
      </c>
      <c r="E122" s="67">
        <f>Predikcia!G120</f>
        <v>15555</v>
      </c>
      <c r="F122" s="68">
        <f>'DHS2025'!C119</f>
        <v>17087</v>
      </c>
      <c r="G122" s="69">
        <f>'DHS2025'!D119</f>
        <v>5632</v>
      </c>
      <c r="H122" s="86">
        <v>8</v>
      </c>
      <c r="I122" s="87">
        <f>'DHS2025'!E119/1000</f>
        <v>8.0540000000000003</v>
      </c>
      <c r="J122" s="50">
        <f>Predikcia!R120</f>
        <v>155.41999999999999</v>
      </c>
      <c r="K122" s="48">
        <f t="shared" si="1"/>
        <v>1223.9325531999998</v>
      </c>
      <c r="M122" s="11">
        <f>Predikcia!K120</f>
        <v>5</v>
      </c>
      <c r="N122" s="11">
        <v>8</v>
      </c>
    </row>
    <row r="123" spans="3:14" ht="15.75" thickBot="1">
      <c r="C123" s="103">
        <f>Predikcia!A121</f>
        <v>45693</v>
      </c>
      <c r="D123" s="42" t="str">
        <f>Predikcia!B121</f>
        <v>22:00:00</v>
      </c>
      <c r="E123" s="67">
        <f>Predikcia!G121</f>
        <v>13410.25</v>
      </c>
      <c r="F123" s="68">
        <f>'DHS2025'!C120</f>
        <v>13764</v>
      </c>
      <c r="G123" s="69">
        <f>'DHS2025'!D120</f>
        <v>6930</v>
      </c>
      <c r="H123" s="86">
        <v>5</v>
      </c>
      <c r="I123" s="87">
        <f>'DHS2025'!E120/1000</f>
        <v>7.0389999999999997</v>
      </c>
      <c r="J123" s="50">
        <f>Predikcia!R121</f>
        <v>143.69999999999999</v>
      </c>
      <c r="K123" s="48">
        <f t="shared" si="1"/>
        <v>988.0151569999997</v>
      </c>
      <c r="M123" s="11">
        <f>Predikcia!K121</f>
        <v>5</v>
      </c>
      <c r="N123" s="11">
        <v>5</v>
      </c>
    </row>
    <row r="124" spans="3:14" ht="15.75" thickBot="1">
      <c r="C124" s="107">
        <f>Predikcia!A122</f>
        <v>45693</v>
      </c>
      <c r="D124" s="46" t="str">
        <f>Predikcia!B122</f>
        <v>23:00:00</v>
      </c>
      <c r="E124" s="70">
        <f>Predikcia!G122</f>
        <v>7519.75</v>
      </c>
      <c r="F124" s="71">
        <f>'DHS2025'!C121</f>
        <v>7359</v>
      </c>
      <c r="G124" s="72">
        <f>'DHS2025'!D121</f>
        <v>5472</v>
      </c>
      <c r="H124" s="88">
        <v>3</v>
      </c>
      <c r="I124" s="87">
        <f>'DHS2025'!E121/1000</f>
        <v>3.8929999999999998</v>
      </c>
      <c r="J124" s="50">
        <f>Predikcia!R122</f>
        <v>133.79</v>
      </c>
      <c r="K124" s="48">
        <f t="shared" si="1"/>
        <v>508.23932529999996</v>
      </c>
      <c r="M124" s="11">
        <f>Predikcia!K122</f>
        <v>3</v>
      </c>
      <c r="N124" s="11">
        <v>3</v>
      </c>
    </row>
    <row r="125" spans="3:14" ht="15.75" thickBot="1">
      <c r="C125" s="104">
        <f>Predikcia!A123</f>
        <v>45694</v>
      </c>
      <c r="D125" s="43" t="str">
        <f>Predikcia!B123</f>
        <v>00:00:00</v>
      </c>
      <c r="E125" s="64">
        <f>Predikcia!G123</f>
        <v>7878.5</v>
      </c>
      <c r="F125" s="65">
        <f>'DHS2025'!C122</f>
        <v>7063</v>
      </c>
      <c r="G125" s="66">
        <f>'DHS2025'!D122</f>
        <v>4007</v>
      </c>
      <c r="H125" s="84">
        <v>3</v>
      </c>
      <c r="I125" s="85">
        <f>'DHS2025'!E122/1000</f>
        <v>3.0569999999999999</v>
      </c>
      <c r="J125" s="50">
        <f>Predikcia!R123</f>
        <v>133.66999999999999</v>
      </c>
      <c r="K125" s="48">
        <f t="shared" si="1"/>
        <v>398.73459809999991</v>
      </c>
      <c r="M125" s="11">
        <f>Predikcia!K123</f>
        <v>3</v>
      </c>
      <c r="N125" s="11">
        <v>3</v>
      </c>
    </row>
    <row r="126" spans="3:14" ht="15.75" thickBot="1">
      <c r="C126" s="105">
        <f>Predikcia!A124</f>
        <v>45694</v>
      </c>
      <c r="D126" s="44" t="str">
        <f>Predikcia!B124</f>
        <v>01:00:00</v>
      </c>
      <c r="E126" s="67">
        <f>Predikcia!G124</f>
        <v>8291</v>
      </c>
      <c r="F126" s="68">
        <f>'DHS2025'!C123</f>
        <v>11742</v>
      </c>
      <c r="G126" s="69">
        <f>'DHS2025'!D123</f>
        <v>22</v>
      </c>
      <c r="H126" s="86">
        <v>4</v>
      </c>
      <c r="I126" s="87">
        <f>'DHS2025'!E123/1000</f>
        <v>3.7610000000000001</v>
      </c>
      <c r="J126" s="50">
        <f>Predikcia!R124</f>
        <v>129.86000000000001</v>
      </c>
      <c r="K126" s="48">
        <f t="shared" si="1"/>
        <v>476.37352540000006</v>
      </c>
      <c r="M126" s="11">
        <f>Predikcia!K124</f>
        <v>4</v>
      </c>
      <c r="N126" s="11">
        <v>4</v>
      </c>
    </row>
    <row r="127" spans="3:14" ht="15.75" thickBot="1">
      <c r="C127" s="105">
        <f>Predikcia!A125</f>
        <v>45694</v>
      </c>
      <c r="D127" s="44" t="str">
        <f>Predikcia!B125</f>
        <v>02:00:00</v>
      </c>
      <c r="E127" s="67">
        <f>Predikcia!G125</f>
        <v>9050.5</v>
      </c>
      <c r="F127" s="68">
        <f>'DHS2025'!C124</f>
        <v>9772</v>
      </c>
      <c r="G127" s="69">
        <f>'DHS2025'!D124</f>
        <v>3711</v>
      </c>
      <c r="H127" s="86">
        <v>4</v>
      </c>
      <c r="I127" s="87">
        <f>'DHS2025'!E124/1000</f>
        <v>4.0199999999999996</v>
      </c>
      <c r="J127" s="50">
        <f>Predikcia!R125</f>
        <v>125.96</v>
      </c>
      <c r="K127" s="48">
        <f t="shared" si="1"/>
        <v>493.65760799999987</v>
      </c>
      <c r="M127" s="11">
        <f>Predikcia!K125</f>
        <v>4</v>
      </c>
      <c r="N127" s="11">
        <v>4</v>
      </c>
    </row>
    <row r="128" spans="3:14" ht="15.75" thickBot="1">
      <c r="C128" s="105">
        <f>Predikcia!A126</f>
        <v>45694</v>
      </c>
      <c r="D128" s="44" t="str">
        <f>Predikcia!B126</f>
        <v>03:00:00</v>
      </c>
      <c r="E128" s="67">
        <f>Predikcia!G126</f>
        <v>10539.25</v>
      </c>
      <c r="F128" s="68">
        <f>'DHS2025'!C125</f>
        <v>10193</v>
      </c>
      <c r="G128" s="69">
        <f>'DHS2025'!D125</f>
        <v>3773</v>
      </c>
      <c r="H128" s="86">
        <v>4</v>
      </c>
      <c r="I128" s="87">
        <f>'DHS2025'!E125/1000</f>
        <v>4.0529999999999999</v>
      </c>
      <c r="J128" s="50">
        <f>Predikcia!R126</f>
        <v>125</v>
      </c>
      <c r="K128" s="48">
        <f t="shared" si="1"/>
        <v>493.85804999999999</v>
      </c>
      <c r="M128" s="11">
        <f>Predikcia!K126</f>
        <v>4</v>
      </c>
      <c r="N128" s="11">
        <v>4</v>
      </c>
    </row>
    <row r="129" spans="3:14" ht="15.75" thickBot="1">
      <c r="C129" s="105">
        <f>Predikcia!A127</f>
        <v>45694</v>
      </c>
      <c r="D129" s="44" t="str">
        <f>Predikcia!B127</f>
        <v>04:00:00</v>
      </c>
      <c r="E129" s="67">
        <f>Predikcia!G127</f>
        <v>13814.75</v>
      </c>
      <c r="F129" s="68">
        <f>'DHS2025'!C126</f>
        <v>15238</v>
      </c>
      <c r="G129" s="69">
        <f>'DHS2025'!D126</f>
        <v>126</v>
      </c>
      <c r="H129" s="86">
        <v>5</v>
      </c>
      <c r="I129" s="87">
        <f>'DHS2025'!E126/1000</f>
        <v>5.0069999999999997</v>
      </c>
      <c r="J129" s="50">
        <f>Predikcia!R127</f>
        <v>125.01</v>
      </c>
      <c r="K129" s="48">
        <f t="shared" si="1"/>
        <v>610.15251929999999</v>
      </c>
      <c r="M129" s="11">
        <f>Predikcia!K127</f>
        <v>5</v>
      </c>
      <c r="N129" s="11">
        <v>5</v>
      </c>
    </row>
    <row r="130" spans="3:14" ht="15.75" thickBot="1">
      <c r="C130" s="105">
        <f>Predikcia!A128</f>
        <v>45694</v>
      </c>
      <c r="D130" s="44" t="str">
        <f>Predikcia!B128</f>
        <v>05:00:00</v>
      </c>
      <c r="E130" s="67">
        <f>Predikcia!G128</f>
        <v>16323</v>
      </c>
      <c r="F130" s="68">
        <f>'DHS2025'!C127</f>
        <v>21660</v>
      </c>
      <c r="G130" s="69">
        <f>'DHS2025'!D127</f>
        <v>74</v>
      </c>
      <c r="H130" s="86">
        <v>8</v>
      </c>
      <c r="I130" s="87">
        <f>'DHS2025'!E127/1000</f>
        <v>7.226</v>
      </c>
      <c r="J130" s="50">
        <f>Predikcia!R128</f>
        <v>134.36000000000001</v>
      </c>
      <c r="K130" s="48">
        <f t="shared" si="1"/>
        <v>947.44710639999994</v>
      </c>
      <c r="M130" s="11">
        <f>Predikcia!K128</f>
        <v>6</v>
      </c>
      <c r="N130" s="11">
        <v>8</v>
      </c>
    </row>
    <row r="131" spans="3:14" ht="15.75" thickBot="1">
      <c r="C131" s="105">
        <f>Predikcia!A129</f>
        <v>45694</v>
      </c>
      <c r="D131" s="44" t="str">
        <f>Predikcia!B129</f>
        <v>06:00:00</v>
      </c>
      <c r="E131" s="67">
        <f>Predikcia!G129</f>
        <v>17472.75</v>
      </c>
      <c r="F131" s="68">
        <f>'DHS2025'!C128</f>
        <v>22237</v>
      </c>
      <c r="G131" s="69">
        <f>'DHS2025'!D128</f>
        <v>2723</v>
      </c>
      <c r="H131" s="86">
        <v>8</v>
      </c>
      <c r="I131" s="87">
        <f>'DHS2025'!E128/1000</f>
        <v>8.0449999999999999</v>
      </c>
      <c r="J131" s="50">
        <f>Predikcia!R129</f>
        <v>154.55000000000001</v>
      </c>
      <c r="K131" s="48">
        <f t="shared" si="1"/>
        <v>1215.6357025</v>
      </c>
      <c r="M131" s="11">
        <f>Predikcia!K129</f>
        <v>6</v>
      </c>
      <c r="N131" s="11">
        <v>8</v>
      </c>
    </row>
    <row r="132" spans="3:14" ht="15.75" thickBot="1">
      <c r="C132" s="105">
        <f>Predikcia!A130</f>
        <v>45694</v>
      </c>
      <c r="D132" s="44" t="str">
        <f>Predikcia!B130</f>
        <v>07:00:00</v>
      </c>
      <c r="E132" s="67">
        <f>Predikcia!G130</f>
        <v>16143</v>
      </c>
      <c r="F132" s="68">
        <f>'DHS2025'!C129</f>
        <v>16657</v>
      </c>
      <c r="G132" s="69">
        <f>'DHS2025'!D129</f>
        <v>7652</v>
      </c>
      <c r="H132" s="86">
        <v>8</v>
      </c>
      <c r="I132" s="87">
        <f>'DHS2025'!E129/1000</f>
        <v>8.0660000000000007</v>
      </c>
      <c r="J132" s="50">
        <f>Predikcia!R130</f>
        <v>180.09</v>
      </c>
      <c r="K132" s="48">
        <f t="shared" si="1"/>
        <v>1422.7544806000001</v>
      </c>
      <c r="M132" s="11">
        <f>Predikcia!K130</f>
        <v>6</v>
      </c>
      <c r="N132" s="11">
        <v>8</v>
      </c>
    </row>
    <row r="133" spans="3:14" ht="15.75" thickBot="1">
      <c r="C133" s="105">
        <f>Predikcia!A131</f>
        <v>45694</v>
      </c>
      <c r="D133" s="44" t="str">
        <f>Predikcia!B131</f>
        <v>08:00:00</v>
      </c>
      <c r="E133" s="67">
        <f>Predikcia!G131</f>
        <v>15342.5</v>
      </c>
      <c r="F133" s="68">
        <f>'DHS2025'!C130</f>
        <v>15978</v>
      </c>
      <c r="G133" s="69">
        <f>'DHS2025'!D130</f>
        <v>7667</v>
      </c>
      <c r="H133" s="86">
        <v>8</v>
      </c>
      <c r="I133" s="87">
        <f>'DHS2025'!E130/1000</f>
        <v>8.0649999999999995</v>
      </c>
      <c r="J133" s="50">
        <f>Predikcia!R131</f>
        <v>218.78</v>
      </c>
      <c r="K133" s="48">
        <f t="shared" si="1"/>
        <v>1731.4925929999997</v>
      </c>
      <c r="M133" s="11">
        <f>Predikcia!K131</f>
        <v>5</v>
      </c>
      <c r="N133" s="11">
        <v>8</v>
      </c>
    </row>
    <row r="134" spans="3:14" ht="15.75" thickBot="1">
      <c r="C134" s="105">
        <f>Predikcia!A132</f>
        <v>45694</v>
      </c>
      <c r="D134" s="44" t="str">
        <f>Predikcia!B132</f>
        <v>09:00:00</v>
      </c>
      <c r="E134" s="67">
        <f>Predikcia!G132</f>
        <v>15716</v>
      </c>
      <c r="F134" s="68">
        <f>'DHS2025'!C131</f>
        <v>16718</v>
      </c>
      <c r="G134" s="69">
        <f>'DHS2025'!D131</f>
        <v>7582</v>
      </c>
      <c r="H134" s="86">
        <v>8</v>
      </c>
      <c r="I134" s="87">
        <f>'DHS2025'!E131/1000</f>
        <v>8.0540000000000003</v>
      </c>
      <c r="J134" s="50">
        <f>Predikcia!R132</f>
        <v>178.9</v>
      </c>
      <c r="K134" s="48">
        <f t="shared" ref="K134:K197" si="2">(J134*0.99-1.9)*I134</f>
        <v>1411.149394</v>
      </c>
      <c r="M134" s="11">
        <f>Predikcia!K132</f>
        <v>5</v>
      </c>
      <c r="N134" s="11">
        <v>8</v>
      </c>
    </row>
    <row r="135" spans="3:14" ht="15.75" thickBot="1">
      <c r="C135" s="105">
        <f>Predikcia!A133</f>
        <v>45694</v>
      </c>
      <c r="D135" s="44" t="str">
        <f>Predikcia!B133</f>
        <v>10:00:00</v>
      </c>
      <c r="E135" s="67">
        <f>Predikcia!G133</f>
        <v>15863.5</v>
      </c>
      <c r="F135" s="68">
        <f>'DHS2025'!C132</f>
        <v>14834</v>
      </c>
      <c r="G135" s="69">
        <f>'DHS2025'!D132</f>
        <v>9333</v>
      </c>
      <c r="H135" s="86">
        <v>8</v>
      </c>
      <c r="I135" s="87">
        <f>'DHS2025'!E132/1000</f>
        <v>8.0679999999999996</v>
      </c>
      <c r="J135" s="50">
        <f>Predikcia!R133</f>
        <v>160.63</v>
      </c>
      <c r="K135" s="48">
        <f t="shared" si="2"/>
        <v>1267.6740115999999</v>
      </c>
      <c r="M135" s="11">
        <f>Predikcia!K133</f>
        <v>5</v>
      </c>
      <c r="N135" s="11">
        <v>8</v>
      </c>
    </row>
    <row r="136" spans="3:14" ht="15.75" thickBot="1">
      <c r="C136" s="105">
        <f>Predikcia!A134</f>
        <v>45694</v>
      </c>
      <c r="D136" s="44" t="str">
        <f>Predikcia!B134</f>
        <v>11:00:00</v>
      </c>
      <c r="E136" s="67">
        <f>Predikcia!G134</f>
        <v>15107.5</v>
      </c>
      <c r="F136" s="68">
        <f>'DHS2025'!C133</f>
        <v>15433</v>
      </c>
      <c r="G136" s="69">
        <f>'DHS2025'!D133</f>
        <v>8882</v>
      </c>
      <c r="H136" s="86">
        <v>8</v>
      </c>
      <c r="I136" s="87">
        <f>'DHS2025'!E133/1000</f>
        <v>8.0540000000000003</v>
      </c>
      <c r="J136" s="50">
        <f>Predikcia!R134</f>
        <v>150.56</v>
      </c>
      <c r="K136" s="48">
        <f t="shared" si="2"/>
        <v>1185.1815376</v>
      </c>
      <c r="M136" s="11">
        <f>Predikcia!K134</f>
        <v>5</v>
      </c>
      <c r="N136" s="11">
        <v>8</v>
      </c>
    </row>
    <row r="137" spans="3:14" ht="15.75" thickBot="1">
      <c r="C137" s="105">
        <f>Predikcia!A135</f>
        <v>45694</v>
      </c>
      <c r="D137" s="44" t="str">
        <f>Predikcia!B135</f>
        <v>12:00:00</v>
      </c>
      <c r="E137" s="67">
        <f>Predikcia!G135</f>
        <v>15417</v>
      </c>
      <c r="F137" s="68">
        <f>'DHS2025'!C134</f>
        <v>15372</v>
      </c>
      <c r="G137" s="69">
        <f>'DHS2025'!D134</f>
        <v>8546</v>
      </c>
      <c r="H137" s="86">
        <v>8</v>
      </c>
      <c r="I137" s="87">
        <f>'DHS2025'!E134/1000</f>
        <v>8.0619999999999994</v>
      </c>
      <c r="J137" s="50">
        <f>Predikcia!R135</f>
        <v>145.49</v>
      </c>
      <c r="K137" s="48">
        <f t="shared" si="2"/>
        <v>1145.8931762</v>
      </c>
      <c r="M137" s="11">
        <f>Predikcia!K135</f>
        <v>5</v>
      </c>
      <c r="N137" s="11">
        <v>8</v>
      </c>
    </row>
    <row r="138" spans="3:14" ht="15.75" thickBot="1">
      <c r="C138" s="105">
        <f>Predikcia!A136</f>
        <v>45694</v>
      </c>
      <c r="D138" s="44" t="str">
        <f>Predikcia!B136</f>
        <v>13:00:00</v>
      </c>
      <c r="E138" s="67">
        <f>Predikcia!G136</f>
        <v>15217</v>
      </c>
      <c r="F138" s="68">
        <f>'DHS2025'!C135</f>
        <v>15904</v>
      </c>
      <c r="G138" s="69">
        <f>'DHS2025'!D135</f>
        <v>8211</v>
      </c>
      <c r="H138" s="86">
        <v>8</v>
      </c>
      <c r="I138" s="87">
        <f>'DHS2025'!E135/1000</f>
        <v>8.0530000000000008</v>
      </c>
      <c r="J138" s="50">
        <f>Predikcia!R136</f>
        <v>142.49</v>
      </c>
      <c r="K138" s="48">
        <f t="shared" si="2"/>
        <v>1120.6965503000001</v>
      </c>
      <c r="M138" s="11">
        <f>Predikcia!K136</f>
        <v>5</v>
      </c>
      <c r="N138" s="11">
        <v>8</v>
      </c>
    </row>
    <row r="139" spans="3:14" ht="15.75" thickBot="1">
      <c r="C139" s="105">
        <f>Predikcia!A137</f>
        <v>45694</v>
      </c>
      <c r="D139" s="44" t="str">
        <f>Predikcia!B137</f>
        <v>14:00:00</v>
      </c>
      <c r="E139" s="67">
        <f>Predikcia!G137</f>
        <v>14305.75</v>
      </c>
      <c r="F139" s="68">
        <f>'DHS2025'!C136</f>
        <v>15054</v>
      </c>
      <c r="G139" s="69">
        <f>'DHS2025'!D136</f>
        <v>8708</v>
      </c>
      <c r="H139" s="86">
        <v>8</v>
      </c>
      <c r="I139" s="87">
        <f>'DHS2025'!E136/1000</f>
        <v>8.0619999999999994</v>
      </c>
      <c r="J139" s="50">
        <f>Predikcia!R137</f>
        <v>139.6</v>
      </c>
      <c r="K139" s="48">
        <f t="shared" si="2"/>
        <v>1098.8828479999997</v>
      </c>
      <c r="M139" s="11">
        <f>Predikcia!K137</f>
        <v>5</v>
      </c>
      <c r="N139" s="11">
        <v>8</v>
      </c>
    </row>
    <row r="140" spans="3:14" ht="15.75" thickBot="1">
      <c r="C140" s="105">
        <f>Predikcia!A138</f>
        <v>45694</v>
      </c>
      <c r="D140" s="44" t="str">
        <f>Predikcia!B138</f>
        <v>15:00:00</v>
      </c>
      <c r="E140" s="67">
        <f>Predikcia!G138</f>
        <v>14938.75</v>
      </c>
      <c r="F140" s="68">
        <f>'DHS2025'!C137</f>
        <v>15221</v>
      </c>
      <c r="G140" s="69">
        <f>'DHS2025'!D137</f>
        <v>9478</v>
      </c>
      <c r="H140" s="86">
        <v>8</v>
      </c>
      <c r="I140" s="87">
        <f>'DHS2025'!E137/1000</f>
        <v>8.048</v>
      </c>
      <c r="J140" s="50">
        <f>Predikcia!R138</f>
        <v>150.16999999999999</v>
      </c>
      <c r="K140" s="48">
        <f t="shared" si="2"/>
        <v>1181.1912783999999</v>
      </c>
      <c r="M140" s="11">
        <f>Predikcia!K138</f>
        <v>5</v>
      </c>
      <c r="N140" s="11">
        <v>8</v>
      </c>
    </row>
    <row r="141" spans="3:14" ht="15.75" thickBot="1">
      <c r="C141" s="105">
        <f>Predikcia!A139</f>
        <v>45694</v>
      </c>
      <c r="D141" s="44" t="str">
        <f>Predikcia!B139</f>
        <v>16:00:00</v>
      </c>
      <c r="E141" s="67">
        <f>Predikcia!G139</f>
        <v>14680.75</v>
      </c>
      <c r="F141" s="68">
        <f>'DHS2025'!C138</f>
        <v>15633</v>
      </c>
      <c r="G141" s="69">
        <f>'DHS2025'!D138</f>
        <v>8827</v>
      </c>
      <c r="H141" s="86">
        <v>8</v>
      </c>
      <c r="I141" s="87">
        <f>'DHS2025'!E138/1000</f>
        <v>8.0519999999999996</v>
      </c>
      <c r="J141" s="50">
        <f>Predikcia!R139</f>
        <v>173.84</v>
      </c>
      <c r="K141" s="48">
        <f t="shared" si="2"/>
        <v>1370.4632831999998</v>
      </c>
      <c r="M141" s="11">
        <f>Predikcia!K139</f>
        <v>5</v>
      </c>
      <c r="N141" s="11">
        <v>8</v>
      </c>
    </row>
    <row r="142" spans="3:14" ht="15.75" thickBot="1">
      <c r="C142" s="105">
        <f>Predikcia!A140</f>
        <v>45694</v>
      </c>
      <c r="D142" s="44" t="str">
        <f>Predikcia!B140</f>
        <v>17:00:00</v>
      </c>
      <c r="E142" s="67">
        <f>Predikcia!G140</f>
        <v>15377.25</v>
      </c>
      <c r="F142" s="68">
        <f>'DHS2025'!C139</f>
        <v>15586</v>
      </c>
      <c r="G142" s="69">
        <f>'DHS2025'!D139</f>
        <v>8517</v>
      </c>
      <c r="H142" s="86">
        <v>8</v>
      </c>
      <c r="I142" s="87">
        <f>'DHS2025'!E139/1000</f>
        <v>8.0530000000000008</v>
      </c>
      <c r="J142" s="50">
        <f>Predikcia!R140</f>
        <v>177.97</v>
      </c>
      <c r="K142" s="48">
        <f t="shared" si="2"/>
        <v>1403.5597859000002</v>
      </c>
      <c r="M142" s="11">
        <f>Predikcia!K140</f>
        <v>5</v>
      </c>
      <c r="N142" s="11">
        <v>8</v>
      </c>
    </row>
    <row r="143" spans="3:14" ht="15.75" thickBot="1">
      <c r="C143" s="105">
        <f>Predikcia!A141</f>
        <v>45694</v>
      </c>
      <c r="D143" s="44" t="str">
        <f>Predikcia!B141</f>
        <v>18:00:00</v>
      </c>
      <c r="E143" s="67">
        <f>Predikcia!G141</f>
        <v>15468.75</v>
      </c>
      <c r="F143" s="68">
        <f>'DHS2025'!C140</f>
        <v>15416</v>
      </c>
      <c r="G143" s="69">
        <f>'DHS2025'!D140</f>
        <v>8727</v>
      </c>
      <c r="H143" s="86">
        <v>8</v>
      </c>
      <c r="I143" s="87">
        <f>'DHS2025'!E140/1000</f>
        <v>8.0589999999999993</v>
      </c>
      <c r="J143" s="50">
        <f>Predikcia!R141</f>
        <v>182.91</v>
      </c>
      <c r="K143" s="48">
        <f t="shared" si="2"/>
        <v>1444.0188730999996</v>
      </c>
      <c r="M143" s="11">
        <f>Predikcia!K141</f>
        <v>5</v>
      </c>
      <c r="N143" s="11">
        <v>8</v>
      </c>
    </row>
    <row r="144" spans="3:14" ht="15.75" thickBot="1">
      <c r="C144" s="105">
        <f>Predikcia!A142</f>
        <v>45694</v>
      </c>
      <c r="D144" s="44" t="str">
        <f>Predikcia!B142</f>
        <v>19:00:00</v>
      </c>
      <c r="E144" s="67">
        <f>Predikcia!G142</f>
        <v>15922</v>
      </c>
      <c r="F144" s="68">
        <f>'DHS2025'!C141</f>
        <v>15677</v>
      </c>
      <c r="G144" s="69">
        <f>'DHS2025'!D141</f>
        <v>8720</v>
      </c>
      <c r="H144" s="86">
        <v>8</v>
      </c>
      <c r="I144" s="87">
        <f>'DHS2025'!E141/1000</f>
        <v>8.0440000000000005</v>
      </c>
      <c r="J144" s="50">
        <f>Predikcia!R142</f>
        <v>180.58</v>
      </c>
      <c r="K144" s="48">
        <f t="shared" si="2"/>
        <v>1422.7760648000001</v>
      </c>
      <c r="M144" s="11">
        <f>Predikcia!K142</f>
        <v>5</v>
      </c>
      <c r="N144" s="11">
        <v>8</v>
      </c>
    </row>
    <row r="145" spans="3:14" ht="15.75" thickBot="1">
      <c r="C145" s="105">
        <f>Predikcia!A143</f>
        <v>45694</v>
      </c>
      <c r="D145" s="44" t="str">
        <f>Predikcia!B143</f>
        <v>20:00:00</v>
      </c>
      <c r="E145" s="67">
        <f>Predikcia!G143</f>
        <v>16468.75</v>
      </c>
      <c r="F145" s="68">
        <f>'DHS2025'!C142</f>
        <v>16076</v>
      </c>
      <c r="G145" s="69">
        <f>'DHS2025'!D142</f>
        <v>8436</v>
      </c>
      <c r="H145" s="86">
        <v>8</v>
      </c>
      <c r="I145" s="87">
        <f>'DHS2025'!E142/1000</f>
        <v>8.0609999999999999</v>
      </c>
      <c r="J145" s="50">
        <f>Predikcia!R143</f>
        <v>185.29</v>
      </c>
      <c r="K145" s="48">
        <f t="shared" si="2"/>
        <v>1463.3705630999998</v>
      </c>
      <c r="M145" s="11">
        <f>Predikcia!K143</f>
        <v>6</v>
      </c>
      <c r="N145" s="11">
        <v>8</v>
      </c>
    </row>
    <row r="146" spans="3:14" ht="15.75" thickBot="1">
      <c r="C146" s="105">
        <f>Predikcia!A144</f>
        <v>45694</v>
      </c>
      <c r="D146" s="44" t="str">
        <f>Predikcia!B144</f>
        <v>21:00:00</v>
      </c>
      <c r="E146" s="67">
        <f>Predikcia!G144</f>
        <v>16729.75</v>
      </c>
      <c r="F146" s="68">
        <f>'DHS2025'!C143</f>
        <v>16823</v>
      </c>
      <c r="G146" s="69">
        <f>'DHS2025'!D143</f>
        <v>7403</v>
      </c>
      <c r="H146" s="86">
        <v>8</v>
      </c>
      <c r="I146" s="87">
        <f>'DHS2025'!E143/1000</f>
        <v>8.0399999999999991</v>
      </c>
      <c r="J146" s="50">
        <f>Predikcia!R144</f>
        <v>165.63</v>
      </c>
      <c r="K146" s="48">
        <f t="shared" si="2"/>
        <v>1303.0725479999999</v>
      </c>
      <c r="M146" s="11">
        <f>Predikcia!K144</f>
        <v>6</v>
      </c>
      <c r="N146" s="11">
        <v>8</v>
      </c>
    </row>
    <row r="147" spans="3:14" ht="15.75" thickBot="1">
      <c r="C147" s="105">
        <f>Predikcia!A145</f>
        <v>45694</v>
      </c>
      <c r="D147" s="44" t="str">
        <f>Predikcia!B145</f>
        <v>22:00:00</v>
      </c>
      <c r="E147" s="67">
        <f>Predikcia!G145</f>
        <v>14559.25</v>
      </c>
      <c r="F147" s="68">
        <f>'DHS2025'!C144</f>
        <v>12555</v>
      </c>
      <c r="G147" s="69">
        <f>'DHS2025'!D144</f>
        <v>8016</v>
      </c>
      <c r="H147" s="86">
        <v>5</v>
      </c>
      <c r="I147" s="87">
        <f>'DHS2025'!E144/1000</f>
        <v>6.9790000000000001</v>
      </c>
      <c r="J147" s="50">
        <f>Predikcia!R145</f>
        <v>146.35</v>
      </c>
      <c r="K147" s="48">
        <f t="shared" si="2"/>
        <v>997.90278349999983</v>
      </c>
      <c r="M147" s="11">
        <f>Predikcia!K145</f>
        <v>5</v>
      </c>
      <c r="N147" s="11">
        <v>5</v>
      </c>
    </row>
    <row r="148" spans="3:14" ht="15.75" thickBot="1">
      <c r="C148" s="106">
        <f>Predikcia!A146</f>
        <v>45694</v>
      </c>
      <c r="D148" s="45" t="str">
        <f>Predikcia!B146</f>
        <v>23:00:00</v>
      </c>
      <c r="E148" s="70">
        <f>Predikcia!G146</f>
        <v>8736.5</v>
      </c>
      <c r="F148" s="71">
        <f>'DHS2025'!C145</f>
        <v>7122</v>
      </c>
      <c r="G148" s="72">
        <f>'DHS2025'!D145</f>
        <v>7643</v>
      </c>
      <c r="H148" s="88">
        <v>4</v>
      </c>
      <c r="I148" s="87">
        <f>'DHS2025'!E145/1000</f>
        <v>4.3390000000000004</v>
      </c>
      <c r="J148" s="50">
        <f>Predikcia!R146</f>
        <v>121.95</v>
      </c>
      <c r="K148" s="48">
        <f t="shared" si="2"/>
        <v>515.60553950000008</v>
      </c>
      <c r="M148" s="11">
        <f>Predikcia!K146</f>
        <v>4</v>
      </c>
      <c r="N148" s="11">
        <v>4</v>
      </c>
    </row>
    <row r="149" spans="3:14" ht="15.75" thickBot="1">
      <c r="C149" s="102">
        <f>Predikcia!A147</f>
        <v>45695</v>
      </c>
      <c r="D149" s="41" t="str">
        <f>Predikcia!B147</f>
        <v>00:00:00</v>
      </c>
      <c r="E149" s="64">
        <f>Predikcia!G147</f>
        <v>8718.5</v>
      </c>
      <c r="F149" s="65">
        <f>'DHS2025'!C146</f>
        <v>7045</v>
      </c>
      <c r="G149" s="66">
        <f>'DHS2025'!D146</f>
        <v>6670</v>
      </c>
      <c r="H149" s="84">
        <v>4</v>
      </c>
      <c r="I149" s="85">
        <f>'DHS2025'!E146/1000</f>
        <v>4.056</v>
      </c>
      <c r="J149" s="50">
        <f>Predikcia!R147</f>
        <v>126.05</v>
      </c>
      <c r="K149" s="48">
        <f t="shared" si="2"/>
        <v>498.43981199999996</v>
      </c>
      <c r="M149" s="11">
        <f>Predikcia!K147</f>
        <v>4</v>
      </c>
      <c r="N149" s="11">
        <v>4</v>
      </c>
    </row>
    <row r="150" spans="3:14" ht="15.75" thickBot="1">
      <c r="C150" s="103">
        <f>Predikcia!A148</f>
        <v>45695</v>
      </c>
      <c r="D150" s="42" t="str">
        <f>Predikcia!B148</f>
        <v>01:00:00</v>
      </c>
      <c r="E150" s="67">
        <f>Predikcia!G148</f>
        <v>10649.25</v>
      </c>
      <c r="F150" s="68">
        <f>'DHS2025'!C147</f>
        <v>7654</v>
      </c>
      <c r="G150" s="69">
        <f>'DHS2025'!D147</f>
        <v>5644</v>
      </c>
      <c r="H150" s="86">
        <v>4</v>
      </c>
      <c r="I150" s="87">
        <f>'DHS2025'!E147/1000</f>
        <v>4.05</v>
      </c>
      <c r="J150" s="50">
        <f>Predikcia!R148</f>
        <v>112.7</v>
      </c>
      <c r="K150" s="48">
        <f t="shared" si="2"/>
        <v>444.17564999999996</v>
      </c>
      <c r="M150" s="11">
        <f>Predikcia!K148</f>
        <v>4</v>
      </c>
      <c r="N150" s="11">
        <v>4</v>
      </c>
    </row>
    <row r="151" spans="3:14" ht="15.75" thickBot="1">
      <c r="C151" s="103">
        <f>Predikcia!A149</f>
        <v>45695</v>
      </c>
      <c r="D151" s="42" t="str">
        <f>Predikcia!B149</f>
        <v>02:00:00</v>
      </c>
      <c r="E151" s="67">
        <f>Predikcia!G149</f>
        <v>11002</v>
      </c>
      <c r="F151" s="68">
        <f>'DHS2025'!C148</f>
        <v>9321</v>
      </c>
      <c r="G151" s="69">
        <f>'DHS2025'!D148</f>
        <v>4662</v>
      </c>
      <c r="H151" s="86">
        <v>4</v>
      </c>
      <c r="I151" s="87">
        <f>'DHS2025'!E148/1000</f>
        <v>4.0590000000000002</v>
      </c>
      <c r="J151" s="50">
        <f>Predikcia!R149</f>
        <v>108.82</v>
      </c>
      <c r="K151" s="48">
        <f t="shared" si="2"/>
        <v>429.57127619999994</v>
      </c>
      <c r="M151" s="11">
        <f>Predikcia!K149</f>
        <v>4</v>
      </c>
      <c r="N151" s="11">
        <v>4</v>
      </c>
    </row>
    <row r="152" spans="3:14" ht="15.75" thickBot="1">
      <c r="C152" s="103">
        <f>Predikcia!A150</f>
        <v>45695</v>
      </c>
      <c r="D152" s="42" t="str">
        <f>Predikcia!B150</f>
        <v>03:00:00</v>
      </c>
      <c r="E152" s="67">
        <f>Predikcia!G150</f>
        <v>12262.5</v>
      </c>
      <c r="F152" s="68">
        <f>'DHS2025'!C149</f>
        <v>11201</v>
      </c>
      <c r="G152" s="69">
        <f>'DHS2025'!D149</f>
        <v>3493</v>
      </c>
      <c r="H152" s="86">
        <v>5</v>
      </c>
      <c r="I152" s="87">
        <f>'DHS2025'!E149/1000</f>
        <v>4.7080000000000002</v>
      </c>
      <c r="J152" s="50">
        <f>Predikcia!R150</f>
        <v>105</v>
      </c>
      <c r="K152" s="48">
        <f t="shared" si="2"/>
        <v>480.45139999999998</v>
      </c>
      <c r="M152" s="11">
        <f>Predikcia!K150</f>
        <v>5</v>
      </c>
      <c r="N152" s="11">
        <v>5</v>
      </c>
    </row>
    <row r="153" spans="3:14" ht="15.75" thickBot="1">
      <c r="C153" s="103">
        <f>Predikcia!A151</f>
        <v>45695</v>
      </c>
      <c r="D153" s="42" t="str">
        <f>Predikcia!B151</f>
        <v>04:00:00</v>
      </c>
      <c r="E153" s="67">
        <f>Predikcia!G151</f>
        <v>17957</v>
      </c>
      <c r="F153" s="68">
        <f>'DHS2025'!C150</f>
        <v>16794</v>
      </c>
      <c r="G153" s="69">
        <f>'DHS2025'!D150</f>
        <v>133</v>
      </c>
      <c r="H153" s="86">
        <v>6</v>
      </c>
      <c r="I153" s="87">
        <f>'DHS2025'!E150/1000</f>
        <v>5.9480000000000004</v>
      </c>
      <c r="J153" s="50">
        <f>Predikcia!R151</f>
        <v>110.39</v>
      </c>
      <c r="K153" s="48">
        <f t="shared" si="2"/>
        <v>638.73252280000008</v>
      </c>
      <c r="M153" s="11">
        <f>Predikcia!K151</f>
        <v>6</v>
      </c>
      <c r="N153" s="11">
        <v>6</v>
      </c>
    </row>
    <row r="154" spans="3:14" ht="15.75" thickBot="1">
      <c r="C154" s="103">
        <f>Predikcia!A152</f>
        <v>45695</v>
      </c>
      <c r="D154" s="42" t="str">
        <f>Predikcia!B152</f>
        <v>05:00:00</v>
      </c>
      <c r="E154" s="67">
        <f>Predikcia!G152</f>
        <v>17337.25</v>
      </c>
      <c r="F154" s="68">
        <f>'DHS2025'!C151</f>
        <v>20769</v>
      </c>
      <c r="G154" s="69">
        <f>'DHS2025'!D151</f>
        <v>3416</v>
      </c>
      <c r="H154" s="86">
        <v>8</v>
      </c>
      <c r="I154" s="87">
        <f>'DHS2025'!E151/1000</f>
        <v>6.9820000000000002</v>
      </c>
      <c r="J154" s="50">
        <f>Predikcia!R152</f>
        <v>121.16</v>
      </c>
      <c r="K154" s="48">
        <f t="shared" si="2"/>
        <v>824.21392879999996</v>
      </c>
      <c r="M154" s="11">
        <f>Predikcia!K152</f>
        <v>6</v>
      </c>
      <c r="N154" s="11">
        <v>6</v>
      </c>
    </row>
    <row r="155" spans="3:14" ht="15.75" thickBot="1">
      <c r="C155" s="103">
        <f>Predikcia!A153</f>
        <v>45695</v>
      </c>
      <c r="D155" s="42" t="str">
        <f>Predikcia!B153</f>
        <v>06:00:00</v>
      </c>
      <c r="E155" s="67">
        <f>Predikcia!G153</f>
        <v>17970.5</v>
      </c>
      <c r="F155" s="68">
        <f>'DHS2025'!C152</f>
        <v>18275</v>
      </c>
      <c r="G155" s="69">
        <f>'DHS2025'!D152</f>
        <v>6666</v>
      </c>
      <c r="H155" s="86">
        <v>8</v>
      </c>
      <c r="I155" s="87">
        <f>'DHS2025'!E152/1000</f>
        <v>8.0370000000000008</v>
      </c>
      <c r="J155" s="50">
        <f>Predikcia!R153</f>
        <v>166.2</v>
      </c>
      <c r="K155" s="48">
        <f t="shared" si="2"/>
        <v>1307.1216059999999</v>
      </c>
      <c r="M155" s="11">
        <f>Predikcia!K153</f>
        <v>6</v>
      </c>
      <c r="N155" s="11">
        <v>8</v>
      </c>
    </row>
    <row r="156" spans="3:14" ht="15.75" thickBot="1">
      <c r="C156" s="103">
        <f>Predikcia!A154</f>
        <v>45695</v>
      </c>
      <c r="D156" s="42" t="str">
        <f>Predikcia!B154</f>
        <v>07:00:00</v>
      </c>
      <c r="E156" s="67">
        <f>Predikcia!G154</f>
        <v>17026.75</v>
      </c>
      <c r="F156" s="68">
        <f>'DHS2025'!C153</f>
        <v>17646</v>
      </c>
      <c r="G156" s="69">
        <f>'DHS2025'!D153</f>
        <v>6409</v>
      </c>
      <c r="H156" s="86">
        <v>8</v>
      </c>
      <c r="I156" s="87">
        <f>'DHS2025'!E153/1000</f>
        <v>8.0570000000000004</v>
      </c>
      <c r="J156" s="50">
        <f>Predikcia!R154</f>
        <v>178.66</v>
      </c>
      <c r="K156" s="48">
        <f t="shared" si="2"/>
        <v>1409.7606838000002</v>
      </c>
      <c r="M156" s="11">
        <f>Predikcia!K154</f>
        <v>6</v>
      </c>
      <c r="N156" s="11">
        <v>8</v>
      </c>
    </row>
    <row r="157" spans="3:14" ht="15.75" thickBot="1">
      <c r="C157" s="103">
        <f>Predikcia!A155</f>
        <v>45695</v>
      </c>
      <c r="D157" s="42" t="str">
        <f>Predikcia!B155</f>
        <v>08:00:00</v>
      </c>
      <c r="E157" s="67">
        <f>Predikcia!G155</f>
        <v>16954.75</v>
      </c>
      <c r="F157" s="68">
        <f>'DHS2025'!C154</f>
        <v>17578</v>
      </c>
      <c r="G157" s="69">
        <f>'DHS2025'!D154</f>
        <v>6881</v>
      </c>
      <c r="H157" s="86">
        <v>8</v>
      </c>
      <c r="I157" s="87">
        <f>'DHS2025'!E154/1000</f>
        <v>8.0749999999999993</v>
      </c>
      <c r="J157" s="50">
        <f>Predikcia!R155</f>
        <v>165.32</v>
      </c>
      <c r="K157" s="48">
        <f t="shared" si="2"/>
        <v>1306.2669099999998</v>
      </c>
      <c r="M157" s="11">
        <f>Predikcia!K155</f>
        <v>6</v>
      </c>
      <c r="N157" s="11">
        <v>7.8999999999999986</v>
      </c>
    </row>
    <row r="158" spans="3:14" ht="15.75" thickBot="1">
      <c r="C158" s="103">
        <f>Predikcia!A156</f>
        <v>45695</v>
      </c>
      <c r="D158" s="42" t="str">
        <f>Predikcia!B156</f>
        <v>09:00:00</v>
      </c>
      <c r="E158" s="67">
        <f>Predikcia!G156</f>
        <v>16742.25</v>
      </c>
      <c r="F158" s="68">
        <f>'DHS2025'!C155</f>
        <v>17076</v>
      </c>
      <c r="G158" s="69">
        <f>'DHS2025'!D155</f>
        <v>7009</v>
      </c>
      <c r="H158" s="86">
        <v>8</v>
      </c>
      <c r="I158" s="87">
        <f>'DHS2025'!E155/1000</f>
        <v>8.0709999999999997</v>
      </c>
      <c r="J158" s="50">
        <f>Predikcia!R156</f>
        <v>150.51</v>
      </c>
      <c r="K158" s="48">
        <f t="shared" si="2"/>
        <v>1187.2836478999998</v>
      </c>
      <c r="M158" s="11">
        <f>Predikcia!K156</f>
        <v>6</v>
      </c>
      <c r="N158" s="11">
        <v>7.8999999999999986</v>
      </c>
    </row>
    <row r="159" spans="3:14" ht="15.75" thickBot="1">
      <c r="C159" s="103">
        <f>Predikcia!A157</f>
        <v>45695</v>
      </c>
      <c r="D159" s="42" t="str">
        <f>Predikcia!B157</f>
        <v>10:00:00</v>
      </c>
      <c r="E159" s="67">
        <f>Predikcia!G157</f>
        <v>16665.5</v>
      </c>
      <c r="F159" s="68">
        <f>'DHS2025'!C156</f>
        <v>15086</v>
      </c>
      <c r="G159" s="69">
        <f>'DHS2025'!D156</f>
        <v>9297</v>
      </c>
      <c r="H159" s="86">
        <v>8</v>
      </c>
      <c r="I159" s="87">
        <f>'DHS2025'!E156/1000</f>
        <v>8.0500000000000007</v>
      </c>
      <c r="J159" s="50">
        <f>Predikcia!R157</f>
        <v>134.58000000000001</v>
      </c>
      <c r="K159" s="48">
        <f t="shared" si="2"/>
        <v>1057.2403100000001</v>
      </c>
      <c r="M159" s="11">
        <f>Predikcia!K157</f>
        <v>6</v>
      </c>
      <c r="N159" s="11">
        <v>8</v>
      </c>
    </row>
    <row r="160" spans="3:14" ht="15.75" thickBot="1">
      <c r="C160" s="103">
        <f>Predikcia!A158</f>
        <v>45695</v>
      </c>
      <c r="D160" s="42" t="str">
        <f>Predikcia!B158</f>
        <v>11:00:00</v>
      </c>
      <c r="E160" s="67">
        <f>Predikcia!G158</f>
        <v>14711</v>
      </c>
      <c r="F160" s="68">
        <f>'DHS2025'!C157</f>
        <v>15908</v>
      </c>
      <c r="G160" s="69">
        <f>'DHS2025'!D157</f>
        <v>4095</v>
      </c>
      <c r="H160" s="86">
        <v>5</v>
      </c>
      <c r="I160" s="87">
        <f>'DHS2025'!E157/1000</f>
        <v>6.5229999999999997</v>
      </c>
      <c r="J160" s="50">
        <f>Predikcia!R158</f>
        <v>117.52</v>
      </c>
      <c r="K160" s="48">
        <f t="shared" si="2"/>
        <v>746.52343039999982</v>
      </c>
      <c r="M160" s="11">
        <f>Predikcia!K158</f>
        <v>5</v>
      </c>
      <c r="N160" s="11">
        <v>5</v>
      </c>
    </row>
    <row r="161" spans="3:14" ht="15.75" thickBot="1">
      <c r="C161" s="103">
        <f>Predikcia!A159</f>
        <v>45695</v>
      </c>
      <c r="D161" s="42" t="str">
        <f>Predikcia!B159</f>
        <v>12:00:00</v>
      </c>
      <c r="E161" s="67">
        <f>Predikcia!G159</f>
        <v>14765.75</v>
      </c>
      <c r="F161" s="68">
        <f>'DHS2025'!C158</f>
        <v>14082</v>
      </c>
      <c r="G161" s="69">
        <f>'DHS2025'!D158</f>
        <v>2104</v>
      </c>
      <c r="H161" s="86">
        <v>5</v>
      </c>
      <c r="I161" s="87">
        <f>'DHS2025'!E158/1000</f>
        <v>5.0650000000000004</v>
      </c>
      <c r="J161" s="50">
        <f>Predikcia!R159</f>
        <v>114.02</v>
      </c>
      <c r="K161" s="48">
        <f t="shared" si="2"/>
        <v>562.11268699999994</v>
      </c>
      <c r="M161" s="11">
        <f>Predikcia!K159</f>
        <v>5</v>
      </c>
      <c r="N161" s="11">
        <v>5</v>
      </c>
    </row>
    <row r="162" spans="3:14" ht="15.75" thickBot="1">
      <c r="C162" s="103">
        <f>Predikcia!A160</f>
        <v>45695</v>
      </c>
      <c r="D162" s="42" t="str">
        <f>Predikcia!B160</f>
        <v>13:00:00</v>
      </c>
      <c r="E162" s="67">
        <f>Predikcia!G160</f>
        <v>15117</v>
      </c>
      <c r="F162" s="68">
        <f>'DHS2025'!C159</f>
        <v>14323</v>
      </c>
      <c r="G162" s="69">
        <f>'DHS2025'!D159</f>
        <v>2112</v>
      </c>
      <c r="H162" s="86">
        <v>5</v>
      </c>
      <c r="I162" s="87">
        <f>'DHS2025'!E159/1000</f>
        <v>5.0640000000000001</v>
      </c>
      <c r="J162" s="50">
        <f>Predikcia!R160</f>
        <v>114.83</v>
      </c>
      <c r="K162" s="48">
        <f t="shared" si="2"/>
        <v>566.06252879999988</v>
      </c>
      <c r="M162" s="11">
        <f>Predikcia!K160</f>
        <v>5</v>
      </c>
      <c r="N162" s="11">
        <v>5</v>
      </c>
    </row>
    <row r="163" spans="3:14" ht="15.75" thickBot="1">
      <c r="C163" s="103">
        <f>Predikcia!A161</f>
        <v>45695</v>
      </c>
      <c r="D163" s="42" t="str">
        <f>Predikcia!B161</f>
        <v>14:00:00</v>
      </c>
      <c r="E163" s="67">
        <f>Predikcia!G161</f>
        <v>15271.75</v>
      </c>
      <c r="F163" s="68">
        <f>'DHS2025'!C160</f>
        <v>16603</v>
      </c>
      <c r="G163" s="69">
        <f>'DHS2025'!D160</f>
        <v>7395</v>
      </c>
      <c r="H163" s="86">
        <v>8</v>
      </c>
      <c r="I163" s="87">
        <f>'DHS2025'!E160/1000</f>
        <v>6.7519999999999998</v>
      </c>
      <c r="J163" s="50">
        <f>Predikcia!R161</f>
        <v>118.11</v>
      </c>
      <c r="K163" s="48">
        <f t="shared" si="2"/>
        <v>776.67513279999991</v>
      </c>
      <c r="M163" s="11">
        <f>Predikcia!K161</f>
        <v>5</v>
      </c>
      <c r="N163" s="11">
        <v>5</v>
      </c>
    </row>
    <row r="164" spans="3:14" ht="15.75" thickBot="1">
      <c r="C164" s="103">
        <f>Predikcia!A162</f>
        <v>45695</v>
      </c>
      <c r="D164" s="42" t="str">
        <f>Predikcia!B162</f>
        <v>15:00:00</v>
      </c>
      <c r="E164" s="67">
        <f>Predikcia!G162</f>
        <v>14634.25</v>
      </c>
      <c r="F164" s="68">
        <f>'DHS2025'!C161</f>
        <v>14534</v>
      </c>
      <c r="G164" s="69">
        <f>'DHS2025'!D161</f>
        <v>10402</v>
      </c>
      <c r="H164" s="86">
        <v>8</v>
      </c>
      <c r="I164" s="87">
        <f>'DHS2025'!E161/1000</f>
        <v>8.0549999999999997</v>
      </c>
      <c r="J164" s="50">
        <f>Predikcia!R162</f>
        <v>135.93</v>
      </c>
      <c r="K164" s="48">
        <f t="shared" si="2"/>
        <v>1068.6624885000001</v>
      </c>
      <c r="M164" s="11">
        <f>Predikcia!K162</f>
        <v>5</v>
      </c>
      <c r="N164" s="11">
        <v>8</v>
      </c>
    </row>
    <row r="165" spans="3:14" ht="15.75" thickBot="1">
      <c r="C165" s="103">
        <f>Predikcia!A163</f>
        <v>45695</v>
      </c>
      <c r="D165" s="42" t="str">
        <f>Predikcia!B163</f>
        <v>16:00:00</v>
      </c>
      <c r="E165" s="67">
        <f>Predikcia!G163</f>
        <v>15144.75</v>
      </c>
      <c r="F165" s="68">
        <f>'DHS2025'!C162</f>
        <v>15281</v>
      </c>
      <c r="G165" s="69">
        <f>'DHS2025'!D162</f>
        <v>8746</v>
      </c>
      <c r="H165" s="86">
        <v>8</v>
      </c>
      <c r="I165" s="87">
        <f>'DHS2025'!E162/1000</f>
        <v>8.048</v>
      </c>
      <c r="J165" s="50">
        <f>Predikcia!R163</f>
        <v>206.46</v>
      </c>
      <c r="K165" s="48">
        <f t="shared" si="2"/>
        <v>1629.6829791999999</v>
      </c>
      <c r="M165" s="11">
        <f>Predikcia!K163</f>
        <v>5</v>
      </c>
      <c r="N165" s="11">
        <v>8</v>
      </c>
    </row>
    <row r="166" spans="3:14" ht="15.75" thickBot="1">
      <c r="C166" s="103">
        <f>Predikcia!A164</f>
        <v>45695</v>
      </c>
      <c r="D166" s="42" t="str">
        <f>Predikcia!B164</f>
        <v>17:00:00</v>
      </c>
      <c r="E166" s="67">
        <f>Predikcia!G164</f>
        <v>15458.25</v>
      </c>
      <c r="F166" s="68">
        <f>'DHS2025'!C163</f>
        <v>14926</v>
      </c>
      <c r="G166" s="69">
        <f>'DHS2025'!D163</f>
        <v>8909</v>
      </c>
      <c r="H166" s="86">
        <v>8</v>
      </c>
      <c r="I166" s="87">
        <f>'DHS2025'!E163/1000</f>
        <v>8.0790000000000006</v>
      </c>
      <c r="J166" s="50">
        <f>Predikcia!R164</f>
        <v>207.63</v>
      </c>
      <c r="K166" s="48">
        <f t="shared" si="2"/>
        <v>1645.3182423000001</v>
      </c>
      <c r="M166" s="11">
        <f>Predikcia!K164</f>
        <v>5</v>
      </c>
      <c r="N166" s="11">
        <v>8</v>
      </c>
    </row>
    <row r="167" spans="3:14" ht="15.75" thickBot="1">
      <c r="C167" s="103">
        <f>Predikcia!A165</f>
        <v>45695</v>
      </c>
      <c r="D167" s="42" t="str">
        <f>Predikcia!B165</f>
        <v>18:00:00</v>
      </c>
      <c r="E167" s="67">
        <f>Predikcia!G165</f>
        <v>15517.75</v>
      </c>
      <c r="F167" s="68">
        <f>'DHS2025'!C164</f>
        <v>14996</v>
      </c>
      <c r="G167" s="69">
        <f>'DHS2025'!D164</f>
        <v>9377</v>
      </c>
      <c r="H167" s="86">
        <v>8</v>
      </c>
      <c r="I167" s="87">
        <f>'DHS2025'!E164/1000</f>
        <v>8.0500000000000007</v>
      </c>
      <c r="J167" s="50">
        <f>Predikcia!R165</f>
        <v>201.56</v>
      </c>
      <c r="K167" s="48">
        <f t="shared" si="2"/>
        <v>1591.0374200000001</v>
      </c>
      <c r="M167" s="11">
        <f>Predikcia!K165</f>
        <v>5</v>
      </c>
      <c r="N167" s="11">
        <v>8</v>
      </c>
    </row>
    <row r="168" spans="3:14" ht="15.75" thickBot="1">
      <c r="C168" s="103">
        <f>Predikcia!A166</f>
        <v>45695</v>
      </c>
      <c r="D168" s="42" t="str">
        <f>Predikcia!B166</f>
        <v>19:00:00</v>
      </c>
      <c r="E168" s="67">
        <f>Predikcia!G166</f>
        <v>15808</v>
      </c>
      <c r="F168" s="68">
        <f>'DHS2025'!C165</f>
        <v>16390</v>
      </c>
      <c r="G168" s="69">
        <f>'DHS2025'!D165</f>
        <v>8052</v>
      </c>
      <c r="H168" s="86">
        <v>8</v>
      </c>
      <c r="I168" s="87">
        <f>'DHS2025'!E165/1000</f>
        <v>8.0589999999999993</v>
      </c>
      <c r="J168" s="50">
        <f>Predikcia!R166</f>
        <v>200.98</v>
      </c>
      <c r="K168" s="48">
        <f t="shared" si="2"/>
        <v>1588.1887417999997</v>
      </c>
      <c r="M168" s="11">
        <f>Predikcia!K166</f>
        <v>5</v>
      </c>
      <c r="N168" s="11">
        <v>8</v>
      </c>
    </row>
    <row r="169" spans="3:14" ht="15.75" thickBot="1">
      <c r="C169" s="103">
        <f>Predikcia!A167</f>
        <v>45695</v>
      </c>
      <c r="D169" s="42" t="str">
        <f>Predikcia!B167</f>
        <v>20:00:00</v>
      </c>
      <c r="E169" s="67">
        <f>Predikcia!G167</f>
        <v>15947.5</v>
      </c>
      <c r="F169" s="68">
        <f>'DHS2025'!C166</f>
        <v>16373</v>
      </c>
      <c r="G169" s="69">
        <f>'DHS2025'!D166</f>
        <v>8012</v>
      </c>
      <c r="H169" s="86">
        <v>8</v>
      </c>
      <c r="I169" s="87">
        <f>'DHS2025'!E166/1000</f>
        <v>8.06</v>
      </c>
      <c r="J169" s="50">
        <f>Predikcia!R167</f>
        <v>208.04</v>
      </c>
      <c r="K169" s="48">
        <f t="shared" si="2"/>
        <v>1644.720376</v>
      </c>
      <c r="M169" s="11">
        <f>Predikcia!K167</f>
        <v>5</v>
      </c>
      <c r="N169" s="11">
        <v>8</v>
      </c>
    </row>
    <row r="170" spans="3:14" ht="15.75" thickBot="1">
      <c r="C170" s="103">
        <f>Predikcia!A168</f>
        <v>45695</v>
      </c>
      <c r="D170" s="42" t="str">
        <f>Predikcia!B168</f>
        <v>21:00:00</v>
      </c>
      <c r="E170" s="67">
        <f>Predikcia!G168</f>
        <v>15356.25</v>
      </c>
      <c r="F170" s="68">
        <f>'DHS2025'!C167</f>
        <v>17498</v>
      </c>
      <c r="G170" s="69">
        <f>'DHS2025'!D167</f>
        <v>6568</v>
      </c>
      <c r="H170" s="86">
        <v>8</v>
      </c>
      <c r="I170" s="87">
        <f>'DHS2025'!E167/1000</f>
        <v>8.0690000000000008</v>
      </c>
      <c r="J170" s="50">
        <f>Predikcia!R168</f>
        <v>181.96</v>
      </c>
      <c r="K170" s="48">
        <f t="shared" si="2"/>
        <v>1438.2217876000002</v>
      </c>
      <c r="M170" s="11">
        <f>Predikcia!K168</f>
        <v>5</v>
      </c>
      <c r="N170" s="11">
        <v>8</v>
      </c>
    </row>
    <row r="171" spans="3:14" ht="15.75" thickBot="1">
      <c r="C171" s="103">
        <f>Predikcia!A169</f>
        <v>45695</v>
      </c>
      <c r="D171" s="42" t="str">
        <f>Predikcia!B169</f>
        <v>22:00:00</v>
      </c>
      <c r="E171" s="67">
        <f>Predikcia!G169</f>
        <v>13183</v>
      </c>
      <c r="F171" s="68">
        <f>'DHS2025'!C168</f>
        <v>14334</v>
      </c>
      <c r="G171" s="69">
        <f>'DHS2025'!D168</f>
        <v>3920</v>
      </c>
      <c r="H171" s="86">
        <v>5</v>
      </c>
      <c r="I171" s="87">
        <f>'DHS2025'!E168/1000</f>
        <v>6.1</v>
      </c>
      <c r="J171" s="50">
        <f>Predikcia!R169</f>
        <v>128.37</v>
      </c>
      <c r="K171" s="48">
        <f t="shared" si="2"/>
        <v>763.63643000000002</v>
      </c>
      <c r="M171" s="11">
        <f>Predikcia!K169</f>
        <v>5</v>
      </c>
      <c r="N171" s="11">
        <v>5</v>
      </c>
    </row>
    <row r="172" spans="3:14" ht="15.75" thickBot="1">
      <c r="C172" s="107">
        <f>Predikcia!A170</f>
        <v>45695</v>
      </c>
      <c r="D172" s="46" t="str">
        <f>Predikcia!B170</f>
        <v>23:00:00</v>
      </c>
      <c r="E172" s="70">
        <f>Predikcia!G170</f>
        <v>7371.75</v>
      </c>
      <c r="F172" s="71">
        <f>'DHS2025'!C169</f>
        <v>8166</v>
      </c>
      <c r="G172" s="72">
        <f>'DHS2025'!D169</f>
        <v>3658</v>
      </c>
      <c r="H172" s="88">
        <v>3</v>
      </c>
      <c r="I172" s="87">
        <f>'DHS2025'!E169/1000</f>
        <v>3.6909999999999998</v>
      </c>
      <c r="J172" s="50">
        <f>Predikcia!R170</f>
        <v>115.83</v>
      </c>
      <c r="K172" s="48">
        <f t="shared" si="2"/>
        <v>416.24034469999998</v>
      </c>
      <c r="M172" s="11">
        <f>Predikcia!K170</f>
        <v>3</v>
      </c>
      <c r="N172" s="11">
        <v>3</v>
      </c>
    </row>
    <row r="173" spans="3:14" ht="15.75" thickBot="1">
      <c r="C173" s="104">
        <f>Predikcia!A171</f>
        <v>45696</v>
      </c>
      <c r="D173" s="43" t="str">
        <f>Predikcia!B171</f>
        <v>00:00:00</v>
      </c>
      <c r="E173" s="64">
        <f>Predikcia!G171</f>
        <v>7719.75</v>
      </c>
      <c r="F173" s="65">
        <f>'DHS2025'!C170</f>
        <v>8533</v>
      </c>
      <c r="G173" s="66">
        <f>'DHS2025'!D170</f>
        <v>3240</v>
      </c>
      <c r="H173" s="84">
        <v>3.9</v>
      </c>
      <c r="I173" s="85">
        <f>'DHS2025'!E170/1000</f>
        <v>3.66</v>
      </c>
      <c r="J173" s="50">
        <f>Predikcia!R171</f>
        <v>92.29</v>
      </c>
      <c r="K173" s="48">
        <f t="shared" si="2"/>
        <v>327.44958600000001</v>
      </c>
      <c r="M173" s="11">
        <f>Predikcia!K171</f>
        <v>3</v>
      </c>
      <c r="N173" s="11">
        <v>3.9</v>
      </c>
    </row>
    <row r="174" spans="3:14" ht="15.75" thickBot="1">
      <c r="C174" s="105">
        <f>Predikcia!A172</f>
        <v>45696</v>
      </c>
      <c r="D174" s="44" t="str">
        <f>Predikcia!B172</f>
        <v>01:00:00</v>
      </c>
      <c r="E174" s="67">
        <f>Predikcia!G172</f>
        <v>9880.5</v>
      </c>
      <c r="F174" s="68">
        <f>'DHS2025'!C171</f>
        <v>9197</v>
      </c>
      <c r="G174" s="69">
        <f>'DHS2025'!D171</f>
        <v>3446</v>
      </c>
      <c r="H174" s="86">
        <v>3.3</v>
      </c>
      <c r="I174" s="87">
        <f>'DHS2025'!E171/1000</f>
        <v>3.4809999999999999</v>
      </c>
      <c r="J174" s="50">
        <f>Predikcia!R172</f>
        <v>86.91</v>
      </c>
      <c r="K174" s="48">
        <f t="shared" si="2"/>
        <v>292.89447289999993</v>
      </c>
      <c r="M174" s="11">
        <f>Predikcia!K172</f>
        <v>4</v>
      </c>
      <c r="N174" s="11">
        <v>3.3</v>
      </c>
    </row>
    <row r="175" spans="3:14" ht="15.75" thickBot="1">
      <c r="C175" s="105">
        <f>Predikcia!A173</f>
        <v>45696</v>
      </c>
      <c r="D175" s="44" t="str">
        <f>Predikcia!B173</f>
        <v>02:00:00</v>
      </c>
      <c r="E175" s="67">
        <f>Predikcia!G173</f>
        <v>10883.25</v>
      </c>
      <c r="F175" s="68">
        <f>'DHS2025'!C172</f>
        <v>11158</v>
      </c>
      <c r="G175" s="69">
        <f>'DHS2025'!D172</f>
        <v>1233</v>
      </c>
      <c r="H175" s="86">
        <v>3.4</v>
      </c>
      <c r="I175" s="87">
        <f>'DHS2025'!E172/1000</f>
        <v>3.4670000000000001</v>
      </c>
      <c r="J175" s="50">
        <f>Predikcia!R173</f>
        <v>86.5</v>
      </c>
      <c r="K175" s="48">
        <f t="shared" si="2"/>
        <v>290.30924500000003</v>
      </c>
      <c r="M175" s="11">
        <f>Predikcia!K173</f>
        <v>4</v>
      </c>
      <c r="N175" s="11">
        <v>3.4</v>
      </c>
    </row>
    <row r="176" spans="3:14" ht="15.75" thickBot="1">
      <c r="C176" s="105">
        <f>Predikcia!A174</f>
        <v>45696</v>
      </c>
      <c r="D176" s="44" t="str">
        <f>Predikcia!B174</f>
        <v>03:00:00</v>
      </c>
      <c r="E176" s="67">
        <f>Predikcia!G174</f>
        <v>11440</v>
      </c>
      <c r="F176" s="68">
        <f>'DHS2025'!C173</f>
        <v>12062</v>
      </c>
      <c r="G176" s="69">
        <f>'DHS2025'!D173</f>
        <v>2576</v>
      </c>
      <c r="H176" s="86">
        <v>4</v>
      </c>
      <c r="I176" s="87">
        <f>'DHS2025'!E173/1000</f>
        <v>4.0460000000000003</v>
      </c>
      <c r="J176" s="50">
        <f>Predikcia!R174</f>
        <v>88.37</v>
      </c>
      <c r="K176" s="48">
        <f t="shared" si="2"/>
        <v>346.28216980000002</v>
      </c>
      <c r="M176" s="11">
        <f>Predikcia!K174</f>
        <v>4</v>
      </c>
      <c r="N176" s="11">
        <v>4</v>
      </c>
    </row>
    <row r="177" spans="3:14" ht="15.75" thickBot="1">
      <c r="C177" s="105">
        <f>Predikcia!A175</f>
        <v>45696</v>
      </c>
      <c r="D177" s="44" t="str">
        <f>Predikcia!B175</f>
        <v>04:00:00</v>
      </c>
      <c r="E177" s="67">
        <f>Predikcia!G175</f>
        <v>16051</v>
      </c>
      <c r="F177" s="68">
        <f>'DHS2025'!C174</f>
        <v>19094</v>
      </c>
      <c r="G177" s="69">
        <f>'DHS2025'!D174</f>
        <v>70</v>
      </c>
      <c r="H177" s="86">
        <v>6</v>
      </c>
      <c r="I177" s="87">
        <f>'DHS2025'!E174/1000</f>
        <v>6.0289999999999999</v>
      </c>
      <c r="J177" s="50">
        <f>Predikcia!R175</f>
        <v>89.69</v>
      </c>
      <c r="K177" s="48">
        <f t="shared" si="2"/>
        <v>523.87849989999995</v>
      </c>
      <c r="M177" s="11">
        <f>Predikcia!K175</f>
        <v>6</v>
      </c>
      <c r="N177" s="11">
        <v>6</v>
      </c>
    </row>
    <row r="178" spans="3:14" ht="15.75" thickBot="1">
      <c r="C178" s="105">
        <f>Predikcia!A176</f>
        <v>45696</v>
      </c>
      <c r="D178" s="44" t="str">
        <f>Predikcia!B176</f>
        <v>05:00:00</v>
      </c>
      <c r="E178" s="67">
        <f>Predikcia!G176</f>
        <v>17255.5</v>
      </c>
      <c r="F178" s="68">
        <f>'DHS2025'!C175</f>
        <v>19520</v>
      </c>
      <c r="G178" s="69">
        <f>'DHS2025'!D175</f>
        <v>102</v>
      </c>
      <c r="H178" s="86">
        <v>6</v>
      </c>
      <c r="I178" s="87">
        <f>'DHS2025'!E175/1000</f>
        <v>6.0570000000000004</v>
      </c>
      <c r="J178" s="50">
        <f>Predikcia!R176</f>
        <v>90.99</v>
      </c>
      <c r="K178" s="48">
        <f t="shared" si="2"/>
        <v>534.10686569999996</v>
      </c>
      <c r="M178" s="11">
        <f>Predikcia!K176</f>
        <v>6</v>
      </c>
      <c r="N178" s="11">
        <v>6</v>
      </c>
    </row>
    <row r="179" spans="3:14" ht="15.75" thickBot="1">
      <c r="C179" s="105">
        <f>Predikcia!A177</f>
        <v>45696</v>
      </c>
      <c r="D179" s="44" t="str">
        <f>Predikcia!B177</f>
        <v>06:00:00</v>
      </c>
      <c r="E179" s="67">
        <f>Predikcia!G177</f>
        <v>16787.25</v>
      </c>
      <c r="F179" s="68">
        <f>'DHS2025'!C176</f>
        <v>19441</v>
      </c>
      <c r="G179" s="69">
        <f>'DHS2025'!D176</f>
        <v>91</v>
      </c>
      <c r="H179" s="86">
        <v>6</v>
      </c>
      <c r="I179" s="87">
        <f>'DHS2025'!E176/1000</f>
        <v>6.06</v>
      </c>
      <c r="J179" s="50">
        <f>Predikcia!R177</f>
        <v>102.73</v>
      </c>
      <c r="K179" s="48">
        <f t="shared" si="2"/>
        <v>604.80436199999997</v>
      </c>
      <c r="M179" s="11">
        <f>Predikcia!K177</f>
        <v>6</v>
      </c>
      <c r="N179" s="11">
        <v>6</v>
      </c>
    </row>
    <row r="180" spans="3:14" ht="15.75" thickBot="1">
      <c r="C180" s="105">
        <f>Predikcia!A178</f>
        <v>45696</v>
      </c>
      <c r="D180" s="44" t="str">
        <f>Predikcia!B178</f>
        <v>07:00:00</v>
      </c>
      <c r="E180" s="67">
        <f>Predikcia!G178</f>
        <v>15852.25</v>
      </c>
      <c r="F180" s="68">
        <f>'DHS2025'!C177</f>
        <v>16624</v>
      </c>
      <c r="G180" s="69">
        <f>'DHS2025'!D177</f>
        <v>123</v>
      </c>
      <c r="H180" s="86">
        <v>5</v>
      </c>
      <c r="I180" s="87">
        <f>'DHS2025'!E177/1000</f>
        <v>5.0739999999999998</v>
      </c>
      <c r="J180" s="50">
        <f>Predikcia!R178</f>
        <v>116.64</v>
      </c>
      <c r="K180" s="48">
        <f t="shared" si="2"/>
        <v>576.27244639999992</v>
      </c>
      <c r="M180" s="11">
        <f>Predikcia!K178</f>
        <v>5</v>
      </c>
      <c r="N180" s="11">
        <v>5</v>
      </c>
    </row>
    <row r="181" spans="3:14" ht="15.75" thickBot="1">
      <c r="C181" s="105">
        <f>Predikcia!A179</f>
        <v>45696</v>
      </c>
      <c r="D181" s="44" t="str">
        <f>Predikcia!B179</f>
        <v>08:00:00</v>
      </c>
      <c r="E181" s="67">
        <f>Predikcia!G179</f>
        <v>16197.75</v>
      </c>
      <c r="F181" s="68">
        <f>'DHS2025'!C178</f>
        <v>19086</v>
      </c>
      <c r="G181" s="69">
        <f>'DHS2025'!D178</f>
        <v>1321</v>
      </c>
      <c r="H181" s="86">
        <v>6</v>
      </c>
      <c r="I181" s="87">
        <f>'DHS2025'!E178/1000</f>
        <v>6.0750000000000002</v>
      </c>
      <c r="J181" s="50">
        <f>Predikcia!R179</f>
        <v>112.5</v>
      </c>
      <c r="K181" s="48">
        <f t="shared" si="2"/>
        <v>665.06062499999996</v>
      </c>
      <c r="M181" s="11">
        <f>Predikcia!K179</f>
        <v>6</v>
      </c>
      <c r="N181" s="11">
        <v>6</v>
      </c>
    </row>
    <row r="182" spans="3:14" ht="15.75" thickBot="1">
      <c r="C182" s="105">
        <f>Predikcia!A180</f>
        <v>45696</v>
      </c>
      <c r="D182" s="44" t="str">
        <f>Predikcia!B180</f>
        <v>09:00:00</v>
      </c>
      <c r="E182" s="67">
        <f>Predikcia!G180</f>
        <v>15826.75</v>
      </c>
      <c r="F182" s="68">
        <f>'DHS2025'!C179</f>
        <v>14769</v>
      </c>
      <c r="G182" s="69">
        <f>'DHS2025'!D179</f>
        <v>1121</v>
      </c>
      <c r="H182" s="86">
        <v>5</v>
      </c>
      <c r="I182" s="87">
        <f>'DHS2025'!E179/1000</f>
        <v>5.1050000000000004</v>
      </c>
      <c r="J182" s="50">
        <f>Predikcia!R180</f>
        <v>98.49</v>
      </c>
      <c r="K182" s="48">
        <f t="shared" si="2"/>
        <v>488.06403549999999</v>
      </c>
      <c r="M182" s="11">
        <f>Predikcia!K180</f>
        <v>5</v>
      </c>
      <c r="N182" s="11">
        <v>5</v>
      </c>
    </row>
    <row r="183" spans="3:14" ht="15.75" thickBot="1">
      <c r="C183" s="105">
        <f>Predikcia!A181</f>
        <v>45696</v>
      </c>
      <c r="D183" s="44" t="str">
        <f>Predikcia!B181</f>
        <v>10:00:00</v>
      </c>
      <c r="E183" s="67">
        <f>Predikcia!G181</f>
        <v>15169.75</v>
      </c>
      <c r="F183" s="68">
        <f>'DHS2025'!C180</f>
        <v>16128</v>
      </c>
      <c r="G183" s="69">
        <f>'DHS2025'!D180</f>
        <v>22</v>
      </c>
      <c r="H183" s="86">
        <v>5</v>
      </c>
      <c r="I183" s="87">
        <f>'DHS2025'!E180/1000</f>
        <v>5.0460000000000003</v>
      </c>
      <c r="J183" s="50">
        <f>Predikcia!R181</f>
        <v>94.21</v>
      </c>
      <c r="K183" s="48">
        <f t="shared" si="2"/>
        <v>461.04242339999996</v>
      </c>
      <c r="M183" s="11">
        <f>Predikcia!K181</f>
        <v>5</v>
      </c>
      <c r="N183" s="11">
        <v>5</v>
      </c>
    </row>
    <row r="184" spans="3:14" ht="15.75" thickBot="1">
      <c r="C184" s="105">
        <f>Predikcia!A182</f>
        <v>45696</v>
      </c>
      <c r="D184" s="44" t="str">
        <f>Predikcia!B182</f>
        <v>11:00:00</v>
      </c>
      <c r="E184" s="67">
        <f>Predikcia!G182</f>
        <v>15023.5</v>
      </c>
      <c r="F184" s="68">
        <f>'DHS2025'!C181</f>
        <v>14303</v>
      </c>
      <c r="G184" s="69">
        <f>'DHS2025'!D181</f>
        <v>1928</v>
      </c>
      <c r="H184" s="86">
        <v>5</v>
      </c>
      <c r="I184" s="87">
        <f>'DHS2025'!E181/1000</f>
        <v>5.0540000000000003</v>
      </c>
      <c r="J184" s="50">
        <f>Predikcia!R182</f>
        <v>86.42</v>
      </c>
      <c r="K184" s="48">
        <f t="shared" si="2"/>
        <v>422.79641320000002</v>
      </c>
      <c r="M184" s="11">
        <f>Predikcia!K182</f>
        <v>5</v>
      </c>
      <c r="N184" s="11">
        <v>5</v>
      </c>
    </row>
    <row r="185" spans="3:14" ht="15.75" thickBot="1">
      <c r="C185" s="105">
        <f>Predikcia!A183</f>
        <v>45696</v>
      </c>
      <c r="D185" s="44" t="str">
        <f>Predikcia!B183</f>
        <v>12:00:00</v>
      </c>
      <c r="E185" s="67">
        <f>Predikcia!G183</f>
        <v>14742.75</v>
      </c>
      <c r="F185" s="68">
        <f>'DHS2025'!C182</f>
        <v>13516</v>
      </c>
      <c r="G185" s="69">
        <f>'DHS2025'!D182</f>
        <v>2615</v>
      </c>
      <c r="H185" s="86">
        <v>5</v>
      </c>
      <c r="I185" s="87">
        <f>'DHS2025'!E182/1000</f>
        <v>5.0199999999999996</v>
      </c>
      <c r="J185" s="50">
        <f>Predikcia!R183</f>
        <v>85.38</v>
      </c>
      <c r="K185" s="48">
        <f t="shared" si="2"/>
        <v>414.78352399999989</v>
      </c>
      <c r="M185" s="11">
        <f>Predikcia!K183</f>
        <v>5</v>
      </c>
      <c r="N185" s="11">
        <v>5</v>
      </c>
    </row>
    <row r="186" spans="3:14" ht="15.75" thickBot="1">
      <c r="C186" s="105">
        <f>Predikcia!A184</f>
        <v>45696</v>
      </c>
      <c r="D186" s="44" t="str">
        <f>Predikcia!B184</f>
        <v>13:00:00</v>
      </c>
      <c r="E186" s="67">
        <f>Predikcia!G184</f>
        <v>13992</v>
      </c>
      <c r="F186" s="68">
        <f>'DHS2025'!C183</f>
        <v>13149</v>
      </c>
      <c r="G186" s="69">
        <f>'DHS2025'!D183</f>
        <v>1793</v>
      </c>
      <c r="H186" s="86">
        <v>5</v>
      </c>
      <c r="I186" s="87">
        <f>'DHS2025'!E183/1000</f>
        <v>5.0170000000000003</v>
      </c>
      <c r="J186" s="50">
        <f>Predikcia!R184</f>
        <v>88.06</v>
      </c>
      <c r="K186" s="48">
        <f t="shared" si="2"/>
        <v>427.8467498</v>
      </c>
      <c r="M186" s="11">
        <f>Predikcia!K184</f>
        <v>5</v>
      </c>
      <c r="N186" s="11">
        <v>5</v>
      </c>
    </row>
    <row r="187" spans="3:14" ht="15.75" thickBot="1">
      <c r="C187" s="105">
        <f>Predikcia!A185</f>
        <v>45696</v>
      </c>
      <c r="D187" s="44" t="str">
        <f>Predikcia!B185</f>
        <v>14:00:00</v>
      </c>
      <c r="E187" s="67">
        <f>Predikcia!G185</f>
        <v>13888.5</v>
      </c>
      <c r="F187" s="68">
        <f>'DHS2025'!C184</f>
        <v>13121</v>
      </c>
      <c r="G187" s="69">
        <f>'DHS2025'!D184</f>
        <v>3097</v>
      </c>
      <c r="H187" s="86">
        <v>5</v>
      </c>
      <c r="I187" s="87">
        <f>'DHS2025'!E184/1000</f>
        <v>5.0609999999999999</v>
      </c>
      <c r="J187" s="50">
        <f>Predikcia!R185</f>
        <v>93.36</v>
      </c>
      <c r="K187" s="48">
        <f t="shared" si="2"/>
        <v>458.15411039999998</v>
      </c>
      <c r="M187" s="11">
        <f>Predikcia!K185</f>
        <v>5</v>
      </c>
      <c r="N187" s="11">
        <v>5</v>
      </c>
    </row>
    <row r="188" spans="3:14" ht="15.75" thickBot="1">
      <c r="C188" s="105">
        <f>Predikcia!A186</f>
        <v>45696</v>
      </c>
      <c r="D188" s="44" t="str">
        <f>Predikcia!B186</f>
        <v>15:00:00</v>
      </c>
      <c r="E188" s="67">
        <f>Predikcia!G186</f>
        <v>14140</v>
      </c>
      <c r="F188" s="68">
        <f>'DHS2025'!C185</f>
        <v>13516</v>
      </c>
      <c r="G188" s="69">
        <f>'DHS2025'!D185</f>
        <v>2720</v>
      </c>
      <c r="H188" s="86">
        <v>5</v>
      </c>
      <c r="I188" s="87">
        <f>'DHS2025'!E185/1000</f>
        <v>5.0519999999999996</v>
      </c>
      <c r="J188" s="50">
        <f>Predikcia!R186</f>
        <v>118</v>
      </c>
      <c r="K188" s="48">
        <f t="shared" si="2"/>
        <v>580.57583999999986</v>
      </c>
      <c r="M188" s="11">
        <f>Predikcia!K186</f>
        <v>5</v>
      </c>
      <c r="N188" s="11">
        <v>5</v>
      </c>
    </row>
    <row r="189" spans="3:14" ht="15.75" thickBot="1">
      <c r="C189" s="105">
        <f>Predikcia!A187</f>
        <v>45696</v>
      </c>
      <c r="D189" s="44" t="str">
        <f>Predikcia!B187</f>
        <v>16:00:00</v>
      </c>
      <c r="E189" s="67">
        <f>Predikcia!G187</f>
        <v>14430.25</v>
      </c>
      <c r="F189" s="68">
        <f>'DHS2025'!C186</f>
        <v>14538</v>
      </c>
      <c r="G189" s="69">
        <f>'DHS2025'!D186</f>
        <v>6620</v>
      </c>
      <c r="H189" s="86">
        <v>8</v>
      </c>
      <c r="I189" s="87">
        <f>'DHS2025'!E186/1000</f>
        <v>6.9290000000000003</v>
      </c>
      <c r="J189" s="50">
        <f>Predikcia!R187</f>
        <v>158.29</v>
      </c>
      <c r="K189" s="48">
        <f t="shared" si="2"/>
        <v>1072.6583959</v>
      </c>
      <c r="M189" s="11">
        <f>Predikcia!K187</f>
        <v>5</v>
      </c>
      <c r="N189" s="11">
        <v>8</v>
      </c>
    </row>
    <row r="190" spans="3:14" ht="15.75" thickBot="1">
      <c r="C190" s="105">
        <f>Predikcia!A188</f>
        <v>45696</v>
      </c>
      <c r="D190" s="44" t="str">
        <f>Predikcia!B188</f>
        <v>17:00:00</v>
      </c>
      <c r="E190" s="67">
        <f>Predikcia!G188</f>
        <v>15373</v>
      </c>
      <c r="F190" s="68">
        <f>'DHS2025'!C187</f>
        <v>15792</v>
      </c>
      <c r="G190" s="69">
        <f>'DHS2025'!D187</f>
        <v>8635</v>
      </c>
      <c r="H190" s="86">
        <v>8</v>
      </c>
      <c r="I190" s="87">
        <f>'DHS2025'!E187/1000</f>
        <v>8.0489999999999995</v>
      </c>
      <c r="J190" s="50">
        <f>Predikcia!R188</f>
        <v>174.17</v>
      </c>
      <c r="K190" s="48">
        <f t="shared" si="2"/>
        <v>1372.5822866999997</v>
      </c>
      <c r="M190" s="11">
        <f>Predikcia!K188</f>
        <v>5</v>
      </c>
      <c r="N190" s="11">
        <v>8</v>
      </c>
    </row>
    <row r="191" spans="3:14" ht="15.75" thickBot="1">
      <c r="C191" s="105">
        <f>Predikcia!A189</f>
        <v>45696</v>
      </c>
      <c r="D191" s="44" t="str">
        <f>Predikcia!B189</f>
        <v>18:00:00</v>
      </c>
      <c r="E191" s="67">
        <f>Predikcia!G189</f>
        <v>16272.25</v>
      </c>
      <c r="F191" s="68">
        <f>'DHS2025'!C188</f>
        <v>17360</v>
      </c>
      <c r="G191" s="69">
        <f>'DHS2025'!D188</f>
        <v>7082</v>
      </c>
      <c r="H191" s="86">
        <v>8</v>
      </c>
      <c r="I191" s="87">
        <f>'DHS2025'!E188/1000</f>
        <v>8.0559999999999992</v>
      </c>
      <c r="J191" s="50">
        <f>Predikcia!R189</f>
        <v>160.59</v>
      </c>
      <c r="K191" s="48">
        <f t="shared" si="2"/>
        <v>1265.4695095999998</v>
      </c>
      <c r="M191" s="11">
        <f>Predikcia!K189</f>
        <v>6</v>
      </c>
      <c r="N191" s="11">
        <v>8</v>
      </c>
    </row>
    <row r="192" spans="3:14" ht="15.75" thickBot="1">
      <c r="C192" s="105">
        <f>Predikcia!A190</f>
        <v>45696</v>
      </c>
      <c r="D192" s="44" t="str">
        <f>Predikcia!B190</f>
        <v>19:00:00</v>
      </c>
      <c r="E192" s="67">
        <f>Predikcia!G190</f>
        <v>16186</v>
      </c>
      <c r="F192" s="68">
        <f>'DHS2025'!C189</f>
        <v>17554</v>
      </c>
      <c r="G192" s="69">
        <f>'DHS2025'!D189</f>
        <v>6868</v>
      </c>
      <c r="H192" s="86">
        <v>8</v>
      </c>
      <c r="I192" s="87">
        <f>'DHS2025'!E189/1000</f>
        <v>8.0559999999999992</v>
      </c>
      <c r="J192" s="50">
        <f>Predikcia!R190</f>
        <v>159.63999999999999</v>
      </c>
      <c r="K192" s="48">
        <f t="shared" si="2"/>
        <v>1257.8928415999999</v>
      </c>
      <c r="M192" s="11">
        <f>Predikcia!K190</f>
        <v>6</v>
      </c>
      <c r="N192" s="11">
        <v>8</v>
      </c>
    </row>
    <row r="193" spans="3:14" ht="15.75" thickBot="1">
      <c r="C193" s="105">
        <f>Predikcia!A191</f>
        <v>45696</v>
      </c>
      <c r="D193" s="44" t="str">
        <f>Predikcia!B191</f>
        <v>20:00:00</v>
      </c>
      <c r="E193" s="67">
        <f>Predikcia!G191</f>
        <v>16599.75</v>
      </c>
      <c r="F193" s="68">
        <f>'DHS2025'!C190</f>
        <v>18295</v>
      </c>
      <c r="G193" s="69">
        <f>'DHS2025'!D190</f>
        <v>6752</v>
      </c>
      <c r="H193" s="86">
        <v>8</v>
      </c>
      <c r="I193" s="87">
        <f>'DHS2025'!E190/1000</f>
        <v>8.0809999999999995</v>
      </c>
      <c r="J193" s="50">
        <f>Predikcia!R191</f>
        <v>155.66999999999999</v>
      </c>
      <c r="K193" s="48">
        <f t="shared" si="2"/>
        <v>1230.0356772999996</v>
      </c>
      <c r="M193" s="11">
        <f>Predikcia!K191</f>
        <v>6</v>
      </c>
      <c r="N193" s="11">
        <v>8</v>
      </c>
    </row>
    <row r="194" spans="3:14" ht="15.75" thickBot="1">
      <c r="C194" s="105">
        <f>Predikcia!A192</f>
        <v>45696</v>
      </c>
      <c r="D194" s="44" t="str">
        <f>Predikcia!B192</f>
        <v>21:00:00</v>
      </c>
      <c r="E194" s="67">
        <f>Predikcia!G192</f>
        <v>16121.5</v>
      </c>
      <c r="F194" s="68">
        <f>'DHS2025'!C191</f>
        <v>18363</v>
      </c>
      <c r="G194" s="69">
        <f>'DHS2025'!D191</f>
        <v>2039</v>
      </c>
      <c r="H194" s="86">
        <v>6</v>
      </c>
      <c r="I194" s="87">
        <f>'DHS2025'!E191/1000</f>
        <v>6.633</v>
      </c>
      <c r="J194" s="50">
        <f>Predikcia!R192</f>
        <v>149</v>
      </c>
      <c r="K194" s="48">
        <f t="shared" si="2"/>
        <v>965.83112999999992</v>
      </c>
      <c r="M194" s="11">
        <f>Predikcia!K192</f>
        <v>6</v>
      </c>
      <c r="N194" s="11">
        <v>6</v>
      </c>
    </row>
    <row r="195" spans="3:14" ht="15.75" thickBot="1">
      <c r="C195" s="105">
        <f>Predikcia!A193</f>
        <v>45696</v>
      </c>
      <c r="D195" s="44" t="str">
        <f>Predikcia!B193</f>
        <v>22:00:00</v>
      </c>
      <c r="E195" s="67">
        <f>Predikcia!G193</f>
        <v>14186.75</v>
      </c>
      <c r="F195" s="68">
        <f>'DHS2025'!C192</f>
        <v>16559</v>
      </c>
      <c r="G195" s="69">
        <f>'DHS2025'!D192</f>
        <v>1828</v>
      </c>
      <c r="H195" s="86">
        <v>5</v>
      </c>
      <c r="I195" s="87">
        <f>'DHS2025'!E192/1000</f>
        <v>5.2329999999999997</v>
      </c>
      <c r="J195" s="50">
        <f>Predikcia!R193</f>
        <v>142.91999999999999</v>
      </c>
      <c r="K195" s="48">
        <f t="shared" si="2"/>
        <v>730.47865639999986</v>
      </c>
      <c r="M195" s="11">
        <f>Predikcia!K193</f>
        <v>5</v>
      </c>
      <c r="N195" s="11">
        <v>5</v>
      </c>
    </row>
    <row r="196" spans="3:14" ht="15.75" thickBot="1">
      <c r="C196" s="106">
        <f>Predikcia!A194</f>
        <v>45696</v>
      </c>
      <c r="D196" s="45" t="str">
        <f>Predikcia!B194</f>
        <v>23:00:00</v>
      </c>
      <c r="E196" s="70">
        <f>Predikcia!G194</f>
        <v>8093</v>
      </c>
      <c r="F196" s="71">
        <f>'DHS2025'!C193</f>
        <v>10653</v>
      </c>
      <c r="G196" s="72">
        <f>'DHS2025'!D193</f>
        <v>2992</v>
      </c>
      <c r="H196" s="88">
        <v>2.2999999999999998</v>
      </c>
      <c r="I196" s="87">
        <f>'DHS2025'!E193/1000</f>
        <v>3.141</v>
      </c>
      <c r="J196" s="50">
        <f>Predikcia!R194</f>
        <v>134.41</v>
      </c>
      <c r="K196" s="48">
        <f t="shared" si="2"/>
        <v>411.99209189999999</v>
      </c>
      <c r="M196" s="11">
        <f>Predikcia!K194</f>
        <v>4</v>
      </c>
      <c r="N196" s="11">
        <v>2.2999999999999998</v>
      </c>
    </row>
    <row r="197" spans="3:14" ht="15.75" thickBot="1">
      <c r="C197" s="102">
        <f>Predikcia!A195</f>
        <v>45697</v>
      </c>
      <c r="D197" s="41" t="str">
        <f>Predikcia!B195</f>
        <v>00:00:00</v>
      </c>
      <c r="E197" s="64">
        <f>Predikcia!G195</f>
        <v>8712.75</v>
      </c>
      <c r="F197" s="65">
        <f>'DHS2025'!C194</f>
        <v>10470</v>
      </c>
      <c r="G197" s="66">
        <f>'DHS2025'!D194</f>
        <v>52</v>
      </c>
      <c r="H197" s="84">
        <v>4</v>
      </c>
      <c r="I197" s="85">
        <f>'DHS2025'!E194/1000</f>
        <v>3.4350000000000001</v>
      </c>
      <c r="J197" s="50">
        <f>Predikcia!R195</f>
        <v>135</v>
      </c>
      <c r="K197" s="48">
        <f t="shared" si="2"/>
        <v>452.56125000000003</v>
      </c>
      <c r="M197" s="11">
        <f>Predikcia!K195</f>
        <v>4</v>
      </c>
      <c r="N197" s="11">
        <v>4</v>
      </c>
    </row>
    <row r="198" spans="3:14" ht="15.75" thickBot="1">
      <c r="C198" s="103">
        <f>Predikcia!A196</f>
        <v>45697</v>
      </c>
      <c r="D198" s="42" t="str">
        <f>Predikcia!B196</f>
        <v>01:00:00</v>
      </c>
      <c r="E198" s="67">
        <f>Predikcia!G196</f>
        <v>10381.5</v>
      </c>
      <c r="F198" s="68">
        <f>'DHS2025'!C195</f>
        <v>10941</v>
      </c>
      <c r="G198" s="69">
        <f>'DHS2025'!D195</f>
        <v>2692</v>
      </c>
      <c r="H198" s="86">
        <v>4</v>
      </c>
      <c r="I198" s="87">
        <f>'DHS2025'!E195/1000</f>
        <v>4.0570000000000004</v>
      </c>
      <c r="J198" s="50">
        <f>Predikcia!R196</f>
        <v>125.94</v>
      </c>
      <c r="K198" s="48">
        <f t="shared" ref="K198:K261" si="3">(J198*0.99-1.9)*I198</f>
        <v>498.12089420000001</v>
      </c>
      <c r="M198" s="11">
        <f>Predikcia!K196</f>
        <v>4</v>
      </c>
      <c r="N198" s="11">
        <v>4</v>
      </c>
    </row>
    <row r="199" spans="3:14" ht="15.75" thickBot="1">
      <c r="C199" s="103">
        <f>Predikcia!A197</f>
        <v>45697</v>
      </c>
      <c r="D199" s="42" t="str">
        <f>Predikcia!B197</f>
        <v>02:00:00</v>
      </c>
      <c r="E199" s="67">
        <f>Predikcia!G197</f>
        <v>10522.25</v>
      </c>
      <c r="F199" s="68">
        <f>'DHS2025'!C196</f>
        <v>13866</v>
      </c>
      <c r="G199" s="69">
        <f>'DHS2025'!D196</f>
        <v>52</v>
      </c>
      <c r="H199" s="86">
        <v>4</v>
      </c>
      <c r="I199" s="87">
        <f>'DHS2025'!E196/1000</f>
        <v>4.0570000000000004</v>
      </c>
      <c r="J199" s="50">
        <f>Predikcia!R197</f>
        <v>121.95</v>
      </c>
      <c r="K199" s="48">
        <f t="shared" si="3"/>
        <v>482.09533850000003</v>
      </c>
      <c r="M199" s="11">
        <f>Predikcia!K197</f>
        <v>4</v>
      </c>
      <c r="N199" s="11">
        <v>4</v>
      </c>
    </row>
    <row r="200" spans="3:14" ht="15.75" thickBot="1">
      <c r="C200" s="103">
        <f>Predikcia!A198</f>
        <v>45697</v>
      </c>
      <c r="D200" s="42" t="str">
        <f>Predikcia!B198</f>
        <v>03:00:00</v>
      </c>
      <c r="E200" s="67">
        <f>Predikcia!G198</f>
        <v>11297</v>
      </c>
      <c r="F200" s="68">
        <f>'DHS2025'!C197</f>
        <v>14857</v>
      </c>
      <c r="G200" s="69">
        <f>'DHS2025'!D197</f>
        <v>62</v>
      </c>
      <c r="H200" s="86">
        <v>4</v>
      </c>
      <c r="I200" s="87">
        <f>'DHS2025'!E197/1000</f>
        <v>4.0659999999999998</v>
      </c>
      <c r="J200" s="50">
        <f>Predikcia!R198</f>
        <v>119.3</v>
      </c>
      <c r="K200" s="48">
        <f t="shared" si="3"/>
        <v>472.49766199999993</v>
      </c>
      <c r="M200" s="11">
        <f>Predikcia!K198</f>
        <v>4</v>
      </c>
      <c r="N200" s="11">
        <v>4</v>
      </c>
    </row>
    <row r="201" spans="3:14" ht="15.75" thickBot="1">
      <c r="C201" s="103">
        <f>Predikcia!A199</f>
        <v>45697</v>
      </c>
      <c r="D201" s="42" t="str">
        <f>Predikcia!B199</f>
        <v>04:00:00</v>
      </c>
      <c r="E201" s="67">
        <f>Predikcia!G199</f>
        <v>16289.25</v>
      </c>
      <c r="F201" s="68">
        <f>'DHS2025'!C198</f>
        <v>15180</v>
      </c>
      <c r="G201" s="69">
        <f>'DHS2025'!D198</f>
        <v>21</v>
      </c>
      <c r="H201" s="86">
        <v>6</v>
      </c>
      <c r="I201" s="87">
        <f>'DHS2025'!E198/1000</f>
        <v>5.4130000000000003</v>
      </c>
      <c r="J201" s="50">
        <f>Predikcia!R199</f>
        <v>116.81</v>
      </c>
      <c r="K201" s="48">
        <f t="shared" si="3"/>
        <v>615.68490470000006</v>
      </c>
      <c r="M201" s="11">
        <f>Predikcia!K199</f>
        <v>6</v>
      </c>
      <c r="N201" s="11">
        <v>6</v>
      </c>
    </row>
    <row r="202" spans="3:14" ht="15.75" thickBot="1">
      <c r="C202" s="103">
        <f>Predikcia!A200</f>
        <v>45697</v>
      </c>
      <c r="D202" s="42" t="str">
        <f>Predikcia!B200</f>
        <v>05:00:00</v>
      </c>
      <c r="E202" s="67">
        <f>Predikcia!G200</f>
        <v>17727.75</v>
      </c>
      <c r="F202" s="68">
        <f>'DHS2025'!C199</f>
        <v>22700</v>
      </c>
      <c r="G202" s="69">
        <f>'DHS2025'!D199</f>
        <v>164</v>
      </c>
      <c r="H202" s="86">
        <v>6</v>
      </c>
      <c r="I202" s="87">
        <f>'DHS2025'!E199/1000</f>
        <v>6.0540000000000003</v>
      </c>
      <c r="J202" s="50">
        <f>Predikcia!R200</f>
        <v>117</v>
      </c>
      <c r="K202" s="48">
        <f t="shared" si="3"/>
        <v>689.73221999999998</v>
      </c>
      <c r="M202" s="11">
        <f>Predikcia!K200</f>
        <v>6</v>
      </c>
      <c r="N202" s="11">
        <v>6</v>
      </c>
    </row>
    <row r="203" spans="3:14" ht="15.75" thickBot="1">
      <c r="C203" s="103">
        <f>Predikcia!A201</f>
        <v>45697</v>
      </c>
      <c r="D203" s="42" t="str">
        <f>Predikcia!B201</f>
        <v>06:00:00</v>
      </c>
      <c r="E203" s="67">
        <f>Predikcia!G201</f>
        <v>18936</v>
      </c>
      <c r="F203" s="68">
        <f>'DHS2025'!C200</f>
        <v>22142</v>
      </c>
      <c r="G203" s="69">
        <f>'DHS2025'!D200</f>
        <v>100</v>
      </c>
      <c r="H203" s="86">
        <v>6</v>
      </c>
      <c r="I203" s="87">
        <f>'DHS2025'!E200/1000</f>
        <v>6.0579999999999998</v>
      </c>
      <c r="J203" s="50">
        <f>Predikcia!R201</f>
        <v>117</v>
      </c>
      <c r="K203" s="48">
        <f t="shared" si="3"/>
        <v>690.18793999999991</v>
      </c>
      <c r="M203" s="11">
        <f>Predikcia!K201</f>
        <v>6</v>
      </c>
      <c r="N203" s="11">
        <v>6</v>
      </c>
    </row>
    <row r="204" spans="3:14" ht="15.75" thickBot="1">
      <c r="C204" s="103">
        <f>Predikcia!A202</f>
        <v>45697</v>
      </c>
      <c r="D204" s="42" t="str">
        <f>Predikcia!B202</f>
        <v>07:00:00</v>
      </c>
      <c r="E204" s="67">
        <f>Predikcia!G202</f>
        <v>17800.25</v>
      </c>
      <c r="F204" s="68">
        <f>'DHS2025'!C201</f>
        <v>19989</v>
      </c>
      <c r="G204" s="69">
        <f>'DHS2025'!D201</f>
        <v>2766</v>
      </c>
      <c r="H204" s="86">
        <v>8</v>
      </c>
      <c r="I204" s="87">
        <f>'DHS2025'!E201/1000</f>
        <v>6.7679999999999998</v>
      </c>
      <c r="J204" s="50">
        <f>Predikcia!R202</f>
        <v>133.43</v>
      </c>
      <c r="K204" s="48">
        <f t="shared" si="3"/>
        <v>881.16449759999989</v>
      </c>
      <c r="M204" s="11">
        <f>Predikcia!K202</f>
        <v>6</v>
      </c>
      <c r="N204" s="11">
        <v>8</v>
      </c>
    </row>
    <row r="205" spans="3:14" ht="15.75" thickBot="1">
      <c r="C205" s="103">
        <f>Predikcia!A203</f>
        <v>45697</v>
      </c>
      <c r="D205" s="42" t="str">
        <f>Predikcia!B203</f>
        <v>08:00:00</v>
      </c>
      <c r="E205" s="67">
        <f>Predikcia!G203</f>
        <v>18108.5</v>
      </c>
      <c r="F205" s="68">
        <f>'DHS2025'!C202</f>
        <v>18887</v>
      </c>
      <c r="G205" s="69">
        <f>'DHS2025'!D202</f>
        <v>6730</v>
      </c>
      <c r="H205" s="86">
        <v>8</v>
      </c>
      <c r="I205" s="87">
        <f>'DHS2025'!E202/1000</f>
        <v>8.07</v>
      </c>
      <c r="J205" s="50">
        <f>Predikcia!R203</f>
        <v>136.77000000000001</v>
      </c>
      <c r="K205" s="48">
        <f t="shared" si="3"/>
        <v>1077.3635609999999</v>
      </c>
      <c r="M205" s="11">
        <f>Predikcia!K203</f>
        <v>6</v>
      </c>
      <c r="N205" s="11">
        <v>8</v>
      </c>
    </row>
    <row r="206" spans="3:14" ht="15.75" thickBot="1">
      <c r="C206" s="103">
        <f>Predikcia!A204</f>
        <v>45697</v>
      </c>
      <c r="D206" s="42" t="str">
        <f>Predikcia!B204</f>
        <v>09:00:00</v>
      </c>
      <c r="E206" s="67">
        <f>Predikcia!G204</f>
        <v>16823.75</v>
      </c>
      <c r="F206" s="68">
        <f>'DHS2025'!C203</f>
        <v>17248</v>
      </c>
      <c r="G206" s="69">
        <f>'DHS2025'!D203</f>
        <v>6825</v>
      </c>
      <c r="H206" s="86">
        <v>6</v>
      </c>
      <c r="I206" s="87">
        <f>'DHS2025'!E203/1000</f>
        <v>7.3250000000000002</v>
      </c>
      <c r="J206" s="50">
        <f>Predikcia!R204</f>
        <v>121.6</v>
      </c>
      <c r="K206" s="48">
        <f t="shared" si="3"/>
        <v>867.89530000000002</v>
      </c>
      <c r="M206" s="11">
        <f>Predikcia!K204</f>
        <v>6</v>
      </c>
      <c r="N206" s="11">
        <v>6</v>
      </c>
    </row>
    <row r="207" spans="3:14" ht="15.75" thickBot="1">
      <c r="C207" s="103">
        <f>Predikcia!A205</f>
        <v>45697</v>
      </c>
      <c r="D207" s="42" t="str">
        <f>Predikcia!B205</f>
        <v>10:00:00</v>
      </c>
      <c r="E207" s="67">
        <f>Predikcia!G205</f>
        <v>16229.5</v>
      </c>
      <c r="F207" s="68">
        <f>'DHS2025'!C204</f>
        <v>15616</v>
      </c>
      <c r="G207" s="69">
        <f>'DHS2025'!D204</f>
        <v>3878</v>
      </c>
      <c r="H207" s="86">
        <v>6</v>
      </c>
      <c r="I207" s="87">
        <f>'DHS2025'!E204/1000</f>
        <v>6.0519999999999996</v>
      </c>
      <c r="J207" s="50">
        <f>Predikcia!R205</f>
        <v>113.4</v>
      </c>
      <c r="K207" s="48">
        <f t="shared" si="3"/>
        <v>667.93503199999998</v>
      </c>
      <c r="M207" s="11">
        <f>Predikcia!K205</f>
        <v>6</v>
      </c>
      <c r="N207" s="11">
        <v>6</v>
      </c>
    </row>
    <row r="208" spans="3:14" ht="15.75" thickBot="1">
      <c r="C208" s="103">
        <f>Predikcia!A206</f>
        <v>45697</v>
      </c>
      <c r="D208" s="42" t="str">
        <f>Predikcia!B206</f>
        <v>11:00:00</v>
      </c>
      <c r="E208" s="67">
        <f>Predikcia!G206</f>
        <v>15386</v>
      </c>
      <c r="F208" s="68">
        <f>'DHS2025'!C205</f>
        <v>13681</v>
      </c>
      <c r="G208" s="69">
        <f>'DHS2025'!D205</f>
        <v>5295</v>
      </c>
      <c r="H208" s="86">
        <v>5</v>
      </c>
      <c r="I208" s="87">
        <f>'DHS2025'!E205/1000</f>
        <v>5.585</v>
      </c>
      <c r="J208" s="50">
        <f>Predikcia!R206</f>
        <v>109.26</v>
      </c>
      <c r="K208" s="48">
        <f t="shared" si="3"/>
        <v>593.50342899999998</v>
      </c>
      <c r="M208" s="11">
        <f>Predikcia!K206</f>
        <v>5</v>
      </c>
      <c r="N208" s="11">
        <v>5</v>
      </c>
    </row>
    <row r="209" spans="3:14" ht="15.75" thickBot="1">
      <c r="C209" s="103">
        <f>Predikcia!A207</f>
        <v>45697</v>
      </c>
      <c r="D209" s="42" t="str">
        <f>Predikcia!B207</f>
        <v>12:00:00</v>
      </c>
      <c r="E209" s="67">
        <f>Predikcia!G207</f>
        <v>15049.75</v>
      </c>
      <c r="F209" s="68">
        <f>'DHS2025'!C206</f>
        <v>13404</v>
      </c>
      <c r="G209" s="69">
        <f>'DHS2025'!D206</f>
        <v>3208</v>
      </c>
      <c r="H209" s="86">
        <v>5</v>
      </c>
      <c r="I209" s="87">
        <f>'DHS2025'!E206/1000</f>
        <v>5.0510000000000002</v>
      </c>
      <c r="J209" s="50">
        <f>Predikcia!R207</f>
        <v>92.69</v>
      </c>
      <c r="K209" s="48">
        <f t="shared" si="3"/>
        <v>453.89851809999993</v>
      </c>
      <c r="M209" s="11">
        <f>Predikcia!K207</f>
        <v>5</v>
      </c>
      <c r="N209" s="11">
        <v>5</v>
      </c>
    </row>
    <row r="210" spans="3:14" ht="15.75" thickBot="1">
      <c r="C210" s="103">
        <f>Predikcia!A208</f>
        <v>45697</v>
      </c>
      <c r="D210" s="42" t="str">
        <f>Predikcia!B208</f>
        <v>13:00:00</v>
      </c>
      <c r="E210" s="67">
        <f>Predikcia!G208</f>
        <v>13692</v>
      </c>
      <c r="F210" s="68">
        <f>'DHS2025'!C207</f>
        <v>12282</v>
      </c>
      <c r="G210" s="69">
        <f>'DHS2025'!D207</f>
        <v>3904</v>
      </c>
      <c r="H210" s="86">
        <v>5</v>
      </c>
      <c r="I210" s="87">
        <f>'DHS2025'!E207/1000</f>
        <v>5.0730000000000004</v>
      </c>
      <c r="J210" s="50">
        <f>Predikcia!R208</f>
        <v>98.88</v>
      </c>
      <c r="K210" s="48">
        <f t="shared" si="3"/>
        <v>486.96335759999999</v>
      </c>
      <c r="M210" s="11">
        <f>Predikcia!K208</f>
        <v>5</v>
      </c>
      <c r="N210" s="11">
        <v>5</v>
      </c>
    </row>
    <row r="211" spans="3:14" ht="15.75" thickBot="1">
      <c r="C211" s="103">
        <f>Predikcia!A209</f>
        <v>45697</v>
      </c>
      <c r="D211" s="42" t="str">
        <f>Predikcia!B209</f>
        <v>14:00:00</v>
      </c>
      <c r="E211" s="67">
        <f>Predikcia!G209</f>
        <v>13293.5</v>
      </c>
      <c r="F211" s="68">
        <f>'DHS2025'!C208</f>
        <v>12395</v>
      </c>
      <c r="G211" s="69">
        <f>'DHS2025'!D208</f>
        <v>3622</v>
      </c>
      <c r="H211" s="86">
        <v>5</v>
      </c>
      <c r="I211" s="87">
        <f>'DHS2025'!E208/1000</f>
        <v>5.0620000000000003</v>
      </c>
      <c r="J211" s="50">
        <f>Predikcia!R209</f>
        <v>109.9</v>
      </c>
      <c r="K211" s="48">
        <f t="shared" si="3"/>
        <v>541.13286200000005</v>
      </c>
      <c r="M211" s="11">
        <f>Predikcia!K209</f>
        <v>5</v>
      </c>
      <c r="N211" s="11">
        <v>5</v>
      </c>
    </row>
    <row r="212" spans="3:14" ht="15.75" thickBot="1">
      <c r="C212" s="103">
        <f>Predikcia!A210</f>
        <v>45697</v>
      </c>
      <c r="D212" s="42" t="str">
        <f>Predikcia!B210</f>
        <v>15:00:00</v>
      </c>
      <c r="E212" s="67">
        <f>Predikcia!G210</f>
        <v>13377.5</v>
      </c>
      <c r="F212" s="68">
        <f>'DHS2025'!C209</f>
        <v>12214</v>
      </c>
      <c r="G212" s="69">
        <f>'DHS2025'!D209</f>
        <v>3448</v>
      </c>
      <c r="H212" s="86">
        <v>5</v>
      </c>
      <c r="I212" s="87">
        <f>'DHS2025'!E209/1000</f>
        <v>5.0519999999999996</v>
      </c>
      <c r="J212" s="50">
        <f>Predikcia!R210</f>
        <v>120.4</v>
      </c>
      <c r="K212" s="48">
        <f t="shared" si="3"/>
        <v>592.57939199999987</v>
      </c>
      <c r="M212" s="11">
        <f>Predikcia!K210</f>
        <v>5</v>
      </c>
      <c r="N212" s="11">
        <v>5</v>
      </c>
    </row>
    <row r="213" spans="3:14" ht="15.75" thickBot="1">
      <c r="C213" s="103">
        <f>Predikcia!A211</f>
        <v>45697</v>
      </c>
      <c r="D213" s="42" t="str">
        <f>Predikcia!B211</f>
        <v>16:00:00</v>
      </c>
      <c r="E213" s="67">
        <f>Predikcia!G211</f>
        <v>13992.5</v>
      </c>
      <c r="F213" s="68">
        <f>'DHS2025'!C210</f>
        <v>13107</v>
      </c>
      <c r="G213" s="69">
        <f>'DHS2025'!D210</f>
        <v>7997</v>
      </c>
      <c r="H213" s="86">
        <v>8</v>
      </c>
      <c r="I213" s="87">
        <f>'DHS2025'!E210/1000</f>
        <v>7.0960000000000001</v>
      </c>
      <c r="J213" s="50">
        <f>Predikcia!R211</f>
        <v>159.74</v>
      </c>
      <c r="K213" s="48">
        <f t="shared" si="3"/>
        <v>1108.6974896000002</v>
      </c>
      <c r="M213" s="11">
        <f>Predikcia!K211</f>
        <v>5</v>
      </c>
      <c r="N213" s="11">
        <v>8</v>
      </c>
    </row>
    <row r="214" spans="3:14" ht="15.75" thickBot="1">
      <c r="C214" s="103">
        <f>Predikcia!A212</f>
        <v>45697</v>
      </c>
      <c r="D214" s="42" t="str">
        <f>Predikcia!B212</f>
        <v>17:00:00</v>
      </c>
      <c r="E214" s="67">
        <f>Predikcia!G212</f>
        <v>15144.5</v>
      </c>
      <c r="F214" s="68">
        <f>'DHS2025'!C211</f>
        <v>16335</v>
      </c>
      <c r="G214" s="69">
        <f>'DHS2025'!D211</f>
        <v>7909</v>
      </c>
      <c r="H214" s="86">
        <v>8</v>
      </c>
      <c r="I214" s="87">
        <f>'DHS2025'!E211/1000</f>
        <v>8.07</v>
      </c>
      <c r="J214" s="50">
        <f>Predikcia!R212</f>
        <v>173.82</v>
      </c>
      <c r="K214" s="48">
        <f t="shared" si="3"/>
        <v>1373.3671259999999</v>
      </c>
      <c r="M214" s="11">
        <f>Predikcia!K212</f>
        <v>5</v>
      </c>
      <c r="N214" s="11">
        <v>8</v>
      </c>
    </row>
    <row r="215" spans="3:14" ht="15.75" thickBot="1">
      <c r="C215" s="103">
        <f>Predikcia!A213</f>
        <v>45697</v>
      </c>
      <c r="D215" s="42" t="str">
        <f>Predikcia!B213</f>
        <v>18:00:00</v>
      </c>
      <c r="E215" s="67">
        <f>Predikcia!G213</f>
        <v>15591</v>
      </c>
      <c r="F215" s="68">
        <f>'DHS2025'!C212</f>
        <v>18086</v>
      </c>
      <c r="G215" s="69">
        <f>'DHS2025'!D212</f>
        <v>6159</v>
      </c>
      <c r="H215" s="86">
        <v>8</v>
      </c>
      <c r="I215" s="87">
        <f>'DHS2025'!E212/1000</f>
        <v>8.0679999999999996</v>
      </c>
      <c r="J215" s="50">
        <f>Predikcia!R213</f>
        <v>188.73</v>
      </c>
      <c r="K215" s="48">
        <f t="shared" si="3"/>
        <v>1492.1177035999997</v>
      </c>
      <c r="M215" s="11">
        <f>Predikcia!K213</f>
        <v>5</v>
      </c>
      <c r="N215" s="11">
        <v>8</v>
      </c>
    </row>
    <row r="216" spans="3:14" ht="15.75" thickBot="1">
      <c r="C216" s="103">
        <f>Predikcia!A214</f>
        <v>45697</v>
      </c>
      <c r="D216" s="42" t="str">
        <f>Predikcia!B214</f>
        <v>19:00:00</v>
      </c>
      <c r="E216" s="67">
        <f>Predikcia!G214</f>
        <v>15885</v>
      </c>
      <c r="F216" s="68">
        <f>'DHS2025'!C213</f>
        <v>17063</v>
      </c>
      <c r="G216" s="69">
        <f>'DHS2025'!D213</f>
        <v>7647</v>
      </c>
      <c r="H216" s="86">
        <v>8</v>
      </c>
      <c r="I216" s="87">
        <f>'DHS2025'!E213/1000</f>
        <v>8.0739999999999998</v>
      </c>
      <c r="J216" s="50">
        <f>Predikcia!R214</f>
        <v>190.22</v>
      </c>
      <c r="K216" s="48">
        <f t="shared" si="3"/>
        <v>1505.1373171999999</v>
      </c>
      <c r="M216" s="11">
        <f>Predikcia!K214</f>
        <v>5</v>
      </c>
      <c r="N216" s="11">
        <v>8</v>
      </c>
    </row>
    <row r="217" spans="3:14" ht="15.75" thickBot="1">
      <c r="C217" s="103">
        <f>Predikcia!A215</f>
        <v>45697</v>
      </c>
      <c r="D217" s="42" t="str">
        <f>Predikcia!B215</f>
        <v>20:00:00</v>
      </c>
      <c r="E217" s="67">
        <f>Predikcia!G215</f>
        <v>16179</v>
      </c>
      <c r="F217" s="68">
        <f>'DHS2025'!C214</f>
        <v>17547</v>
      </c>
      <c r="G217" s="69">
        <f>'DHS2025'!D214</f>
        <v>6433</v>
      </c>
      <c r="H217" s="86">
        <v>8</v>
      </c>
      <c r="I217" s="87">
        <f>'DHS2025'!E214/1000</f>
        <v>8.0410000000000004</v>
      </c>
      <c r="J217" s="50">
        <f>Predikcia!R215</f>
        <v>180.12</v>
      </c>
      <c r="K217" s="48">
        <f t="shared" si="3"/>
        <v>1418.5835708000002</v>
      </c>
      <c r="M217" s="11">
        <f>Predikcia!K215</f>
        <v>6</v>
      </c>
      <c r="N217" s="11">
        <v>8</v>
      </c>
    </row>
    <row r="218" spans="3:14" ht="15.75" thickBot="1">
      <c r="C218" s="103">
        <f>Predikcia!A216</f>
        <v>45697</v>
      </c>
      <c r="D218" s="42" t="str">
        <f>Predikcia!B216</f>
        <v>21:00:00</v>
      </c>
      <c r="E218" s="67">
        <f>Predikcia!G216</f>
        <v>16029</v>
      </c>
      <c r="F218" s="68">
        <f>'DHS2025'!C215</f>
        <v>17553</v>
      </c>
      <c r="G218" s="69">
        <f>'DHS2025'!D215</f>
        <v>1658</v>
      </c>
      <c r="H218" s="86">
        <v>6</v>
      </c>
      <c r="I218" s="87">
        <f>'DHS2025'!E215/1000</f>
        <v>6.3860000000000001</v>
      </c>
      <c r="J218" s="50">
        <f>Predikcia!R216</f>
        <v>146.31</v>
      </c>
      <c r="K218" s="48">
        <f t="shared" si="3"/>
        <v>912.85890340000003</v>
      </c>
      <c r="M218" s="11">
        <f>Predikcia!K216</f>
        <v>6</v>
      </c>
      <c r="N218" s="11">
        <v>6</v>
      </c>
    </row>
    <row r="219" spans="3:14" ht="15.75" thickBot="1">
      <c r="C219" s="103">
        <f>Predikcia!A217</f>
        <v>45697</v>
      </c>
      <c r="D219" s="42" t="str">
        <f>Predikcia!B217</f>
        <v>22:00:00</v>
      </c>
      <c r="E219" s="67">
        <f>Predikcia!G217</f>
        <v>14303.75</v>
      </c>
      <c r="F219" s="68">
        <f>'DHS2025'!C216</f>
        <v>14184</v>
      </c>
      <c r="G219" s="69">
        <f>'DHS2025'!D216</f>
        <v>1280</v>
      </c>
      <c r="H219" s="86">
        <v>5</v>
      </c>
      <c r="I219" s="87">
        <f>'DHS2025'!E216/1000</f>
        <v>5.069</v>
      </c>
      <c r="J219" s="50">
        <f>Predikcia!R217</f>
        <v>143</v>
      </c>
      <c r="K219" s="48">
        <f t="shared" si="3"/>
        <v>707.98722999999995</v>
      </c>
      <c r="M219" s="11">
        <f>Predikcia!K217</f>
        <v>5</v>
      </c>
      <c r="N219" s="11">
        <v>5</v>
      </c>
    </row>
    <row r="220" spans="3:14" ht="15.75" thickBot="1">
      <c r="C220" s="107">
        <f>Predikcia!A218</f>
        <v>45697</v>
      </c>
      <c r="D220" s="46" t="str">
        <f>Predikcia!B218</f>
        <v>23:00:00</v>
      </c>
      <c r="E220" s="70">
        <f>Predikcia!G218</f>
        <v>7815.25</v>
      </c>
      <c r="F220" s="71">
        <f>'DHS2025'!C217</f>
        <v>8884</v>
      </c>
      <c r="G220" s="72">
        <f>'DHS2025'!D217</f>
        <v>5387</v>
      </c>
      <c r="H220" s="88">
        <v>3</v>
      </c>
      <c r="I220" s="87">
        <f>'DHS2025'!E217/1000</f>
        <v>4.0350000000000001</v>
      </c>
      <c r="J220" s="50">
        <f>Predikcia!R218</f>
        <v>128.72</v>
      </c>
      <c r="K220" s="48">
        <f t="shared" si="3"/>
        <v>506.52484800000002</v>
      </c>
      <c r="M220" s="11">
        <f>Predikcia!K218</f>
        <v>3</v>
      </c>
      <c r="N220" s="11">
        <v>3</v>
      </c>
    </row>
    <row r="221" spans="3:14" ht="15.75" thickBot="1">
      <c r="C221" s="104">
        <f>Predikcia!A219</f>
        <v>45698</v>
      </c>
      <c r="D221" s="43" t="str">
        <f>Predikcia!B219</f>
        <v>00:00:00</v>
      </c>
      <c r="E221" s="64">
        <f>Predikcia!G219</f>
        <v>7422.75</v>
      </c>
      <c r="F221" s="65">
        <f>'DHS2025'!C218</f>
        <v>9213</v>
      </c>
      <c r="G221" s="66">
        <f>'DHS2025'!D218</f>
        <v>1856</v>
      </c>
      <c r="H221" s="84">
        <v>3</v>
      </c>
      <c r="I221" s="85">
        <f>'DHS2025'!E218/1000</f>
        <v>3.0409999999999999</v>
      </c>
      <c r="J221" s="50">
        <f>Predikcia!R219</f>
        <v>119.74</v>
      </c>
      <c r="K221" s="48">
        <f t="shared" si="3"/>
        <v>354.71014659999997</v>
      </c>
      <c r="M221" s="11">
        <f>Predikcia!K219</f>
        <v>3</v>
      </c>
      <c r="N221" s="11">
        <v>3</v>
      </c>
    </row>
    <row r="222" spans="3:14" ht="15.75" thickBot="1">
      <c r="C222" s="105">
        <f>Predikcia!A220</f>
        <v>45698</v>
      </c>
      <c r="D222" s="44" t="str">
        <f>Predikcia!B220</f>
        <v>01:00:00</v>
      </c>
      <c r="E222" s="67">
        <f>Predikcia!G220</f>
        <v>8996.25</v>
      </c>
      <c r="F222" s="68">
        <f>'DHS2025'!C219</f>
        <v>10768</v>
      </c>
      <c r="G222" s="69">
        <f>'DHS2025'!D219</f>
        <v>2824</v>
      </c>
      <c r="H222" s="86">
        <v>4</v>
      </c>
      <c r="I222" s="87">
        <f>'DHS2025'!E219/1000</f>
        <v>3.919</v>
      </c>
      <c r="J222" s="50">
        <f>Predikcia!R220</f>
        <v>114.48</v>
      </c>
      <c r="K222" s="48">
        <f t="shared" si="3"/>
        <v>436.71454879999999</v>
      </c>
      <c r="M222" s="11">
        <f>Predikcia!K220</f>
        <v>4</v>
      </c>
      <c r="N222" s="11">
        <v>4</v>
      </c>
    </row>
    <row r="223" spans="3:14" ht="15.75" thickBot="1">
      <c r="C223" s="105">
        <f>Predikcia!A221</f>
        <v>45698</v>
      </c>
      <c r="D223" s="44" t="str">
        <f>Predikcia!B221</f>
        <v>02:00:00</v>
      </c>
      <c r="E223" s="67">
        <f>Predikcia!G221</f>
        <v>8667.75</v>
      </c>
      <c r="F223" s="68">
        <f>'DHS2025'!C220</f>
        <v>13963</v>
      </c>
      <c r="G223" s="69">
        <f>'DHS2025'!D220</f>
        <v>27</v>
      </c>
      <c r="H223" s="86">
        <v>4</v>
      </c>
      <c r="I223" s="87">
        <f>'DHS2025'!E220/1000</f>
        <v>4.0419999999999998</v>
      </c>
      <c r="J223" s="50">
        <f>Predikcia!R221</f>
        <v>111.8</v>
      </c>
      <c r="K223" s="48">
        <f t="shared" si="3"/>
        <v>439.69684399999994</v>
      </c>
      <c r="M223" s="11">
        <f>Predikcia!K221</f>
        <v>4</v>
      </c>
      <c r="N223" s="11">
        <v>4</v>
      </c>
    </row>
    <row r="224" spans="3:14" ht="15.75" thickBot="1">
      <c r="C224" s="105">
        <f>Predikcia!A222</f>
        <v>45698</v>
      </c>
      <c r="D224" s="44" t="str">
        <f>Predikcia!B222</f>
        <v>03:00:00</v>
      </c>
      <c r="E224" s="67">
        <f>Predikcia!G222</f>
        <v>10293</v>
      </c>
      <c r="F224" s="68">
        <f>'DHS2025'!C221</f>
        <v>14175</v>
      </c>
      <c r="G224" s="69">
        <f>'DHS2025'!D221</f>
        <v>80</v>
      </c>
      <c r="H224" s="86">
        <v>4</v>
      </c>
      <c r="I224" s="87">
        <f>'DHS2025'!E221/1000</f>
        <v>4.0549999999999997</v>
      </c>
      <c r="J224" s="50">
        <f>Predikcia!R222</f>
        <v>107.98</v>
      </c>
      <c r="K224" s="48">
        <f t="shared" si="3"/>
        <v>425.77581099999992</v>
      </c>
      <c r="M224" s="11">
        <f>Predikcia!K222</f>
        <v>4</v>
      </c>
      <c r="N224" s="11">
        <v>4</v>
      </c>
    </row>
    <row r="225" spans="3:14" ht="15.75" thickBot="1">
      <c r="C225" s="105">
        <f>Predikcia!A223</f>
        <v>45698</v>
      </c>
      <c r="D225" s="44" t="str">
        <f>Predikcia!B223</f>
        <v>04:00:00</v>
      </c>
      <c r="E225" s="67">
        <f>Predikcia!G223</f>
        <v>16815</v>
      </c>
      <c r="F225" s="68">
        <f>'DHS2025'!C222</f>
        <v>19980</v>
      </c>
      <c r="G225" s="69">
        <f>'DHS2025'!D222</f>
        <v>81</v>
      </c>
      <c r="H225" s="86">
        <v>6</v>
      </c>
      <c r="I225" s="87">
        <f>'DHS2025'!E222/1000</f>
        <v>6.077</v>
      </c>
      <c r="J225" s="50">
        <f>Predikcia!R223</f>
        <v>107.58</v>
      </c>
      <c r="K225" s="48">
        <f t="shared" si="3"/>
        <v>635.67972339999994</v>
      </c>
      <c r="M225" s="11">
        <f>Predikcia!K223</f>
        <v>6</v>
      </c>
      <c r="N225" s="11">
        <v>6</v>
      </c>
    </row>
    <row r="226" spans="3:14" ht="15.75" thickBot="1">
      <c r="C226" s="105">
        <f>Predikcia!A224</f>
        <v>45698</v>
      </c>
      <c r="D226" s="44" t="str">
        <f>Predikcia!B224</f>
        <v>05:00:00</v>
      </c>
      <c r="E226" s="67">
        <f>Predikcia!G224</f>
        <v>18298</v>
      </c>
      <c r="F226" s="68">
        <f>'DHS2025'!C223</f>
        <v>23596</v>
      </c>
      <c r="G226" s="69">
        <f>'DHS2025'!D223</f>
        <v>2526</v>
      </c>
      <c r="H226" s="86">
        <v>8</v>
      </c>
      <c r="I226" s="87">
        <f>'DHS2025'!E223/1000</f>
        <v>8.06</v>
      </c>
      <c r="J226" s="50">
        <f>Predikcia!R224</f>
        <v>116.54</v>
      </c>
      <c r="K226" s="48">
        <f t="shared" si="3"/>
        <v>914.605276</v>
      </c>
      <c r="M226" s="11">
        <f>Predikcia!K224</f>
        <v>6</v>
      </c>
      <c r="N226" s="11">
        <v>6</v>
      </c>
    </row>
    <row r="227" spans="3:14" ht="15.75" thickBot="1">
      <c r="C227" s="105">
        <f>Predikcia!A225</f>
        <v>45698</v>
      </c>
      <c r="D227" s="44" t="str">
        <f>Predikcia!B225</f>
        <v>06:00:00</v>
      </c>
      <c r="E227" s="67">
        <f>Predikcia!G225</f>
        <v>18547</v>
      </c>
      <c r="F227" s="68">
        <f>'DHS2025'!C224</f>
        <v>24743</v>
      </c>
      <c r="G227" s="69">
        <f>'DHS2025'!D224</f>
        <v>73</v>
      </c>
      <c r="H227" s="86">
        <v>8</v>
      </c>
      <c r="I227" s="87">
        <f>'DHS2025'!E224/1000</f>
        <v>8.0389999999999997</v>
      </c>
      <c r="J227" s="50">
        <f>Predikcia!R225</f>
        <v>158.9</v>
      </c>
      <c r="K227" s="48">
        <f t="shared" si="3"/>
        <v>1249.349029</v>
      </c>
      <c r="M227" s="11">
        <f>Predikcia!K225</f>
        <v>6</v>
      </c>
      <c r="N227" s="11">
        <v>8</v>
      </c>
    </row>
    <row r="228" spans="3:14" ht="15.75" thickBot="1">
      <c r="C228" s="105">
        <f>Predikcia!A226</f>
        <v>45698</v>
      </c>
      <c r="D228" s="44" t="str">
        <f>Predikcia!B226</f>
        <v>07:00:00</v>
      </c>
      <c r="E228" s="67">
        <f>Predikcia!G226</f>
        <v>16980.25</v>
      </c>
      <c r="F228" s="68">
        <f>'DHS2025'!C225</f>
        <v>21035</v>
      </c>
      <c r="G228" s="69">
        <f>'DHS2025'!D225</f>
        <v>4579</v>
      </c>
      <c r="H228" s="86">
        <v>8</v>
      </c>
      <c r="I228" s="87">
        <f>'DHS2025'!E225/1000</f>
        <v>8.0259999999999998</v>
      </c>
      <c r="J228" s="50">
        <f>Predikcia!R226</f>
        <v>178.21</v>
      </c>
      <c r="K228" s="48">
        <f t="shared" si="3"/>
        <v>1400.7609253999999</v>
      </c>
      <c r="M228" s="11">
        <f>Predikcia!K226</f>
        <v>6</v>
      </c>
      <c r="N228" s="11">
        <v>8</v>
      </c>
    </row>
    <row r="229" spans="3:14" ht="15.75" thickBot="1">
      <c r="C229" s="105">
        <f>Predikcia!A227</f>
        <v>45698</v>
      </c>
      <c r="D229" s="44" t="str">
        <f>Predikcia!B227</f>
        <v>08:00:00</v>
      </c>
      <c r="E229" s="67">
        <f>Predikcia!G227</f>
        <v>17374</v>
      </c>
      <c r="F229" s="68">
        <f>'DHS2025'!C226</f>
        <v>19236</v>
      </c>
      <c r="G229" s="69">
        <f>'DHS2025'!D226</f>
        <v>6265</v>
      </c>
      <c r="H229" s="86">
        <v>8</v>
      </c>
      <c r="I229" s="87">
        <f>'DHS2025'!E226/1000</f>
        <v>8.0549999999999997</v>
      </c>
      <c r="J229" s="50">
        <f>Predikcia!R227</f>
        <v>181.36</v>
      </c>
      <c r="K229" s="48">
        <f t="shared" si="3"/>
        <v>1430.941752</v>
      </c>
      <c r="M229" s="11">
        <f>Predikcia!K227</f>
        <v>6</v>
      </c>
      <c r="N229" s="11">
        <v>8</v>
      </c>
    </row>
    <row r="230" spans="3:14" ht="15.75" thickBot="1">
      <c r="C230" s="105">
        <f>Predikcia!A228</f>
        <v>45698</v>
      </c>
      <c r="D230" s="44" t="str">
        <f>Predikcia!B228</f>
        <v>09:00:00</v>
      </c>
      <c r="E230" s="67">
        <f>Predikcia!G228</f>
        <v>16974.75</v>
      </c>
      <c r="F230" s="68">
        <f>'DHS2025'!C227</f>
        <v>16706</v>
      </c>
      <c r="G230" s="69">
        <f>'DHS2025'!D227</f>
        <v>7594</v>
      </c>
      <c r="H230" s="86">
        <v>8</v>
      </c>
      <c r="I230" s="87">
        <f>'DHS2025'!E227/1000</f>
        <v>8.0749999999999993</v>
      </c>
      <c r="J230" s="50">
        <f>Predikcia!R228</f>
        <v>163.18</v>
      </c>
      <c r="K230" s="48">
        <f t="shared" si="3"/>
        <v>1289.1592149999999</v>
      </c>
      <c r="M230" s="11">
        <f>Predikcia!K228</f>
        <v>6</v>
      </c>
      <c r="N230" s="11">
        <v>8</v>
      </c>
    </row>
    <row r="231" spans="3:14" ht="15.75" thickBot="1">
      <c r="C231" s="105">
        <f>Predikcia!A229</f>
        <v>45698</v>
      </c>
      <c r="D231" s="44" t="str">
        <f>Predikcia!B229</f>
        <v>10:00:00</v>
      </c>
      <c r="E231" s="67">
        <f>Predikcia!G229</f>
        <v>15341.5</v>
      </c>
      <c r="F231" s="68">
        <f>'DHS2025'!C228</f>
        <v>14598</v>
      </c>
      <c r="G231" s="69">
        <f>'DHS2025'!D228</f>
        <v>7803</v>
      </c>
      <c r="H231" s="86">
        <v>7</v>
      </c>
      <c r="I231" s="87">
        <f>'DHS2025'!E228/1000</f>
        <v>7.5190000000000001</v>
      </c>
      <c r="J231" s="50">
        <f>Predikcia!R229</f>
        <v>119.71</v>
      </c>
      <c r="K231" s="48">
        <f t="shared" si="3"/>
        <v>876.81239509999989</v>
      </c>
      <c r="M231" s="11">
        <f>Predikcia!K229</f>
        <v>5</v>
      </c>
      <c r="N231" s="11">
        <v>5</v>
      </c>
    </row>
    <row r="232" spans="3:14" ht="15.75" thickBot="1">
      <c r="C232" s="105">
        <f>Predikcia!A230</f>
        <v>45698</v>
      </c>
      <c r="D232" s="44" t="str">
        <f>Predikcia!B230</f>
        <v>11:00:00</v>
      </c>
      <c r="E232" s="67">
        <f>Predikcia!G230</f>
        <v>15007.25</v>
      </c>
      <c r="F232" s="68">
        <f>'DHS2025'!C229</f>
        <v>12209</v>
      </c>
      <c r="G232" s="69">
        <f>'DHS2025'!D229</f>
        <v>2677</v>
      </c>
      <c r="H232" s="86">
        <v>5</v>
      </c>
      <c r="I232" s="87">
        <f>'DHS2025'!E229/1000</f>
        <v>5.13</v>
      </c>
      <c r="J232" s="50">
        <f>Predikcia!R230</f>
        <v>97.28</v>
      </c>
      <c r="K232" s="48">
        <f t="shared" si="3"/>
        <v>484.30893599999996</v>
      </c>
      <c r="M232" s="11">
        <f>Predikcia!K230</f>
        <v>5</v>
      </c>
      <c r="N232" s="11">
        <v>5</v>
      </c>
    </row>
    <row r="233" spans="3:14" ht="15.75" thickBot="1">
      <c r="C233" s="105">
        <f>Predikcia!A231</f>
        <v>45698</v>
      </c>
      <c r="D233" s="44" t="str">
        <f>Predikcia!B231</f>
        <v>12:00:00</v>
      </c>
      <c r="E233" s="67">
        <f>Predikcia!G231</f>
        <v>15036</v>
      </c>
      <c r="F233" s="68">
        <f>'DHS2025'!C230</f>
        <v>12157</v>
      </c>
      <c r="G233" s="69">
        <f>'DHS2025'!D230</f>
        <v>3870</v>
      </c>
      <c r="H233" s="86">
        <v>5</v>
      </c>
      <c r="I233" s="87">
        <f>'DHS2025'!E230/1000</f>
        <v>5.0609999999999999</v>
      </c>
      <c r="J233" s="50">
        <f>Predikcia!R231</f>
        <v>123.09</v>
      </c>
      <c r="K233" s="48">
        <f t="shared" si="3"/>
        <v>607.11300510000001</v>
      </c>
      <c r="M233" s="11">
        <f>Predikcia!K231</f>
        <v>5</v>
      </c>
      <c r="N233" s="11">
        <v>5</v>
      </c>
    </row>
    <row r="234" spans="3:14" ht="15.75" thickBot="1">
      <c r="C234" s="105">
        <f>Predikcia!A232</f>
        <v>45698</v>
      </c>
      <c r="D234" s="44" t="str">
        <f>Predikcia!B232</f>
        <v>13:00:00</v>
      </c>
      <c r="E234" s="67">
        <f>Predikcia!G232</f>
        <v>14321.5</v>
      </c>
      <c r="F234" s="68">
        <f>'DHS2025'!C231</f>
        <v>12517</v>
      </c>
      <c r="G234" s="69">
        <f>'DHS2025'!D231</f>
        <v>4408</v>
      </c>
      <c r="H234" s="86">
        <v>5</v>
      </c>
      <c r="I234" s="87">
        <f>'DHS2025'!E231/1000</f>
        <v>5.0819999999999999</v>
      </c>
      <c r="J234" s="50">
        <f>Predikcia!R232</f>
        <v>123.02</v>
      </c>
      <c r="K234" s="48">
        <f t="shared" si="3"/>
        <v>609.27996359999997</v>
      </c>
      <c r="M234" s="11">
        <f>Predikcia!K232</f>
        <v>5</v>
      </c>
      <c r="N234" s="11">
        <v>5</v>
      </c>
    </row>
    <row r="235" spans="3:14" ht="15.75" thickBot="1">
      <c r="C235" s="105">
        <f>Predikcia!A233</f>
        <v>45698</v>
      </c>
      <c r="D235" s="44" t="str">
        <f>Predikcia!B233</f>
        <v>14:00:00</v>
      </c>
      <c r="E235" s="67">
        <f>Predikcia!G233</f>
        <v>12919.25</v>
      </c>
      <c r="F235" s="68">
        <f>'DHS2025'!C232</f>
        <v>12706</v>
      </c>
      <c r="G235" s="69">
        <f>'DHS2025'!D232</f>
        <v>8276</v>
      </c>
      <c r="H235" s="86">
        <v>8</v>
      </c>
      <c r="I235" s="87">
        <f>'DHS2025'!E232/1000</f>
        <v>6.8259999999999996</v>
      </c>
      <c r="J235" s="50">
        <f>Predikcia!R233</f>
        <v>133.97</v>
      </c>
      <c r="K235" s="48">
        <f t="shared" si="3"/>
        <v>892.36502779999989</v>
      </c>
      <c r="M235" s="11">
        <f>Predikcia!K233</f>
        <v>5</v>
      </c>
      <c r="N235" s="11">
        <v>8</v>
      </c>
    </row>
    <row r="236" spans="3:14" ht="15.75" thickBot="1">
      <c r="C236" s="105">
        <f>Predikcia!A234</f>
        <v>45698</v>
      </c>
      <c r="D236" s="44" t="str">
        <f>Predikcia!B234</f>
        <v>15:00:00</v>
      </c>
      <c r="E236" s="67">
        <f>Predikcia!G234</f>
        <v>13569.5</v>
      </c>
      <c r="F236" s="68">
        <f>'DHS2025'!C233</f>
        <v>13755</v>
      </c>
      <c r="G236" s="69">
        <f>'DHS2025'!D233</f>
        <v>9570</v>
      </c>
      <c r="H236" s="86">
        <v>8</v>
      </c>
      <c r="I236" s="87">
        <f>'DHS2025'!E233/1000</f>
        <v>8.0690000000000008</v>
      </c>
      <c r="J236" s="50">
        <f>Predikcia!R234</f>
        <v>169.36</v>
      </c>
      <c r="K236" s="48">
        <f t="shared" si="3"/>
        <v>1337.5690816000001</v>
      </c>
      <c r="M236" s="11">
        <f>Predikcia!K234</f>
        <v>5</v>
      </c>
      <c r="N236" s="11">
        <v>8</v>
      </c>
    </row>
    <row r="237" spans="3:14" ht="15.75" thickBot="1">
      <c r="C237" s="105">
        <f>Predikcia!A235</f>
        <v>45698</v>
      </c>
      <c r="D237" s="44" t="str">
        <f>Predikcia!B235</f>
        <v>16:00:00</v>
      </c>
      <c r="E237" s="67">
        <f>Predikcia!G235</f>
        <v>14097.5</v>
      </c>
      <c r="F237" s="68">
        <f>'DHS2025'!C234</f>
        <v>14254</v>
      </c>
      <c r="G237" s="69">
        <f>'DHS2025'!D234</f>
        <v>10021</v>
      </c>
      <c r="H237" s="86">
        <v>8</v>
      </c>
      <c r="I237" s="87">
        <f>'DHS2025'!E234/1000</f>
        <v>8.0570000000000004</v>
      </c>
      <c r="J237" s="50">
        <f>Predikcia!R235</f>
        <v>204.38</v>
      </c>
      <c r="K237" s="48">
        <f t="shared" si="3"/>
        <v>1614.9144633999999</v>
      </c>
      <c r="M237" s="11">
        <f>Predikcia!K235</f>
        <v>5</v>
      </c>
      <c r="N237" s="11">
        <v>8</v>
      </c>
    </row>
    <row r="238" spans="3:14" ht="15.75" thickBot="1">
      <c r="C238" s="105">
        <f>Predikcia!A236</f>
        <v>45698</v>
      </c>
      <c r="D238" s="44" t="str">
        <f>Predikcia!B236</f>
        <v>17:00:00</v>
      </c>
      <c r="E238" s="67">
        <f>Predikcia!G236</f>
        <v>15325</v>
      </c>
      <c r="F238" s="68">
        <f>'DHS2025'!C235</f>
        <v>15901</v>
      </c>
      <c r="G238" s="69">
        <f>'DHS2025'!D235</f>
        <v>8707</v>
      </c>
      <c r="H238" s="86">
        <v>8</v>
      </c>
      <c r="I238" s="87">
        <f>'DHS2025'!E235/1000</f>
        <v>8.0530000000000008</v>
      </c>
      <c r="J238" s="50">
        <f>Predikcia!R236</f>
        <v>250.74</v>
      </c>
      <c r="K238" s="48">
        <f t="shared" si="3"/>
        <v>1983.7164278000002</v>
      </c>
      <c r="M238" s="11">
        <f>Predikcia!K236</f>
        <v>5</v>
      </c>
      <c r="N238" s="11">
        <v>8</v>
      </c>
    </row>
    <row r="239" spans="3:14" ht="15.75" thickBot="1">
      <c r="C239" s="105">
        <f>Predikcia!A237</f>
        <v>45698</v>
      </c>
      <c r="D239" s="44" t="str">
        <f>Predikcia!B237</f>
        <v>18:00:00</v>
      </c>
      <c r="E239" s="67">
        <f>Predikcia!G237</f>
        <v>15858</v>
      </c>
      <c r="F239" s="68">
        <f>'DHS2025'!C236</f>
        <v>17644</v>
      </c>
      <c r="G239" s="69">
        <f>'DHS2025'!D236</f>
        <v>7359</v>
      </c>
      <c r="H239" s="86">
        <v>8</v>
      </c>
      <c r="I239" s="87">
        <f>'DHS2025'!E236/1000</f>
        <v>8.0649999999999995</v>
      </c>
      <c r="J239" s="50">
        <f>Predikcia!R237</f>
        <v>261.22000000000003</v>
      </c>
      <c r="K239" s="48">
        <f t="shared" si="3"/>
        <v>2070.348407</v>
      </c>
      <c r="M239" s="11">
        <f>Predikcia!K237</f>
        <v>5</v>
      </c>
      <c r="N239" s="11">
        <v>8</v>
      </c>
    </row>
    <row r="240" spans="3:14" ht="15.75" thickBot="1">
      <c r="C240" s="105">
        <f>Predikcia!A238</f>
        <v>45698</v>
      </c>
      <c r="D240" s="44" t="str">
        <f>Predikcia!B238</f>
        <v>19:00:00</v>
      </c>
      <c r="E240" s="67">
        <f>Predikcia!G238</f>
        <v>15951.25</v>
      </c>
      <c r="F240" s="68">
        <f>'DHS2025'!C237</f>
        <v>19295</v>
      </c>
      <c r="G240" s="69">
        <f>'DHS2025'!D237</f>
        <v>5115</v>
      </c>
      <c r="H240" s="86">
        <v>8</v>
      </c>
      <c r="I240" s="87">
        <f>'DHS2025'!E237/1000</f>
        <v>8.06</v>
      </c>
      <c r="J240" s="50">
        <f>Predikcia!R238</f>
        <v>235.65</v>
      </c>
      <c r="K240" s="48">
        <f t="shared" si="3"/>
        <v>1865.03161</v>
      </c>
      <c r="M240" s="11">
        <f>Predikcia!K238</f>
        <v>5</v>
      </c>
      <c r="N240" s="11">
        <v>8</v>
      </c>
    </row>
    <row r="241" spans="3:14" ht="15.75" thickBot="1">
      <c r="C241" s="105">
        <f>Predikcia!A239</f>
        <v>45698</v>
      </c>
      <c r="D241" s="44" t="str">
        <f>Predikcia!B239</f>
        <v>20:00:00</v>
      </c>
      <c r="E241" s="67">
        <f>Predikcia!G239</f>
        <v>15904.25</v>
      </c>
      <c r="F241" s="68">
        <f>'DHS2025'!C238</f>
        <v>19214</v>
      </c>
      <c r="G241" s="69">
        <f>'DHS2025'!D238</f>
        <v>5191</v>
      </c>
      <c r="H241" s="86">
        <v>8</v>
      </c>
      <c r="I241" s="87">
        <f>'DHS2025'!E238/1000</f>
        <v>8.0619999999999994</v>
      </c>
      <c r="J241" s="50">
        <f>Predikcia!R239</f>
        <v>249.32</v>
      </c>
      <c r="K241" s="48">
        <f t="shared" si="3"/>
        <v>1974.5998615999997</v>
      </c>
      <c r="M241" s="11">
        <f>Predikcia!K239</f>
        <v>5</v>
      </c>
      <c r="N241" s="11">
        <v>8</v>
      </c>
    </row>
    <row r="242" spans="3:14" ht="15.75" thickBot="1">
      <c r="C242" s="105">
        <f>Predikcia!A240</f>
        <v>45698</v>
      </c>
      <c r="D242" s="44" t="str">
        <f>Predikcia!B240</f>
        <v>21:00:00</v>
      </c>
      <c r="E242" s="67">
        <f>Predikcia!G240</f>
        <v>15821</v>
      </c>
      <c r="F242" s="68">
        <f>'DHS2025'!C239</f>
        <v>20039</v>
      </c>
      <c r="G242" s="69">
        <f>'DHS2025'!D239</f>
        <v>4170</v>
      </c>
      <c r="H242" s="86">
        <v>8</v>
      </c>
      <c r="I242" s="87">
        <f>'DHS2025'!E239/1000</f>
        <v>8.0500000000000007</v>
      </c>
      <c r="J242" s="50">
        <f>Predikcia!R240</f>
        <v>215.12</v>
      </c>
      <c r="K242" s="48">
        <f t="shared" si="3"/>
        <v>1699.1038400000002</v>
      </c>
      <c r="M242" s="11">
        <f>Predikcia!K240</f>
        <v>5</v>
      </c>
      <c r="N242" s="11">
        <v>5</v>
      </c>
    </row>
    <row r="243" spans="3:14" ht="15.75" thickBot="1">
      <c r="C243" s="105">
        <f>Predikcia!A241</f>
        <v>45698</v>
      </c>
      <c r="D243" s="44" t="str">
        <f>Predikcia!B241</f>
        <v>22:00:00</v>
      </c>
      <c r="E243" s="67">
        <f>Predikcia!G241</f>
        <v>14151.5</v>
      </c>
      <c r="F243" s="68">
        <f>'DHS2025'!C240</f>
        <v>16796</v>
      </c>
      <c r="G243" s="69">
        <f>'DHS2025'!D240</f>
        <v>4866</v>
      </c>
      <c r="H243" s="86">
        <v>6</v>
      </c>
      <c r="I243" s="87">
        <f>'DHS2025'!E240/1000</f>
        <v>7.2789999999999999</v>
      </c>
      <c r="J243" s="50">
        <f>Predikcia!R241</f>
        <v>196.86</v>
      </c>
      <c r="K243" s="48">
        <f t="shared" si="3"/>
        <v>1404.7844006</v>
      </c>
      <c r="M243" s="11">
        <f>Predikcia!K241</f>
        <v>5</v>
      </c>
      <c r="N243" s="11">
        <v>5</v>
      </c>
    </row>
    <row r="244" spans="3:14" ht="15.75" thickBot="1">
      <c r="C244" s="106">
        <f>Predikcia!A242</f>
        <v>45698</v>
      </c>
      <c r="D244" s="45" t="str">
        <f>Predikcia!B242</f>
        <v>23:00:00</v>
      </c>
      <c r="E244" s="70">
        <f>Predikcia!G242</f>
        <v>9094.5</v>
      </c>
      <c r="F244" s="71">
        <f>'DHS2025'!C241</f>
        <v>10370</v>
      </c>
      <c r="G244" s="72">
        <f>'DHS2025'!D241</f>
        <v>5183</v>
      </c>
      <c r="H244" s="88">
        <v>4</v>
      </c>
      <c r="I244" s="87">
        <f>'DHS2025'!E241/1000</f>
        <v>4.952</v>
      </c>
      <c r="J244" s="50">
        <f>Predikcia!R242</f>
        <v>162.96</v>
      </c>
      <c r="K244" s="48">
        <f t="shared" si="3"/>
        <v>789.49934079999991</v>
      </c>
      <c r="M244" s="11">
        <f>Predikcia!K242</f>
        <v>4</v>
      </c>
      <c r="N244" s="11">
        <v>4</v>
      </c>
    </row>
    <row r="245" spans="3:14" ht="15.75" thickBot="1">
      <c r="C245" s="102">
        <f>Predikcia!A243</f>
        <v>45699</v>
      </c>
      <c r="D245" s="41" t="str">
        <f>Predikcia!B243</f>
        <v>00:00:00</v>
      </c>
      <c r="E245" s="64">
        <f>Predikcia!G243</f>
        <v>8483</v>
      </c>
      <c r="F245" s="65">
        <f>'DHS2025'!C242</f>
        <v>12898</v>
      </c>
      <c r="G245" s="66">
        <f>'DHS2025'!D242</f>
        <v>1339</v>
      </c>
      <c r="H245" s="84">
        <v>4</v>
      </c>
      <c r="I245" s="85">
        <f>'DHS2025'!E242/1000</f>
        <v>4.0529999999999999</v>
      </c>
      <c r="J245" s="50">
        <f>Predikcia!R243</f>
        <v>180.33</v>
      </c>
      <c r="K245" s="48">
        <f t="shared" si="3"/>
        <v>715.86801509999998</v>
      </c>
      <c r="M245" s="11">
        <f>Predikcia!K243</f>
        <v>4</v>
      </c>
      <c r="N245" s="11">
        <v>4</v>
      </c>
    </row>
    <row r="246" spans="3:14" ht="15.75" thickBot="1">
      <c r="C246" s="103">
        <f>Predikcia!A244</f>
        <v>45699</v>
      </c>
      <c r="D246" s="42" t="str">
        <f>Predikcia!B244</f>
        <v>01:00:00</v>
      </c>
      <c r="E246" s="67">
        <f>Predikcia!G244</f>
        <v>8364.25</v>
      </c>
      <c r="F246" s="68">
        <f>'DHS2025'!C243</f>
        <v>14543</v>
      </c>
      <c r="G246" s="69">
        <f>'DHS2025'!D243</f>
        <v>79</v>
      </c>
      <c r="H246" s="86">
        <v>4</v>
      </c>
      <c r="I246" s="87">
        <f>'DHS2025'!E243/1000</f>
        <v>4.0510000000000002</v>
      </c>
      <c r="J246" s="50">
        <f>Predikcia!R244</f>
        <v>158.19</v>
      </c>
      <c r="K246" s="48">
        <f t="shared" si="3"/>
        <v>626.72251310000001</v>
      </c>
      <c r="M246" s="11">
        <f>Predikcia!K244</f>
        <v>4</v>
      </c>
      <c r="N246" s="11">
        <v>4</v>
      </c>
    </row>
    <row r="247" spans="3:14" ht="15.75" thickBot="1">
      <c r="C247" s="103">
        <f>Predikcia!A245</f>
        <v>45699</v>
      </c>
      <c r="D247" s="42" t="str">
        <f>Predikcia!B245</f>
        <v>02:00:00</v>
      </c>
      <c r="E247" s="67">
        <f>Predikcia!G245</f>
        <v>9222.75</v>
      </c>
      <c r="F247" s="68">
        <f>'DHS2025'!C244</f>
        <v>14609</v>
      </c>
      <c r="G247" s="69">
        <f>'DHS2025'!D244</f>
        <v>80</v>
      </c>
      <c r="H247" s="86">
        <v>4</v>
      </c>
      <c r="I247" s="87">
        <f>'DHS2025'!E244/1000</f>
        <v>4.0570000000000004</v>
      </c>
      <c r="J247" s="50">
        <f>Predikcia!R245</f>
        <v>134.56</v>
      </c>
      <c r="K247" s="48">
        <f t="shared" si="3"/>
        <v>532.74252080000008</v>
      </c>
      <c r="M247" s="11">
        <f>Predikcia!K245</f>
        <v>4</v>
      </c>
      <c r="N247" s="11">
        <v>4</v>
      </c>
    </row>
    <row r="248" spans="3:14" ht="15.75" thickBot="1">
      <c r="C248" s="103">
        <f>Predikcia!A246</f>
        <v>45699</v>
      </c>
      <c r="D248" s="42" t="str">
        <f>Predikcia!B246</f>
        <v>03:00:00</v>
      </c>
      <c r="E248" s="67">
        <f>Predikcia!G246</f>
        <v>10650.25</v>
      </c>
      <c r="F248" s="68">
        <f>'DHS2025'!C245</f>
        <v>14448</v>
      </c>
      <c r="G248" s="69">
        <f>'DHS2025'!D245</f>
        <v>82</v>
      </c>
      <c r="H248" s="86">
        <v>4</v>
      </c>
      <c r="I248" s="87">
        <f>'DHS2025'!E245/1000</f>
        <v>4.0730000000000004</v>
      </c>
      <c r="J248" s="50">
        <f>Predikcia!R246</f>
        <v>139.61000000000001</v>
      </c>
      <c r="K248" s="48">
        <f t="shared" si="3"/>
        <v>555.20651470000018</v>
      </c>
      <c r="M248" s="11">
        <f>Predikcia!K246</f>
        <v>4</v>
      </c>
      <c r="N248" s="11">
        <v>4</v>
      </c>
    </row>
    <row r="249" spans="3:14" ht="15.75" thickBot="1">
      <c r="C249" s="103">
        <f>Predikcia!A247</f>
        <v>45699</v>
      </c>
      <c r="D249" s="42" t="str">
        <f>Predikcia!B247</f>
        <v>04:00:00</v>
      </c>
      <c r="E249" s="67">
        <f>Predikcia!G247</f>
        <v>17252.25</v>
      </c>
      <c r="F249" s="68">
        <f>'DHS2025'!C246</f>
        <v>16723</v>
      </c>
      <c r="G249" s="69">
        <f>'DHS2025'!D246</f>
        <v>105</v>
      </c>
      <c r="H249" s="86">
        <v>6</v>
      </c>
      <c r="I249" s="87">
        <f>'DHS2025'!E246/1000</f>
        <v>5.5540000000000003</v>
      </c>
      <c r="J249" s="50">
        <f>Predikcia!R247</f>
        <v>161.36000000000001</v>
      </c>
      <c r="K249" s="48">
        <f t="shared" si="3"/>
        <v>876.67890560000012</v>
      </c>
      <c r="M249" s="11">
        <f>Predikcia!K247</f>
        <v>6</v>
      </c>
      <c r="N249" s="11">
        <v>6</v>
      </c>
    </row>
    <row r="250" spans="3:14" ht="15.75" thickBot="1">
      <c r="C250" s="103">
        <f>Predikcia!A248</f>
        <v>45699</v>
      </c>
      <c r="D250" s="42" t="str">
        <f>Predikcia!B248</f>
        <v>05:00:00</v>
      </c>
      <c r="E250" s="67">
        <f>Predikcia!G248</f>
        <v>17297.25</v>
      </c>
      <c r="F250" s="68">
        <f>'DHS2025'!C247</f>
        <v>21536</v>
      </c>
      <c r="G250" s="69">
        <f>'DHS2025'!D247</f>
        <v>145</v>
      </c>
      <c r="H250" s="86">
        <v>8</v>
      </c>
      <c r="I250" s="87">
        <f>'DHS2025'!E247/1000</f>
        <v>7.0529999999999999</v>
      </c>
      <c r="J250" s="50">
        <f>Predikcia!R248</f>
        <v>224.52</v>
      </c>
      <c r="K250" s="48">
        <f t="shared" si="3"/>
        <v>1554.3034643999999</v>
      </c>
      <c r="M250" s="11">
        <f>Predikcia!K248</f>
        <v>6</v>
      </c>
      <c r="N250" s="11">
        <v>8</v>
      </c>
    </row>
    <row r="251" spans="3:14" ht="15.75" thickBot="1">
      <c r="C251" s="103">
        <f>Predikcia!A249</f>
        <v>45699</v>
      </c>
      <c r="D251" s="42" t="str">
        <f>Predikcia!B249</f>
        <v>06:00:00</v>
      </c>
      <c r="E251" s="67">
        <f>Predikcia!G249</f>
        <v>17649</v>
      </c>
      <c r="F251" s="68">
        <f>'DHS2025'!C248</f>
        <v>22139</v>
      </c>
      <c r="G251" s="69">
        <f>'DHS2025'!D248</f>
        <v>2682</v>
      </c>
      <c r="H251" s="86">
        <v>8</v>
      </c>
      <c r="I251" s="87">
        <f>'DHS2025'!E248/1000</f>
        <v>8.0370000000000008</v>
      </c>
      <c r="J251" s="50">
        <f>Predikcia!R249</f>
        <v>194.95</v>
      </c>
      <c r="K251" s="48">
        <f t="shared" si="3"/>
        <v>1535.8747185</v>
      </c>
      <c r="M251" s="11">
        <f>Predikcia!K249</f>
        <v>6</v>
      </c>
      <c r="N251" s="11">
        <v>8</v>
      </c>
    </row>
    <row r="252" spans="3:14" ht="15.75" thickBot="1">
      <c r="C252" s="103">
        <f>Predikcia!A250</f>
        <v>45699</v>
      </c>
      <c r="D252" s="42" t="str">
        <f>Predikcia!B250</f>
        <v>07:00:00</v>
      </c>
      <c r="E252" s="67">
        <f>Predikcia!G250</f>
        <v>16675.5</v>
      </c>
      <c r="F252" s="68">
        <f>'DHS2025'!C249</f>
        <v>20739</v>
      </c>
      <c r="G252" s="69">
        <f>'DHS2025'!D249</f>
        <v>3917</v>
      </c>
      <c r="H252" s="86">
        <v>8</v>
      </c>
      <c r="I252" s="87">
        <f>'DHS2025'!E249/1000</f>
        <v>8.0500000000000007</v>
      </c>
      <c r="J252" s="50">
        <f>Predikcia!R250</f>
        <v>253.14</v>
      </c>
      <c r="K252" s="48">
        <f t="shared" si="3"/>
        <v>2002.1042300000001</v>
      </c>
      <c r="M252" s="11">
        <f>Predikcia!K250</f>
        <v>6</v>
      </c>
      <c r="N252" s="11">
        <v>8</v>
      </c>
    </row>
    <row r="253" spans="3:14" ht="15.75" thickBot="1">
      <c r="C253" s="103">
        <f>Predikcia!A251</f>
        <v>45699</v>
      </c>
      <c r="D253" s="42" t="str">
        <f>Predikcia!B251</f>
        <v>08:00:00</v>
      </c>
      <c r="E253" s="67">
        <f>Predikcia!G251</f>
        <v>17181</v>
      </c>
      <c r="F253" s="68">
        <f>'DHS2025'!C250</f>
        <v>19688</v>
      </c>
      <c r="G253" s="69">
        <f>'DHS2025'!D250</f>
        <v>4898</v>
      </c>
      <c r="H253" s="86">
        <v>8</v>
      </c>
      <c r="I253" s="87">
        <f>'DHS2025'!E250/1000</f>
        <v>8.0419999999999998</v>
      </c>
      <c r="J253" s="50">
        <f>Predikcia!R251</f>
        <v>180.01</v>
      </c>
      <c r="K253" s="48">
        <f t="shared" si="3"/>
        <v>1417.8842157999998</v>
      </c>
      <c r="M253" s="11">
        <f>Predikcia!K251</f>
        <v>6</v>
      </c>
      <c r="N253" s="11">
        <v>8</v>
      </c>
    </row>
    <row r="254" spans="3:14" ht="15.75" thickBot="1">
      <c r="C254" s="103">
        <f>Predikcia!A252</f>
        <v>45699</v>
      </c>
      <c r="D254" s="42" t="str">
        <f>Predikcia!B252</f>
        <v>09:00:00</v>
      </c>
      <c r="E254" s="67">
        <f>Predikcia!G252</f>
        <v>16899.75</v>
      </c>
      <c r="F254" s="68">
        <f>'DHS2025'!C251</f>
        <v>17432</v>
      </c>
      <c r="G254" s="69">
        <f>'DHS2025'!D251</f>
        <v>6526</v>
      </c>
      <c r="H254" s="86">
        <v>8</v>
      </c>
      <c r="I254" s="87">
        <f>'DHS2025'!E251/1000</f>
        <v>8.0579999999999998</v>
      </c>
      <c r="J254" s="50">
        <f>Predikcia!R252</f>
        <v>144.07</v>
      </c>
      <c r="K254" s="48">
        <f t="shared" si="3"/>
        <v>1133.9966993999999</v>
      </c>
      <c r="M254" s="11">
        <f>Predikcia!K252</f>
        <v>6</v>
      </c>
      <c r="N254" s="11">
        <v>8</v>
      </c>
    </row>
    <row r="255" spans="3:14" ht="15.75" thickBot="1">
      <c r="C255" s="103">
        <f>Predikcia!A253</f>
        <v>45699</v>
      </c>
      <c r="D255" s="42" t="str">
        <f>Predikcia!B253</f>
        <v>10:00:00</v>
      </c>
      <c r="E255" s="67">
        <f>Predikcia!G253</f>
        <v>16787</v>
      </c>
      <c r="F255" s="68">
        <f>'DHS2025'!C252</f>
        <v>14897</v>
      </c>
      <c r="G255" s="69">
        <f>'DHS2025'!D252</f>
        <v>6210</v>
      </c>
      <c r="H255" s="86">
        <v>6</v>
      </c>
      <c r="I255" s="87">
        <f>'DHS2025'!E252/1000</f>
        <v>7.04</v>
      </c>
      <c r="J255" s="50">
        <f>Predikcia!R253</f>
        <v>113.33</v>
      </c>
      <c r="K255" s="48">
        <f t="shared" si="3"/>
        <v>776.48876799999994</v>
      </c>
      <c r="M255" s="11">
        <f>Predikcia!K253</f>
        <v>6</v>
      </c>
      <c r="N255" s="11">
        <v>6</v>
      </c>
    </row>
    <row r="256" spans="3:14" ht="15.75" thickBot="1">
      <c r="C256" s="103">
        <f>Predikcia!A254</f>
        <v>45699</v>
      </c>
      <c r="D256" s="42" t="str">
        <f>Predikcia!B254</f>
        <v>11:00:00</v>
      </c>
      <c r="E256" s="67">
        <f>Predikcia!G254</f>
        <v>16891.5</v>
      </c>
      <c r="F256" s="68">
        <f>'DHS2025'!C253</f>
        <v>15707</v>
      </c>
      <c r="G256" s="69">
        <f>'DHS2025'!D253</f>
        <v>2954</v>
      </c>
      <c r="H256" s="86">
        <v>6</v>
      </c>
      <c r="I256" s="87">
        <f>'DHS2025'!E253/1000</f>
        <v>6.0540000000000003</v>
      </c>
      <c r="J256" s="50">
        <f>Predikcia!R254</f>
        <v>93.36</v>
      </c>
      <c r="K256" s="48">
        <f t="shared" si="3"/>
        <v>548.04682560000003</v>
      </c>
      <c r="M256" s="11">
        <f>Predikcia!K254</f>
        <v>6</v>
      </c>
      <c r="N256" s="11">
        <v>6</v>
      </c>
    </row>
    <row r="257" spans="3:14" ht="15.75" thickBot="1">
      <c r="C257" s="103">
        <f>Predikcia!A255</f>
        <v>45699</v>
      </c>
      <c r="D257" s="42" t="str">
        <f>Predikcia!B255</f>
        <v>12:00:00</v>
      </c>
      <c r="E257" s="67">
        <f>Predikcia!G255</f>
        <v>16316</v>
      </c>
      <c r="F257" s="68">
        <f>'DHS2025'!C254</f>
        <v>13700</v>
      </c>
      <c r="G257" s="69">
        <f>'DHS2025'!D254</f>
        <v>5159</v>
      </c>
      <c r="H257" s="86">
        <v>6</v>
      </c>
      <c r="I257" s="87">
        <f>'DHS2025'!E254/1000</f>
        <v>6.056</v>
      </c>
      <c r="J257" s="50">
        <f>Predikcia!R255</f>
        <v>96.44</v>
      </c>
      <c r="K257" s="48">
        <f t="shared" si="3"/>
        <v>566.69383359999995</v>
      </c>
      <c r="M257" s="11">
        <f>Predikcia!K255</f>
        <v>6</v>
      </c>
      <c r="N257" s="11">
        <v>6</v>
      </c>
    </row>
    <row r="258" spans="3:14" ht="15.75" thickBot="1">
      <c r="C258" s="103">
        <f>Predikcia!A256</f>
        <v>45699</v>
      </c>
      <c r="D258" s="42" t="str">
        <f>Predikcia!B256</f>
        <v>13:00:00</v>
      </c>
      <c r="E258" s="67">
        <f>Predikcia!G256</f>
        <v>16011.75</v>
      </c>
      <c r="F258" s="68">
        <f>'DHS2025'!C255</f>
        <v>12848</v>
      </c>
      <c r="G258" s="69">
        <f>'DHS2025'!D255</f>
        <v>8633</v>
      </c>
      <c r="H258" s="86">
        <v>8</v>
      </c>
      <c r="I258" s="87">
        <f>'DHS2025'!E255/1000</f>
        <v>6.9909999999999997</v>
      </c>
      <c r="J258" s="50">
        <f>Predikcia!R256</f>
        <v>117.52</v>
      </c>
      <c r="K258" s="48">
        <f t="shared" si="3"/>
        <v>800.0835967999999</v>
      </c>
      <c r="M258" s="11">
        <f>Predikcia!K256</f>
        <v>6</v>
      </c>
      <c r="N258" s="11">
        <v>6</v>
      </c>
    </row>
    <row r="259" spans="3:14" ht="15.75" thickBot="1">
      <c r="C259" s="103">
        <f>Predikcia!A257</f>
        <v>45699</v>
      </c>
      <c r="D259" s="42" t="str">
        <f>Predikcia!B257</f>
        <v>14:00:00</v>
      </c>
      <c r="E259" s="67">
        <f>Predikcia!G257</f>
        <v>16313.5</v>
      </c>
      <c r="F259" s="68">
        <f>'DHS2025'!C256</f>
        <v>13653</v>
      </c>
      <c r="G259" s="69">
        <f>'DHS2025'!D256</f>
        <v>9839</v>
      </c>
      <c r="H259" s="86">
        <v>8</v>
      </c>
      <c r="I259" s="87">
        <f>'DHS2025'!E256/1000</f>
        <v>8.0370000000000008</v>
      </c>
      <c r="J259" s="50">
        <f>Predikcia!R257</f>
        <v>129.72999999999999</v>
      </c>
      <c r="K259" s="48">
        <f t="shared" si="3"/>
        <v>1016.9433098999999</v>
      </c>
      <c r="M259" s="11">
        <f>Predikcia!K257</f>
        <v>6</v>
      </c>
      <c r="N259" s="11">
        <v>6</v>
      </c>
    </row>
    <row r="260" spans="3:14" ht="15.75" thickBot="1">
      <c r="C260" s="103">
        <f>Predikcia!A258</f>
        <v>45699</v>
      </c>
      <c r="D260" s="42" t="str">
        <f>Predikcia!B258</f>
        <v>15:00:00</v>
      </c>
      <c r="E260" s="67">
        <f>Predikcia!G258</f>
        <v>14616</v>
      </c>
      <c r="F260" s="68">
        <f>'DHS2025'!C257</f>
        <v>13637</v>
      </c>
      <c r="G260" s="69">
        <f>'DHS2025'!D257</f>
        <v>10501</v>
      </c>
      <c r="H260" s="86">
        <v>8</v>
      </c>
      <c r="I260" s="87">
        <f>'DHS2025'!E257/1000</f>
        <v>8.0470000000000006</v>
      </c>
      <c r="J260" s="50">
        <f>Predikcia!R258</f>
        <v>177.31</v>
      </c>
      <c r="K260" s="48">
        <f t="shared" si="3"/>
        <v>1397.2561343</v>
      </c>
      <c r="M260" s="11">
        <f>Predikcia!K258</f>
        <v>5</v>
      </c>
      <c r="N260" s="11">
        <v>8</v>
      </c>
    </row>
    <row r="261" spans="3:14" ht="15.75" thickBot="1">
      <c r="C261" s="103">
        <f>Predikcia!A259</f>
        <v>45699</v>
      </c>
      <c r="D261" s="42" t="str">
        <f>Predikcia!B259</f>
        <v>16:00:00</v>
      </c>
      <c r="E261" s="67">
        <f>Predikcia!G259</f>
        <v>15212.25</v>
      </c>
      <c r="F261" s="68">
        <f>'DHS2025'!C258</f>
        <v>13908</v>
      </c>
      <c r="G261" s="69">
        <f>'DHS2025'!D258</f>
        <v>10051</v>
      </c>
      <c r="H261" s="86">
        <v>8</v>
      </c>
      <c r="I261" s="87">
        <f>'DHS2025'!E258/1000</f>
        <v>8.0549999999999997</v>
      </c>
      <c r="J261" s="50">
        <f>Predikcia!R259</f>
        <v>209.08</v>
      </c>
      <c r="K261" s="48">
        <f t="shared" si="3"/>
        <v>1651.993506</v>
      </c>
      <c r="M261" s="11">
        <f>Predikcia!K259</f>
        <v>5</v>
      </c>
      <c r="N261" s="11">
        <v>8</v>
      </c>
    </row>
    <row r="262" spans="3:14" ht="15.75" thickBot="1">
      <c r="C262" s="103">
        <f>Predikcia!A260</f>
        <v>45699</v>
      </c>
      <c r="D262" s="42" t="str">
        <f>Predikcia!B260</f>
        <v>17:00:00</v>
      </c>
      <c r="E262" s="67">
        <f>Predikcia!G260</f>
        <v>16433.75</v>
      </c>
      <c r="F262" s="68">
        <f>'DHS2025'!C259</f>
        <v>15987</v>
      </c>
      <c r="G262" s="69">
        <f>'DHS2025'!D259</f>
        <v>8947</v>
      </c>
      <c r="H262" s="86">
        <v>8</v>
      </c>
      <c r="I262" s="87">
        <f>'DHS2025'!E259/1000</f>
        <v>8.0679999999999996</v>
      </c>
      <c r="J262" s="50">
        <f>Predikcia!R260</f>
        <v>227.51</v>
      </c>
      <c r="K262" s="48">
        <f t="shared" ref="K262:K325" si="4">(J262*0.99-1.9)*I262</f>
        <v>1801.8659731999996</v>
      </c>
      <c r="M262" s="11">
        <f>Predikcia!K260</f>
        <v>6</v>
      </c>
      <c r="N262" s="11">
        <v>8</v>
      </c>
    </row>
    <row r="263" spans="3:14" ht="15.75" thickBot="1">
      <c r="C263" s="103">
        <f>Predikcia!A261</f>
        <v>45699</v>
      </c>
      <c r="D263" s="42" t="str">
        <f>Predikcia!B261</f>
        <v>18:00:00</v>
      </c>
      <c r="E263" s="67">
        <f>Predikcia!G261</f>
        <v>16475</v>
      </c>
      <c r="F263" s="68">
        <f>'DHS2025'!C260</f>
        <v>18178</v>
      </c>
      <c r="G263" s="69">
        <f>'DHS2025'!D260</f>
        <v>6197</v>
      </c>
      <c r="H263" s="86">
        <v>8</v>
      </c>
      <c r="I263" s="87">
        <f>'DHS2025'!E260/1000</f>
        <v>8.0410000000000004</v>
      </c>
      <c r="J263" s="50">
        <f>Predikcia!R261</f>
        <v>248.24</v>
      </c>
      <c r="K263" s="48">
        <f t="shared" si="4"/>
        <v>1960.8589615999999</v>
      </c>
      <c r="M263" s="11">
        <f>Predikcia!K261</f>
        <v>6</v>
      </c>
      <c r="N263" s="11">
        <v>8</v>
      </c>
    </row>
    <row r="264" spans="3:14" ht="15.75" thickBot="1">
      <c r="C264" s="103">
        <f>Predikcia!A262</f>
        <v>45699</v>
      </c>
      <c r="D264" s="42" t="str">
        <f>Predikcia!B262</f>
        <v>19:00:00</v>
      </c>
      <c r="E264" s="67">
        <f>Predikcia!G262</f>
        <v>17059.25</v>
      </c>
      <c r="F264" s="68">
        <f>'DHS2025'!C261</f>
        <v>20043</v>
      </c>
      <c r="G264" s="69">
        <f>'DHS2025'!D261</f>
        <v>3909</v>
      </c>
      <c r="H264" s="86">
        <v>8</v>
      </c>
      <c r="I264" s="87">
        <f>'DHS2025'!E261/1000</f>
        <v>8.048</v>
      </c>
      <c r="J264" s="50">
        <f>Predikcia!R262</f>
        <v>230.02</v>
      </c>
      <c r="K264" s="48">
        <f t="shared" si="4"/>
        <v>1817.3977504000002</v>
      </c>
      <c r="M264" s="11">
        <f>Predikcia!K262</f>
        <v>6</v>
      </c>
      <c r="N264" s="11">
        <v>8</v>
      </c>
    </row>
    <row r="265" spans="3:14" ht="15.75" thickBot="1">
      <c r="C265" s="103">
        <f>Predikcia!A263</f>
        <v>45699</v>
      </c>
      <c r="D265" s="42" t="str">
        <f>Predikcia!B263</f>
        <v>20:00:00</v>
      </c>
      <c r="E265" s="67">
        <f>Predikcia!G263</f>
        <v>17310</v>
      </c>
      <c r="F265" s="68">
        <f>'DHS2025'!C262</f>
        <v>19790</v>
      </c>
      <c r="G265" s="69">
        <f>'DHS2025'!D262</f>
        <v>4816</v>
      </c>
      <c r="H265" s="86">
        <v>8</v>
      </c>
      <c r="I265" s="87">
        <f>'DHS2025'!E262/1000</f>
        <v>8.0609999999999999</v>
      </c>
      <c r="J265" s="50">
        <f>Predikcia!R263</f>
        <v>195.55</v>
      </c>
      <c r="K265" s="48">
        <f t="shared" si="4"/>
        <v>1545.2493645</v>
      </c>
      <c r="M265" s="11">
        <f>Predikcia!K263</f>
        <v>6</v>
      </c>
      <c r="N265" s="11">
        <v>8</v>
      </c>
    </row>
    <row r="266" spans="3:14" ht="15.75" thickBot="1">
      <c r="C266" s="103">
        <f>Predikcia!A264</f>
        <v>45699</v>
      </c>
      <c r="D266" s="42" t="str">
        <f>Predikcia!B264</f>
        <v>21:00:00</v>
      </c>
      <c r="E266" s="67">
        <f>Predikcia!G264</f>
        <v>17214.5</v>
      </c>
      <c r="F266" s="68">
        <f>'DHS2025'!C263</f>
        <v>20205</v>
      </c>
      <c r="G266" s="69">
        <f>'DHS2025'!D263</f>
        <v>4627</v>
      </c>
      <c r="H266" s="86">
        <v>8</v>
      </c>
      <c r="I266" s="87">
        <f>'DHS2025'!E263/1000</f>
        <v>8.07</v>
      </c>
      <c r="J266" s="50">
        <f>Predikcia!R264</f>
        <v>197.78</v>
      </c>
      <c r="K266" s="48">
        <f t="shared" si="4"/>
        <v>1564.7907540000001</v>
      </c>
      <c r="M266" s="11">
        <f>Predikcia!K264</f>
        <v>6</v>
      </c>
      <c r="N266" s="11">
        <v>8</v>
      </c>
    </row>
    <row r="267" spans="3:14" ht="15.75" thickBot="1">
      <c r="C267" s="103">
        <f>Predikcia!A265</f>
        <v>45699</v>
      </c>
      <c r="D267" s="42" t="str">
        <f>Predikcia!B265</f>
        <v>22:00:00</v>
      </c>
      <c r="E267" s="67">
        <f>Predikcia!G265</f>
        <v>15166.75</v>
      </c>
      <c r="F267" s="68">
        <f>'DHS2025'!C264</f>
        <v>16476</v>
      </c>
      <c r="G267" s="69">
        <f>'DHS2025'!D264</f>
        <v>3856</v>
      </c>
      <c r="H267" s="86">
        <v>5</v>
      </c>
      <c r="I267" s="87">
        <f>'DHS2025'!E264/1000</f>
        <v>6.6459999999999999</v>
      </c>
      <c r="J267" s="50">
        <f>Predikcia!R265</f>
        <v>176.92</v>
      </c>
      <c r="K267" s="48">
        <f t="shared" si="4"/>
        <v>1151.4248167999997</v>
      </c>
      <c r="M267" s="11">
        <f>Predikcia!K265</f>
        <v>5</v>
      </c>
      <c r="N267" s="11">
        <v>5</v>
      </c>
    </row>
    <row r="268" spans="3:14" ht="15.75" thickBot="1">
      <c r="C268" s="107">
        <f>Predikcia!A266</f>
        <v>45699</v>
      </c>
      <c r="D268" s="46" t="str">
        <f>Predikcia!B266</f>
        <v>23:00:00</v>
      </c>
      <c r="E268" s="70">
        <f>Predikcia!G266</f>
        <v>9812.25</v>
      </c>
      <c r="F268" s="71">
        <f>'DHS2025'!C265</f>
        <v>10284</v>
      </c>
      <c r="G268" s="72">
        <f>'DHS2025'!D265</f>
        <v>2904</v>
      </c>
      <c r="H268" s="88">
        <v>4</v>
      </c>
      <c r="I268" s="87">
        <f>'DHS2025'!E265/1000</f>
        <v>4.0739999999999998</v>
      </c>
      <c r="J268" s="50">
        <f>Predikcia!R266</f>
        <v>136.08000000000001</v>
      </c>
      <c r="K268" s="48">
        <f t="shared" si="4"/>
        <v>541.10542079999993</v>
      </c>
      <c r="M268" s="11">
        <f>Predikcia!K266</f>
        <v>4</v>
      </c>
      <c r="N268" s="11">
        <v>4</v>
      </c>
    </row>
    <row r="269" spans="3:14" ht="15.75" thickBot="1">
      <c r="C269" s="104">
        <f>Predikcia!A267</f>
        <v>45700</v>
      </c>
      <c r="D269" s="43" t="str">
        <f>Predikcia!B267</f>
        <v>00:00:00</v>
      </c>
      <c r="E269" s="64">
        <f>Predikcia!G267</f>
        <v>8895</v>
      </c>
      <c r="F269" s="65">
        <f>'DHS2025'!C266</f>
        <v>11504</v>
      </c>
      <c r="G269" s="66">
        <f>'DHS2025'!D266</f>
        <v>3332</v>
      </c>
      <c r="H269" s="84">
        <v>4</v>
      </c>
      <c r="I269" s="85">
        <f>'DHS2025'!E266/1000</f>
        <v>4.0640000000000001</v>
      </c>
      <c r="J269" s="50">
        <f>Predikcia!R267</f>
        <v>129.38</v>
      </c>
      <c r="K269" s="48">
        <f t="shared" si="4"/>
        <v>512.8207167999999</v>
      </c>
      <c r="M269" s="11">
        <f>Predikcia!K267</f>
        <v>4</v>
      </c>
      <c r="N269" s="11">
        <v>4</v>
      </c>
    </row>
    <row r="270" spans="3:14" ht="15.75" thickBot="1">
      <c r="C270" s="105">
        <f>Predikcia!A268</f>
        <v>45700</v>
      </c>
      <c r="D270" s="44" t="str">
        <f>Predikcia!B268</f>
        <v>01:00:00</v>
      </c>
      <c r="E270" s="67">
        <f>Predikcia!G268</f>
        <v>10177.75</v>
      </c>
      <c r="F270" s="68">
        <f>'DHS2025'!C267</f>
        <v>12943</v>
      </c>
      <c r="G270" s="69">
        <f>'DHS2025'!D267</f>
        <v>1049</v>
      </c>
      <c r="H270" s="86">
        <v>4</v>
      </c>
      <c r="I270" s="87">
        <f>'DHS2025'!E267/1000</f>
        <v>4.0419999999999998</v>
      </c>
      <c r="J270" s="50">
        <f>Predikcia!R268</f>
        <v>127.88</v>
      </c>
      <c r="K270" s="48">
        <f t="shared" si="4"/>
        <v>504.04225039999994</v>
      </c>
      <c r="M270" s="11">
        <f>Predikcia!K268</f>
        <v>4</v>
      </c>
      <c r="N270" s="11">
        <v>4</v>
      </c>
    </row>
    <row r="271" spans="3:14" ht="15.75" thickBot="1">
      <c r="C271" s="105">
        <f>Predikcia!A269</f>
        <v>45700</v>
      </c>
      <c r="D271" s="44" t="str">
        <f>Predikcia!B269</f>
        <v>02:00:00</v>
      </c>
      <c r="E271" s="67">
        <f>Predikcia!G269</f>
        <v>10097</v>
      </c>
      <c r="F271" s="68">
        <f>'DHS2025'!C268</f>
        <v>14145</v>
      </c>
      <c r="G271" s="69">
        <f>'DHS2025'!D268</f>
        <v>113</v>
      </c>
      <c r="H271" s="86">
        <v>4</v>
      </c>
      <c r="I271" s="87">
        <f>'DHS2025'!E268/1000</f>
        <v>4.0549999999999997</v>
      </c>
      <c r="J271" s="50">
        <f>Predikcia!R269</f>
        <v>126.82</v>
      </c>
      <c r="K271" s="48">
        <f t="shared" si="4"/>
        <v>501.40804899999989</v>
      </c>
      <c r="M271" s="11">
        <f>Predikcia!K269</f>
        <v>4</v>
      </c>
      <c r="N271" s="11">
        <v>4</v>
      </c>
    </row>
    <row r="272" spans="3:14" ht="15.75" thickBot="1">
      <c r="C272" s="105">
        <f>Predikcia!A270</f>
        <v>45700</v>
      </c>
      <c r="D272" s="44" t="str">
        <f>Predikcia!B270</f>
        <v>03:00:00</v>
      </c>
      <c r="E272" s="67">
        <f>Predikcia!G270</f>
        <v>10819.25</v>
      </c>
      <c r="F272" s="68">
        <f>'DHS2025'!C269</f>
        <v>13846</v>
      </c>
      <c r="G272" s="69">
        <f>'DHS2025'!D269</f>
        <v>110</v>
      </c>
      <c r="H272" s="86">
        <v>4</v>
      </c>
      <c r="I272" s="87">
        <f>'DHS2025'!E269/1000</f>
        <v>4.0490000000000004</v>
      </c>
      <c r="J272" s="50">
        <f>Predikcia!R270</f>
        <v>126.59</v>
      </c>
      <c r="K272" s="48">
        <f t="shared" si="4"/>
        <v>499.7441809</v>
      </c>
      <c r="M272" s="11">
        <f>Predikcia!K270</f>
        <v>4</v>
      </c>
      <c r="N272" s="11">
        <v>4</v>
      </c>
    </row>
    <row r="273" spans="3:14" ht="15.75" thickBot="1">
      <c r="C273" s="105">
        <f>Predikcia!A271</f>
        <v>45700</v>
      </c>
      <c r="D273" s="44" t="str">
        <f>Predikcia!B271</f>
        <v>04:00:00</v>
      </c>
      <c r="E273" s="67">
        <f>Predikcia!G271</f>
        <v>15616</v>
      </c>
      <c r="F273" s="68">
        <f>'DHS2025'!C270</f>
        <v>17421</v>
      </c>
      <c r="G273" s="69">
        <f>'DHS2025'!D270</f>
        <v>2293</v>
      </c>
      <c r="H273" s="86">
        <v>5</v>
      </c>
      <c r="I273" s="87">
        <f>'DHS2025'!E270/1000</f>
        <v>5.1340000000000003</v>
      </c>
      <c r="J273" s="50">
        <f>Predikcia!R271</f>
        <v>128.74</v>
      </c>
      <c r="K273" s="48">
        <f t="shared" si="4"/>
        <v>644.58704840000007</v>
      </c>
      <c r="M273" s="11">
        <f>Predikcia!K271</f>
        <v>5</v>
      </c>
      <c r="N273" s="11">
        <v>5</v>
      </c>
    </row>
    <row r="274" spans="3:14" ht="15.75" thickBot="1">
      <c r="C274" s="105">
        <f>Predikcia!A272</f>
        <v>45700</v>
      </c>
      <c r="D274" s="44" t="str">
        <f>Predikcia!B272</f>
        <v>05:00:00</v>
      </c>
      <c r="E274" s="67">
        <f>Predikcia!G272</f>
        <v>18937</v>
      </c>
      <c r="F274" s="68">
        <f>'DHS2025'!C271</f>
        <v>22952</v>
      </c>
      <c r="G274" s="69">
        <f>'DHS2025'!D271</f>
        <v>2308</v>
      </c>
      <c r="H274" s="86">
        <v>6</v>
      </c>
      <c r="I274" s="87">
        <f>'DHS2025'!E271/1000</f>
        <v>6.0780000000000003</v>
      </c>
      <c r="J274" s="50">
        <f>Predikcia!R272</f>
        <v>141.47999999999999</v>
      </c>
      <c r="K274" s="48">
        <f t="shared" si="4"/>
        <v>839.76808559999984</v>
      </c>
      <c r="M274" s="11">
        <f>Predikcia!K272</f>
        <v>6</v>
      </c>
      <c r="N274" s="11">
        <v>6</v>
      </c>
    </row>
    <row r="275" spans="3:14" ht="15.75" thickBot="1">
      <c r="C275" s="105">
        <f>Predikcia!A273</f>
        <v>45700</v>
      </c>
      <c r="D275" s="44" t="str">
        <f>Predikcia!B273</f>
        <v>06:00:00</v>
      </c>
      <c r="E275" s="67">
        <f>Predikcia!G273</f>
        <v>17462</v>
      </c>
      <c r="F275" s="68">
        <f>'DHS2025'!C272</f>
        <v>25883</v>
      </c>
      <c r="G275" s="69">
        <f>'DHS2025'!D272</f>
        <v>2876</v>
      </c>
      <c r="H275" s="86">
        <v>8</v>
      </c>
      <c r="I275" s="87">
        <f>'DHS2025'!E272/1000</f>
        <v>8.0549999999999997</v>
      </c>
      <c r="J275" s="50">
        <f>Predikcia!R273</f>
        <v>195.08</v>
      </c>
      <c r="K275" s="48">
        <f t="shared" si="4"/>
        <v>1540.3512059999998</v>
      </c>
      <c r="M275" s="11">
        <f>Predikcia!K273</f>
        <v>6</v>
      </c>
      <c r="N275" s="11">
        <v>8</v>
      </c>
    </row>
    <row r="276" spans="3:14" ht="15.75" thickBot="1">
      <c r="C276" s="105">
        <f>Predikcia!A274</f>
        <v>45700</v>
      </c>
      <c r="D276" s="44" t="str">
        <f>Predikcia!B274</f>
        <v>07:00:00</v>
      </c>
      <c r="E276" s="67">
        <f>Predikcia!G274</f>
        <v>16860</v>
      </c>
      <c r="F276" s="68">
        <f>'DHS2025'!C273</f>
        <v>22192</v>
      </c>
      <c r="G276" s="69">
        <f>'DHS2025'!D273</f>
        <v>2295</v>
      </c>
      <c r="H276" s="86">
        <v>8</v>
      </c>
      <c r="I276" s="87">
        <f>'DHS2025'!E273/1000</f>
        <v>8.0079999999999991</v>
      </c>
      <c r="J276" s="50">
        <f>Predikcia!R274</f>
        <v>184.23</v>
      </c>
      <c r="K276" s="48">
        <f t="shared" si="4"/>
        <v>1445.3455015999998</v>
      </c>
      <c r="M276" s="11">
        <f>Predikcia!K274</f>
        <v>6</v>
      </c>
      <c r="N276" s="11">
        <v>8</v>
      </c>
    </row>
    <row r="277" spans="3:14" ht="15.75" thickBot="1">
      <c r="C277" s="105">
        <f>Predikcia!A275</f>
        <v>45700</v>
      </c>
      <c r="D277" s="44" t="str">
        <f>Predikcia!B275</f>
        <v>08:00:00</v>
      </c>
      <c r="E277" s="67">
        <f>Predikcia!G275</f>
        <v>16682.25</v>
      </c>
      <c r="F277" s="68">
        <f>'DHS2025'!C274</f>
        <v>21698</v>
      </c>
      <c r="G277" s="69">
        <f>'DHS2025'!D274</f>
        <v>3056</v>
      </c>
      <c r="H277" s="86">
        <v>8</v>
      </c>
      <c r="I277" s="87">
        <f>'DHS2025'!E274/1000</f>
        <v>8.0519999999999996</v>
      </c>
      <c r="J277" s="50">
        <f>Predikcia!R275</f>
        <v>180</v>
      </c>
      <c r="K277" s="48">
        <f t="shared" si="4"/>
        <v>1419.5675999999999</v>
      </c>
      <c r="M277" s="11">
        <f>Predikcia!K275</f>
        <v>6</v>
      </c>
      <c r="N277" s="11">
        <v>8</v>
      </c>
    </row>
    <row r="278" spans="3:14" ht="15.75" thickBot="1">
      <c r="C278" s="105">
        <f>Predikcia!A276</f>
        <v>45700</v>
      </c>
      <c r="D278" s="44" t="str">
        <f>Predikcia!B276</f>
        <v>09:00:00</v>
      </c>
      <c r="E278" s="67">
        <f>Predikcia!G276</f>
        <v>16432.75</v>
      </c>
      <c r="F278" s="68">
        <f>'DHS2025'!C275</f>
        <v>19626</v>
      </c>
      <c r="G278" s="69">
        <f>'DHS2025'!D275</f>
        <v>4444</v>
      </c>
      <c r="H278" s="86">
        <v>8</v>
      </c>
      <c r="I278" s="87">
        <f>'DHS2025'!E275/1000</f>
        <v>8.0670000000000002</v>
      </c>
      <c r="J278" s="50">
        <f>Predikcia!R276</f>
        <v>174.92</v>
      </c>
      <c r="K278" s="48">
        <f t="shared" si="4"/>
        <v>1381.6415436</v>
      </c>
      <c r="M278" s="11">
        <f>Predikcia!K276</f>
        <v>6</v>
      </c>
      <c r="N278" s="11">
        <v>8</v>
      </c>
    </row>
    <row r="279" spans="3:14" ht="15.75" thickBot="1">
      <c r="C279" s="105">
        <f>Predikcia!A277</f>
        <v>45700</v>
      </c>
      <c r="D279" s="44" t="str">
        <f>Predikcia!B277</f>
        <v>10:00:00</v>
      </c>
      <c r="E279" s="67">
        <f>Predikcia!G277</f>
        <v>16683.75</v>
      </c>
      <c r="F279" s="68">
        <f>'DHS2025'!C276</f>
        <v>17674</v>
      </c>
      <c r="G279" s="69">
        <f>'DHS2025'!D276</f>
        <v>6635</v>
      </c>
      <c r="H279" s="86">
        <v>8</v>
      </c>
      <c r="I279" s="87">
        <f>'DHS2025'!E276/1000</f>
        <v>8.0589999999999993</v>
      </c>
      <c r="J279" s="50">
        <f>Predikcia!R277</f>
        <v>167.45</v>
      </c>
      <c r="K279" s="48">
        <f t="shared" si="4"/>
        <v>1320.6726544999997</v>
      </c>
      <c r="M279" s="11">
        <f>Predikcia!K277</f>
        <v>6</v>
      </c>
      <c r="N279" s="11">
        <v>8</v>
      </c>
    </row>
    <row r="280" spans="3:14" ht="15.75" thickBot="1">
      <c r="C280" s="105">
        <f>Predikcia!A278</f>
        <v>45700</v>
      </c>
      <c r="D280" s="44" t="str">
        <f>Predikcia!B278</f>
        <v>11:00:00</v>
      </c>
      <c r="E280" s="67">
        <f>Predikcia!G278</f>
        <v>16339.75</v>
      </c>
      <c r="F280" s="68">
        <f>'DHS2025'!C277</f>
        <v>13967</v>
      </c>
      <c r="G280" s="69">
        <f>'DHS2025'!D277</f>
        <v>10467</v>
      </c>
      <c r="H280" s="86">
        <v>8</v>
      </c>
      <c r="I280" s="87">
        <f>'DHS2025'!E277/1000</f>
        <v>8.0370000000000008</v>
      </c>
      <c r="J280" s="50">
        <f>Predikcia!R278</f>
        <v>164.02</v>
      </c>
      <c r="K280" s="48">
        <f t="shared" si="4"/>
        <v>1289.7761526000002</v>
      </c>
      <c r="M280" s="11">
        <f>Predikcia!K278</f>
        <v>6</v>
      </c>
      <c r="N280" s="11">
        <v>8</v>
      </c>
    </row>
    <row r="281" spans="3:14" ht="15.75" thickBot="1">
      <c r="C281" s="105">
        <f>Predikcia!A279</f>
        <v>45700</v>
      </c>
      <c r="D281" s="44" t="str">
        <f>Predikcia!B279</f>
        <v>12:00:00</v>
      </c>
      <c r="E281" s="67">
        <f>Predikcia!G279</f>
        <v>15797.5</v>
      </c>
      <c r="F281" s="68">
        <f>'DHS2025'!C278</f>
        <v>12880</v>
      </c>
      <c r="G281" s="69">
        <f>'DHS2025'!D278</f>
        <v>11329</v>
      </c>
      <c r="H281" s="86">
        <v>8</v>
      </c>
      <c r="I281" s="87">
        <f>'DHS2025'!E278/1000</f>
        <v>8.0589999999999993</v>
      </c>
      <c r="J281" s="50">
        <f>Predikcia!R279</f>
        <v>154.07</v>
      </c>
      <c r="K281" s="48">
        <f t="shared" si="4"/>
        <v>1213.9215286999997</v>
      </c>
      <c r="M281" s="11">
        <f>Predikcia!K279</f>
        <v>5</v>
      </c>
      <c r="N281" s="11">
        <v>8</v>
      </c>
    </row>
    <row r="282" spans="3:14" ht="15.75" thickBot="1">
      <c r="C282" s="105">
        <f>Predikcia!A280</f>
        <v>45700</v>
      </c>
      <c r="D282" s="44" t="str">
        <f>Predikcia!B280</f>
        <v>13:00:00</v>
      </c>
      <c r="E282" s="67">
        <f>Predikcia!G280</f>
        <v>15635.75</v>
      </c>
      <c r="F282" s="68">
        <f>'DHS2025'!C279</f>
        <v>14416</v>
      </c>
      <c r="G282" s="69">
        <f>'DHS2025'!D279</f>
        <v>9555</v>
      </c>
      <c r="H282" s="86">
        <v>8</v>
      </c>
      <c r="I282" s="87">
        <f>'DHS2025'!E279/1000</f>
        <v>8.0589999999999993</v>
      </c>
      <c r="J282" s="50">
        <f>Predikcia!R280</f>
        <v>155.99</v>
      </c>
      <c r="K282" s="48">
        <f t="shared" si="4"/>
        <v>1229.2400759</v>
      </c>
      <c r="M282" s="11">
        <f>Predikcia!K280</f>
        <v>5</v>
      </c>
      <c r="N282" s="11">
        <v>8</v>
      </c>
    </row>
    <row r="283" spans="3:14" ht="15.75" thickBot="1">
      <c r="C283" s="105">
        <f>Predikcia!A281</f>
        <v>45700</v>
      </c>
      <c r="D283" s="44" t="str">
        <f>Predikcia!B281</f>
        <v>14:00:00</v>
      </c>
      <c r="E283" s="67">
        <f>Predikcia!G281</f>
        <v>15909.5</v>
      </c>
      <c r="F283" s="68">
        <f>'DHS2025'!C280</f>
        <v>14909</v>
      </c>
      <c r="G283" s="69">
        <f>'DHS2025'!D280</f>
        <v>8890</v>
      </c>
      <c r="H283" s="86">
        <v>8</v>
      </c>
      <c r="I283" s="87">
        <f>'DHS2025'!E280/1000</f>
        <v>8.0579999999999998</v>
      </c>
      <c r="J283" s="50">
        <f>Predikcia!R281</f>
        <v>185.34</v>
      </c>
      <c r="K283" s="48">
        <f t="shared" si="4"/>
        <v>1463.2248228000001</v>
      </c>
      <c r="M283" s="11">
        <f>Predikcia!K281</f>
        <v>5</v>
      </c>
      <c r="N283" s="11">
        <v>8</v>
      </c>
    </row>
    <row r="284" spans="3:14" ht="15.75" thickBot="1">
      <c r="C284" s="105">
        <f>Predikcia!A282</f>
        <v>45700</v>
      </c>
      <c r="D284" s="44" t="str">
        <f>Predikcia!B282</f>
        <v>15:00:00</v>
      </c>
      <c r="E284" s="67">
        <f>Predikcia!G282</f>
        <v>15757.25</v>
      </c>
      <c r="F284" s="68">
        <f>'DHS2025'!C281</f>
        <v>14813</v>
      </c>
      <c r="G284" s="69">
        <f>'DHS2025'!D281</f>
        <v>9563</v>
      </c>
      <c r="H284" s="86">
        <v>8</v>
      </c>
      <c r="I284" s="87">
        <f>'DHS2025'!E281/1000</f>
        <v>8.0709999999999997</v>
      </c>
      <c r="J284" s="50">
        <f>Predikcia!R282</f>
        <v>202.61</v>
      </c>
      <c r="K284" s="48">
        <f t="shared" si="4"/>
        <v>1603.5777568999999</v>
      </c>
      <c r="M284" s="11">
        <f>Predikcia!K282</f>
        <v>5</v>
      </c>
      <c r="N284" s="11">
        <v>8</v>
      </c>
    </row>
    <row r="285" spans="3:14" ht="15.75" thickBot="1">
      <c r="C285" s="105">
        <f>Predikcia!A283</f>
        <v>45700</v>
      </c>
      <c r="D285" s="44" t="str">
        <f>Predikcia!B283</f>
        <v>16:00:00</v>
      </c>
      <c r="E285" s="67">
        <f>Predikcia!G283</f>
        <v>14830.25</v>
      </c>
      <c r="F285" s="68">
        <f>'DHS2025'!C282</f>
        <v>16288</v>
      </c>
      <c r="G285" s="69">
        <f>'DHS2025'!D282</f>
        <v>8580</v>
      </c>
      <c r="H285" s="86">
        <v>8</v>
      </c>
      <c r="I285" s="87">
        <f>'DHS2025'!E282/1000</f>
        <v>8.0860000000000003</v>
      </c>
      <c r="J285" s="50">
        <f>Predikcia!R283</f>
        <v>230.23</v>
      </c>
      <c r="K285" s="48">
        <f t="shared" si="4"/>
        <v>1827.6599821999998</v>
      </c>
      <c r="M285" s="11">
        <f>Predikcia!K283</f>
        <v>5</v>
      </c>
      <c r="N285" s="11">
        <v>8</v>
      </c>
    </row>
    <row r="286" spans="3:14" ht="15.75" thickBot="1">
      <c r="C286" s="105">
        <f>Predikcia!A284</f>
        <v>45700</v>
      </c>
      <c r="D286" s="44" t="str">
        <f>Predikcia!B284</f>
        <v>17:00:00</v>
      </c>
      <c r="E286" s="67">
        <f>Predikcia!G284</f>
        <v>16581</v>
      </c>
      <c r="F286" s="68">
        <f>'DHS2025'!C283</f>
        <v>16316</v>
      </c>
      <c r="G286" s="69">
        <f>'DHS2025'!D283</f>
        <v>8244</v>
      </c>
      <c r="H286" s="86">
        <v>8</v>
      </c>
      <c r="I286" s="87">
        <f>'DHS2025'!E283/1000</f>
        <v>8.0389999999999997</v>
      </c>
      <c r="J286" s="50">
        <f>Predikcia!R284</f>
        <v>109.33</v>
      </c>
      <c r="K286" s="48">
        <f t="shared" si="4"/>
        <v>854.8407312999999</v>
      </c>
      <c r="M286" s="11">
        <f>Predikcia!K284</f>
        <v>6</v>
      </c>
      <c r="N286" s="11">
        <v>6</v>
      </c>
    </row>
    <row r="287" spans="3:14" ht="15.75" thickBot="1">
      <c r="C287" s="105">
        <f>Predikcia!A285</f>
        <v>45700</v>
      </c>
      <c r="D287" s="44" t="str">
        <f>Predikcia!B285</f>
        <v>18:00:00</v>
      </c>
      <c r="E287" s="67">
        <f>Predikcia!G285</f>
        <v>17851.25</v>
      </c>
      <c r="F287" s="68">
        <f>'DHS2025'!C284</f>
        <v>17720</v>
      </c>
      <c r="G287" s="69">
        <f>'DHS2025'!D284</f>
        <v>6397</v>
      </c>
      <c r="H287" s="86">
        <v>8</v>
      </c>
      <c r="I287" s="87">
        <f>'DHS2025'!E284/1000</f>
        <v>8.08</v>
      </c>
      <c r="J287" s="50">
        <f>Predikcia!R285</f>
        <v>150</v>
      </c>
      <c r="K287" s="48">
        <f t="shared" si="4"/>
        <v>1184.528</v>
      </c>
      <c r="M287" s="11">
        <f>Predikcia!K285</f>
        <v>6</v>
      </c>
      <c r="N287" s="11">
        <v>8</v>
      </c>
    </row>
    <row r="288" spans="3:14" ht="15.75" thickBot="1">
      <c r="C288" s="105">
        <f>Predikcia!A286</f>
        <v>45700</v>
      </c>
      <c r="D288" s="44" t="str">
        <f>Predikcia!B286</f>
        <v>19:00:00</v>
      </c>
      <c r="E288" s="67">
        <f>Predikcia!G286</f>
        <v>18084</v>
      </c>
      <c r="F288" s="68">
        <f>'DHS2025'!C285</f>
        <v>18979</v>
      </c>
      <c r="G288" s="69">
        <f>'DHS2025'!D285</f>
        <v>6806</v>
      </c>
      <c r="H288" s="86">
        <v>8</v>
      </c>
      <c r="I288" s="87">
        <f>'DHS2025'!E285/1000</f>
        <v>8.0660000000000007</v>
      </c>
      <c r="J288" s="50">
        <f>Predikcia!R286</f>
        <v>200</v>
      </c>
      <c r="K288" s="48">
        <f t="shared" si="4"/>
        <v>1581.7426</v>
      </c>
      <c r="M288" s="11">
        <f>Predikcia!K286</f>
        <v>6</v>
      </c>
      <c r="N288" s="11">
        <v>8</v>
      </c>
    </row>
    <row r="289" spans="3:14" ht="15.75" thickBot="1">
      <c r="C289" s="105">
        <f>Predikcia!A287</f>
        <v>45700</v>
      </c>
      <c r="D289" s="44" t="str">
        <f>Predikcia!B287</f>
        <v>20:00:00</v>
      </c>
      <c r="E289" s="67">
        <f>Predikcia!G287</f>
        <v>18184</v>
      </c>
      <c r="F289" s="68">
        <f>'DHS2025'!C286</f>
        <v>17776</v>
      </c>
      <c r="G289" s="69">
        <f>'DHS2025'!D286</f>
        <v>6898</v>
      </c>
      <c r="H289" s="86">
        <v>8</v>
      </c>
      <c r="I289" s="87">
        <f>'DHS2025'!E286/1000</f>
        <v>8.0630000000000006</v>
      </c>
      <c r="J289" s="50">
        <f>Predikcia!R287</f>
        <v>271.45</v>
      </c>
      <c r="K289" s="48">
        <f t="shared" si="4"/>
        <v>2151.4946365000005</v>
      </c>
      <c r="M289" s="11">
        <f>Predikcia!K287</f>
        <v>6</v>
      </c>
      <c r="N289" s="11">
        <v>8</v>
      </c>
    </row>
    <row r="290" spans="3:14" ht="15.75" thickBot="1">
      <c r="C290" s="105">
        <f>Predikcia!A288</f>
        <v>45700</v>
      </c>
      <c r="D290" s="44" t="str">
        <f>Predikcia!B288</f>
        <v>21:00:00</v>
      </c>
      <c r="E290" s="67">
        <f>Predikcia!G288</f>
        <v>18656.25</v>
      </c>
      <c r="F290" s="68">
        <f>'DHS2025'!C287</f>
        <v>18897</v>
      </c>
      <c r="G290" s="69">
        <f>'DHS2025'!D287</f>
        <v>4516</v>
      </c>
      <c r="H290" s="86">
        <v>8</v>
      </c>
      <c r="I290" s="87">
        <f>'DHS2025'!E287/1000</f>
        <v>8.0419999999999998</v>
      </c>
      <c r="J290" s="50">
        <f>Predikcia!R288</f>
        <v>202.17</v>
      </c>
      <c r="K290" s="48">
        <f t="shared" si="4"/>
        <v>1594.3128285999996</v>
      </c>
      <c r="M290" s="11">
        <f>Predikcia!K288</f>
        <v>6</v>
      </c>
      <c r="N290" s="11">
        <v>6</v>
      </c>
    </row>
    <row r="291" spans="3:14" ht="15.75" thickBot="1">
      <c r="C291" s="105">
        <f>Predikcia!A289</f>
        <v>45700</v>
      </c>
      <c r="D291" s="44" t="str">
        <f>Predikcia!B289</f>
        <v>22:00:00</v>
      </c>
      <c r="E291" s="67">
        <f>Predikcia!G289</f>
        <v>15241.25</v>
      </c>
      <c r="F291" s="68">
        <f>'DHS2025'!C288</f>
        <v>16338</v>
      </c>
      <c r="G291" s="69">
        <f>'DHS2025'!D288</f>
        <v>8997</v>
      </c>
      <c r="H291" s="86">
        <v>8</v>
      </c>
      <c r="I291" s="87">
        <f>'DHS2025'!E288/1000</f>
        <v>8.0670000000000002</v>
      </c>
      <c r="J291" s="50">
        <f>Predikcia!R289</f>
        <v>196.54</v>
      </c>
      <c r="K291" s="48">
        <f t="shared" si="4"/>
        <v>1554.3059982</v>
      </c>
      <c r="M291" s="11">
        <f>Predikcia!K289</f>
        <v>5</v>
      </c>
      <c r="N291" s="11">
        <v>5</v>
      </c>
    </row>
    <row r="292" spans="3:14" ht="15.75" thickBot="1">
      <c r="C292" s="106">
        <f>Predikcia!A290</f>
        <v>45700</v>
      </c>
      <c r="D292" s="45" t="str">
        <f>Predikcia!B290</f>
        <v>23:00:00</v>
      </c>
      <c r="E292" s="70">
        <f>Predikcia!G290</f>
        <v>9526.25</v>
      </c>
      <c r="F292" s="71">
        <f>'DHS2025'!C289</f>
        <v>7432</v>
      </c>
      <c r="G292" s="72">
        <f>'DHS2025'!D289</f>
        <v>17289</v>
      </c>
      <c r="H292" s="88">
        <v>8</v>
      </c>
      <c r="I292" s="87">
        <f>'DHS2025'!E289/1000</f>
        <v>8.093</v>
      </c>
      <c r="J292" s="50">
        <f>Predikcia!R290</f>
        <v>179.61</v>
      </c>
      <c r="K292" s="48">
        <f t="shared" si="4"/>
        <v>1423.6711927000001</v>
      </c>
      <c r="M292" s="11">
        <f>Predikcia!K290</f>
        <v>4</v>
      </c>
      <c r="N292" s="11">
        <v>4</v>
      </c>
    </row>
    <row r="293" spans="3:14" ht="15.75" thickBot="1">
      <c r="C293" s="102">
        <f>Predikcia!A291</f>
        <v>45701</v>
      </c>
      <c r="D293" s="41" t="str">
        <f>Predikcia!B291</f>
        <v>00:00:00</v>
      </c>
      <c r="E293" s="64">
        <f>Predikcia!G291</f>
        <v>10961.25</v>
      </c>
      <c r="F293" s="65">
        <f>'DHS2025'!C290</f>
        <v>7147</v>
      </c>
      <c r="G293" s="66">
        <f>'DHS2025'!D290</f>
        <v>16472</v>
      </c>
      <c r="H293" s="84">
        <v>8</v>
      </c>
      <c r="I293" s="85">
        <f>'DHS2025'!E290/1000</f>
        <v>8.0570000000000004</v>
      </c>
      <c r="J293" s="50">
        <f>Predikcia!R291</f>
        <v>178.86</v>
      </c>
      <c r="K293" s="48">
        <f t="shared" si="4"/>
        <v>1411.3559698000001</v>
      </c>
      <c r="M293" s="11">
        <f>Predikcia!K291</f>
        <v>4</v>
      </c>
      <c r="N293" s="11">
        <v>4</v>
      </c>
    </row>
    <row r="294" spans="3:14" ht="15.75" thickBot="1">
      <c r="C294" s="103">
        <f>Predikcia!A292</f>
        <v>45701</v>
      </c>
      <c r="D294" s="42" t="str">
        <f>Predikcia!B292</f>
        <v>01:00:00</v>
      </c>
      <c r="E294" s="67">
        <f>Predikcia!G292</f>
        <v>11532.5</v>
      </c>
      <c r="F294" s="68">
        <f>'DHS2025'!C291</f>
        <v>8310</v>
      </c>
      <c r="G294" s="69">
        <f>'DHS2025'!D291</f>
        <v>15745</v>
      </c>
      <c r="H294" s="86">
        <v>8</v>
      </c>
      <c r="I294" s="87">
        <f>'DHS2025'!E291/1000</f>
        <v>8.0559999999999992</v>
      </c>
      <c r="J294" s="50">
        <f>Predikcia!R292</f>
        <v>157.82</v>
      </c>
      <c r="K294" s="48">
        <f t="shared" si="4"/>
        <v>1243.3775407999997</v>
      </c>
      <c r="M294" s="11">
        <f>Predikcia!K292</f>
        <v>4</v>
      </c>
      <c r="N294" s="11">
        <v>4</v>
      </c>
    </row>
    <row r="295" spans="3:14" ht="15.75" thickBot="1">
      <c r="C295" s="103">
        <f>Predikcia!A293</f>
        <v>45701</v>
      </c>
      <c r="D295" s="42" t="str">
        <f>Predikcia!B293</f>
        <v>02:00:00</v>
      </c>
      <c r="E295" s="67">
        <f>Predikcia!G293</f>
        <v>11901.75</v>
      </c>
      <c r="F295" s="68">
        <f>'DHS2025'!C292</f>
        <v>9613</v>
      </c>
      <c r="G295" s="69">
        <f>'DHS2025'!D292</f>
        <v>15587</v>
      </c>
      <c r="H295" s="86">
        <v>8</v>
      </c>
      <c r="I295" s="87">
        <f>'DHS2025'!E292/1000</f>
        <v>8.0609999999999999</v>
      </c>
      <c r="J295" s="50">
        <f>Predikcia!R293</f>
        <v>149.08000000000001</v>
      </c>
      <c r="K295" s="48">
        <f t="shared" si="4"/>
        <v>1174.4006411999999</v>
      </c>
      <c r="M295" s="11">
        <f>Predikcia!K293</f>
        <v>4</v>
      </c>
      <c r="N295" s="11">
        <v>4</v>
      </c>
    </row>
    <row r="296" spans="3:14" ht="15.75" thickBot="1">
      <c r="C296" s="103">
        <f>Predikcia!A294</f>
        <v>45701</v>
      </c>
      <c r="D296" s="42" t="str">
        <f>Predikcia!B294</f>
        <v>03:00:00</v>
      </c>
      <c r="E296" s="67">
        <f>Predikcia!G294</f>
        <v>12557.75</v>
      </c>
      <c r="F296" s="68">
        <f>'DHS2025'!C293</f>
        <v>10553</v>
      </c>
      <c r="G296" s="69">
        <f>'DHS2025'!D293</f>
        <v>13883</v>
      </c>
      <c r="H296" s="86">
        <v>8</v>
      </c>
      <c r="I296" s="87">
        <f>'DHS2025'!E293/1000</f>
        <v>8.0500000000000007</v>
      </c>
      <c r="J296" s="50">
        <f>Predikcia!R294</f>
        <v>143.37</v>
      </c>
      <c r="K296" s="48">
        <f t="shared" si="4"/>
        <v>1127.2922150000002</v>
      </c>
      <c r="M296" s="11">
        <f>Predikcia!K294</f>
        <v>5</v>
      </c>
      <c r="N296" s="11">
        <v>5</v>
      </c>
    </row>
    <row r="297" spans="3:14" ht="15.75" thickBot="1">
      <c r="C297" s="103">
        <f>Predikcia!A295</f>
        <v>45701</v>
      </c>
      <c r="D297" s="42" t="str">
        <f>Predikcia!B295</f>
        <v>04:00:00</v>
      </c>
      <c r="E297" s="67">
        <f>Predikcia!G295</f>
        <v>17630.5</v>
      </c>
      <c r="F297" s="68">
        <f>'DHS2025'!C294</f>
        <v>18189</v>
      </c>
      <c r="G297" s="69">
        <f>'DHS2025'!D294</f>
        <v>5732</v>
      </c>
      <c r="H297" s="86">
        <v>8</v>
      </c>
      <c r="I297" s="87">
        <f>'DHS2025'!E294/1000</f>
        <v>8.0630000000000006</v>
      </c>
      <c r="J297" s="50">
        <f>Predikcia!R295</f>
        <v>149.18</v>
      </c>
      <c r="K297" s="48">
        <f t="shared" si="4"/>
        <v>1175.4902566000001</v>
      </c>
      <c r="M297" s="11">
        <f>Predikcia!K295</f>
        <v>6</v>
      </c>
      <c r="N297" s="11">
        <v>6</v>
      </c>
    </row>
    <row r="298" spans="3:14" ht="15.75" thickBot="1">
      <c r="C298" s="103">
        <f>Predikcia!A296</f>
        <v>45701</v>
      </c>
      <c r="D298" s="42" t="str">
        <f>Predikcia!B296</f>
        <v>05:00:00</v>
      </c>
      <c r="E298" s="67">
        <f>Predikcia!G296</f>
        <v>18380.25</v>
      </c>
      <c r="F298" s="68">
        <f>'DHS2025'!C295</f>
        <v>19413</v>
      </c>
      <c r="G298" s="69">
        <f>'DHS2025'!D295</f>
        <v>5502</v>
      </c>
      <c r="H298" s="86">
        <v>8</v>
      </c>
      <c r="I298" s="87">
        <f>'DHS2025'!E295/1000</f>
        <v>8.0709999999999997</v>
      </c>
      <c r="J298" s="50">
        <f>Predikcia!R296</f>
        <v>185.26</v>
      </c>
      <c r="K298" s="48">
        <f t="shared" si="4"/>
        <v>1464.9462253999998</v>
      </c>
      <c r="M298" s="11">
        <f>Predikcia!K296</f>
        <v>6</v>
      </c>
      <c r="N298" s="11">
        <v>8</v>
      </c>
    </row>
    <row r="299" spans="3:14" ht="15.75" thickBot="1">
      <c r="C299" s="103">
        <f>Predikcia!A297</f>
        <v>45701</v>
      </c>
      <c r="D299" s="42" t="str">
        <f>Predikcia!B297</f>
        <v>06:00:00</v>
      </c>
      <c r="E299" s="67">
        <f>Predikcia!G297</f>
        <v>17941</v>
      </c>
      <c r="F299" s="68">
        <f>'DHS2025'!C296</f>
        <v>18280</v>
      </c>
      <c r="G299" s="69">
        <f>'DHS2025'!D296</f>
        <v>6554</v>
      </c>
      <c r="H299" s="86">
        <v>8</v>
      </c>
      <c r="I299" s="87">
        <f>'DHS2025'!E296/1000</f>
        <v>8.0709999999999997</v>
      </c>
      <c r="J299" s="50">
        <f>Predikcia!R297</f>
        <v>265</v>
      </c>
      <c r="K299" s="48">
        <f t="shared" si="4"/>
        <v>2102.0919500000005</v>
      </c>
      <c r="M299" s="11">
        <f>Predikcia!K297</f>
        <v>6</v>
      </c>
      <c r="N299" s="11">
        <v>8</v>
      </c>
    </row>
    <row r="300" spans="3:14" ht="15.75" thickBot="1">
      <c r="C300" s="103">
        <f>Predikcia!A298</f>
        <v>45701</v>
      </c>
      <c r="D300" s="42" t="str">
        <f>Predikcia!B298</f>
        <v>07:00:00</v>
      </c>
      <c r="E300" s="67">
        <f>Predikcia!G298</f>
        <v>17681.75</v>
      </c>
      <c r="F300" s="68">
        <f>'DHS2025'!C297</f>
        <v>17427</v>
      </c>
      <c r="G300" s="69">
        <f>'DHS2025'!D297</f>
        <v>6832</v>
      </c>
      <c r="H300" s="86">
        <v>8</v>
      </c>
      <c r="I300" s="87">
        <f>'DHS2025'!E297/1000</f>
        <v>8.0579999999999998</v>
      </c>
      <c r="J300" s="50">
        <f>Predikcia!R298</f>
        <v>324.08999999999997</v>
      </c>
      <c r="K300" s="48">
        <f t="shared" si="4"/>
        <v>2570.0918477999999</v>
      </c>
      <c r="M300" s="11">
        <f>Predikcia!K298</f>
        <v>6</v>
      </c>
      <c r="N300" s="11">
        <v>8</v>
      </c>
    </row>
    <row r="301" spans="3:14" ht="15.75" thickBot="1">
      <c r="C301" s="103">
        <f>Predikcia!A299</f>
        <v>45701</v>
      </c>
      <c r="D301" s="42" t="str">
        <f>Predikcia!B299</f>
        <v>08:00:00</v>
      </c>
      <c r="E301" s="67">
        <f>Predikcia!G299</f>
        <v>18167</v>
      </c>
      <c r="F301" s="68">
        <f>'DHS2025'!C298</f>
        <v>17542</v>
      </c>
      <c r="G301" s="69">
        <f>'DHS2025'!D298</f>
        <v>6337</v>
      </c>
      <c r="H301" s="86">
        <v>8</v>
      </c>
      <c r="I301" s="87">
        <f>'DHS2025'!E298/1000</f>
        <v>8.0790000000000006</v>
      </c>
      <c r="J301" s="50">
        <f>Predikcia!R299</f>
        <v>320.70999999999998</v>
      </c>
      <c r="K301" s="48">
        <f t="shared" si="4"/>
        <v>2549.7558291</v>
      </c>
      <c r="M301" s="11">
        <f>Predikcia!K299</f>
        <v>6</v>
      </c>
      <c r="N301" s="11">
        <v>8</v>
      </c>
    </row>
    <row r="302" spans="3:14" ht="15.75" thickBot="1">
      <c r="C302" s="103">
        <f>Predikcia!A300</f>
        <v>45701</v>
      </c>
      <c r="D302" s="42" t="str">
        <f>Predikcia!B300</f>
        <v>09:00:00</v>
      </c>
      <c r="E302" s="67">
        <f>Predikcia!G300</f>
        <v>17719.25</v>
      </c>
      <c r="F302" s="68">
        <f>'DHS2025'!C299</f>
        <v>17067</v>
      </c>
      <c r="G302" s="69">
        <f>'DHS2025'!D299</f>
        <v>7017</v>
      </c>
      <c r="H302" s="86">
        <v>8</v>
      </c>
      <c r="I302" s="87">
        <f>'DHS2025'!E299/1000</f>
        <v>8.0660000000000007</v>
      </c>
      <c r="J302" s="50">
        <f>Predikcia!R300</f>
        <v>287.70999999999998</v>
      </c>
      <c r="K302" s="48">
        <f t="shared" si="4"/>
        <v>2282.1367714000003</v>
      </c>
      <c r="M302" s="11">
        <f>Predikcia!K300</f>
        <v>6</v>
      </c>
      <c r="N302" s="11">
        <v>8</v>
      </c>
    </row>
    <row r="303" spans="3:14" ht="15.75" thickBot="1">
      <c r="C303" s="103">
        <f>Predikcia!A301</f>
        <v>45701</v>
      </c>
      <c r="D303" s="42" t="str">
        <f>Predikcia!B301</f>
        <v>10:00:00</v>
      </c>
      <c r="E303" s="67">
        <f>Predikcia!G301</f>
        <v>15730</v>
      </c>
      <c r="F303" s="68">
        <f>'DHS2025'!C300</f>
        <v>16160</v>
      </c>
      <c r="G303" s="69">
        <f>'DHS2025'!D300</f>
        <v>7544</v>
      </c>
      <c r="H303" s="86">
        <v>8</v>
      </c>
      <c r="I303" s="87">
        <f>'DHS2025'!E300/1000</f>
        <v>8.0459999999999994</v>
      </c>
      <c r="J303" s="50">
        <f>Predikcia!R301</f>
        <v>206.36</v>
      </c>
      <c r="K303" s="48">
        <f t="shared" si="4"/>
        <v>1628.4814343999999</v>
      </c>
      <c r="M303" s="11">
        <f>Predikcia!K301</f>
        <v>5</v>
      </c>
      <c r="N303" s="11">
        <v>8</v>
      </c>
    </row>
    <row r="304" spans="3:14" ht="15.75" thickBot="1">
      <c r="C304" s="103">
        <f>Predikcia!A302</f>
        <v>45701</v>
      </c>
      <c r="D304" s="42" t="str">
        <f>Predikcia!B302</f>
        <v>11:00:00</v>
      </c>
      <c r="E304" s="67">
        <f>Predikcia!G302</f>
        <v>15561.75</v>
      </c>
      <c r="F304" s="68">
        <f>'DHS2025'!C301</f>
        <v>14926</v>
      </c>
      <c r="G304" s="69">
        <f>'DHS2025'!D301</f>
        <v>9461</v>
      </c>
      <c r="H304" s="86">
        <v>8</v>
      </c>
      <c r="I304" s="87">
        <f>'DHS2025'!E301/1000</f>
        <v>8.0570000000000004</v>
      </c>
      <c r="J304" s="50">
        <f>Predikcia!R302</f>
        <v>186.44</v>
      </c>
      <c r="K304" s="48">
        <f t="shared" si="4"/>
        <v>1471.8173092000002</v>
      </c>
      <c r="M304" s="11">
        <f>Predikcia!K302</f>
        <v>5</v>
      </c>
      <c r="N304" s="11">
        <v>8</v>
      </c>
    </row>
    <row r="305" spans="3:14" ht="15.75" thickBot="1">
      <c r="C305" s="103">
        <f>Predikcia!A303</f>
        <v>45701</v>
      </c>
      <c r="D305" s="42" t="str">
        <f>Predikcia!B303</f>
        <v>12:00:00</v>
      </c>
      <c r="E305" s="67">
        <f>Predikcia!G303</f>
        <v>15733.75</v>
      </c>
      <c r="F305" s="68">
        <f>'DHS2025'!C302</f>
        <v>15197</v>
      </c>
      <c r="G305" s="69">
        <f>'DHS2025'!D302</f>
        <v>8705</v>
      </c>
      <c r="H305" s="86">
        <v>8</v>
      </c>
      <c r="I305" s="87">
        <f>'DHS2025'!E302/1000</f>
        <v>8.0519999999999996</v>
      </c>
      <c r="J305" s="50">
        <f>Predikcia!R303</f>
        <v>178.95</v>
      </c>
      <c r="K305" s="48">
        <f t="shared" si="4"/>
        <v>1411.1975459999999</v>
      </c>
      <c r="M305" s="11">
        <f>Predikcia!K303</f>
        <v>5</v>
      </c>
      <c r="N305" s="11">
        <v>8</v>
      </c>
    </row>
    <row r="306" spans="3:14" ht="15.75" thickBot="1">
      <c r="C306" s="103">
        <f>Predikcia!A304</f>
        <v>45701</v>
      </c>
      <c r="D306" s="42" t="str">
        <f>Predikcia!B304</f>
        <v>13:00:00</v>
      </c>
      <c r="E306" s="67">
        <f>Predikcia!G304</f>
        <v>15960.75</v>
      </c>
      <c r="F306" s="68">
        <f>'DHS2025'!C303</f>
        <v>15785</v>
      </c>
      <c r="G306" s="69">
        <f>'DHS2025'!D303</f>
        <v>8262</v>
      </c>
      <c r="H306" s="86">
        <v>8</v>
      </c>
      <c r="I306" s="87">
        <f>'DHS2025'!E303/1000</f>
        <v>8.0660000000000007</v>
      </c>
      <c r="J306" s="50">
        <f>Predikcia!R304</f>
        <v>192.22</v>
      </c>
      <c r="K306" s="48">
        <f t="shared" si="4"/>
        <v>1519.6166548000001</v>
      </c>
      <c r="M306" s="11">
        <f>Predikcia!K304</f>
        <v>5</v>
      </c>
      <c r="N306" s="11">
        <v>8</v>
      </c>
    </row>
    <row r="307" spans="3:14" ht="15.75" thickBot="1">
      <c r="C307" s="103">
        <f>Predikcia!A305</f>
        <v>45701</v>
      </c>
      <c r="D307" s="42" t="str">
        <f>Predikcia!B305</f>
        <v>14:00:00</v>
      </c>
      <c r="E307" s="67">
        <f>Predikcia!G305</f>
        <v>15366</v>
      </c>
      <c r="F307" s="68">
        <f>'DHS2025'!C304</f>
        <v>15954</v>
      </c>
      <c r="G307" s="69">
        <f>'DHS2025'!D304</f>
        <v>8368</v>
      </c>
      <c r="H307" s="86">
        <v>8</v>
      </c>
      <c r="I307" s="87">
        <f>'DHS2025'!E304/1000</f>
        <v>8.0709999999999997</v>
      </c>
      <c r="J307" s="50">
        <f>Predikcia!R305</f>
        <v>215.95</v>
      </c>
      <c r="K307" s="48">
        <f t="shared" si="4"/>
        <v>1710.1682254999998</v>
      </c>
      <c r="M307" s="11">
        <f>Predikcia!K305</f>
        <v>5</v>
      </c>
      <c r="N307" s="11">
        <v>8</v>
      </c>
    </row>
    <row r="308" spans="3:14" ht="15.75" thickBot="1">
      <c r="C308" s="103">
        <f>Predikcia!A306</f>
        <v>45701</v>
      </c>
      <c r="D308" s="42" t="str">
        <f>Predikcia!B306</f>
        <v>15:00:00</v>
      </c>
      <c r="E308" s="67">
        <f>Predikcia!G306</f>
        <v>14459</v>
      </c>
      <c r="F308" s="68">
        <f>'DHS2025'!C305</f>
        <v>15515</v>
      </c>
      <c r="G308" s="69">
        <f>'DHS2025'!D305</f>
        <v>8895</v>
      </c>
      <c r="H308" s="86">
        <v>8</v>
      </c>
      <c r="I308" s="87">
        <f>'DHS2025'!E305/1000</f>
        <v>8.0719999999999992</v>
      </c>
      <c r="J308" s="50">
        <f>Predikcia!R306</f>
        <v>229.26</v>
      </c>
      <c r="K308" s="48">
        <f t="shared" si="4"/>
        <v>1816.7440527999997</v>
      </c>
      <c r="M308" s="11">
        <f>Predikcia!K306</f>
        <v>5</v>
      </c>
      <c r="N308" s="11">
        <v>8</v>
      </c>
    </row>
    <row r="309" spans="3:14" ht="15.75" thickBot="1">
      <c r="C309" s="103">
        <f>Predikcia!A307</f>
        <v>45701</v>
      </c>
      <c r="D309" s="42" t="str">
        <f>Predikcia!B307</f>
        <v>16:00:00</v>
      </c>
      <c r="E309" s="67">
        <f>Predikcia!G307</f>
        <v>14936</v>
      </c>
      <c r="F309" s="68">
        <f>'DHS2025'!C306</f>
        <v>16591</v>
      </c>
      <c r="G309" s="69">
        <f>'DHS2025'!D306</f>
        <v>7707</v>
      </c>
      <c r="H309" s="86">
        <v>8</v>
      </c>
      <c r="I309" s="87">
        <f>'DHS2025'!E306/1000</f>
        <v>8.0489999999999995</v>
      </c>
      <c r="J309" s="50">
        <f>Predikcia!R307</f>
        <v>311.8</v>
      </c>
      <c r="K309" s="48">
        <f t="shared" si="4"/>
        <v>2469.2883180000003</v>
      </c>
      <c r="M309" s="11">
        <f>Predikcia!K307</f>
        <v>5</v>
      </c>
      <c r="N309" s="11">
        <v>8</v>
      </c>
    </row>
    <row r="310" spans="3:14" ht="15.75" thickBot="1">
      <c r="C310" s="103">
        <f>Predikcia!A308</f>
        <v>45701</v>
      </c>
      <c r="D310" s="42" t="str">
        <f>Predikcia!B308</f>
        <v>17:00:00</v>
      </c>
      <c r="E310" s="67">
        <f>Predikcia!G308</f>
        <v>15691.25</v>
      </c>
      <c r="F310" s="68">
        <f>'DHS2025'!C307</f>
        <v>16653</v>
      </c>
      <c r="G310" s="69">
        <f>'DHS2025'!D307</f>
        <v>7323</v>
      </c>
      <c r="H310" s="86">
        <v>8</v>
      </c>
      <c r="I310" s="87">
        <f>'DHS2025'!E307/1000</f>
        <v>8.0549999999999997</v>
      </c>
      <c r="J310" s="50">
        <f>Predikcia!R308</f>
        <v>200</v>
      </c>
      <c r="K310" s="48">
        <f t="shared" si="4"/>
        <v>1579.5854999999999</v>
      </c>
      <c r="M310" s="11">
        <f>Predikcia!K308</f>
        <v>5</v>
      </c>
      <c r="N310" s="11">
        <v>8</v>
      </c>
    </row>
    <row r="311" spans="3:14" ht="15.75" thickBot="1">
      <c r="C311" s="103">
        <f>Predikcia!A309</f>
        <v>45701</v>
      </c>
      <c r="D311" s="42" t="str">
        <f>Predikcia!B309</f>
        <v>18:00:00</v>
      </c>
      <c r="E311" s="67">
        <f>Predikcia!G309</f>
        <v>16674.25</v>
      </c>
      <c r="F311" s="68">
        <f>'DHS2025'!C308</f>
        <v>17354</v>
      </c>
      <c r="G311" s="69">
        <f>'DHS2025'!D308</f>
        <v>7433</v>
      </c>
      <c r="H311" s="86">
        <v>8</v>
      </c>
      <c r="I311" s="87">
        <f>'DHS2025'!E308/1000</f>
        <v>8.0630000000000006</v>
      </c>
      <c r="J311" s="50">
        <f>Predikcia!R309</f>
        <v>209.59</v>
      </c>
      <c r="K311" s="48">
        <f t="shared" si="4"/>
        <v>1657.7052283</v>
      </c>
      <c r="M311" s="11">
        <f>Predikcia!K309</f>
        <v>6</v>
      </c>
      <c r="N311" s="11">
        <v>8</v>
      </c>
    </row>
    <row r="312" spans="3:14" ht="15.75" thickBot="1">
      <c r="C312" s="103">
        <f>Predikcia!A310</f>
        <v>45701</v>
      </c>
      <c r="D312" s="42" t="str">
        <f>Predikcia!B310</f>
        <v>19:00:00</v>
      </c>
      <c r="E312" s="67">
        <f>Predikcia!G310</f>
        <v>16761.25</v>
      </c>
      <c r="F312" s="68">
        <f>'DHS2025'!C309</f>
        <v>17035</v>
      </c>
      <c r="G312" s="69">
        <f>'DHS2025'!D309</f>
        <v>7372</v>
      </c>
      <c r="H312" s="86">
        <v>8</v>
      </c>
      <c r="I312" s="87">
        <f>'DHS2025'!E309/1000</f>
        <v>8.0440000000000005</v>
      </c>
      <c r="J312" s="50">
        <f>Predikcia!R310</f>
        <v>196.52</v>
      </c>
      <c r="K312" s="48">
        <f t="shared" si="4"/>
        <v>1549.7152112000001</v>
      </c>
      <c r="M312" s="11">
        <f>Predikcia!K310</f>
        <v>6</v>
      </c>
      <c r="N312" s="11">
        <v>8</v>
      </c>
    </row>
    <row r="313" spans="3:14" ht="15.75" thickBot="1">
      <c r="C313" s="103">
        <f>Predikcia!A311</f>
        <v>45701</v>
      </c>
      <c r="D313" s="42" t="str">
        <f>Predikcia!B311</f>
        <v>20:00:00</v>
      </c>
      <c r="E313" s="67">
        <f>Predikcia!G311</f>
        <v>17480</v>
      </c>
      <c r="F313" s="68">
        <f>'DHS2025'!C310</f>
        <v>17674</v>
      </c>
      <c r="G313" s="69">
        <f>'DHS2025'!D310</f>
        <v>6901</v>
      </c>
      <c r="H313" s="86">
        <v>8</v>
      </c>
      <c r="I313" s="87">
        <f>'DHS2025'!E310/1000</f>
        <v>8.0540000000000003</v>
      </c>
      <c r="J313" s="50">
        <f>Predikcia!R311</f>
        <v>180.09</v>
      </c>
      <c r="K313" s="48">
        <f t="shared" si="4"/>
        <v>1420.6378113999999</v>
      </c>
      <c r="M313" s="11">
        <f>Predikcia!K311</f>
        <v>6</v>
      </c>
      <c r="N313" s="11">
        <v>8</v>
      </c>
    </row>
    <row r="314" spans="3:14" ht="15.75" thickBot="1">
      <c r="C314" s="103">
        <f>Predikcia!A312</f>
        <v>45701</v>
      </c>
      <c r="D314" s="42" t="str">
        <f>Predikcia!B312</f>
        <v>21:00:00</v>
      </c>
      <c r="E314" s="67">
        <f>Predikcia!G312</f>
        <v>16433.75</v>
      </c>
      <c r="F314" s="68">
        <f>'DHS2025'!C311</f>
        <v>18168</v>
      </c>
      <c r="G314" s="69">
        <f>'DHS2025'!D311</f>
        <v>6409</v>
      </c>
      <c r="H314" s="86">
        <v>8</v>
      </c>
      <c r="I314" s="87">
        <f>'DHS2025'!E311/1000</f>
        <v>8.0370000000000008</v>
      </c>
      <c r="J314" s="50">
        <f>Predikcia!R312</f>
        <v>162.91999999999999</v>
      </c>
      <c r="K314" s="48">
        <f t="shared" si="4"/>
        <v>1281.0238595999999</v>
      </c>
      <c r="M314" s="11">
        <f>Predikcia!K312</f>
        <v>6</v>
      </c>
      <c r="N314" s="11">
        <v>8</v>
      </c>
    </row>
    <row r="315" spans="3:14" ht="15.75" thickBot="1">
      <c r="C315" s="103">
        <f>Predikcia!A313</f>
        <v>45701</v>
      </c>
      <c r="D315" s="42" t="str">
        <f>Predikcia!B313</f>
        <v>22:00:00</v>
      </c>
      <c r="E315" s="67">
        <f>Predikcia!G313</f>
        <v>14196.25</v>
      </c>
      <c r="F315" s="68">
        <f>'DHS2025'!C312</f>
        <v>14461</v>
      </c>
      <c r="G315" s="69">
        <f>'DHS2025'!D312</f>
        <v>10088</v>
      </c>
      <c r="H315" s="86">
        <v>8</v>
      </c>
      <c r="I315" s="87">
        <f>'DHS2025'!E312/1000</f>
        <v>8.0909999999999993</v>
      </c>
      <c r="J315" s="50">
        <f>Predikcia!R313</f>
        <v>153.12</v>
      </c>
      <c r="K315" s="48">
        <f t="shared" si="4"/>
        <v>1211.1320807999998</v>
      </c>
      <c r="M315" s="11">
        <f>Predikcia!K313</f>
        <v>5</v>
      </c>
      <c r="N315" s="11">
        <v>5</v>
      </c>
    </row>
    <row r="316" spans="3:14" ht="15.75" thickBot="1">
      <c r="C316" s="107">
        <f>Predikcia!A314</f>
        <v>45701</v>
      </c>
      <c r="D316" s="46" t="str">
        <f>Predikcia!B314</f>
        <v>23:00:00</v>
      </c>
      <c r="E316" s="70">
        <f>Predikcia!G314</f>
        <v>10026.5</v>
      </c>
      <c r="F316" s="71">
        <f>'DHS2025'!C313</f>
        <v>8164</v>
      </c>
      <c r="G316" s="72">
        <f>'DHS2025'!D313</f>
        <v>16272</v>
      </c>
      <c r="H316" s="88">
        <v>8</v>
      </c>
      <c r="I316" s="87">
        <f>'DHS2025'!E313/1000</f>
        <v>8.06</v>
      </c>
      <c r="J316" s="50">
        <f>Predikcia!R314</f>
        <v>139.26</v>
      </c>
      <c r="K316" s="48">
        <f t="shared" si="4"/>
        <v>1095.897244</v>
      </c>
      <c r="M316" s="11">
        <f>Predikcia!K314</f>
        <v>4</v>
      </c>
      <c r="N316" s="11">
        <v>4</v>
      </c>
    </row>
    <row r="317" spans="3:14" ht="15.75" thickBot="1">
      <c r="C317" s="104">
        <f>Predikcia!A315</f>
        <v>45702</v>
      </c>
      <c r="D317" s="43" t="str">
        <f>Predikcia!B315</f>
        <v>00:00:00</v>
      </c>
      <c r="E317" s="64">
        <f>Predikcia!G315</f>
        <v>8926.25</v>
      </c>
      <c r="F317" s="65">
        <f>'DHS2025'!C314</f>
        <v>7983</v>
      </c>
      <c r="G317" s="66">
        <f>'DHS2025'!D314</f>
        <v>16265</v>
      </c>
      <c r="H317" s="84">
        <v>8</v>
      </c>
      <c r="I317" s="85">
        <f>'DHS2025'!E314/1000</f>
        <v>8.0540000000000003</v>
      </c>
      <c r="J317" s="50">
        <f>Predikcia!R315</f>
        <v>139.83000000000001</v>
      </c>
      <c r="K317" s="48">
        <f t="shared" si="4"/>
        <v>1099.6263117999999</v>
      </c>
      <c r="M317" s="11">
        <f>Predikcia!K315</f>
        <v>4</v>
      </c>
      <c r="N317" s="11">
        <v>8</v>
      </c>
    </row>
    <row r="318" spans="3:14" ht="15.75" thickBot="1">
      <c r="C318" s="105">
        <f>Predikcia!A316</f>
        <v>45702</v>
      </c>
      <c r="D318" s="44" t="str">
        <f>Predikcia!B316</f>
        <v>01:00:00</v>
      </c>
      <c r="E318" s="67">
        <f>Predikcia!G316</f>
        <v>9350</v>
      </c>
      <c r="F318" s="68">
        <f>'DHS2025'!C315</f>
        <v>9281</v>
      </c>
      <c r="G318" s="69">
        <f>'DHS2025'!D315</f>
        <v>15136</v>
      </c>
      <c r="H318" s="86">
        <v>8</v>
      </c>
      <c r="I318" s="87">
        <f>'DHS2025'!E315/1000</f>
        <v>8.0609999999999999</v>
      </c>
      <c r="J318" s="50">
        <f>Predikcia!R316</f>
        <v>136.13</v>
      </c>
      <c r="K318" s="48">
        <f t="shared" si="4"/>
        <v>1071.0545906999998</v>
      </c>
      <c r="M318" s="11">
        <f>Predikcia!K316</f>
        <v>4</v>
      </c>
      <c r="N318" s="11">
        <v>8</v>
      </c>
    </row>
    <row r="319" spans="3:14" ht="15.75" thickBot="1">
      <c r="C319" s="105">
        <f>Predikcia!A317</f>
        <v>45702</v>
      </c>
      <c r="D319" s="44" t="str">
        <f>Predikcia!B317</f>
        <v>02:00:00</v>
      </c>
      <c r="E319" s="67">
        <f>Predikcia!G317</f>
        <v>9671</v>
      </c>
      <c r="F319" s="68">
        <f>'DHS2025'!C316</f>
        <v>9870</v>
      </c>
      <c r="G319" s="69">
        <f>'DHS2025'!D316</f>
        <v>14268</v>
      </c>
      <c r="H319" s="86">
        <v>8</v>
      </c>
      <c r="I319" s="87">
        <f>'DHS2025'!E316/1000</f>
        <v>8.0630000000000006</v>
      </c>
      <c r="J319" s="50">
        <f>Predikcia!R317</f>
        <v>131.13</v>
      </c>
      <c r="K319" s="48">
        <f t="shared" si="4"/>
        <v>1031.4084781000001</v>
      </c>
      <c r="M319" s="11">
        <f>Predikcia!K317</f>
        <v>4</v>
      </c>
      <c r="N319" s="11">
        <v>8</v>
      </c>
    </row>
    <row r="320" spans="3:14" ht="15.75" thickBot="1">
      <c r="C320" s="105">
        <f>Predikcia!A318</f>
        <v>45702</v>
      </c>
      <c r="D320" s="44" t="str">
        <f>Predikcia!B318</f>
        <v>03:00:00</v>
      </c>
      <c r="E320" s="67">
        <f>Predikcia!G318</f>
        <v>10474.25</v>
      </c>
      <c r="F320" s="68">
        <f>'DHS2025'!C317</f>
        <v>10541</v>
      </c>
      <c r="G320" s="69">
        <f>'DHS2025'!D317</f>
        <v>14277</v>
      </c>
      <c r="H320" s="86">
        <v>8</v>
      </c>
      <c r="I320" s="87">
        <f>'DHS2025'!E317/1000</f>
        <v>8.0519999999999996</v>
      </c>
      <c r="J320" s="50">
        <f>Predikcia!R318</f>
        <v>130.99</v>
      </c>
      <c r="K320" s="48">
        <f t="shared" si="4"/>
        <v>1028.8853652</v>
      </c>
      <c r="M320" s="11">
        <f>Predikcia!K318</f>
        <v>4</v>
      </c>
      <c r="N320" s="11">
        <v>8</v>
      </c>
    </row>
    <row r="321" spans="3:14" ht="15.75" thickBot="1">
      <c r="C321" s="105">
        <f>Predikcia!A319</f>
        <v>45702</v>
      </c>
      <c r="D321" s="44" t="str">
        <f>Predikcia!B319</f>
        <v>04:00:00</v>
      </c>
      <c r="E321" s="67">
        <f>Predikcia!G319</f>
        <v>17130.5</v>
      </c>
      <c r="F321" s="68">
        <f>'DHS2025'!C318</f>
        <v>18793</v>
      </c>
      <c r="G321" s="69">
        <f>'DHS2025'!D318</f>
        <v>5525</v>
      </c>
      <c r="H321" s="86">
        <v>8</v>
      </c>
      <c r="I321" s="87">
        <f>'DHS2025'!E318/1000</f>
        <v>8.0429999999999993</v>
      </c>
      <c r="J321" s="50">
        <f>Predikcia!R319</f>
        <v>130.91999999999999</v>
      </c>
      <c r="K321" s="48">
        <f t="shared" si="4"/>
        <v>1027.1779643999998</v>
      </c>
      <c r="M321" s="11">
        <f>Predikcia!K319</f>
        <v>6</v>
      </c>
      <c r="N321" s="11">
        <v>8</v>
      </c>
    </row>
    <row r="322" spans="3:14" ht="15.75" thickBot="1">
      <c r="C322" s="105">
        <f>Predikcia!A320</f>
        <v>45702</v>
      </c>
      <c r="D322" s="44" t="str">
        <f>Predikcia!B320</f>
        <v>05:00:00</v>
      </c>
      <c r="E322" s="67">
        <f>Predikcia!G320</f>
        <v>18975.5</v>
      </c>
      <c r="F322" s="68">
        <f>'DHS2025'!C319</f>
        <v>19452</v>
      </c>
      <c r="G322" s="69">
        <f>'DHS2025'!D319</f>
        <v>5982</v>
      </c>
      <c r="H322" s="86">
        <v>8</v>
      </c>
      <c r="I322" s="87">
        <f>'DHS2025'!E319/1000</f>
        <v>8.0519999999999996</v>
      </c>
      <c r="J322" s="50">
        <f>Predikcia!R320</f>
        <v>140.4</v>
      </c>
      <c r="K322" s="48">
        <f t="shared" si="4"/>
        <v>1103.896992</v>
      </c>
      <c r="M322" s="11">
        <f>Predikcia!K320</f>
        <v>6</v>
      </c>
      <c r="N322" s="11">
        <v>8</v>
      </c>
    </row>
    <row r="323" spans="3:14" ht="15.75" thickBot="1">
      <c r="C323" s="105">
        <f>Predikcia!A321</f>
        <v>45702</v>
      </c>
      <c r="D323" s="44" t="str">
        <f>Predikcia!B321</f>
        <v>06:00:00</v>
      </c>
      <c r="E323" s="67">
        <f>Predikcia!G321</f>
        <v>18914.5</v>
      </c>
      <c r="F323" s="68">
        <f>'DHS2025'!C320</f>
        <v>18457</v>
      </c>
      <c r="G323" s="69">
        <f>'DHS2025'!D320</f>
        <v>6107</v>
      </c>
      <c r="H323" s="86">
        <v>8</v>
      </c>
      <c r="I323" s="87">
        <f>'DHS2025'!E320/1000</f>
        <v>8.0530000000000008</v>
      </c>
      <c r="J323" s="50">
        <f>Predikcia!R321</f>
        <v>163.78</v>
      </c>
      <c r="K323" s="48">
        <f t="shared" si="4"/>
        <v>1290.4304366000001</v>
      </c>
      <c r="M323" s="11">
        <f>Predikcia!K321</f>
        <v>6</v>
      </c>
      <c r="N323" s="11">
        <v>8</v>
      </c>
    </row>
    <row r="324" spans="3:14" ht="15.75" thickBot="1">
      <c r="C324" s="105">
        <f>Predikcia!A322</f>
        <v>45702</v>
      </c>
      <c r="D324" s="44" t="str">
        <f>Predikcia!B322</f>
        <v>07:00:00</v>
      </c>
      <c r="E324" s="67">
        <f>Predikcia!G322</f>
        <v>16452.25</v>
      </c>
      <c r="F324" s="68">
        <f>'DHS2025'!C321</f>
        <v>17472</v>
      </c>
      <c r="G324" s="69">
        <f>'DHS2025'!D321</f>
        <v>7620</v>
      </c>
      <c r="H324" s="86">
        <v>8</v>
      </c>
      <c r="I324" s="87">
        <f>'DHS2025'!E321/1000</f>
        <v>8.0679999999999996</v>
      </c>
      <c r="J324" s="50">
        <f>Predikcia!R322</f>
        <v>224.86</v>
      </c>
      <c r="K324" s="48">
        <f t="shared" si="4"/>
        <v>1780.6995751999998</v>
      </c>
      <c r="M324" s="11">
        <f>Predikcia!K322</f>
        <v>6</v>
      </c>
      <c r="N324" s="11">
        <v>8</v>
      </c>
    </row>
    <row r="325" spans="3:14" ht="15.75" thickBot="1">
      <c r="C325" s="105">
        <f>Predikcia!A323</f>
        <v>45702</v>
      </c>
      <c r="D325" s="44" t="str">
        <f>Predikcia!B323</f>
        <v>08:00:00</v>
      </c>
      <c r="E325" s="67">
        <f>Predikcia!G323</f>
        <v>16367</v>
      </c>
      <c r="F325" s="68">
        <f>'DHS2025'!C322</f>
        <v>17010</v>
      </c>
      <c r="G325" s="69">
        <f>'DHS2025'!D322</f>
        <v>6687</v>
      </c>
      <c r="H325" s="86">
        <v>8</v>
      </c>
      <c r="I325" s="87">
        <f>'DHS2025'!E322/1000</f>
        <v>8.0510000000000002</v>
      </c>
      <c r="J325" s="50">
        <f>Predikcia!R323</f>
        <v>261.75</v>
      </c>
      <c r="K325" s="48">
        <f t="shared" si="4"/>
        <v>2070.9788575000002</v>
      </c>
      <c r="M325" s="11">
        <f>Predikcia!K323</f>
        <v>6</v>
      </c>
      <c r="N325" s="11">
        <v>8</v>
      </c>
    </row>
    <row r="326" spans="3:14" ht="15.75" thickBot="1">
      <c r="C326" s="105">
        <f>Predikcia!A324</f>
        <v>45702</v>
      </c>
      <c r="D326" s="44" t="str">
        <f>Predikcia!B324</f>
        <v>09:00:00</v>
      </c>
      <c r="E326" s="67">
        <f>Predikcia!G324</f>
        <v>16764.5</v>
      </c>
      <c r="F326" s="68">
        <f>'DHS2025'!C323</f>
        <v>17064</v>
      </c>
      <c r="G326" s="69">
        <f>'DHS2025'!D323</f>
        <v>7222</v>
      </c>
      <c r="H326" s="86">
        <v>8</v>
      </c>
      <c r="I326" s="87">
        <f>'DHS2025'!E323/1000</f>
        <v>8.0660000000000007</v>
      </c>
      <c r="J326" s="50">
        <f>Predikcia!R324</f>
        <v>214.52</v>
      </c>
      <c r="K326" s="48">
        <f t="shared" ref="K326:K389" si="5">(J326*0.99-1.9)*I326</f>
        <v>1697.6897368000002</v>
      </c>
      <c r="M326" s="11">
        <f>Predikcia!K324</f>
        <v>6</v>
      </c>
      <c r="N326" s="11">
        <v>8</v>
      </c>
    </row>
    <row r="327" spans="3:14" ht="15.75" thickBot="1">
      <c r="C327" s="105">
        <f>Predikcia!A325</f>
        <v>45702</v>
      </c>
      <c r="D327" s="44" t="str">
        <f>Predikcia!B325</f>
        <v>10:00:00</v>
      </c>
      <c r="E327" s="67">
        <f>Predikcia!G325</f>
        <v>16592</v>
      </c>
      <c r="F327" s="68">
        <f>'DHS2025'!C324</f>
        <v>16200</v>
      </c>
      <c r="G327" s="69">
        <f>'DHS2025'!D324</f>
        <v>8582</v>
      </c>
      <c r="H327" s="86">
        <v>8</v>
      </c>
      <c r="I327" s="87">
        <f>'DHS2025'!E324/1000</f>
        <v>8.0660000000000007</v>
      </c>
      <c r="J327" s="50">
        <f>Predikcia!R325</f>
        <v>180.14</v>
      </c>
      <c r="K327" s="48">
        <f t="shared" si="5"/>
        <v>1423.1537475999999</v>
      </c>
      <c r="M327" s="11">
        <f>Predikcia!K325</f>
        <v>6</v>
      </c>
      <c r="N327" s="11">
        <v>8</v>
      </c>
    </row>
    <row r="328" spans="3:14" ht="15.75" thickBot="1">
      <c r="C328" s="105">
        <f>Predikcia!A326</f>
        <v>45702</v>
      </c>
      <c r="D328" s="44" t="str">
        <f>Predikcia!B326</f>
        <v>11:00:00</v>
      </c>
      <c r="E328" s="67">
        <f>Predikcia!G326</f>
        <v>15457.5</v>
      </c>
      <c r="F328" s="68">
        <f>'DHS2025'!C325</f>
        <v>14758</v>
      </c>
      <c r="G328" s="69">
        <f>'DHS2025'!D325</f>
        <v>9973</v>
      </c>
      <c r="H328" s="86">
        <v>8</v>
      </c>
      <c r="I328" s="87">
        <f>'DHS2025'!E325/1000</f>
        <v>8.0790000000000006</v>
      </c>
      <c r="J328" s="50">
        <f>Predikcia!R326</f>
        <v>164.05</v>
      </c>
      <c r="K328" s="48">
        <f t="shared" si="5"/>
        <v>1296.7562505000001</v>
      </c>
      <c r="M328" s="11">
        <f>Predikcia!K326</f>
        <v>5</v>
      </c>
      <c r="N328" s="11">
        <v>8</v>
      </c>
    </row>
    <row r="329" spans="3:14" ht="15.75" thickBot="1">
      <c r="C329" s="105">
        <f>Predikcia!A327</f>
        <v>45702</v>
      </c>
      <c r="D329" s="44" t="str">
        <f>Predikcia!B327</f>
        <v>12:00:00</v>
      </c>
      <c r="E329" s="67">
        <f>Predikcia!G327</f>
        <v>15175.25</v>
      </c>
      <c r="F329" s="68">
        <f>'DHS2025'!C326</f>
        <v>15654</v>
      </c>
      <c r="G329" s="69">
        <f>'DHS2025'!D326</f>
        <v>8180</v>
      </c>
      <c r="H329" s="86">
        <v>8</v>
      </c>
      <c r="I329" s="87">
        <f>'DHS2025'!E326/1000</f>
        <v>8.0709999999999997</v>
      </c>
      <c r="J329" s="50">
        <f>Predikcia!R327</f>
        <v>150.13999999999999</v>
      </c>
      <c r="K329" s="48">
        <f t="shared" si="5"/>
        <v>1184.3272405999999</v>
      </c>
      <c r="M329" s="11">
        <f>Predikcia!K327</f>
        <v>5</v>
      </c>
      <c r="N329" s="11">
        <v>8</v>
      </c>
    </row>
    <row r="330" spans="3:14" ht="15.75" thickBot="1">
      <c r="C330" s="105">
        <f>Predikcia!A328</f>
        <v>45702</v>
      </c>
      <c r="D330" s="44" t="str">
        <f>Predikcia!B328</f>
        <v>13:00:00</v>
      </c>
      <c r="E330" s="67">
        <f>Predikcia!G328</f>
        <v>14696</v>
      </c>
      <c r="F330" s="68">
        <f>'DHS2025'!C327</f>
        <v>16399</v>
      </c>
      <c r="G330" s="69">
        <f>'DHS2025'!D327</f>
        <v>7744</v>
      </c>
      <c r="H330" s="86">
        <v>8</v>
      </c>
      <c r="I330" s="87">
        <f>'DHS2025'!E327/1000</f>
        <v>8.0500000000000007</v>
      </c>
      <c r="J330" s="50">
        <f>Predikcia!R328</f>
        <v>149.76</v>
      </c>
      <c r="K330" s="48">
        <f t="shared" si="5"/>
        <v>1178.21732</v>
      </c>
      <c r="M330" s="11">
        <f>Predikcia!K328</f>
        <v>5</v>
      </c>
      <c r="N330" s="11">
        <v>8</v>
      </c>
    </row>
    <row r="331" spans="3:14" ht="15.75" thickBot="1">
      <c r="C331" s="105">
        <f>Predikcia!A329</f>
        <v>45702</v>
      </c>
      <c r="D331" s="44" t="str">
        <f>Predikcia!B329</f>
        <v>14:00:00</v>
      </c>
      <c r="E331" s="67">
        <f>Predikcia!G329</f>
        <v>14609</v>
      </c>
      <c r="F331" s="68">
        <f>'DHS2025'!C328</f>
        <v>16196</v>
      </c>
      <c r="G331" s="69">
        <f>'DHS2025'!D328</f>
        <v>7591</v>
      </c>
      <c r="H331" s="86">
        <v>8</v>
      </c>
      <c r="I331" s="87">
        <f>'DHS2025'!E328/1000</f>
        <v>0</v>
      </c>
      <c r="J331" s="50">
        <f>Predikcia!R329</f>
        <v>157.6</v>
      </c>
      <c r="K331" s="48">
        <f t="shared" si="5"/>
        <v>0</v>
      </c>
      <c r="M331" s="11">
        <f>Predikcia!K329</f>
        <v>5</v>
      </c>
      <c r="N331" s="11">
        <v>8</v>
      </c>
    </row>
    <row r="332" spans="3:14" ht="15.75" thickBot="1">
      <c r="C332" s="105">
        <f>Predikcia!A330</f>
        <v>45702</v>
      </c>
      <c r="D332" s="44" t="str">
        <f>Predikcia!B330</f>
        <v>15:00:00</v>
      </c>
      <c r="E332" s="67">
        <f>Predikcia!G330</f>
        <v>14050</v>
      </c>
      <c r="F332" s="68">
        <f>'DHS2025'!C329</f>
        <v>16489</v>
      </c>
      <c r="G332" s="69">
        <f>'DHS2025'!D329</f>
        <v>5568</v>
      </c>
      <c r="H332" s="86">
        <v>8</v>
      </c>
      <c r="I332" s="87">
        <f>'DHS2025'!E329/1000</f>
        <v>7.6020000000000003</v>
      </c>
      <c r="J332" s="50">
        <f>Predikcia!R330</f>
        <v>178.51</v>
      </c>
      <c r="K332" s="48">
        <f t="shared" si="5"/>
        <v>1329.0188897999999</v>
      </c>
      <c r="M332" s="11">
        <f>Predikcia!K330</f>
        <v>5</v>
      </c>
      <c r="N332" s="11">
        <v>8</v>
      </c>
    </row>
    <row r="333" spans="3:14" ht="15.75" thickBot="1">
      <c r="C333" s="105">
        <f>Predikcia!A331</f>
        <v>45702</v>
      </c>
      <c r="D333" s="44" t="str">
        <f>Predikcia!B331</f>
        <v>16:00:00</v>
      </c>
      <c r="E333" s="67">
        <f>Predikcia!G331</f>
        <v>14315.25</v>
      </c>
      <c r="F333" s="68">
        <f>'DHS2025'!C330</f>
        <v>17549</v>
      </c>
      <c r="G333" s="69">
        <f>'DHS2025'!D330</f>
        <v>6776</v>
      </c>
      <c r="H333" s="86">
        <v>8</v>
      </c>
      <c r="I333" s="87">
        <f>'DHS2025'!E330/1000</f>
        <v>8.0640000000000001</v>
      </c>
      <c r="J333" s="50">
        <f>Predikcia!R331</f>
        <v>203.45</v>
      </c>
      <c r="K333" s="48">
        <f t="shared" si="5"/>
        <v>1608.8929919999998</v>
      </c>
      <c r="M333" s="11">
        <f>Predikcia!K331</f>
        <v>5</v>
      </c>
      <c r="N333" s="11">
        <v>8</v>
      </c>
    </row>
    <row r="334" spans="3:14" ht="15.75" thickBot="1">
      <c r="C334" s="105">
        <f>Predikcia!A332</f>
        <v>45702</v>
      </c>
      <c r="D334" s="44" t="str">
        <f>Predikcia!B332</f>
        <v>17:00:00</v>
      </c>
      <c r="E334" s="67">
        <f>Predikcia!G332</f>
        <v>15716.25</v>
      </c>
      <c r="F334" s="68">
        <f>'DHS2025'!C331</f>
        <v>16554</v>
      </c>
      <c r="G334" s="69">
        <f>'DHS2025'!D331</f>
        <v>7139</v>
      </c>
      <c r="H334" s="86">
        <v>8</v>
      </c>
      <c r="I334" s="87">
        <f>'DHS2025'!E331/1000</f>
        <v>8.0519999999999996</v>
      </c>
      <c r="J334" s="50">
        <f>Predikcia!R332</f>
        <v>294.72000000000003</v>
      </c>
      <c r="K334" s="48">
        <f t="shared" si="5"/>
        <v>2334.0557856</v>
      </c>
      <c r="M334" s="11">
        <f>Predikcia!K332</f>
        <v>5</v>
      </c>
      <c r="N334" s="11">
        <v>8</v>
      </c>
    </row>
    <row r="335" spans="3:14" ht="15.75" thickBot="1">
      <c r="C335" s="105">
        <f>Predikcia!A333</f>
        <v>45702</v>
      </c>
      <c r="D335" s="44" t="str">
        <f>Predikcia!B333</f>
        <v>18:00:00</v>
      </c>
      <c r="E335" s="67">
        <f>Predikcia!G333</f>
        <v>16906.25</v>
      </c>
      <c r="F335" s="68">
        <f>'DHS2025'!C332</f>
        <v>16953</v>
      </c>
      <c r="G335" s="69">
        <f>'DHS2025'!D332</f>
        <v>7475</v>
      </c>
      <c r="H335" s="86">
        <v>8</v>
      </c>
      <c r="I335" s="87">
        <f>'DHS2025'!E332/1000</f>
        <v>8.0530000000000008</v>
      </c>
      <c r="J335" s="50">
        <f>Predikcia!R333</f>
        <v>288.52999999999997</v>
      </c>
      <c r="K335" s="48">
        <f t="shared" si="5"/>
        <v>2284.9960691000001</v>
      </c>
      <c r="M335" s="11">
        <f>Predikcia!K333</f>
        <v>6</v>
      </c>
      <c r="N335" s="11">
        <v>8</v>
      </c>
    </row>
    <row r="336" spans="3:14" ht="15.75" thickBot="1">
      <c r="C336" s="105">
        <f>Predikcia!A334</f>
        <v>45702</v>
      </c>
      <c r="D336" s="44" t="str">
        <f>Predikcia!B334</f>
        <v>19:00:00</v>
      </c>
      <c r="E336" s="67">
        <f>Predikcia!G334</f>
        <v>16788</v>
      </c>
      <c r="F336" s="68">
        <f>'DHS2025'!C333</f>
        <v>17177</v>
      </c>
      <c r="G336" s="69">
        <f>'DHS2025'!D333</f>
        <v>7308</v>
      </c>
      <c r="H336" s="86">
        <v>8</v>
      </c>
      <c r="I336" s="87">
        <f>'DHS2025'!E333/1000</f>
        <v>8.0760000000000005</v>
      </c>
      <c r="J336" s="50">
        <f>Predikcia!R334</f>
        <v>225.84</v>
      </c>
      <c r="K336" s="48">
        <f t="shared" si="5"/>
        <v>1790.3006016000002</v>
      </c>
      <c r="M336" s="11">
        <f>Predikcia!K334</f>
        <v>6</v>
      </c>
      <c r="N336" s="11">
        <v>8</v>
      </c>
    </row>
    <row r="337" spans="3:14" ht="15.75" thickBot="1">
      <c r="C337" s="105">
        <f>Predikcia!A335</f>
        <v>45702</v>
      </c>
      <c r="D337" s="44" t="str">
        <f>Predikcia!B335</f>
        <v>20:00:00</v>
      </c>
      <c r="E337" s="67">
        <f>Predikcia!G335</f>
        <v>17099.5</v>
      </c>
      <c r="F337" s="68">
        <f>'DHS2025'!C334</f>
        <v>18382</v>
      </c>
      <c r="G337" s="69">
        <f>'DHS2025'!D334</f>
        <v>6092</v>
      </c>
      <c r="H337" s="86">
        <v>8</v>
      </c>
      <c r="I337" s="87">
        <f>'DHS2025'!E334/1000</f>
        <v>8.0670000000000002</v>
      </c>
      <c r="J337" s="50">
        <f>Predikcia!R335</f>
        <v>183.55</v>
      </c>
      <c r="K337" s="48">
        <f t="shared" si="5"/>
        <v>1450.5635715000001</v>
      </c>
      <c r="M337" s="11">
        <f>Predikcia!K335</f>
        <v>6</v>
      </c>
      <c r="N337" s="11">
        <v>8</v>
      </c>
    </row>
    <row r="338" spans="3:14" ht="15.75" thickBot="1">
      <c r="C338" s="105">
        <f>Predikcia!A336</f>
        <v>45702</v>
      </c>
      <c r="D338" s="44" t="str">
        <f>Predikcia!B336</f>
        <v>21:00:00</v>
      </c>
      <c r="E338" s="67">
        <f>Predikcia!G336</f>
        <v>16461</v>
      </c>
      <c r="F338" s="68">
        <f>'DHS2025'!C335</f>
        <v>18155</v>
      </c>
      <c r="G338" s="69">
        <f>'DHS2025'!D335</f>
        <v>5770</v>
      </c>
      <c r="H338" s="86">
        <v>8</v>
      </c>
      <c r="I338" s="87">
        <f>'DHS2025'!E335/1000</f>
        <v>8.0510000000000002</v>
      </c>
      <c r="J338" s="50">
        <f>Predikcia!R336</f>
        <v>163.85</v>
      </c>
      <c r="K338" s="48">
        <f t="shared" si="5"/>
        <v>1290.6678864999999</v>
      </c>
      <c r="M338" s="11">
        <f>Predikcia!K336</f>
        <v>6</v>
      </c>
      <c r="N338" s="11">
        <v>8</v>
      </c>
    </row>
    <row r="339" spans="3:14" ht="15.75" thickBot="1">
      <c r="C339" s="105">
        <f>Predikcia!A337</f>
        <v>45702</v>
      </c>
      <c r="D339" s="44" t="str">
        <f>Predikcia!B337</f>
        <v>22:00:00</v>
      </c>
      <c r="E339" s="67">
        <f>Predikcia!G337</f>
        <v>15396.5</v>
      </c>
      <c r="F339" s="68">
        <f>'DHS2025'!C336</f>
        <v>14925</v>
      </c>
      <c r="G339" s="69">
        <f>'DHS2025'!D336</f>
        <v>9031</v>
      </c>
      <c r="H339" s="86">
        <v>8</v>
      </c>
      <c r="I339" s="87">
        <f>'DHS2025'!E336/1000</f>
        <v>8.0429999999999993</v>
      </c>
      <c r="J339" s="50">
        <f>Predikcia!R337</f>
        <v>153</v>
      </c>
      <c r="K339" s="48">
        <f t="shared" si="5"/>
        <v>1202.9915099999998</v>
      </c>
      <c r="M339" s="11">
        <f>Predikcia!K337</f>
        <v>5</v>
      </c>
      <c r="N339" s="11">
        <v>8</v>
      </c>
    </row>
    <row r="340" spans="3:14" ht="15.75" thickBot="1">
      <c r="C340" s="106">
        <f>Predikcia!A338</f>
        <v>45702</v>
      </c>
      <c r="D340" s="45" t="str">
        <f>Predikcia!B338</f>
        <v>23:00:00</v>
      </c>
      <c r="E340" s="70">
        <f>Predikcia!G338</f>
        <v>8352.25</v>
      </c>
      <c r="F340" s="71">
        <f>'DHS2025'!C337</f>
        <v>10070</v>
      </c>
      <c r="G340" s="72">
        <f>'DHS2025'!D337</f>
        <v>14998</v>
      </c>
      <c r="H340" s="88">
        <v>8</v>
      </c>
      <c r="I340" s="87">
        <f>'DHS2025'!E337/1000</f>
        <v>8.06</v>
      </c>
      <c r="J340" s="50">
        <f>Predikcia!R338</f>
        <v>140.03</v>
      </c>
      <c r="K340" s="48">
        <f t="shared" si="5"/>
        <v>1102.0413820000001</v>
      </c>
      <c r="M340" s="11">
        <f>Predikcia!K338</f>
        <v>4</v>
      </c>
      <c r="N340" s="11">
        <v>8</v>
      </c>
    </row>
    <row r="341" spans="3:14" ht="15.75" thickBot="1">
      <c r="C341" s="102">
        <f>Predikcia!A339</f>
        <v>45703</v>
      </c>
      <c r="D341" s="41" t="str">
        <f>Predikcia!B339</f>
        <v>00:00:00</v>
      </c>
      <c r="E341" s="64">
        <f>Predikcia!G339</f>
        <v>8102.75</v>
      </c>
      <c r="F341" s="65">
        <f>'DHS2025'!C338</f>
        <v>11509</v>
      </c>
      <c r="G341" s="66">
        <f>'DHS2025'!D338</f>
        <v>13563</v>
      </c>
      <c r="H341" s="84">
        <v>8</v>
      </c>
      <c r="I341" s="85">
        <f>'DHS2025'!E338/1000</f>
        <v>8.0670000000000002</v>
      </c>
      <c r="J341" s="50">
        <f>Predikcia!R339</f>
        <v>135.87</v>
      </c>
      <c r="K341" s="48">
        <f t="shared" si="5"/>
        <v>1069.7753571000001</v>
      </c>
      <c r="M341" s="11">
        <f>Predikcia!K339</f>
        <v>4</v>
      </c>
      <c r="N341" s="11">
        <v>8</v>
      </c>
    </row>
    <row r="342" spans="3:14" ht="15.75" thickBot="1">
      <c r="C342" s="103">
        <f>Predikcia!A340</f>
        <v>45703</v>
      </c>
      <c r="D342" s="42" t="str">
        <f>Predikcia!B340</f>
        <v>01:00:00</v>
      </c>
      <c r="E342" s="67">
        <f>Predikcia!G340</f>
        <v>9365.75</v>
      </c>
      <c r="F342" s="68">
        <f>'DHS2025'!C339</f>
        <v>11813</v>
      </c>
      <c r="G342" s="69">
        <f>'DHS2025'!D339</f>
        <v>12368</v>
      </c>
      <c r="H342" s="86">
        <v>8</v>
      </c>
      <c r="I342" s="87">
        <f>'DHS2025'!E339/1000</f>
        <v>8.0549999999999997</v>
      </c>
      <c r="J342" s="50">
        <f>Predikcia!R340</f>
        <v>130.9</v>
      </c>
      <c r="K342" s="48">
        <f t="shared" si="5"/>
        <v>1028.551005</v>
      </c>
      <c r="M342" s="11">
        <f>Predikcia!K340</f>
        <v>4</v>
      </c>
      <c r="N342" s="11">
        <v>8</v>
      </c>
    </row>
    <row r="343" spans="3:14" ht="15.75" thickBot="1">
      <c r="C343" s="103">
        <f>Predikcia!A341</f>
        <v>45703</v>
      </c>
      <c r="D343" s="42" t="str">
        <f>Predikcia!B341</f>
        <v>02:00:00</v>
      </c>
      <c r="E343" s="67">
        <f>Predikcia!G341</f>
        <v>10307.5</v>
      </c>
      <c r="F343" s="68">
        <f>'DHS2025'!C340</f>
        <v>13688</v>
      </c>
      <c r="G343" s="69">
        <f>'DHS2025'!D340</f>
        <v>6642</v>
      </c>
      <c r="H343" s="86">
        <v>6</v>
      </c>
      <c r="I343" s="87">
        <f>'DHS2025'!E340/1000</f>
        <v>6.6130000000000004</v>
      </c>
      <c r="J343" s="50">
        <f>Predikcia!R341</f>
        <v>120.4</v>
      </c>
      <c r="K343" s="48">
        <f t="shared" si="5"/>
        <v>775.678448</v>
      </c>
      <c r="M343" s="11">
        <f>Predikcia!K341</f>
        <v>4</v>
      </c>
      <c r="N343" s="11">
        <v>4</v>
      </c>
    </row>
    <row r="344" spans="3:14" ht="15.75" thickBot="1">
      <c r="C344" s="103">
        <f>Predikcia!A342</f>
        <v>45703</v>
      </c>
      <c r="D344" s="42" t="str">
        <f>Predikcia!B342</f>
        <v>03:00:00</v>
      </c>
      <c r="E344" s="67">
        <f>Predikcia!G342</f>
        <v>10950.75</v>
      </c>
      <c r="F344" s="68">
        <f>'DHS2025'!C341</f>
        <v>14974</v>
      </c>
      <c r="G344" s="69">
        <f>'DHS2025'!D341</f>
        <v>5125</v>
      </c>
      <c r="H344" s="86">
        <v>6</v>
      </c>
      <c r="I344" s="87">
        <f>'DHS2025'!E341/1000</f>
        <v>6.048</v>
      </c>
      <c r="J344" s="50">
        <f>Predikcia!R342</f>
        <v>118.97</v>
      </c>
      <c r="K344" s="48">
        <f t="shared" si="5"/>
        <v>700.8440544</v>
      </c>
      <c r="M344" s="11">
        <f>Predikcia!K342</f>
        <v>4</v>
      </c>
      <c r="N344" s="11">
        <v>4</v>
      </c>
    </row>
    <row r="345" spans="3:14" ht="15.75" thickBot="1">
      <c r="C345" s="103">
        <f>Predikcia!A343</f>
        <v>45703</v>
      </c>
      <c r="D345" s="42" t="str">
        <f>Predikcia!B343</f>
        <v>04:00:00</v>
      </c>
      <c r="E345" s="67">
        <f>Predikcia!G343</f>
        <v>17761.25</v>
      </c>
      <c r="F345" s="68">
        <f>'DHS2025'!C342</f>
        <v>19585</v>
      </c>
      <c r="G345" s="69">
        <f>'DHS2025'!D342</f>
        <v>67</v>
      </c>
      <c r="H345" s="86">
        <v>6</v>
      </c>
      <c r="I345" s="87">
        <f>'DHS2025'!E342/1000</f>
        <v>6.0659999999999998</v>
      </c>
      <c r="J345" s="50">
        <f>Predikcia!R343</f>
        <v>119.28</v>
      </c>
      <c r="K345" s="48">
        <f t="shared" si="5"/>
        <v>704.79155519999995</v>
      </c>
      <c r="M345" s="11">
        <f>Predikcia!K343</f>
        <v>6</v>
      </c>
      <c r="N345" s="11">
        <v>6</v>
      </c>
    </row>
    <row r="346" spans="3:14" ht="15.75" thickBot="1">
      <c r="C346" s="103">
        <f>Predikcia!A344</f>
        <v>45703</v>
      </c>
      <c r="D346" s="42" t="str">
        <f>Predikcia!B344</f>
        <v>05:00:00</v>
      </c>
      <c r="E346" s="67">
        <f>Predikcia!G344</f>
        <v>19171.25</v>
      </c>
      <c r="F346" s="68">
        <f>'DHS2025'!C343</f>
        <v>24597</v>
      </c>
      <c r="G346" s="69">
        <f>'DHS2025'!D343</f>
        <v>878</v>
      </c>
      <c r="H346" s="86">
        <v>8</v>
      </c>
      <c r="I346" s="87">
        <f>'DHS2025'!E343/1000</f>
        <v>8.016</v>
      </c>
      <c r="J346" s="50">
        <f>Predikcia!R344</f>
        <v>121.17</v>
      </c>
      <c r="K346" s="48">
        <f t="shared" si="5"/>
        <v>946.35533279999993</v>
      </c>
      <c r="M346" s="11">
        <f>Predikcia!K344</f>
        <v>6</v>
      </c>
      <c r="N346" s="11">
        <v>6</v>
      </c>
    </row>
    <row r="347" spans="3:14" ht="15.75" thickBot="1">
      <c r="C347" s="103">
        <f>Predikcia!A345</f>
        <v>45703</v>
      </c>
      <c r="D347" s="42" t="str">
        <f>Predikcia!B345</f>
        <v>06:00:00</v>
      </c>
      <c r="E347" s="67">
        <f>Predikcia!G345</f>
        <v>18583</v>
      </c>
      <c r="F347" s="68">
        <f>'DHS2025'!C344</f>
        <v>20742</v>
      </c>
      <c r="G347" s="69">
        <f>'DHS2025'!D344</f>
        <v>2631</v>
      </c>
      <c r="H347" s="86">
        <v>8</v>
      </c>
      <c r="I347" s="87">
        <f>'DHS2025'!E344/1000</f>
        <v>8.0570000000000004</v>
      </c>
      <c r="J347" s="50">
        <f>Predikcia!R345</f>
        <v>134.93</v>
      </c>
      <c r="K347" s="48">
        <f t="shared" si="5"/>
        <v>1060.9513999000001</v>
      </c>
      <c r="M347" s="11">
        <f>Predikcia!K345</f>
        <v>6</v>
      </c>
      <c r="N347" s="11">
        <v>8</v>
      </c>
    </row>
    <row r="348" spans="3:14" ht="15.75" thickBot="1">
      <c r="C348" s="103">
        <f>Predikcia!A346</f>
        <v>45703</v>
      </c>
      <c r="D348" s="42" t="str">
        <f>Predikcia!B346</f>
        <v>07:00:00</v>
      </c>
      <c r="E348" s="67">
        <f>Predikcia!G346</f>
        <v>16894</v>
      </c>
      <c r="F348" s="68">
        <f>'DHS2025'!C345</f>
        <v>15868</v>
      </c>
      <c r="G348" s="69">
        <f>'DHS2025'!D345</f>
        <v>8890</v>
      </c>
      <c r="H348" s="86">
        <v>8</v>
      </c>
      <c r="I348" s="87">
        <f>'DHS2025'!E345/1000</f>
        <v>8.07</v>
      </c>
      <c r="J348" s="50">
        <f>Predikcia!R346</f>
        <v>149.58000000000001</v>
      </c>
      <c r="K348" s="48">
        <f t="shared" si="5"/>
        <v>1179.706494</v>
      </c>
      <c r="M348" s="11">
        <f>Predikcia!K346</f>
        <v>6</v>
      </c>
      <c r="N348" s="11">
        <v>8</v>
      </c>
    </row>
    <row r="349" spans="3:14" ht="15.75" thickBot="1">
      <c r="C349" s="103">
        <f>Predikcia!A347</f>
        <v>45703</v>
      </c>
      <c r="D349" s="42" t="str">
        <f>Predikcia!B347</f>
        <v>08:00:00</v>
      </c>
      <c r="E349" s="67">
        <f>Predikcia!G347</f>
        <v>17992.5</v>
      </c>
      <c r="F349" s="68">
        <f>'DHS2025'!C346</f>
        <v>16158</v>
      </c>
      <c r="G349" s="69">
        <f>'DHS2025'!D346</f>
        <v>8425</v>
      </c>
      <c r="H349" s="86">
        <v>8</v>
      </c>
      <c r="I349" s="87">
        <f>'DHS2025'!E346/1000</f>
        <v>8.0459999999999994</v>
      </c>
      <c r="J349" s="50">
        <f>Predikcia!R347</f>
        <v>150.24</v>
      </c>
      <c r="K349" s="48">
        <f t="shared" si="5"/>
        <v>1181.4553295999999</v>
      </c>
      <c r="M349" s="11">
        <f>Predikcia!K347</f>
        <v>6</v>
      </c>
      <c r="N349" s="11">
        <v>8</v>
      </c>
    </row>
    <row r="350" spans="3:14" ht="15.75" thickBot="1">
      <c r="C350" s="103">
        <f>Predikcia!A348</f>
        <v>45703</v>
      </c>
      <c r="D350" s="42" t="str">
        <f>Predikcia!B348</f>
        <v>09:00:00</v>
      </c>
      <c r="E350" s="67">
        <f>Predikcia!G348</f>
        <v>16189.5</v>
      </c>
      <c r="F350" s="68">
        <f>'DHS2025'!C347</f>
        <v>18291</v>
      </c>
      <c r="G350" s="69">
        <f>'DHS2025'!D347</f>
        <v>6217</v>
      </c>
      <c r="H350" s="86">
        <v>8</v>
      </c>
      <c r="I350" s="87">
        <f>'DHS2025'!E347/1000</f>
        <v>8.06</v>
      </c>
      <c r="J350" s="50">
        <f>Predikcia!R348</f>
        <v>137.06</v>
      </c>
      <c r="K350" s="48">
        <f t="shared" si="5"/>
        <v>1078.342564</v>
      </c>
      <c r="M350" s="11">
        <f>Predikcia!K348</f>
        <v>6</v>
      </c>
      <c r="N350" s="11">
        <v>8</v>
      </c>
    </row>
    <row r="351" spans="3:14" ht="15.75" thickBot="1">
      <c r="C351" s="103">
        <f>Predikcia!A349</f>
        <v>45703</v>
      </c>
      <c r="D351" s="42" t="str">
        <f>Predikcia!B349</f>
        <v>10:00:00</v>
      </c>
      <c r="E351" s="67">
        <f>Predikcia!G349</f>
        <v>15168.5</v>
      </c>
      <c r="F351" s="68">
        <f>'DHS2025'!C348</f>
        <v>18552</v>
      </c>
      <c r="G351" s="69">
        <f>'DHS2025'!D348</f>
        <v>5684</v>
      </c>
      <c r="H351" s="86">
        <v>8</v>
      </c>
      <c r="I351" s="87">
        <f>'DHS2025'!E348/1000</f>
        <v>8.0470000000000006</v>
      </c>
      <c r="J351" s="50">
        <f>Predikcia!R349</f>
        <v>124.59</v>
      </c>
      <c r="K351" s="48">
        <f t="shared" si="5"/>
        <v>977.26067269999999</v>
      </c>
      <c r="M351" s="11">
        <f>Predikcia!K349</f>
        <v>5</v>
      </c>
      <c r="N351" s="11">
        <v>5</v>
      </c>
    </row>
    <row r="352" spans="3:14" ht="15.75" thickBot="1">
      <c r="C352" s="103">
        <f>Predikcia!A350</f>
        <v>45703</v>
      </c>
      <c r="D352" s="42" t="str">
        <f>Predikcia!B350</f>
        <v>11:00:00</v>
      </c>
      <c r="E352" s="67">
        <f>Predikcia!G350</f>
        <v>14467.25</v>
      </c>
      <c r="F352" s="68">
        <f>'DHS2025'!C349</f>
        <v>17974</v>
      </c>
      <c r="G352" s="69">
        <f>'DHS2025'!D349</f>
        <v>5945</v>
      </c>
      <c r="H352" s="86">
        <v>8</v>
      </c>
      <c r="I352" s="87">
        <f>'DHS2025'!E349/1000</f>
        <v>8.0410000000000004</v>
      </c>
      <c r="J352" s="50">
        <f>Predikcia!R350</f>
        <v>118.36</v>
      </c>
      <c r="K352" s="48">
        <f t="shared" si="5"/>
        <v>926.93753240000001</v>
      </c>
      <c r="M352" s="11">
        <f>Predikcia!K350</f>
        <v>5</v>
      </c>
      <c r="N352" s="11">
        <v>5</v>
      </c>
    </row>
    <row r="353" spans="3:14" ht="15.75" thickBot="1">
      <c r="C353" s="103">
        <f>Predikcia!A351</f>
        <v>45703</v>
      </c>
      <c r="D353" s="42" t="str">
        <f>Predikcia!B351</f>
        <v>12:00:00</v>
      </c>
      <c r="E353" s="67">
        <f>Predikcia!G351</f>
        <v>14164.75</v>
      </c>
      <c r="F353" s="68">
        <f>'DHS2025'!C350</f>
        <v>18200</v>
      </c>
      <c r="G353" s="69">
        <f>'DHS2025'!D350</f>
        <v>6689</v>
      </c>
      <c r="H353" s="86">
        <v>8</v>
      </c>
      <c r="I353" s="87">
        <f>'DHS2025'!E350/1000</f>
        <v>8.0549999999999997</v>
      </c>
      <c r="J353" s="50">
        <f>Predikcia!R351</f>
        <v>112.39</v>
      </c>
      <c r="K353" s="48">
        <f t="shared" si="5"/>
        <v>880.94393549999984</v>
      </c>
      <c r="M353" s="11">
        <f>Predikcia!K351</f>
        <v>5</v>
      </c>
      <c r="N353" s="11">
        <v>5</v>
      </c>
    </row>
    <row r="354" spans="3:14" ht="15.75" thickBot="1">
      <c r="C354" s="103">
        <f>Predikcia!A352</f>
        <v>45703</v>
      </c>
      <c r="D354" s="42" t="str">
        <f>Predikcia!B352</f>
        <v>13:00:00</v>
      </c>
      <c r="E354" s="67">
        <f>Predikcia!G352</f>
        <v>14296.75</v>
      </c>
      <c r="F354" s="68">
        <f>'DHS2025'!C351</f>
        <v>17530</v>
      </c>
      <c r="G354" s="69">
        <f>'DHS2025'!D351</f>
        <v>6484</v>
      </c>
      <c r="H354" s="86">
        <v>8</v>
      </c>
      <c r="I354" s="87">
        <f>'DHS2025'!E351/1000</f>
        <v>8.0589999999999993</v>
      </c>
      <c r="J354" s="50">
        <f>Predikcia!R352</f>
        <v>110.01</v>
      </c>
      <c r="K354" s="48">
        <f t="shared" si="5"/>
        <v>862.39278409999997</v>
      </c>
      <c r="M354" s="11">
        <f>Predikcia!K352</f>
        <v>5</v>
      </c>
      <c r="N354" s="11">
        <v>5</v>
      </c>
    </row>
    <row r="355" spans="3:14" ht="15.75" thickBot="1">
      <c r="C355" s="103">
        <f>Predikcia!A353</f>
        <v>45703</v>
      </c>
      <c r="D355" s="42" t="str">
        <f>Predikcia!B353</f>
        <v>14:00:00</v>
      </c>
      <c r="E355" s="67">
        <f>Predikcia!G353</f>
        <v>13174</v>
      </c>
      <c r="F355" s="68">
        <f>'DHS2025'!C352</f>
        <v>17434</v>
      </c>
      <c r="G355" s="69">
        <f>'DHS2025'!D352</f>
        <v>6529</v>
      </c>
      <c r="H355" s="86">
        <v>8</v>
      </c>
      <c r="I355" s="87">
        <f>'DHS2025'!E352/1000</f>
        <v>8.0500000000000007</v>
      </c>
      <c r="J355" s="50">
        <f>Predikcia!R353</f>
        <v>116.57</v>
      </c>
      <c r="K355" s="48">
        <f t="shared" si="5"/>
        <v>913.70961499999999</v>
      </c>
      <c r="M355" s="11">
        <f>Predikcia!K353</f>
        <v>5</v>
      </c>
      <c r="N355" s="11">
        <v>5</v>
      </c>
    </row>
    <row r="356" spans="3:14" ht="15.75" thickBot="1">
      <c r="C356" s="103">
        <f>Predikcia!A354</f>
        <v>45703</v>
      </c>
      <c r="D356" s="42" t="str">
        <f>Predikcia!B354</f>
        <v>15:00:00</v>
      </c>
      <c r="E356" s="67">
        <f>Predikcia!G354</f>
        <v>13550</v>
      </c>
      <c r="F356" s="68">
        <f>'DHS2025'!C353</f>
        <v>16974</v>
      </c>
      <c r="G356" s="69">
        <f>'DHS2025'!D353</f>
        <v>7498</v>
      </c>
      <c r="H356" s="86">
        <v>8</v>
      </c>
      <c r="I356" s="87">
        <f>'DHS2025'!E353/1000</f>
        <v>8.0589999999999993</v>
      </c>
      <c r="J356" s="50">
        <f>Predikcia!R354</f>
        <v>130</v>
      </c>
      <c r="K356" s="48">
        <f t="shared" si="5"/>
        <v>1021.8811999999998</v>
      </c>
      <c r="M356" s="11">
        <f>Predikcia!K354</f>
        <v>5</v>
      </c>
      <c r="N356" s="11">
        <v>5</v>
      </c>
    </row>
    <row r="357" spans="3:14" ht="15.75" thickBot="1">
      <c r="C357" s="103">
        <f>Predikcia!A355</f>
        <v>45703</v>
      </c>
      <c r="D357" s="42" t="str">
        <f>Predikcia!B355</f>
        <v>16:00:00</v>
      </c>
      <c r="E357" s="67">
        <f>Predikcia!G355</f>
        <v>14265.75</v>
      </c>
      <c r="F357" s="68">
        <f>'DHS2025'!C354</f>
        <v>18217</v>
      </c>
      <c r="G357" s="69">
        <f>'DHS2025'!D354</f>
        <v>6229</v>
      </c>
      <c r="H357" s="86">
        <v>8</v>
      </c>
      <c r="I357" s="87">
        <f>'DHS2025'!E354/1000</f>
        <v>8.0559999999999992</v>
      </c>
      <c r="J357" s="50">
        <f>Predikcia!R355</f>
        <v>142.47</v>
      </c>
      <c r="K357" s="48">
        <f t="shared" si="5"/>
        <v>1120.9545367999999</v>
      </c>
      <c r="M357" s="11">
        <f>Predikcia!K355</f>
        <v>5</v>
      </c>
      <c r="N357" s="11">
        <v>8</v>
      </c>
    </row>
    <row r="358" spans="3:14" ht="15.75" thickBot="1">
      <c r="C358" s="103">
        <f>Predikcia!A356</f>
        <v>45703</v>
      </c>
      <c r="D358" s="42" t="str">
        <f>Predikcia!B356</f>
        <v>17:00:00</v>
      </c>
      <c r="E358" s="67">
        <f>Predikcia!G356</f>
        <v>15189.5</v>
      </c>
      <c r="F358" s="68">
        <f>'DHS2025'!C355</f>
        <v>19719</v>
      </c>
      <c r="G358" s="69">
        <f>'DHS2025'!D355</f>
        <v>5664</v>
      </c>
      <c r="H358" s="86">
        <v>8</v>
      </c>
      <c r="I358" s="87">
        <f>'DHS2025'!E355/1000</f>
        <v>8.0760000000000005</v>
      </c>
      <c r="J358" s="50">
        <f>Predikcia!R356</f>
        <v>159.97</v>
      </c>
      <c r="K358" s="48">
        <f t="shared" si="5"/>
        <v>1263.6541427999998</v>
      </c>
      <c r="M358" s="11">
        <f>Predikcia!K356</f>
        <v>5</v>
      </c>
      <c r="N358" s="11">
        <v>8</v>
      </c>
    </row>
    <row r="359" spans="3:14" ht="15.75" thickBot="1">
      <c r="C359" s="103">
        <f>Predikcia!A357</f>
        <v>45703</v>
      </c>
      <c r="D359" s="42" t="str">
        <f>Predikcia!B357</f>
        <v>18:00:00</v>
      </c>
      <c r="E359" s="67">
        <f>Predikcia!G357</f>
        <v>16193.25</v>
      </c>
      <c r="F359" s="68">
        <f>'DHS2025'!C356</f>
        <v>19713</v>
      </c>
      <c r="G359" s="69">
        <f>'DHS2025'!D356</f>
        <v>5956</v>
      </c>
      <c r="H359" s="86">
        <v>8</v>
      </c>
      <c r="I359" s="87">
        <f>'DHS2025'!E356/1000</f>
        <v>8.0779999999999994</v>
      </c>
      <c r="J359" s="50">
        <f>Predikcia!R357</f>
        <v>174.9</v>
      </c>
      <c r="K359" s="48">
        <f t="shared" si="5"/>
        <v>1383.3655779999999</v>
      </c>
      <c r="M359" s="11">
        <f>Predikcia!K357</f>
        <v>6</v>
      </c>
      <c r="N359" s="11">
        <v>8</v>
      </c>
    </row>
    <row r="360" spans="3:14" ht="15.75" thickBot="1">
      <c r="C360" s="103">
        <f>Predikcia!A358</f>
        <v>45703</v>
      </c>
      <c r="D360" s="42" t="str">
        <f>Predikcia!B358</f>
        <v>19:00:00</v>
      </c>
      <c r="E360" s="67">
        <f>Predikcia!G358</f>
        <v>16805</v>
      </c>
      <c r="F360" s="68">
        <f>'DHS2025'!C357</f>
        <v>17900</v>
      </c>
      <c r="G360" s="69">
        <f>'DHS2025'!D357</f>
        <v>5837</v>
      </c>
      <c r="H360" s="86">
        <v>8</v>
      </c>
      <c r="I360" s="87">
        <f>'DHS2025'!E357/1000</f>
        <v>8.0570000000000004</v>
      </c>
      <c r="J360" s="50">
        <f>Predikcia!R358</f>
        <v>171</v>
      </c>
      <c r="K360" s="48">
        <f t="shared" si="5"/>
        <v>1348.6612299999999</v>
      </c>
      <c r="M360" s="11">
        <f>Predikcia!K358</f>
        <v>6</v>
      </c>
      <c r="N360" s="11">
        <v>8</v>
      </c>
    </row>
    <row r="361" spans="3:14" ht="15.75" thickBot="1">
      <c r="C361" s="103">
        <f>Predikcia!A359</f>
        <v>45703</v>
      </c>
      <c r="D361" s="42" t="str">
        <f>Predikcia!B359</f>
        <v>20:00:00</v>
      </c>
      <c r="E361" s="67">
        <f>Predikcia!G359</f>
        <v>17399.25</v>
      </c>
      <c r="F361" s="68">
        <f>'DHS2025'!C358</f>
        <v>19081</v>
      </c>
      <c r="G361" s="69">
        <f>'DHS2025'!D358</f>
        <v>6413</v>
      </c>
      <c r="H361" s="86">
        <v>8</v>
      </c>
      <c r="I361" s="87">
        <f>'DHS2025'!E358/1000</f>
        <v>8.0850000000000009</v>
      </c>
      <c r="J361" s="50">
        <f>Predikcia!R359</f>
        <v>170.6</v>
      </c>
      <c r="K361" s="48">
        <f t="shared" si="5"/>
        <v>1350.1464900000001</v>
      </c>
      <c r="M361" s="11">
        <f>Predikcia!K359</f>
        <v>6</v>
      </c>
      <c r="N361" s="11">
        <v>8</v>
      </c>
    </row>
    <row r="362" spans="3:14" ht="15.75" thickBot="1">
      <c r="C362" s="103">
        <f>Predikcia!A360</f>
        <v>45703</v>
      </c>
      <c r="D362" s="42" t="str">
        <f>Predikcia!B360</f>
        <v>21:00:00</v>
      </c>
      <c r="E362" s="67">
        <f>Predikcia!G360</f>
        <v>17180.5</v>
      </c>
      <c r="F362" s="68">
        <f>'DHS2025'!C359</f>
        <v>18754</v>
      </c>
      <c r="G362" s="69">
        <f>'DHS2025'!D359</f>
        <v>5572</v>
      </c>
      <c r="H362" s="86">
        <v>8</v>
      </c>
      <c r="I362" s="87">
        <f>'DHS2025'!E359/1000</f>
        <v>8.0779999999999994</v>
      </c>
      <c r="J362" s="50">
        <f>Predikcia!R360</f>
        <v>178.71</v>
      </c>
      <c r="K362" s="48">
        <f t="shared" si="5"/>
        <v>1413.8349861999998</v>
      </c>
      <c r="M362" s="11">
        <f>Predikcia!K360</f>
        <v>6</v>
      </c>
      <c r="N362" s="11">
        <v>8</v>
      </c>
    </row>
    <row r="363" spans="3:14" ht="15.75" thickBot="1">
      <c r="C363" s="103">
        <f>Predikcia!A361</f>
        <v>45703</v>
      </c>
      <c r="D363" s="42" t="str">
        <f>Predikcia!B361</f>
        <v>22:00:00</v>
      </c>
      <c r="E363" s="67">
        <f>Predikcia!G361</f>
        <v>15378.25</v>
      </c>
      <c r="F363" s="68">
        <f>'DHS2025'!C360</f>
        <v>16075</v>
      </c>
      <c r="G363" s="69">
        <f>'DHS2025'!D360</f>
        <v>8348</v>
      </c>
      <c r="H363" s="86">
        <v>8</v>
      </c>
      <c r="I363" s="87">
        <f>'DHS2025'!E360/1000</f>
        <v>8.0549999999999997</v>
      </c>
      <c r="J363" s="50">
        <f>Predikcia!R361</f>
        <v>134.44999999999999</v>
      </c>
      <c r="K363" s="48">
        <f t="shared" si="5"/>
        <v>1056.8603024999998</v>
      </c>
      <c r="M363" s="11">
        <f>Predikcia!K361</f>
        <v>5</v>
      </c>
      <c r="N363" s="11">
        <v>8</v>
      </c>
    </row>
    <row r="364" spans="3:14" ht="15.75" thickBot="1">
      <c r="C364" s="107">
        <f>Predikcia!A362</f>
        <v>45703</v>
      </c>
      <c r="D364" s="46" t="str">
        <f>Predikcia!B362</f>
        <v>23:00:00</v>
      </c>
      <c r="E364" s="70">
        <f>Predikcia!G362</f>
        <v>9037.25</v>
      </c>
      <c r="F364" s="71">
        <f>'DHS2025'!C361</f>
        <v>8248</v>
      </c>
      <c r="G364" s="72">
        <f>'DHS2025'!D361</f>
        <v>16005</v>
      </c>
      <c r="H364" s="88">
        <v>8</v>
      </c>
      <c r="I364" s="87">
        <f>'DHS2025'!E361/1000</f>
        <v>8.0619999999999994</v>
      </c>
      <c r="J364" s="50">
        <f>Predikcia!R362</f>
        <v>143.32</v>
      </c>
      <c r="K364" s="48">
        <f t="shared" si="5"/>
        <v>1128.5735815999999</v>
      </c>
      <c r="M364" s="11">
        <f>Predikcia!K362</f>
        <v>4</v>
      </c>
      <c r="N364" s="11">
        <v>8</v>
      </c>
    </row>
    <row r="365" spans="3:14" ht="15.75" thickBot="1">
      <c r="C365" s="104">
        <f>Predikcia!A363</f>
        <v>45704</v>
      </c>
      <c r="D365" s="43" t="str">
        <f>Predikcia!B363</f>
        <v>00:00:00</v>
      </c>
      <c r="E365" s="64">
        <f>Predikcia!G363</f>
        <v>9186.25</v>
      </c>
      <c r="F365" s="65">
        <f>'DHS2025'!C362</f>
        <v>9947</v>
      </c>
      <c r="G365" s="66">
        <f>'DHS2025'!D362</f>
        <v>14191</v>
      </c>
      <c r="H365" s="84">
        <v>8</v>
      </c>
      <c r="I365" s="85">
        <f>'DHS2025'!E362/1000</f>
        <v>8.0470000000000006</v>
      </c>
      <c r="J365" s="50">
        <f>Predikcia!R363</f>
        <v>134.11000000000001</v>
      </c>
      <c r="K365" s="48">
        <f t="shared" si="5"/>
        <v>1053.1020383</v>
      </c>
      <c r="M365" s="11">
        <f>Predikcia!K363</f>
        <v>4</v>
      </c>
      <c r="N365" s="11">
        <v>8</v>
      </c>
    </row>
    <row r="366" spans="3:14" ht="15.75" thickBot="1">
      <c r="C366" s="105">
        <f>Predikcia!A364</f>
        <v>45704</v>
      </c>
      <c r="D366" s="44" t="str">
        <f>Predikcia!B364</f>
        <v>01:00:00</v>
      </c>
      <c r="E366" s="67">
        <f>Predikcia!G364</f>
        <v>10024</v>
      </c>
      <c r="F366" s="68">
        <f>'DHS2025'!C363</f>
        <v>10846</v>
      </c>
      <c r="G366" s="69">
        <f>'DHS2025'!D363</f>
        <v>14050</v>
      </c>
      <c r="H366" s="86">
        <v>8</v>
      </c>
      <c r="I366" s="87">
        <f>'DHS2025'!E363/1000</f>
        <v>8.0719999999999992</v>
      </c>
      <c r="J366" s="50">
        <f>Predikcia!R364</f>
        <v>128.9</v>
      </c>
      <c r="K366" s="48">
        <f t="shared" si="5"/>
        <v>1014.7391919999999</v>
      </c>
      <c r="M366" s="11">
        <f>Predikcia!K364</f>
        <v>4</v>
      </c>
      <c r="N366" s="11">
        <v>4</v>
      </c>
    </row>
    <row r="367" spans="3:14" ht="15.75" thickBot="1">
      <c r="C367" s="105">
        <f>Predikcia!A365</f>
        <v>45704</v>
      </c>
      <c r="D367" s="44" t="str">
        <f>Predikcia!B365</f>
        <v>02:00:00</v>
      </c>
      <c r="E367" s="67">
        <f>Predikcia!G365</f>
        <v>11381.5</v>
      </c>
      <c r="F367" s="68">
        <f>'DHS2025'!C364</f>
        <v>12472</v>
      </c>
      <c r="G367" s="69">
        <f>'DHS2025'!D364</f>
        <v>12477</v>
      </c>
      <c r="H367" s="86">
        <v>8</v>
      </c>
      <c r="I367" s="87">
        <f>'DHS2025'!E364/1000</f>
        <v>8.0739999999999998</v>
      </c>
      <c r="J367" s="50">
        <f>Predikcia!R365</f>
        <v>123.57</v>
      </c>
      <c r="K367" s="48">
        <f t="shared" si="5"/>
        <v>972.3865381999999</v>
      </c>
      <c r="M367" s="11">
        <f>Predikcia!K365</f>
        <v>4</v>
      </c>
      <c r="N367" s="11">
        <v>4</v>
      </c>
    </row>
    <row r="368" spans="3:14" ht="15.75" thickBot="1">
      <c r="C368" s="105">
        <f>Predikcia!A366</f>
        <v>45704</v>
      </c>
      <c r="D368" s="44" t="str">
        <f>Predikcia!B366</f>
        <v>03:00:00</v>
      </c>
      <c r="E368" s="67">
        <f>Predikcia!G366</f>
        <v>12161.5</v>
      </c>
      <c r="F368" s="68">
        <f>'DHS2025'!C365</f>
        <v>12338</v>
      </c>
      <c r="G368" s="69">
        <f>'DHS2025'!D365</f>
        <v>12012</v>
      </c>
      <c r="H368" s="86">
        <v>8</v>
      </c>
      <c r="I368" s="87">
        <f>'DHS2025'!E365/1000</f>
        <v>8.0709999999999997</v>
      </c>
      <c r="J368" s="50">
        <f>Predikcia!R366</f>
        <v>119.9</v>
      </c>
      <c r="K368" s="48">
        <f t="shared" si="5"/>
        <v>942.70087100000001</v>
      </c>
      <c r="M368" s="11">
        <f>Predikcia!K366</f>
        <v>5</v>
      </c>
      <c r="N368" s="11">
        <v>5</v>
      </c>
    </row>
    <row r="369" spans="3:14" ht="15.75" thickBot="1">
      <c r="C369" s="105">
        <f>Predikcia!A367</f>
        <v>45704</v>
      </c>
      <c r="D369" s="44" t="str">
        <f>Predikcia!B367</f>
        <v>04:00:00</v>
      </c>
      <c r="E369" s="67">
        <f>Predikcia!G367</f>
        <v>17694</v>
      </c>
      <c r="F369" s="68">
        <f>'DHS2025'!C366</f>
        <v>20466</v>
      </c>
      <c r="G369" s="69">
        <f>'DHS2025'!D366</f>
        <v>4536</v>
      </c>
      <c r="H369" s="86">
        <v>8</v>
      </c>
      <c r="I369" s="87">
        <f>'DHS2025'!E366/1000</f>
        <v>8.0739999999999998</v>
      </c>
      <c r="J369" s="50">
        <f>Predikcia!R367</f>
        <v>119.57</v>
      </c>
      <c r="K369" s="48">
        <f t="shared" si="5"/>
        <v>940.41349819999982</v>
      </c>
      <c r="M369" s="11">
        <f>Predikcia!K367</f>
        <v>6</v>
      </c>
      <c r="N369" s="11">
        <v>6</v>
      </c>
    </row>
    <row r="370" spans="3:14" ht="15.75" thickBot="1">
      <c r="C370" s="105">
        <f>Predikcia!A368</f>
        <v>45704</v>
      </c>
      <c r="D370" s="44" t="str">
        <f>Predikcia!B368</f>
        <v>05:00:00</v>
      </c>
      <c r="E370" s="67">
        <f>Predikcia!G368</f>
        <v>19696.25</v>
      </c>
      <c r="F370" s="68">
        <f>'DHS2025'!C367</f>
        <v>23119</v>
      </c>
      <c r="G370" s="69">
        <f>'DHS2025'!D367</f>
        <v>1812</v>
      </c>
      <c r="H370" s="86">
        <v>8</v>
      </c>
      <c r="I370" s="87">
        <f>'DHS2025'!E367/1000</f>
        <v>8.0549999999999997</v>
      </c>
      <c r="J370" s="50">
        <f>Predikcia!R368</f>
        <v>121.68</v>
      </c>
      <c r="K370" s="48">
        <f t="shared" si="5"/>
        <v>955.02657599999998</v>
      </c>
      <c r="M370" s="11">
        <f>Predikcia!K368</f>
        <v>6</v>
      </c>
      <c r="N370" s="11">
        <v>6</v>
      </c>
    </row>
    <row r="371" spans="3:14" ht="15.75" thickBot="1">
      <c r="C371" s="105">
        <f>Predikcia!A369</f>
        <v>45704</v>
      </c>
      <c r="D371" s="44" t="str">
        <f>Predikcia!B369</f>
        <v>06:00:00</v>
      </c>
      <c r="E371" s="67">
        <f>Predikcia!G369</f>
        <v>18738.5</v>
      </c>
      <c r="F371" s="68">
        <f>'DHS2025'!C368</f>
        <v>22544</v>
      </c>
      <c r="G371" s="69">
        <f>'DHS2025'!D368</f>
        <v>3041</v>
      </c>
      <c r="H371" s="86">
        <v>8</v>
      </c>
      <c r="I371" s="87">
        <f>'DHS2025'!E368/1000</f>
        <v>8.0679999999999996</v>
      </c>
      <c r="J371" s="50">
        <f>Predikcia!R369</f>
        <v>128.13</v>
      </c>
      <c r="K371" s="48">
        <f t="shared" si="5"/>
        <v>1008.0861115999999</v>
      </c>
      <c r="M371" s="11">
        <f>Predikcia!K369</f>
        <v>6</v>
      </c>
      <c r="N371" s="11">
        <v>6</v>
      </c>
    </row>
    <row r="372" spans="3:14" ht="15.75" thickBot="1">
      <c r="C372" s="105">
        <f>Predikcia!A370</f>
        <v>45704</v>
      </c>
      <c r="D372" s="44" t="str">
        <f>Predikcia!B370</f>
        <v>07:00:00</v>
      </c>
      <c r="E372" s="67">
        <f>Predikcia!G370</f>
        <v>17414</v>
      </c>
      <c r="F372" s="68">
        <f>'DHS2025'!C369</f>
        <v>19719</v>
      </c>
      <c r="G372" s="69">
        <f>'DHS2025'!D369</f>
        <v>5623</v>
      </c>
      <c r="H372" s="86">
        <v>8</v>
      </c>
      <c r="I372" s="87">
        <f>'DHS2025'!E369/1000</f>
        <v>8.0440000000000005</v>
      </c>
      <c r="J372" s="50">
        <f>Predikcia!R370</f>
        <v>141.01</v>
      </c>
      <c r="K372" s="48">
        <f t="shared" si="5"/>
        <v>1107.6579956</v>
      </c>
      <c r="M372" s="11">
        <f>Predikcia!K370</f>
        <v>6</v>
      </c>
      <c r="N372" s="11">
        <v>8</v>
      </c>
    </row>
    <row r="373" spans="3:14" ht="15.75" thickBot="1">
      <c r="C373" s="105">
        <f>Predikcia!A371</f>
        <v>45704</v>
      </c>
      <c r="D373" s="44" t="str">
        <f>Predikcia!B371</f>
        <v>08:00:00</v>
      </c>
      <c r="E373" s="67">
        <f>Predikcia!G371</f>
        <v>18414.75</v>
      </c>
      <c r="F373" s="68">
        <f>'DHS2025'!C370</f>
        <v>19910</v>
      </c>
      <c r="G373" s="69">
        <f>'DHS2025'!D370</f>
        <v>4764</v>
      </c>
      <c r="H373" s="86">
        <v>8</v>
      </c>
      <c r="I373" s="87">
        <f>'DHS2025'!E370/1000</f>
        <v>8.0519999999999996</v>
      </c>
      <c r="J373" s="50">
        <f>Predikcia!R371</f>
        <v>155.81</v>
      </c>
      <c r="K373" s="48">
        <f t="shared" si="5"/>
        <v>1226.7374987999999</v>
      </c>
      <c r="M373" s="11">
        <f>Predikcia!K371</f>
        <v>6</v>
      </c>
      <c r="N373" s="11">
        <v>8</v>
      </c>
    </row>
    <row r="374" spans="3:14" ht="15.75" thickBot="1">
      <c r="C374" s="105">
        <f>Predikcia!A372</f>
        <v>45704</v>
      </c>
      <c r="D374" s="44" t="str">
        <f>Predikcia!B372</f>
        <v>09:00:00</v>
      </c>
      <c r="E374" s="67">
        <f>Predikcia!G372</f>
        <v>17381.5</v>
      </c>
      <c r="F374" s="68">
        <f>'DHS2025'!C371</f>
        <v>17818</v>
      </c>
      <c r="G374" s="69">
        <f>'DHS2025'!D371</f>
        <v>6162</v>
      </c>
      <c r="H374" s="86">
        <v>8</v>
      </c>
      <c r="I374" s="87">
        <f>'DHS2025'!E371/1000</f>
        <v>8.0470000000000006</v>
      </c>
      <c r="J374" s="50">
        <f>Predikcia!R372</f>
        <v>151.99</v>
      </c>
      <c r="K374" s="48">
        <f t="shared" si="5"/>
        <v>1195.5435947000001</v>
      </c>
      <c r="M374" s="11">
        <f>Predikcia!K372</f>
        <v>6</v>
      </c>
      <c r="N374" s="11">
        <v>8</v>
      </c>
    </row>
    <row r="375" spans="3:14" ht="15.75" thickBot="1">
      <c r="C375" s="105">
        <f>Predikcia!A373</f>
        <v>45704</v>
      </c>
      <c r="D375" s="44" t="str">
        <f>Predikcia!B373</f>
        <v>10:00:00</v>
      </c>
      <c r="E375" s="67">
        <f>Predikcia!G373</f>
        <v>14926</v>
      </c>
      <c r="F375" s="68">
        <f>'DHS2025'!C372</f>
        <v>16236</v>
      </c>
      <c r="G375" s="69">
        <f>'DHS2025'!D372</f>
        <v>8270</v>
      </c>
      <c r="H375" s="86">
        <v>8</v>
      </c>
      <c r="I375" s="87">
        <f>'DHS2025'!E372/1000</f>
        <v>8.0679999999999996</v>
      </c>
      <c r="J375" s="50">
        <f>Predikcia!R373</f>
        <v>132.05000000000001</v>
      </c>
      <c r="K375" s="48">
        <f t="shared" si="5"/>
        <v>1039.3964059999998</v>
      </c>
      <c r="M375" s="11">
        <f>Predikcia!K373</f>
        <v>5</v>
      </c>
      <c r="N375" s="11">
        <v>8</v>
      </c>
    </row>
    <row r="376" spans="3:14" ht="15.75" thickBot="1">
      <c r="C376" s="105">
        <f>Predikcia!A374</f>
        <v>45704</v>
      </c>
      <c r="D376" s="44" t="str">
        <f>Predikcia!B374</f>
        <v>11:00:00</v>
      </c>
      <c r="E376" s="67">
        <f>Predikcia!G374</f>
        <v>12783.5</v>
      </c>
      <c r="F376" s="68">
        <f>'DHS2025'!C373</f>
        <v>14895</v>
      </c>
      <c r="G376" s="69">
        <f>'DHS2025'!D373</f>
        <v>8689</v>
      </c>
      <c r="H376" s="86">
        <v>8</v>
      </c>
      <c r="I376" s="87">
        <f>'DHS2025'!E373/1000</f>
        <v>8.0440000000000005</v>
      </c>
      <c r="J376" s="50">
        <f>Predikcia!R374</f>
        <v>130.46</v>
      </c>
      <c r="K376" s="48">
        <f t="shared" si="5"/>
        <v>1023.6424376000001</v>
      </c>
      <c r="M376" s="11">
        <f>Predikcia!K374</f>
        <v>5</v>
      </c>
      <c r="N376" s="11">
        <v>8</v>
      </c>
    </row>
    <row r="377" spans="3:14" ht="15.75" thickBot="1">
      <c r="C377" s="105">
        <f>Predikcia!A375</f>
        <v>45704</v>
      </c>
      <c r="D377" s="44" t="str">
        <f>Predikcia!B375</f>
        <v>12:00:00</v>
      </c>
      <c r="E377" s="67">
        <f>Predikcia!G375</f>
        <v>13109.25</v>
      </c>
      <c r="F377" s="68">
        <f>'DHS2025'!C374</f>
        <v>16235</v>
      </c>
      <c r="G377" s="69">
        <f>'DHS2025'!D374</f>
        <v>8671</v>
      </c>
      <c r="H377" s="86">
        <v>8</v>
      </c>
      <c r="I377" s="87">
        <f>'DHS2025'!E374/1000</f>
        <v>8.0459999999999994</v>
      </c>
      <c r="J377" s="50">
        <f>Predikcia!R375</f>
        <v>128.43</v>
      </c>
      <c r="K377" s="48">
        <f t="shared" si="5"/>
        <v>1007.7269021999999</v>
      </c>
      <c r="M377" s="11">
        <f>Predikcia!K375</f>
        <v>5</v>
      </c>
      <c r="N377" s="11">
        <v>5</v>
      </c>
    </row>
    <row r="378" spans="3:14" ht="15.75" thickBot="1">
      <c r="C378" s="105">
        <f>Predikcia!A376</f>
        <v>45704</v>
      </c>
      <c r="D378" s="44" t="str">
        <f>Predikcia!B376</f>
        <v>13:00:00</v>
      </c>
      <c r="E378" s="67">
        <f>Predikcia!G376</f>
        <v>13198.5</v>
      </c>
      <c r="F378" s="68">
        <f>'DHS2025'!C375</f>
        <v>15710</v>
      </c>
      <c r="G378" s="69">
        <f>'DHS2025'!D375</f>
        <v>7766</v>
      </c>
      <c r="H378" s="86">
        <v>8</v>
      </c>
      <c r="I378" s="87">
        <f>'DHS2025'!E375/1000</f>
        <v>8.0530000000000008</v>
      </c>
      <c r="J378" s="50">
        <f>Predikcia!R376</f>
        <v>125.02</v>
      </c>
      <c r="K378" s="48">
        <f t="shared" si="5"/>
        <v>981.4174994</v>
      </c>
      <c r="M378" s="11">
        <f>Predikcia!K376</f>
        <v>5</v>
      </c>
      <c r="N378" s="11">
        <v>5</v>
      </c>
    </row>
    <row r="379" spans="3:14" ht="15.75" thickBot="1">
      <c r="C379" s="105">
        <f>Predikcia!A377</f>
        <v>45704</v>
      </c>
      <c r="D379" s="44" t="str">
        <f>Predikcia!B377</f>
        <v>14:00:00</v>
      </c>
      <c r="E379" s="67">
        <f>Predikcia!G377</f>
        <v>13884.75</v>
      </c>
      <c r="F379" s="68">
        <f>'DHS2025'!C376</f>
        <v>16258</v>
      </c>
      <c r="G379" s="69">
        <f>'DHS2025'!D376</f>
        <v>7809</v>
      </c>
      <c r="H379" s="86">
        <v>8</v>
      </c>
      <c r="I379" s="87">
        <f>'DHS2025'!E376/1000</f>
        <v>8.0549999999999997</v>
      </c>
      <c r="J379" s="50">
        <f>Predikcia!R377</f>
        <v>127.1</v>
      </c>
      <c r="K379" s="48">
        <f t="shared" si="5"/>
        <v>998.24809499999992</v>
      </c>
      <c r="M379" s="11">
        <f>Predikcia!K377</f>
        <v>5</v>
      </c>
      <c r="N379" s="11">
        <v>5</v>
      </c>
    </row>
    <row r="380" spans="3:14" ht="15.75" thickBot="1">
      <c r="C380" s="105">
        <f>Predikcia!A378</f>
        <v>45704</v>
      </c>
      <c r="D380" s="44" t="str">
        <f>Predikcia!B378</f>
        <v>15:00:00</v>
      </c>
      <c r="E380" s="67">
        <f>Predikcia!G378</f>
        <v>14651.75</v>
      </c>
      <c r="F380" s="68">
        <f>'DHS2025'!C377</f>
        <v>15889</v>
      </c>
      <c r="G380" s="69">
        <f>'DHS2025'!D377</f>
        <v>8501</v>
      </c>
      <c r="H380" s="86">
        <v>8</v>
      </c>
      <c r="I380" s="87">
        <f>'DHS2025'!E377/1000</f>
        <v>8.0370000000000008</v>
      </c>
      <c r="J380" s="50">
        <f>Predikcia!R378</f>
        <v>144.43</v>
      </c>
      <c r="K380" s="48">
        <f t="shared" si="5"/>
        <v>1133.9057709000001</v>
      </c>
      <c r="M380" s="11">
        <f>Predikcia!K378</f>
        <v>5</v>
      </c>
      <c r="N380" s="11">
        <v>8</v>
      </c>
    </row>
    <row r="381" spans="3:14" ht="15.75" thickBot="1">
      <c r="C381" s="105">
        <f>Predikcia!A379</f>
        <v>45704</v>
      </c>
      <c r="D381" s="44" t="str">
        <f>Predikcia!B379</f>
        <v>16:00:00</v>
      </c>
      <c r="E381" s="67">
        <f>Predikcia!G379</f>
        <v>14676.75</v>
      </c>
      <c r="F381" s="68">
        <f>'DHS2025'!C378</f>
        <v>16706</v>
      </c>
      <c r="G381" s="69">
        <f>'DHS2025'!D378</f>
        <v>7158</v>
      </c>
      <c r="H381" s="86">
        <v>8</v>
      </c>
      <c r="I381" s="87">
        <f>'DHS2025'!E378/1000</f>
        <v>8.0440000000000005</v>
      </c>
      <c r="J381" s="50">
        <f>Predikcia!R379</f>
        <v>171.65</v>
      </c>
      <c r="K381" s="48">
        <f t="shared" si="5"/>
        <v>1351.661474</v>
      </c>
      <c r="M381" s="11">
        <f>Predikcia!K379</f>
        <v>5</v>
      </c>
      <c r="N381" s="11">
        <v>8</v>
      </c>
    </row>
    <row r="382" spans="3:14" ht="15.75" thickBot="1">
      <c r="C382" s="105">
        <f>Predikcia!A380</f>
        <v>45704</v>
      </c>
      <c r="D382" s="44" t="str">
        <f>Predikcia!B380</f>
        <v>17:00:00</v>
      </c>
      <c r="E382" s="67">
        <f>Predikcia!G380</f>
        <v>14862</v>
      </c>
      <c r="F382" s="68">
        <f>'DHS2025'!C379</f>
        <v>19034</v>
      </c>
      <c r="G382" s="69">
        <f>'DHS2025'!D379</f>
        <v>4956</v>
      </c>
      <c r="H382" s="86">
        <v>8</v>
      </c>
      <c r="I382" s="87">
        <f>'DHS2025'!E379/1000</f>
        <v>8.048</v>
      </c>
      <c r="J382" s="50">
        <f>Predikcia!R380</f>
        <v>177.08</v>
      </c>
      <c r="K382" s="48">
        <f t="shared" si="5"/>
        <v>1395.5972416</v>
      </c>
      <c r="M382" s="11">
        <f>Predikcia!K380</f>
        <v>5</v>
      </c>
      <c r="N382" s="11">
        <v>8</v>
      </c>
    </row>
    <row r="383" spans="3:14" ht="15.75" thickBot="1">
      <c r="C383" s="105">
        <f>Predikcia!A381</f>
        <v>45704</v>
      </c>
      <c r="D383" s="44" t="str">
        <f>Predikcia!B381</f>
        <v>18:00:00</v>
      </c>
      <c r="E383" s="67">
        <f>Predikcia!G381</f>
        <v>15601.25</v>
      </c>
      <c r="F383" s="68">
        <f>'DHS2025'!C380</f>
        <v>19404</v>
      </c>
      <c r="G383" s="69">
        <f>'DHS2025'!D380</f>
        <v>4733</v>
      </c>
      <c r="H383" s="86">
        <v>8</v>
      </c>
      <c r="I383" s="87">
        <f>'DHS2025'!E380/1000</f>
        <v>8.048</v>
      </c>
      <c r="J383" s="50">
        <f>Predikcia!R381</f>
        <v>171.95</v>
      </c>
      <c r="K383" s="48">
        <f t="shared" si="5"/>
        <v>1354.7238639999998</v>
      </c>
      <c r="M383" s="11">
        <f>Predikcia!K381</f>
        <v>5</v>
      </c>
      <c r="N383" s="11">
        <v>8</v>
      </c>
    </row>
    <row r="384" spans="3:14" ht="15.75" thickBot="1">
      <c r="C384" s="105">
        <f>Predikcia!A382</f>
        <v>45704</v>
      </c>
      <c r="D384" s="44" t="str">
        <f>Predikcia!B382</f>
        <v>19:00:00</v>
      </c>
      <c r="E384" s="67">
        <f>Predikcia!G382</f>
        <v>15575.5</v>
      </c>
      <c r="F384" s="68">
        <f>'DHS2025'!C381</f>
        <v>20783</v>
      </c>
      <c r="G384" s="69">
        <f>'DHS2025'!D381</f>
        <v>4710</v>
      </c>
      <c r="H384" s="86">
        <v>8</v>
      </c>
      <c r="I384" s="87">
        <f>'DHS2025'!E381/1000</f>
        <v>8.0359999999999996</v>
      </c>
      <c r="J384" s="50">
        <f>Predikcia!R382</f>
        <v>171.4</v>
      </c>
      <c r="K384" s="48">
        <f t="shared" si="5"/>
        <v>1348.3282959999999</v>
      </c>
      <c r="M384" s="11">
        <f>Predikcia!K382</f>
        <v>5</v>
      </c>
      <c r="N384" s="11">
        <v>8</v>
      </c>
    </row>
    <row r="385" spans="3:14" ht="15.75" thickBot="1">
      <c r="C385" s="105">
        <f>Predikcia!A383</f>
        <v>45704</v>
      </c>
      <c r="D385" s="44" t="str">
        <f>Predikcia!B383</f>
        <v>20:00:00</v>
      </c>
      <c r="E385" s="67">
        <f>Predikcia!G383</f>
        <v>16347.75</v>
      </c>
      <c r="F385" s="68">
        <f>'DHS2025'!C382</f>
        <v>21693</v>
      </c>
      <c r="G385" s="69">
        <f>'DHS2025'!D382</f>
        <v>3933</v>
      </c>
      <c r="H385" s="86">
        <v>8</v>
      </c>
      <c r="I385" s="87">
        <f>'DHS2025'!E382/1000</f>
        <v>8.0830000000000002</v>
      </c>
      <c r="J385" s="50">
        <f>Predikcia!R383</f>
        <v>155</v>
      </c>
      <c r="K385" s="48">
        <f t="shared" si="5"/>
        <v>1224.9786499999998</v>
      </c>
      <c r="M385" s="11">
        <f>Predikcia!K383</f>
        <v>6</v>
      </c>
      <c r="N385" s="11">
        <v>8</v>
      </c>
    </row>
    <row r="386" spans="3:14" ht="15.75" thickBot="1">
      <c r="C386" s="105">
        <f>Predikcia!A384</f>
        <v>45704</v>
      </c>
      <c r="D386" s="44" t="str">
        <f>Predikcia!B384</f>
        <v>21:00:00</v>
      </c>
      <c r="E386" s="67">
        <f>Predikcia!G384</f>
        <v>15665.25</v>
      </c>
      <c r="F386" s="68">
        <f>'DHS2025'!C383</f>
        <v>18911</v>
      </c>
      <c r="G386" s="69">
        <f>'DHS2025'!D383</f>
        <v>5934</v>
      </c>
      <c r="H386" s="86">
        <v>8</v>
      </c>
      <c r="I386" s="87">
        <f>'DHS2025'!E383/1000</f>
        <v>8.0839999999999996</v>
      </c>
      <c r="J386" s="50">
        <f>Predikcia!R384</f>
        <v>179.36</v>
      </c>
      <c r="K386" s="48">
        <f t="shared" si="5"/>
        <v>1420.0871775999999</v>
      </c>
      <c r="M386" s="11">
        <f>Predikcia!K384</f>
        <v>5</v>
      </c>
      <c r="N386" s="11">
        <v>8</v>
      </c>
    </row>
    <row r="387" spans="3:14" ht="15.75" thickBot="1">
      <c r="C387" s="105">
        <f>Predikcia!A385</f>
        <v>45704</v>
      </c>
      <c r="D387" s="44" t="str">
        <f>Predikcia!B385</f>
        <v>22:00:00</v>
      </c>
      <c r="E387" s="67">
        <f>Predikcia!G385</f>
        <v>14408.25</v>
      </c>
      <c r="F387" s="68">
        <f>'DHS2025'!C384</f>
        <v>16655</v>
      </c>
      <c r="G387" s="69">
        <f>'DHS2025'!D384</f>
        <v>7213</v>
      </c>
      <c r="H387" s="86">
        <v>8</v>
      </c>
      <c r="I387" s="87">
        <f>'DHS2025'!E384/1000</f>
        <v>8.0679999999999996</v>
      </c>
      <c r="J387" s="50">
        <f>Predikcia!R385</f>
        <v>162.32</v>
      </c>
      <c r="K387" s="48">
        <f t="shared" si="5"/>
        <v>1281.1725823999998</v>
      </c>
      <c r="M387" s="11">
        <f>Predikcia!K385</f>
        <v>5</v>
      </c>
      <c r="N387" s="11">
        <v>8</v>
      </c>
    </row>
    <row r="388" spans="3:14" ht="15.75" thickBot="1">
      <c r="C388" s="106">
        <f>Predikcia!A386</f>
        <v>45704</v>
      </c>
      <c r="D388" s="45" t="str">
        <f>Predikcia!B386</f>
        <v>23:00:00</v>
      </c>
      <c r="E388" s="70">
        <f>Predikcia!G386</f>
        <v>7834</v>
      </c>
      <c r="F388" s="71">
        <f>'DHS2025'!C385</f>
        <v>11292</v>
      </c>
      <c r="G388" s="72">
        <f>'DHS2025'!D385</f>
        <v>12940</v>
      </c>
      <c r="H388" s="88">
        <v>8</v>
      </c>
      <c r="I388" s="87">
        <f>'DHS2025'!E385/1000</f>
        <v>8.048</v>
      </c>
      <c r="J388" s="50">
        <f>Predikcia!R386</f>
        <v>131.51</v>
      </c>
      <c r="K388" s="48">
        <f t="shared" si="5"/>
        <v>1032.5173551999999</v>
      </c>
      <c r="M388" s="11">
        <f>Predikcia!K386</f>
        <v>3</v>
      </c>
      <c r="N388" s="11">
        <v>8</v>
      </c>
    </row>
    <row r="389" spans="3:14" ht="15.75" thickBot="1">
      <c r="C389" s="102">
        <f>Predikcia!A387</f>
        <v>45705</v>
      </c>
      <c r="D389" s="41" t="str">
        <f>Predikcia!B387</f>
        <v>00:00:00</v>
      </c>
      <c r="E389" s="64">
        <f>Predikcia!G387</f>
        <v>7804</v>
      </c>
      <c r="F389" s="65">
        <f>'DHS2025'!C386</f>
        <v>12718</v>
      </c>
      <c r="G389" s="66">
        <f>'DHS2025'!D386</f>
        <v>11760</v>
      </c>
      <c r="H389" s="84">
        <v>8</v>
      </c>
      <c r="I389" s="85">
        <f>'DHS2025'!E386/1000</f>
        <v>8.0630000000000006</v>
      </c>
      <c r="J389" s="50">
        <f>Predikcia!R387</f>
        <v>137.57</v>
      </c>
      <c r="K389" s="48">
        <f t="shared" si="5"/>
        <v>1082.8149409</v>
      </c>
      <c r="M389" s="11">
        <f>Predikcia!K387</f>
        <v>3</v>
      </c>
      <c r="N389" s="11">
        <v>8</v>
      </c>
    </row>
    <row r="390" spans="3:14" ht="15.75" thickBot="1">
      <c r="C390" s="103">
        <f>Predikcia!A388</f>
        <v>45705</v>
      </c>
      <c r="D390" s="42" t="str">
        <f>Predikcia!B388</f>
        <v>01:00:00</v>
      </c>
      <c r="E390" s="67">
        <f>Predikcia!G388</f>
        <v>9126.75</v>
      </c>
      <c r="F390" s="68">
        <f>'DHS2025'!C387</f>
        <v>12617</v>
      </c>
      <c r="G390" s="69">
        <f>'DHS2025'!D387</f>
        <v>12781</v>
      </c>
      <c r="H390" s="86">
        <v>8</v>
      </c>
      <c r="I390" s="87">
        <f>'DHS2025'!E387/1000</f>
        <v>8.0749999999999993</v>
      </c>
      <c r="J390" s="50">
        <f>Predikcia!R388</f>
        <v>121.06</v>
      </c>
      <c r="K390" s="48">
        <f t="shared" ref="K390:K453" si="6">(J390*0.99-1.9)*I390</f>
        <v>952.44140499999992</v>
      </c>
      <c r="M390" s="11">
        <f>Predikcia!K388</f>
        <v>4</v>
      </c>
      <c r="N390" s="11">
        <v>4</v>
      </c>
    </row>
    <row r="391" spans="3:14" ht="15.75" thickBot="1">
      <c r="C391" s="103">
        <f>Predikcia!A389</f>
        <v>45705</v>
      </c>
      <c r="D391" s="42" t="str">
        <f>Predikcia!B389</f>
        <v>02:00:00</v>
      </c>
      <c r="E391" s="67">
        <f>Predikcia!G389</f>
        <v>9896.5</v>
      </c>
      <c r="F391" s="68">
        <f>'DHS2025'!C388</f>
        <v>14053</v>
      </c>
      <c r="G391" s="69">
        <f>'DHS2025'!D388</f>
        <v>10434</v>
      </c>
      <c r="H391" s="86">
        <v>8</v>
      </c>
      <c r="I391" s="87">
        <f>'DHS2025'!E388/1000</f>
        <v>8.0459999999999994</v>
      </c>
      <c r="J391" s="50">
        <f>Predikcia!R389</f>
        <v>120.34</v>
      </c>
      <c r="K391" s="48">
        <f t="shared" si="6"/>
        <v>943.28568359999986</v>
      </c>
      <c r="M391" s="11">
        <f>Predikcia!K389</f>
        <v>4</v>
      </c>
      <c r="N391" s="11">
        <v>4</v>
      </c>
    </row>
    <row r="392" spans="3:14" ht="15.75" thickBot="1">
      <c r="C392" s="103">
        <f>Predikcia!A390</f>
        <v>45705</v>
      </c>
      <c r="D392" s="42" t="str">
        <f>Predikcia!B390</f>
        <v>03:00:00</v>
      </c>
      <c r="E392" s="67">
        <f>Predikcia!G390</f>
        <v>10191</v>
      </c>
      <c r="F392" s="68">
        <f>'DHS2025'!C389</f>
        <v>13210</v>
      </c>
      <c r="G392" s="69">
        <f>'DHS2025'!D389</f>
        <v>11734</v>
      </c>
      <c r="H392" s="86">
        <v>8</v>
      </c>
      <c r="I392" s="87">
        <f>'DHS2025'!E389/1000</f>
        <v>8.0879999999999992</v>
      </c>
      <c r="J392" s="50">
        <f>Predikcia!R390</f>
        <v>126.1</v>
      </c>
      <c r="K392" s="48">
        <f t="shared" si="6"/>
        <v>994.33063199999981</v>
      </c>
      <c r="M392" s="11">
        <f>Predikcia!K390</f>
        <v>4</v>
      </c>
      <c r="N392" s="11">
        <v>4</v>
      </c>
    </row>
    <row r="393" spans="3:14" ht="15.75" thickBot="1">
      <c r="C393" s="103">
        <f>Predikcia!A391</f>
        <v>45705</v>
      </c>
      <c r="D393" s="42" t="str">
        <f>Predikcia!B391</f>
        <v>04:00:00</v>
      </c>
      <c r="E393" s="67">
        <f>Predikcia!G391</f>
        <v>16606.25</v>
      </c>
      <c r="F393" s="68">
        <f>'DHS2025'!C390</f>
        <v>21271</v>
      </c>
      <c r="G393" s="69">
        <f>'DHS2025'!D390</f>
        <v>3782</v>
      </c>
      <c r="H393" s="86">
        <v>8</v>
      </c>
      <c r="I393" s="87">
        <f>'DHS2025'!E390/1000</f>
        <v>8.0709999999999997</v>
      </c>
      <c r="J393" s="50">
        <f>Predikcia!R391</f>
        <v>129.71</v>
      </c>
      <c r="K393" s="48">
        <f t="shared" si="6"/>
        <v>1021.0856159</v>
      </c>
      <c r="M393" s="11">
        <f>Predikcia!K391</f>
        <v>6</v>
      </c>
      <c r="N393" s="11">
        <v>6</v>
      </c>
    </row>
    <row r="394" spans="3:14" ht="15.75" thickBot="1">
      <c r="C394" s="103">
        <f>Predikcia!A392</f>
        <v>45705</v>
      </c>
      <c r="D394" s="42" t="str">
        <f>Predikcia!B392</f>
        <v>05:00:00</v>
      </c>
      <c r="E394" s="67">
        <f>Predikcia!G392</f>
        <v>18491.75</v>
      </c>
      <c r="F394" s="68">
        <f>'DHS2025'!C391</f>
        <v>23483</v>
      </c>
      <c r="G394" s="69">
        <f>'DHS2025'!D391</f>
        <v>1685</v>
      </c>
      <c r="H394" s="86">
        <v>8</v>
      </c>
      <c r="I394" s="87">
        <f>'DHS2025'!E391/1000</f>
        <v>8.0579999999999998</v>
      </c>
      <c r="J394" s="50">
        <f>Predikcia!R392</f>
        <v>155.24</v>
      </c>
      <c r="K394" s="48">
        <f t="shared" si="6"/>
        <v>1223.1044807999999</v>
      </c>
      <c r="M394" s="11">
        <f>Predikcia!K392</f>
        <v>6</v>
      </c>
      <c r="N394" s="11">
        <v>8</v>
      </c>
    </row>
    <row r="395" spans="3:14" ht="15.75" thickBot="1">
      <c r="C395" s="103">
        <f>Predikcia!A393</f>
        <v>45705</v>
      </c>
      <c r="D395" s="42" t="str">
        <f>Predikcia!B393</f>
        <v>06:00:00</v>
      </c>
      <c r="E395" s="67">
        <f>Predikcia!G393</f>
        <v>18580.25</v>
      </c>
      <c r="F395" s="68">
        <f>'DHS2025'!C392</f>
        <v>22002</v>
      </c>
      <c r="G395" s="69">
        <f>'DHS2025'!D392</f>
        <v>2910</v>
      </c>
      <c r="H395" s="86">
        <v>8</v>
      </c>
      <c r="I395" s="87">
        <f>'DHS2025'!E392/1000</f>
        <v>8.0559999999999992</v>
      </c>
      <c r="J395" s="50">
        <f>Predikcia!R393</f>
        <v>184.48</v>
      </c>
      <c r="K395" s="48">
        <f t="shared" si="6"/>
        <v>1456.0027711999999</v>
      </c>
      <c r="M395" s="11">
        <f>Predikcia!K393</f>
        <v>6</v>
      </c>
      <c r="N395" s="11">
        <v>8</v>
      </c>
    </row>
    <row r="396" spans="3:14" ht="15.75" thickBot="1">
      <c r="C396" s="103">
        <f>Predikcia!A394</f>
        <v>45705</v>
      </c>
      <c r="D396" s="42" t="str">
        <f>Predikcia!B394</f>
        <v>07:00:00</v>
      </c>
      <c r="E396" s="67">
        <f>Predikcia!G394</f>
        <v>16641.5</v>
      </c>
      <c r="F396" s="68">
        <f>'DHS2025'!C393</f>
        <v>21611</v>
      </c>
      <c r="G396" s="69">
        <f>'DHS2025'!D393</f>
        <v>3556</v>
      </c>
      <c r="H396" s="86">
        <v>8</v>
      </c>
      <c r="I396" s="87">
        <f>'DHS2025'!E393/1000</f>
        <v>8.0570000000000004</v>
      </c>
      <c r="J396" s="50">
        <f>Predikcia!R394</f>
        <v>209.74</v>
      </c>
      <c r="K396" s="48">
        <f t="shared" si="6"/>
        <v>1657.6681282000002</v>
      </c>
      <c r="M396" s="11">
        <f>Predikcia!K394</f>
        <v>6</v>
      </c>
      <c r="N396" s="11">
        <v>8</v>
      </c>
    </row>
    <row r="397" spans="3:14" ht="15.75" thickBot="1">
      <c r="C397" s="103">
        <f>Predikcia!A395</f>
        <v>45705</v>
      </c>
      <c r="D397" s="42" t="str">
        <f>Predikcia!B395</f>
        <v>08:00:00</v>
      </c>
      <c r="E397" s="67">
        <f>Predikcia!G395</f>
        <v>16490.75</v>
      </c>
      <c r="F397" s="68">
        <f>'DHS2025'!C394</f>
        <v>20452</v>
      </c>
      <c r="G397" s="69">
        <f>'DHS2025'!D394</f>
        <v>4402</v>
      </c>
      <c r="H397" s="86">
        <v>8</v>
      </c>
      <c r="I397" s="87">
        <f>'DHS2025'!E394/1000</f>
        <v>8.0500000000000007</v>
      </c>
      <c r="J397" s="50">
        <f>Predikcia!R395</f>
        <v>209.79</v>
      </c>
      <c r="K397" s="48">
        <f t="shared" si="6"/>
        <v>1656.626405</v>
      </c>
      <c r="M397" s="11">
        <f>Predikcia!K395</f>
        <v>6</v>
      </c>
      <c r="N397" s="11">
        <v>8</v>
      </c>
    </row>
    <row r="398" spans="3:14" ht="15.75" thickBot="1">
      <c r="C398" s="103">
        <f>Predikcia!A396</f>
        <v>45705</v>
      </c>
      <c r="D398" s="42" t="str">
        <f>Predikcia!B396</f>
        <v>09:00:00</v>
      </c>
      <c r="E398" s="67">
        <f>Predikcia!G396</f>
        <v>15277.25</v>
      </c>
      <c r="F398" s="68">
        <f>'DHS2025'!C395</f>
        <v>19277</v>
      </c>
      <c r="G398" s="69">
        <f>'DHS2025'!D395</f>
        <v>5871</v>
      </c>
      <c r="H398" s="86">
        <v>8</v>
      </c>
      <c r="I398" s="87">
        <f>'DHS2025'!E395/1000</f>
        <v>8.0790000000000006</v>
      </c>
      <c r="J398" s="50">
        <f>Predikcia!R396</f>
        <v>171.3</v>
      </c>
      <c r="K398" s="48">
        <f t="shared" si="6"/>
        <v>1354.7432730000003</v>
      </c>
      <c r="M398" s="11">
        <f>Predikcia!K396</f>
        <v>5</v>
      </c>
      <c r="N398" s="11">
        <v>8</v>
      </c>
    </row>
    <row r="399" spans="3:14" ht="15.75" thickBot="1">
      <c r="C399" s="103">
        <f>Predikcia!A397</f>
        <v>45705</v>
      </c>
      <c r="D399" s="42" t="str">
        <f>Predikcia!B397</f>
        <v>10:00:00</v>
      </c>
      <c r="E399" s="67">
        <f>Predikcia!G397</f>
        <v>13657.75</v>
      </c>
      <c r="F399" s="68">
        <f>'DHS2025'!C396</f>
        <v>17111</v>
      </c>
      <c r="G399" s="69">
        <f>'DHS2025'!D396</f>
        <v>6821</v>
      </c>
      <c r="H399" s="86">
        <v>8</v>
      </c>
      <c r="I399" s="87">
        <f>'DHS2025'!E396/1000</f>
        <v>8.0519999999999996</v>
      </c>
      <c r="J399" s="50">
        <f>Predikcia!R397</f>
        <v>139.66999999999999</v>
      </c>
      <c r="K399" s="48">
        <f t="shared" si="6"/>
        <v>1098.0778115999997</v>
      </c>
      <c r="M399" s="11">
        <f>Predikcia!K397</f>
        <v>5</v>
      </c>
      <c r="N399" s="11">
        <v>8</v>
      </c>
    </row>
    <row r="400" spans="3:14" ht="15.75" thickBot="1">
      <c r="C400" s="103">
        <f>Predikcia!A398</f>
        <v>45705</v>
      </c>
      <c r="D400" s="42" t="str">
        <f>Predikcia!B398</f>
        <v>11:00:00</v>
      </c>
      <c r="E400" s="67">
        <f>Predikcia!G398</f>
        <v>12872.5</v>
      </c>
      <c r="F400" s="68">
        <f>'DHS2025'!C397</f>
        <v>16548</v>
      </c>
      <c r="G400" s="69">
        <f>'DHS2025'!D397</f>
        <v>8341</v>
      </c>
      <c r="H400" s="86">
        <v>8</v>
      </c>
      <c r="I400" s="87">
        <f>'DHS2025'!E397/1000</f>
        <v>8.0570000000000004</v>
      </c>
      <c r="J400" s="50">
        <f>Predikcia!R398</f>
        <v>116.66</v>
      </c>
      <c r="K400" s="48">
        <f t="shared" si="6"/>
        <v>915.22202379999999</v>
      </c>
      <c r="M400" s="11">
        <f>Predikcia!K398</f>
        <v>5</v>
      </c>
      <c r="N400" s="11">
        <v>5</v>
      </c>
    </row>
    <row r="401" spans="3:14" ht="15.75" thickBot="1">
      <c r="C401" s="103">
        <f>Predikcia!A399</f>
        <v>45705</v>
      </c>
      <c r="D401" s="42" t="str">
        <f>Predikcia!B399</f>
        <v>12:00:00</v>
      </c>
      <c r="E401" s="67">
        <f>Predikcia!G399</f>
        <v>13413.5</v>
      </c>
      <c r="F401" s="68">
        <f>'DHS2025'!C398</f>
        <v>16270</v>
      </c>
      <c r="G401" s="69">
        <f>'DHS2025'!D398</f>
        <v>8329</v>
      </c>
      <c r="H401" s="86">
        <v>8</v>
      </c>
      <c r="I401" s="87">
        <f>'DHS2025'!E398/1000</f>
        <v>8.0459999999999994</v>
      </c>
      <c r="J401" s="50">
        <f>Predikcia!R399</f>
        <v>111.98</v>
      </c>
      <c r="K401" s="48">
        <f t="shared" si="6"/>
        <v>876.69376919999991</v>
      </c>
      <c r="M401" s="11">
        <f>Predikcia!K399</f>
        <v>5</v>
      </c>
      <c r="N401" s="11">
        <v>5</v>
      </c>
    </row>
    <row r="402" spans="3:14" ht="15.75" thickBot="1">
      <c r="C402" s="103">
        <f>Predikcia!A400</f>
        <v>45705</v>
      </c>
      <c r="D402" s="42" t="str">
        <f>Predikcia!B400</f>
        <v>13:00:00</v>
      </c>
      <c r="E402" s="67">
        <f>Predikcia!G400</f>
        <v>13897.75</v>
      </c>
      <c r="F402" s="68">
        <f>'DHS2025'!C399</f>
        <v>16147</v>
      </c>
      <c r="G402" s="69">
        <f>'DHS2025'!D399</f>
        <v>8160</v>
      </c>
      <c r="H402" s="86">
        <v>8</v>
      </c>
      <c r="I402" s="87">
        <f>'DHS2025'!E399/1000</f>
        <v>8.0500000000000007</v>
      </c>
      <c r="J402" s="50">
        <f>Predikcia!R400</f>
        <v>106.29</v>
      </c>
      <c r="K402" s="48">
        <f t="shared" si="6"/>
        <v>831.78315500000008</v>
      </c>
      <c r="M402" s="11">
        <f>Predikcia!K400</f>
        <v>5</v>
      </c>
      <c r="N402" s="11">
        <v>5</v>
      </c>
    </row>
    <row r="403" spans="3:14" ht="15.75" thickBot="1">
      <c r="C403" s="103">
        <f>Predikcia!A401</f>
        <v>45705</v>
      </c>
      <c r="D403" s="42" t="str">
        <f>Predikcia!B401</f>
        <v>14:00:00</v>
      </c>
      <c r="E403" s="67">
        <f>Predikcia!G401</f>
        <v>13988</v>
      </c>
      <c r="F403" s="68">
        <f>'DHS2025'!C400</f>
        <v>15907</v>
      </c>
      <c r="G403" s="69">
        <f>'DHS2025'!D400</f>
        <v>8423</v>
      </c>
      <c r="H403" s="86">
        <v>8</v>
      </c>
      <c r="I403" s="87">
        <f>'DHS2025'!E400/1000</f>
        <v>8.0570000000000004</v>
      </c>
      <c r="J403" s="50">
        <f>Predikcia!R401</f>
        <v>121.8</v>
      </c>
      <c r="K403" s="48">
        <f t="shared" si="6"/>
        <v>956.22087399999998</v>
      </c>
      <c r="M403" s="11">
        <f>Predikcia!K401</f>
        <v>5</v>
      </c>
      <c r="N403" s="11">
        <v>5</v>
      </c>
    </row>
    <row r="404" spans="3:14" ht="15.75" thickBot="1">
      <c r="C404" s="103">
        <f>Predikcia!A402</f>
        <v>45705</v>
      </c>
      <c r="D404" s="42" t="str">
        <f>Predikcia!B402</f>
        <v>15:00:00</v>
      </c>
      <c r="E404" s="67">
        <f>Predikcia!G402</f>
        <v>15044.5</v>
      </c>
      <c r="F404" s="68">
        <f>'DHS2025'!C401</f>
        <v>16049</v>
      </c>
      <c r="G404" s="69">
        <f>'DHS2025'!D401</f>
        <v>8243</v>
      </c>
      <c r="H404" s="86">
        <v>8</v>
      </c>
      <c r="I404" s="87">
        <f>'DHS2025'!E401/1000</f>
        <v>8.0540000000000003</v>
      </c>
      <c r="J404" s="50">
        <f>Predikcia!R402</f>
        <v>155.12</v>
      </c>
      <c r="K404" s="48">
        <f t="shared" si="6"/>
        <v>1221.5405152000001</v>
      </c>
      <c r="M404" s="11">
        <f>Predikcia!K402</f>
        <v>5</v>
      </c>
      <c r="N404" s="11">
        <v>8</v>
      </c>
    </row>
    <row r="405" spans="3:14" ht="15.75" thickBot="1">
      <c r="C405" s="103">
        <f>Predikcia!A403</f>
        <v>45705</v>
      </c>
      <c r="D405" s="42" t="str">
        <f>Predikcia!B403</f>
        <v>16:00:00</v>
      </c>
      <c r="E405" s="67">
        <f>Predikcia!G403</f>
        <v>14798.5</v>
      </c>
      <c r="F405" s="68">
        <f>'DHS2025'!C402</f>
        <v>16925</v>
      </c>
      <c r="G405" s="69">
        <f>'DHS2025'!D402</f>
        <v>7537</v>
      </c>
      <c r="H405" s="86">
        <v>8</v>
      </c>
      <c r="I405" s="87">
        <f>'DHS2025'!E402/1000</f>
        <v>8.0519999999999996</v>
      </c>
      <c r="J405" s="50">
        <f>Predikcia!R403</f>
        <v>179.57</v>
      </c>
      <c r="K405" s="48">
        <f t="shared" si="6"/>
        <v>1416.1398635999997</v>
      </c>
      <c r="M405" s="11">
        <f>Predikcia!K403</f>
        <v>5</v>
      </c>
      <c r="N405" s="11">
        <v>8</v>
      </c>
    </row>
    <row r="406" spans="3:14" ht="15.75" thickBot="1">
      <c r="C406" s="103">
        <f>Predikcia!A404</f>
        <v>45705</v>
      </c>
      <c r="D406" s="42" t="str">
        <f>Predikcia!B404</f>
        <v>17:00:00</v>
      </c>
      <c r="E406" s="67">
        <f>Predikcia!G404</f>
        <v>14987.5</v>
      </c>
      <c r="F406" s="68">
        <f>'DHS2025'!C403</f>
        <v>17994</v>
      </c>
      <c r="G406" s="69">
        <f>'DHS2025'!D403</f>
        <v>6763</v>
      </c>
      <c r="H406" s="86">
        <v>8</v>
      </c>
      <c r="I406" s="87">
        <f>'DHS2025'!E403/1000</f>
        <v>8.0500000000000007</v>
      </c>
      <c r="J406" s="50">
        <f>Predikcia!R404</f>
        <v>225.43</v>
      </c>
      <c r="K406" s="48">
        <f t="shared" si="6"/>
        <v>1781.2693850000001</v>
      </c>
      <c r="M406" s="11">
        <f>Predikcia!K404</f>
        <v>5</v>
      </c>
      <c r="N406" s="11">
        <v>8</v>
      </c>
    </row>
    <row r="407" spans="3:14" ht="15.75" thickBot="1">
      <c r="C407" s="103">
        <f>Predikcia!A405</f>
        <v>45705</v>
      </c>
      <c r="D407" s="42" t="str">
        <f>Predikcia!B405</f>
        <v>18:00:00</v>
      </c>
      <c r="E407" s="67">
        <f>Predikcia!G405</f>
        <v>15223.25</v>
      </c>
      <c r="F407" s="68">
        <f>'DHS2025'!C404</f>
        <v>19792</v>
      </c>
      <c r="G407" s="69">
        <f>'DHS2025'!D404</f>
        <v>4357</v>
      </c>
      <c r="H407" s="86">
        <v>8</v>
      </c>
      <c r="I407" s="87">
        <f>'DHS2025'!E404/1000</f>
        <v>8.0579999999999998</v>
      </c>
      <c r="J407" s="50">
        <f>Predikcia!R405</f>
        <v>271.07</v>
      </c>
      <c r="K407" s="48">
        <f t="shared" si="6"/>
        <v>2147.1290394000002</v>
      </c>
      <c r="M407" s="11">
        <f>Predikcia!K405</f>
        <v>5</v>
      </c>
      <c r="N407" s="11">
        <v>8</v>
      </c>
    </row>
    <row r="408" spans="3:14" ht="15.75" thickBot="1">
      <c r="C408" s="103">
        <f>Predikcia!A406</f>
        <v>45705</v>
      </c>
      <c r="D408" s="42" t="str">
        <f>Predikcia!B406</f>
        <v>19:00:00</v>
      </c>
      <c r="E408" s="67">
        <f>Predikcia!G406</f>
        <v>15270.25</v>
      </c>
      <c r="F408" s="68">
        <f>'DHS2025'!C405</f>
        <v>22313</v>
      </c>
      <c r="G408" s="69">
        <f>'DHS2025'!D405</f>
        <v>3399</v>
      </c>
      <c r="H408" s="86">
        <v>8</v>
      </c>
      <c r="I408" s="87">
        <f>'DHS2025'!E405/1000</f>
        <v>8.0540000000000003</v>
      </c>
      <c r="J408" s="50">
        <f>Predikcia!R406</f>
        <v>217.09</v>
      </c>
      <c r="K408" s="48">
        <f t="shared" si="6"/>
        <v>1715.6558314000001</v>
      </c>
      <c r="M408" s="11">
        <f>Predikcia!K406</f>
        <v>5</v>
      </c>
      <c r="N408" s="11">
        <v>8</v>
      </c>
    </row>
    <row r="409" spans="3:14" ht="15.75" thickBot="1">
      <c r="C409" s="103">
        <f>Predikcia!A407</f>
        <v>45705</v>
      </c>
      <c r="D409" s="42" t="str">
        <f>Predikcia!B407</f>
        <v>20:00:00</v>
      </c>
      <c r="E409" s="67">
        <f>Predikcia!G407</f>
        <v>15421</v>
      </c>
      <c r="F409" s="68">
        <f>'DHS2025'!C406</f>
        <v>21358</v>
      </c>
      <c r="G409" s="69">
        <f>'DHS2025'!D406</f>
        <v>4476</v>
      </c>
      <c r="H409" s="86">
        <v>8</v>
      </c>
      <c r="I409" s="87">
        <f>'DHS2025'!E406/1000</f>
        <v>8.0630000000000006</v>
      </c>
      <c r="J409" s="50">
        <f>Predikcia!R407</f>
        <v>179.71</v>
      </c>
      <c r="K409" s="48">
        <f t="shared" si="6"/>
        <v>1419.1920127000001</v>
      </c>
      <c r="M409" s="11">
        <f>Predikcia!K407</f>
        <v>5</v>
      </c>
      <c r="N409" s="11">
        <v>8</v>
      </c>
    </row>
    <row r="410" spans="3:14" ht="15.75" thickBot="1">
      <c r="C410" s="103">
        <f>Predikcia!A408</f>
        <v>45705</v>
      </c>
      <c r="D410" s="42" t="str">
        <f>Predikcia!B408</f>
        <v>21:00:00</v>
      </c>
      <c r="E410" s="67">
        <f>Predikcia!G408</f>
        <v>14640.5</v>
      </c>
      <c r="F410" s="68">
        <f>'DHS2025'!C407</f>
        <v>21001</v>
      </c>
      <c r="G410" s="69">
        <f>'DHS2025'!D407</f>
        <v>4706</v>
      </c>
      <c r="H410" s="86">
        <v>8</v>
      </c>
      <c r="I410" s="87">
        <f>'DHS2025'!E407/1000</f>
        <v>8.0540000000000003</v>
      </c>
      <c r="J410" s="50">
        <f>Predikcia!R408</f>
        <v>172.18</v>
      </c>
      <c r="K410" s="48">
        <f t="shared" si="6"/>
        <v>1357.5677428000001</v>
      </c>
      <c r="M410" s="11">
        <f>Predikcia!K408</f>
        <v>5</v>
      </c>
      <c r="N410" s="11">
        <v>8</v>
      </c>
    </row>
    <row r="411" spans="3:14" ht="15.75" thickBot="1">
      <c r="C411" s="103">
        <f>Predikcia!A409</f>
        <v>45705</v>
      </c>
      <c r="D411" s="42" t="str">
        <f>Predikcia!B409</f>
        <v>22:00:00</v>
      </c>
      <c r="E411" s="67">
        <f>Predikcia!G409</f>
        <v>13364</v>
      </c>
      <c r="F411" s="68">
        <f>'DHS2025'!C408</f>
        <v>16772</v>
      </c>
      <c r="G411" s="69">
        <f>'DHS2025'!D408</f>
        <v>7692</v>
      </c>
      <c r="H411" s="86">
        <v>8</v>
      </c>
      <c r="I411" s="87">
        <f>'DHS2025'!E408/1000</f>
        <v>8.0299999999999994</v>
      </c>
      <c r="J411" s="50">
        <f>Predikcia!R409</f>
        <v>177.19</v>
      </c>
      <c r="K411" s="48">
        <f t="shared" si="6"/>
        <v>1393.3503429999998</v>
      </c>
      <c r="M411" s="11">
        <f>Predikcia!K409</f>
        <v>5</v>
      </c>
      <c r="N411" s="11">
        <v>8</v>
      </c>
    </row>
    <row r="412" spans="3:14" ht="15.75" thickBot="1">
      <c r="C412" s="107">
        <f>Predikcia!A410</f>
        <v>45705</v>
      </c>
      <c r="D412" s="46" t="str">
        <f>Predikcia!B410</f>
        <v>23:00:00</v>
      </c>
      <c r="E412" s="70">
        <f>Predikcia!G410</f>
        <v>7442.5</v>
      </c>
      <c r="F412" s="71">
        <f>'DHS2025'!C409</f>
        <v>11588</v>
      </c>
      <c r="G412" s="72">
        <f>'DHS2025'!D409</f>
        <v>13429</v>
      </c>
      <c r="H412" s="88">
        <v>8</v>
      </c>
      <c r="I412" s="87">
        <f>'DHS2025'!E409/1000</f>
        <v>8.032</v>
      </c>
      <c r="J412" s="50">
        <f>Predikcia!R410</f>
        <v>159.83000000000001</v>
      </c>
      <c r="K412" s="48">
        <f t="shared" si="6"/>
        <v>1255.6562144000002</v>
      </c>
      <c r="M412" s="11">
        <f>Predikcia!K410</f>
        <v>3</v>
      </c>
      <c r="N412" s="11">
        <v>8</v>
      </c>
    </row>
    <row r="413" spans="3:14" ht="15.75" thickBot="1">
      <c r="C413" s="104">
        <f>Predikcia!A411</f>
        <v>45706</v>
      </c>
      <c r="D413" s="43" t="str">
        <f>Predikcia!B411</f>
        <v>00:00:00</v>
      </c>
      <c r="E413" s="64">
        <f>Predikcia!G411</f>
        <v>6900.5</v>
      </c>
      <c r="F413" s="65">
        <f>'DHS2025'!C410</f>
        <v>13542</v>
      </c>
      <c r="G413" s="66">
        <f>'DHS2025'!D410</f>
        <v>10809</v>
      </c>
      <c r="H413" s="84">
        <v>8</v>
      </c>
      <c r="I413" s="85">
        <f>'DHS2025'!E410/1000</f>
        <v>8.0419999999999998</v>
      </c>
      <c r="J413" s="50">
        <f>Predikcia!R411</f>
        <v>138.03</v>
      </c>
      <c r="K413" s="48">
        <f t="shared" si="6"/>
        <v>1083.6570873999999</v>
      </c>
      <c r="M413" s="11">
        <f>Predikcia!K411</f>
        <v>3</v>
      </c>
      <c r="N413" s="11">
        <v>8</v>
      </c>
    </row>
    <row r="414" spans="3:14" ht="15.75" thickBot="1">
      <c r="C414" s="105">
        <f>Predikcia!A412</f>
        <v>45706</v>
      </c>
      <c r="D414" s="44" t="str">
        <f>Predikcia!B412</f>
        <v>01:00:00</v>
      </c>
      <c r="E414" s="67">
        <f>Predikcia!G412</f>
        <v>8239.75</v>
      </c>
      <c r="F414" s="68">
        <f>'DHS2025'!C411</f>
        <v>17263</v>
      </c>
      <c r="G414" s="69">
        <f>'DHS2025'!D411</f>
        <v>8497</v>
      </c>
      <c r="H414" s="86">
        <v>8</v>
      </c>
      <c r="I414" s="87">
        <f>'DHS2025'!E411/1000</f>
        <v>8.0030000000000001</v>
      </c>
      <c r="J414" s="50">
        <f>Predikcia!R412</f>
        <v>139.27000000000001</v>
      </c>
      <c r="K414" s="48">
        <f t="shared" si="6"/>
        <v>1088.2263319000001</v>
      </c>
      <c r="M414" s="11">
        <f>Predikcia!K412</f>
        <v>4</v>
      </c>
      <c r="N414" s="11">
        <v>8</v>
      </c>
    </row>
    <row r="415" spans="3:14" ht="15.75" thickBot="1">
      <c r="C415" s="105">
        <f>Predikcia!A413</f>
        <v>45706</v>
      </c>
      <c r="D415" s="44" t="str">
        <f>Predikcia!B413</f>
        <v>02:00:00</v>
      </c>
      <c r="E415" s="67">
        <f>Predikcia!G413</f>
        <v>8568.75</v>
      </c>
      <c r="F415" s="68">
        <f>'DHS2025'!C412</f>
        <v>17498</v>
      </c>
      <c r="G415" s="69">
        <f>'DHS2025'!D412</f>
        <v>7621</v>
      </c>
      <c r="H415" s="86">
        <v>8</v>
      </c>
      <c r="I415" s="87">
        <f>'DHS2025'!E412/1000</f>
        <v>8.0410000000000004</v>
      </c>
      <c r="J415" s="50">
        <f>Predikcia!R413</f>
        <v>126.76</v>
      </c>
      <c r="K415" s="48">
        <f t="shared" si="6"/>
        <v>993.80648840000003</v>
      </c>
      <c r="M415" s="11">
        <f>Predikcia!K413</f>
        <v>4</v>
      </c>
      <c r="N415" s="11">
        <v>4</v>
      </c>
    </row>
    <row r="416" spans="3:14" ht="15.75" thickBot="1">
      <c r="C416" s="105">
        <f>Predikcia!A414</f>
        <v>45706</v>
      </c>
      <c r="D416" s="44" t="str">
        <f>Predikcia!B414</f>
        <v>03:00:00</v>
      </c>
      <c r="E416" s="67">
        <f>Predikcia!G414</f>
        <v>9445.25</v>
      </c>
      <c r="F416" s="68">
        <f>'DHS2025'!C413</f>
        <v>17183</v>
      </c>
      <c r="G416" s="69">
        <f>'DHS2025'!D413</f>
        <v>8333</v>
      </c>
      <c r="H416" s="86">
        <v>8</v>
      </c>
      <c r="I416" s="87">
        <f>'DHS2025'!E413/1000</f>
        <v>7.9850000000000003</v>
      </c>
      <c r="J416" s="50">
        <f>Predikcia!R414</f>
        <v>130</v>
      </c>
      <c r="K416" s="48">
        <f t="shared" si="6"/>
        <v>1012.4979999999999</v>
      </c>
      <c r="M416" s="11">
        <f>Predikcia!K414</f>
        <v>4</v>
      </c>
      <c r="N416" s="11">
        <v>4.9000000000000004</v>
      </c>
    </row>
    <row r="417" spans="3:14" ht="15.75" thickBot="1">
      <c r="C417" s="105">
        <f>Predikcia!A415</f>
        <v>45706</v>
      </c>
      <c r="D417" s="44" t="str">
        <f>Predikcia!B415</f>
        <v>04:00:00</v>
      </c>
      <c r="E417" s="67">
        <f>Predikcia!G415</f>
        <v>14681.5</v>
      </c>
      <c r="F417" s="68">
        <f>'DHS2025'!C414</f>
        <v>22279</v>
      </c>
      <c r="G417" s="69">
        <f>'DHS2025'!D414</f>
        <v>3478</v>
      </c>
      <c r="H417" s="86">
        <v>8</v>
      </c>
      <c r="I417" s="87">
        <f>'DHS2025'!E414/1000</f>
        <v>8.0410000000000004</v>
      </c>
      <c r="J417" s="50">
        <f>Predikcia!R415</f>
        <v>140.71</v>
      </c>
      <c r="K417" s="48">
        <f t="shared" si="6"/>
        <v>1104.8567189</v>
      </c>
      <c r="M417" s="11">
        <f>Predikcia!K415</f>
        <v>5</v>
      </c>
      <c r="N417" s="11">
        <v>8</v>
      </c>
    </row>
    <row r="418" spans="3:14" ht="15.75" thickBot="1">
      <c r="C418" s="105">
        <f>Predikcia!A416</f>
        <v>45706</v>
      </c>
      <c r="D418" s="44" t="str">
        <f>Predikcia!B416</f>
        <v>05:00:00</v>
      </c>
      <c r="E418" s="67">
        <f>Predikcia!G416</f>
        <v>16089</v>
      </c>
      <c r="F418" s="68">
        <f>'DHS2025'!C415</f>
        <v>19254</v>
      </c>
      <c r="G418" s="69">
        <f>'DHS2025'!D415</f>
        <v>6179</v>
      </c>
      <c r="H418" s="86">
        <v>8</v>
      </c>
      <c r="I418" s="87">
        <f>'DHS2025'!E415/1000</f>
        <v>8.0410000000000004</v>
      </c>
      <c r="J418" s="50">
        <f>Predikcia!R416</f>
        <v>186.63</v>
      </c>
      <c r="K418" s="48">
        <f t="shared" si="6"/>
        <v>1470.4070117000001</v>
      </c>
      <c r="M418" s="11">
        <f>Predikcia!K416</f>
        <v>6</v>
      </c>
      <c r="N418" s="11">
        <v>8</v>
      </c>
    </row>
    <row r="419" spans="3:14" ht="15.75" thickBot="1">
      <c r="C419" s="105">
        <f>Predikcia!A417</f>
        <v>45706</v>
      </c>
      <c r="D419" s="44" t="str">
        <f>Predikcia!B417</f>
        <v>06:00:00</v>
      </c>
      <c r="E419" s="67">
        <f>Predikcia!G417</f>
        <v>17019.75</v>
      </c>
      <c r="F419" s="68">
        <f>'DHS2025'!C416</f>
        <v>19928</v>
      </c>
      <c r="G419" s="69">
        <f>'DHS2025'!D416</f>
        <v>5829</v>
      </c>
      <c r="H419" s="86">
        <v>8</v>
      </c>
      <c r="I419" s="87">
        <f>'DHS2025'!E416/1000</f>
        <v>8.0289999999999999</v>
      </c>
      <c r="J419" s="50">
        <f>Predikcia!R417</f>
        <v>240.04</v>
      </c>
      <c r="K419" s="48">
        <f t="shared" si="6"/>
        <v>1892.7532483999998</v>
      </c>
      <c r="M419" s="11">
        <f>Predikcia!K417</f>
        <v>6</v>
      </c>
      <c r="N419" s="11">
        <v>8</v>
      </c>
    </row>
    <row r="420" spans="3:14" ht="15.75" thickBot="1">
      <c r="C420" s="105">
        <f>Predikcia!A418</f>
        <v>45706</v>
      </c>
      <c r="D420" s="44" t="str">
        <f>Predikcia!B418</f>
        <v>07:00:00</v>
      </c>
      <c r="E420" s="67">
        <f>Predikcia!G418</f>
        <v>15385.5</v>
      </c>
      <c r="F420" s="68">
        <f>'DHS2025'!C417</f>
        <v>19617</v>
      </c>
      <c r="G420" s="69">
        <f>'DHS2025'!D417</f>
        <v>5341</v>
      </c>
      <c r="H420" s="86">
        <v>8</v>
      </c>
      <c r="I420" s="87">
        <f>'DHS2025'!E417/1000</f>
        <v>8.0719999999999992</v>
      </c>
      <c r="J420" s="50">
        <f>Predikcia!R418</f>
        <v>350</v>
      </c>
      <c r="K420" s="48">
        <f t="shared" si="6"/>
        <v>2781.6111999999998</v>
      </c>
      <c r="M420" s="11">
        <f>Predikcia!K418</f>
        <v>5</v>
      </c>
      <c r="N420" s="11">
        <v>8</v>
      </c>
    </row>
    <row r="421" spans="3:14" ht="15.75" thickBot="1">
      <c r="C421" s="105">
        <f>Predikcia!A419</f>
        <v>45706</v>
      </c>
      <c r="D421" s="44" t="str">
        <f>Predikcia!B419</f>
        <v>08:00:00</v>
      </c>
      <c r="E421" s="67">
        <f>Predikcia!G419</f>
        <v>14730.75</v>
      </c>
      <c r="F421" s="68">
        <f>'DHS2025'!C418</f>
        <v>19956</v>
      </c>
      <c r="G421" s="69">
        <f>'DHS2025'!D418</f>
        <v>5686</v>
      </c>
      <c r="H421" s="86">
        <v>8</v>
      </c>
      <c r="I421" s="87">
        <f>'DHS2025'!E418/1000</f>
        <v>8.0640000000000001</v>
      </c>
      <c r="J421" s="50">
        <f>Predikcia!R419</f>
        <v>193.8</v>
      </c>
      <c r="K421" s="48">
        <f t="shared" si="6"/>
        <v>1531.8535680000002</v>
      </c>
      <c r="M421" s="11">
        <f>Predikcia!K419</f>
        <v>5</v>
      </c>
      <c r="N421" s="11">
        <v>8</v>
      </c>
    </row>
    <row r="422" spans="3:14" ht="15.75" thickBot="1">
      <c r="C422" s="105">
        <f>Predikcia!A420</f>
        <v>45706</v>
      </c>
      <c r="D422" s="44" t="str">
        <f>Predikcia!B420</f>
        <v>09:00:00</v>
      </c>
      <c r="E422" s="67">
        <f>Predikcia!G420</f>
        <v>13966.25</v>
      </c>
      <c r="F422" s="68">
        <f>'DHS2025'!C419</f>
        <v>19494</v>
      </c>
      <c r="G422" s="69">
        <f>'DHS2025'!D419</f>
        <v>5106</v>
      </c>
      <c r="H422" s="86">
        <v>8</v>
      </c>
      <c r="I422" s="87">
        <f>'DHS2025'!E419/1000</f>
        <v>8.0619999999999994</v>
      </c>
      <c r="J422" s="50">
        <f>Predikcia!R420</f>
        <v>173.49</v>
      </c>
      <c r="K422" s="48">
        <f t="shared" si="6"/>
        <v>1369.3718161999998</v>
      </c>
      <c r="M422" s="11">
        <f>Predikcia!K420</f>
        <v>5</v>
      </c>
      <c r="N422" s="11">
        <v>8</v>
      </c>
    </row>
    <row r="423" spans="3:14" ht="15.75" thickBot="1">
      <c r="C423" s="105">
        <f>Predikcia!A421</f>
        <v>45706</v>
      </c>
      <c r="D423" s="44" t="str">
        <f>Predikcia!B421</f>
        <v>10:00:00</v>
      </c>
      <c r="E423" s="67">
        <f>Predikcia!G421</f>
        <v>13944.25</v>
      </c>
      <c r="F423" s="68">
        <f>'DHS2025'!C420</f>
        <v>17490</v>
      </c>
      <c r="G423" s="69">
        <f>'DHS2025'!D420</f>
        <v>7747</v>
      </c>
      <c r="H423" s="86">
        <v>8</v>
      </c>
      <c r="I423" s="87">
        <f>'DHS2025'!E420/1000</f>
        <v>8.0519999999999996</v>
      </c>
      <c r="J423" s="50">
        <f>Predikcia!R421</f>
        <v>163.07</v>
      </c>
      <c r="K423" s="48">
        <f t="shared" si="6"/>
        <v>1284.6104435999998</v>
      </c>
      <c r="M423" s="11">
        <f>Predikcia!K421</f>
        <v>5</v>
      </c>
      <c r="N423" s="11">
        <v>8</v>
      </c>
    </row>
    <row r="424" spans="3:14" ht="15.75" thickBot="1">
      <c r="C424" s="105">
        <f>Predikcia!A422</f>
        <v>45706</v>
      </c>
      <c r="D424" s="44" t="str">
        <f>Predikcia!B422</f>
        <v>11:00:00</v>
      </c>
      <c r="E424" s="67">
        <f>Predikcia!G422</f>
        <v>13379.75</v>
      </c>
      <c r="F424" s="68">
        <f>'DHS2025'!C421</f>
        <v>14608</v>
      </c>
      <c r="G424" s="69">
        <f>'DHS2025'!D421</f>
        <v>9650</v>
      </c>
      <c r="H424" s="86">
        <v>8</v>
      </c>
      <c r="I424" s="87">
        <f>'DHS2025'!E421/1000</f>
        <v>8.0459999999999994</v>
      </c>
      <c r="J424" s="50">
        <f>Predikcia!R422</f>
        <v>160.93</v>
      </c>
      <c r="K424" s="48">
        <f t="shared" si="6"/>
        <v>1266.6069522</v>
      </c>
      <c r="M424" s="11">
        <f>Predikcia!K422</f>
        <v>5</v>
      </c>
      <c r="N424" s="11">
        <v>8</v>
      </c>
    </row>
    <row r="425" spans="3:14" ht="15.75" thickBot="1">
      <c r="C425" s="105">
        <f>Predikcia!A423</f>
        <v>45706</v>
      </c>
      <c r="D425" s="44" t="str">
        <f>Predikcia!B423</f>
        <v>12:00:00</v>
      </c>
      <c r="E425" s="67">
        <f>Predikcia!G423</f>
        <v>14082</v>
      </c>
      <c r="F425" s="68">
        <f>'DHS2025'!C422</f>
        <v>14999</v>
      </c>
      <c r="G425" s="69">
        <f>'DHS2025'!D422</f>
        <v>8236</v>
      </c>
      <c r="H425" s="86">
        <v>8</v>
      </c>
      <c r="I425" s="87">
        <f>'DHS2025'!E422/1000</f>
        <v>8.0419999999999998</v>
      </c>
      <c r="J425" s="50">
        <f>Predikcia!R423</f>
        <v>168.82</v>
      </c>
      <c r="K425" s="48">
        <f t="shared" si="6"/>
        <v>1328.7941355999999</v>
      </c>
      <c r="M425" s="11">
        <f>Predikcia!K423</f>
        <v>5</v>
      </c>
      <c r="N425" s="11">
        <v>8</v>
      </c>
    </row>
    <row r="426" spans="3:14" ht="15.75" thickBot="1">
      <c r="C426" s="105">
        <f>Predikcia!A424</f>
        <v>45706</v>
      </c>
      <c r="D426" s="44" t="str">
        <f>Predikcia!B424</f>
        <v>13:00:00</v>
      </c>
      <c r="E426" s="67">
        <f>Predikcia!G424</f>
        <v>13403</v>
      </c>
      <c r="F426" s="68">
        <f>'DHS2025'!C423</f>
        <v>16234</v>
      </c>
      <c r="G426" s="69">
        <f>'DHS2025'!D423</f>
        <v>8053</v>
      </c>
      <c r="H426" s="86">
        <v>8</v>
      </c>
      <c r="I426" s="87">
        <f>'DHS2025'!E423/1000</f>
        <v>8.0589999999999993</v>
      </c>
      <c r="J426" s="50">
        <f>Predikcia!R424</f>
        <v>197.91</v>
      </c>
      <c r="K426" s="48">
        <f t="shared" si="6"/>
        <v>1563.6950230999998</v>
      </c>
      <c r="M426" s="11">
        <f>Predikcia!K424</f>
        <v>5</v>
      </c>
      <c r="N426" s="11">
        <v>8</v>
      </c>
    </row>
    <row r="427" spans="3:14" ht="15.75" thickBot="1">
      <c r="C427" s="105">
        <f>Predikcia!A425</f>
        <v>45706</v>
      </c>
      <c r="D427" s="44" t="str">
        <f>Predikcia!B425</f>
        <v>14:00:00</v>
      </c>
      <c r="E427" s="67">
        <f>Predikcia!G425</f>
        <v>12808.5</v>
      </c>
      <c r="F427" s="68">
        <f>'DHS2025'!C424</f>
        <v>16737</v>
      </c>
      <c r="G427" s="69">
        <f>'DHS2025'!D424</f>
        <v>7169</v>
      </c>
      <c r="H427" s="86">
        <v>8</v>
      </c>
      <c r="I427" s="87">
        <f>'DHS2025'!E424/1000</f>
        <v>8.0549999999999997</v>
      </c>
      <c r="J427" s="50">
        <f>Predikcia!R425</f>
        <v>194.8</v>
      </c>
      <c r="K427" s="48">
        <f t="shared" si="6"/>
        <v>1538.1183599999999</v>
      </c>
      <c r="M427" s="11">
        <f>Predikcia!K425</f>
        <v>5</v>
      </c>
      <c r="N427" s="11">
        <v>8</v>
      </c>
    </row>
    <row r="428" spans="3:14" ht="15.75" thickBot="1">
      <c r="C428" s="105">
        <f>Predikcia!A426</f>
        <v>45706</v>
      </c>
      <c r="D428" s="44" t="str">
        <f>Predikcia!B426</f>
        <v>15:00:00</v>
      </c>
      <c r="E428" s="67">
        <f>Predikcia!G426</f>
        <v>12951.75</v>
      </c>
      <c r="F428" s="68">
        <f>'DHS2025'!C425</f>
        <v>16497</v>
      </c>
      <c r="G428" s="69">
        <f>'DHS2025'!D425</f>
        <v>7364</v>
      </c>
      <c r="H428" s="86">
        <v>8</v>
      </c>
      <c r="I428" s="87">
        <f>'DHS2025'!E425/1000</f>
        <v>8.0660000000000007</v>
      </c>
      <c r="J428" s="50">
        <f>Predikcia!R426</f>
        <v>188.36</v>
      </c>
      <c r="K428" s="48">
        <f t="shared" si="6"/>
        <v>1488.7932424000003</v>
      </c>
      <c r="M428" s="11">
        <f>Predikcia!K426</f>
        <v>5</v>
      </c>
      <c r="N428" s="11">
        <v>8</v>
      </c>
    </row>
    <row r="429" spans="3:14" ht="15.75" thickBot="1">
      <c r="C429" s="105">
        <f>Predikcia!A427</f>
        <v>45706</v>
      </c>
      <c r="D429" s="44" t="str">
        <f>Predikcia!B427</f>
        <v>16:00:00</v>
      </c>
      <c r="E429" s="67">
        <f>Predikcia!G427</f>
        <v>13063.25</v>
      </c>
      <c r="F429" s="68">
        <f>'DHS2025'!C426</f>
        <v>17202</v>
      </c>
      <c r="G429" s="69">
        <f>'DHS2025'!D426</f>
        <v>7949</v>
      </c>
      <c r="H429" s="86">
        <v>8</v>
      </c>
      <c r="I429" s="87">
        <f>'DHS2025'!E426/1000</f>
        <v>8.0540000000000003</v>
      </c>
      <c r="J429" s="50">
        <f>Predikcia!R427</f>
        <v>399.05</v>
      </c>
      <c r="K429" s="48">
        <f t="shared" si="6"/>
        <v>3166.5066130000005</v>
      </c>
      <c r="M429" s="11">
        <f>Predikcia!K427</f>
        <v>5</v>
      </c>
      <c r="N429" s="11">
        <v>8</v>
      </c>
    </row>
    <row r="430" spans="3:14" ht="15.75" thickBot="1">
      <c r="C430" s="105">
        <f>Predikcia!A428</f>
        <v>45706</v>
      </c>
      <c r="D430" s="44" t="str">
        <f>Predikcia!B428</f>
        <v>17:00:00</v>
      </c>
      <c r="E430" s="67">
        <f>Predikcia!G428</f>
        <v>13981.5</v>
      </c>
      <c r="F430" s="68">
        <f>'DHS2025'!C427</f>
        <v>19610</v>
      </c>
      <c r="G430" s="69">
        <f>'DHS2025'!D427</f>
        <v>5165</v>
      </c>
      <c r="H430" s="86">
        <v>8</v>
      </c>
      <c r="I430" s="87">
        <f>'DHS2025'!E427/1000</f>
        <v>8.0530000000000008</v>
      </c>
      <c r="J430" s="50">
        <f>Predikcia!R428</f>
        <v>223.6</v>
      </c>
      <c r="K430" s="48">
        <f t="shared" si="6"/>
        <v>1767.3435920000002</v>
      </c>
      <c r="M430" s="11">
        <f>Predikcia!K428</f>
        <v>5</v>
      </c>
      <c r="N430" s="11">
        <v>8</v>
      </c>
    </row>
    <row r="431" spans="3:14" ht="15.75" thickBot="1">
      <c r="C431" s="105">
        <f>Predikcia!A429</f>
        <v>45706</v>
      </c>
      <c r="D431" s="44" t="str">
        <f>Predikcia!B429</f>
        <v>18:00:00</v>
      </c>
      <c r="E431" s="67">
        <f>Predikcia!G429</f>
        <v>14547</v>
      </c>
      <c r="F431" s="68">
        <f>'DHS2025'!C428</f>
        <v>20173</v>
      </c>
      <c r="G431" s="69">
        <f>'DHS2025'!D428</f>
        <v>3926</v>
      </c>
      <c r="H431" s="86">
        <v>8</v>
      </c>
      <c r="I431" s="87">
        <f>'DHS2025'!E428/1000</f>
        <v>8.0570000000000004</v>
      </c>
      <c r="J431" s="50">
        <f>Predikcia!R429</f>
        <v>145.34</v>
      </c>
      <c r="K431" s="48">
        <f t="shared" si="6"/>
        <v>1143.9860362000002</v>
      </c>
      <c r="M431" s="11">
        <f>Predikcia!K429</f>
        <v>5</v>
      </c>
      <c r="N431" s="11">
        <v>8</v>
      </c>
    </row>
    <row r="432" spans="3:14" ht="15.75" thickBot="1">
      <c r="C432" s="105">
        <f>Predikcia!A430</f>
        <v>45706</v>
      </c>
      <c r="D432" s="44" t="str">
        <f>Predikcia!B430</f>
        <v>19:00:00</v>
      </c>
      <c r="E432" s="67">
        <f>Predikcia!G430</f>
        <v>15053.25</v>
      </c>
      <c r="F432" s="68">
        <f>'DHS2025'!C429</f>
        <v>21321</v>
      </c>
      <c r="G432" s="69">
        <f>'DHS2025'!D429</f>
        <v>3616</v>
      </c>
      <c r="H432" s="86">
        <v>8</v>
      </c>
      <c r="I432" s="87">
        <f>'DHS2025'!E429/1000</f>
        <v>8.0540000000000003</v>
      </c>
      <c r="J432" s="50">
        <f>Predikcia!R430</f>
        <v>187.37</v>
      </c>
      <c r="K432" s="48">
        <f t="shared" si="6"/>
        <v>1478.6846002</v>
      </c>
      <c r="M432" s="11">
        <f>Predikcia!K430</f>
        <v>5</v>
      </c>
      <c r="N432" s="11">
        <v>8</v>
      </c>
    </row>
    <row r="433" spans="3:14" ht="15.75" thickBot="1">
      <c r="C433" s="105">
        <f>Predikcia!A431</f>
        <v>45706</v>
      </c>
      <c r="D433" s="44" t="str">
        <f>Predikcia!B431</f>
        <v>20:00:00</v>
      </c>
      <c r="E433" s="67">
        <f>Predikcia!G431</f>
        <v>14768.5</v>
      </c>
      <c r="F433" s="68">
        <f>'DHS2025'!C430</f>
        <v>21012</v>
      </c>
      <c r="G433" s="69">
        <f>'DHS2025'!D430</f>
        <v>3086</v>
      </c>
      <c r="H433" s="86">
        <v>8</v>
      </c>
      <c r="I433" s="87">
        <f>'DHS2025'!E430/1000</f>
        <v>8.0510000000000002</v>
      </c>
      <c r="J433" s="50">
        <f>Predikcia!R431</f>
        <v>194</v>
      </c>
      <c r="K433" s="48">
        <f t="shared" si="6"/>
        <v>1530.9781599999999</v>
      </c>
      <c r="M433" s="11">
        <f>Predikcia!K431</f>
        <v>5</v>
      </c>
      <c r="N433" s="11">
        <v>8</v>
      </c>
    </row>
    <row r="434" spans="3:14" ht="15.75" thickBot="1">
      <c r="C434" s="105">
        <f>Predikcia!A432</f>
        <v>45706</v>
      </c>
      <c r="D434" s="44" t="str">
        <f>Predikcia!B432</f>
        <v>21:00:00</v>
      </c>
      <c r="E434" s="67">
        <f>Predikcia!G432</f>
        <v>14564</v>
      </c>
      <c r="F434" s="68">
        <f>'DHS2025'!C431</f>
        <v>20731</v>
      </c>
      <c r="G434" s="69">
        <f>'DHS2025'!D431</f>
        <v>4229</v>
      </c>
      <c r="H434" s="86">
        <v>8</v>
      </c>
      <c r="I434" s="87">
        <f>'DHS2025'!E431/1000</f>
        <v>8.0559999999999992</v>
      </c>
      <c r="J434" s="50">
        <f>Predikcia!R432</f>
        <v>193</v>
      </c>
      <c r="K434" s="48">
        <f t="shared" si="6"/>
        <v>1523.9535199999998</v>
      </c>
      <c r="M434" s="11">
        <f>Predikcia!K432</f>
        <v>5</v>
      </c>
      <c r="N434" s="11">
        <v>8</v>
      </c>
    </row>
    <row r="435" spans="3:14" ht="15.75" thickBot="1">
      <c r="C435" s="105">
        <f>Predikcia!A433</f>
        <v>45706</v>
      </c>
      <c r="D435" s="44" t="str">
        <f>Predikcia!B433</f>
        <v>22:00:00</v>
      </c>
      <c r="E435" s="67">
        <f>Predikcia!G433</f>
        <v>12491.75</v>
      </c>
      <c r="F435" s="68">
        <f>'DHS2025'!C432</f>
        <v>17094</v>
      </c>
      <c r="G435" s="69">
        <f>'DHS2025'!D432</f>
        <v>7408</v>
      </c>
      <c r="H435" s="86">
        <v>8</v>
      </c>
      <c r="I435" s="87">
        <f>'DHS2025'!E432/1000</f>
        <v>8.0649999999999995</v>
      </c>
      <c r="J435" s="50">
        <f>Predikcia!R433</f>
        <v>148.6</v>
      </c>
      <c r="K435" s="48">
        <f t="shared" si="6"/>
        <v>1171.1509099999998</v>
      </c>
      <c r="M435" s="11">
        <f>Predikcia!K433</f>
        <v>5</v>
      </c>
      <c r="N435" s="11">
        <v>8</v>
      </c>
    </row>
    <row r="436" spans="3:14" ht="15.75" thickBot="1">
      <c r="C436" s="106">
        <f>Predikcia!A434</f>
        <v>45706</v>
      </c>
      <c r="D436" s="45" t="str">
        <f>Predikcia!B434</f>
        <v>23:00:00</v>
      </c>
      <c r="E436" s="70">
        <f>Predikcia!G434</f>
        <v>8327</v>
      </c>
      <c r="F436" s="71">
        <f>'DHS2025'!C433</f>
        <v>9849</v>
      </c>
      <c r="G436" s="72">
        <f>'DHS2025'!D433</f>
        <v>14543</v>
      </c>
      <c r="H436" s="88">
        <v>8</v>
      </c>
      <c r="I436" s="87">
        <f>'DHS2025'!E433/1000</f>
        <v>8.0690000000000008</v>
      </c>
      <c r="J436" s="50">
        <f>Predikcia!R434</f>
        <v>164.48</v>
      </c>
      <c r="K436" s="48">
        <f t="shared" si="6"/>
        <v>1298.5861287999999</v>
      </c>
      <c r="M436" s="11">
        <f>Predikcia!K434</f>
        <v>4</v>
      </c>
      <c r="N436" s="11">
        <v>8</v>
      </c>
    </row>
    <row r="437" spans="3:14" ht="15.75" thickBot="1">
      <c r="C437" s="102">
        <f>Predikcia!A435</f>
        <v>45707</v>
      </c>
      <c r="D437" s="41" t="str">
        <f>Predikcia!B435</f>
        <v>00:00:00</v>
      </c>
      <c r="E437" s="64">
        <f>Predikcia!G435</f>
        <v>6082</v>
      </c>
      <c r="F437" s="65">
        <f>'DHS2025'!C434</f>
        <v>10746</v>
      </c>
      <c r="G437" s="66">
        <f>'DHS2025'!D434</f>
        <v>14067</v>
      </c>
      <c r="H437" s="84">
        <v>8</v>
      </c>
      <c r="I437" s="85">
        <f>'DHS2025'!E434/1000</f>
        <v>8.0790000000000006</v>
      </c>
      <c r="J437" s="50">
        <f>Predikcia!R435</f>
        <v>159.25</v>
      </c>
      <c r="K437" s="48">
        <f t="shared" si="6"/>
        <v>1258.3648425000001</v>
      </c>
      <c r="M437" s="11">
        <f>Predikcia!K435</f>
        <v>3</v>
      </c>
      <c r="N437" s="11">
        <v>8</v>
      </c>
    </row>
    <row r="438" spans="3:14" ht="15.75" thickBot="1">
      <c r="C438" s="103">
        <f>Predikcia!A436</f>
        <v>45707</v>
      </c>
      <c r="D438" s="42" t="str">
        <f>Predikcia!B436</f>
        <v>01:00:00</v>
      </c>
      <c r="E438" s="67">
        <f>Predikcia!G436</f>
        <v>8127.5</v>
      </c>
      <c r="F438" s="68">
        <f>'DHS2025'!C435</f>
        <v>11515</v>
      </c>
      <c r="G438" s="69">
        <f>'DHS2025'!D435</f>
        <v>13437</v>
      </c>
      <c r="H438" s="86">
        <v>8</v>
      </c>
      <c r="I438" s="87">
        <f>'DHS2025'!E435/1000</f>
        <v>8.0589999999999993</v>
      </c>
      <c r="J438" s="50">
        <f>Predikcia!R436</f>
        <v>154.06</v>
      </c>
      <c r="K438" s="48">
        <f t="shared" si="6"/>
        <v>1213.8417445999999</v>
      </c>
      <c r="M438" s="11">
        <f>Predikcia!K436</f>
        <v>4</v>
      </c>
      <c r="N438" s="11">
        <v>8</v>
      </c>
    </row>
    <row r="439" spans="3:14" ht="15.75" thickBot="1">
      <c r="C439" s="103">
        <f>Predikcia!A437</f>
        <v>45707</v>
      </c>
      <c r="D439" s="42" t="str">
        <f>Predikcia!B437</f>
        <v>02:00:00</v>
      </c>
      <c r="E439" s="67">
        <f>Predikcia!G437</f>
        <v>8357.25</v>
      </c>
      <c r="F439" s="68">
        <f>'DHS2025'!C436</f>
        <v>13082</v>
      </c>
      <c r="G439" s="69">
        <f>'DHS2025'!D436</f>
        <v>11349</v>
      </c>
      <c r="H439" s="86">
        <v>8</v>
      </c>
      <c r="I439" s="87">
        <f>'DHS2025'!E436/1000</f>
        <v>8.0519999999999996</v>
      </c>
      <c r="J439" s="50">
        <f>Predikcia!R437</f>
        <v>149.55000000000001</v>
      </c>
      <c r="K439" s="48">
        <f t="shared" si="6"/>
        <v>1176.8360340000002</v>
      </c>
      <c r="M439" s="11">
        <f>Predikcia!K437</f>
        <v>4</v>
      </c>
      <c r="N439" s="11">
        <v>8</v>
      </c>
    </row>
    <row r="440" spans="3:14" ht="15.75" thickBot="1">
      <c r="C440" s="103">
        <f>Predikcia!A438</f>
        <v>45707</v>
      </c>
      <c r="D440" s="42" t="str">
        <f>Predikcia!B438</f>
        <v>03:00:00</v>
      </c>
      <c r="E440" s="67">
        <f>Predikcia!G438</f>
        <v>9768</v>
      </c>
      <c r="F440" s="68">
        <f>'DHS2025'!C437</f>
        <v>13349</v>
      </c>
      <c r="G440" s="69">
        <f>'DHS2025'!D437</f>
        <v>11287</v>
      </c>
      <c r="H440" s="86">
        <v>8</v>
      </c>
      <c r="I440" s="87">
        <f>'DHS2025'!E437/1000</f>
        <v>8.0589999999999993</v>
      </c>
      <c r="J440" s="50">
        <f>Predikcia!R438</f>
        <v>147.41999999999999</v>
      </c>
      <c r="K440" s="48">
        <f t="shared" si="6"/>
        <v>1160.8651021999997</v>
      </c>
      <c r="M440" s="11">
        <f>Predikcia!K438</f>
        <v>4</v>
      </c>
      <c r="N440" s="11">
        <v>8</v>
      </c>
    </row>
    <row r="441" spans="3:14" ht="15.75" thickBot="1">
      <c r="C441" s="103">
        <f>Predikcia!A439</f>
        <v>45707</v>
      </c>
      <c r="D441" s="42" t="str">
        <f>Predikcia!B439</f>
        <v>04:00:00</v>
      </c>
      <c r="E441" s="67">
        <f>Predikcia!G439</f>
        <v>15089.25</v>
      </c>
      <c r="F441" s="68">
        <f>'DHS2025'!C438</f>
        <v>20820</v>
      </c>
      <c r="G441" s="69">
        <f>'DHS2025'!D438</f>
        <v>3875</v>
      </c>
      <c r="H441" s="86">
        <v>8</v>
      </c>
      <c r="I441" s="87">
        <f>'DHS2025'!E438/1000</f>
        <v>8.0139999999999993</v>
      </c>
      <c r="J441" s="50">
        <f>Predikcia!R439</f>
        <v>142.43</v>
      </c>
      <c r="K441" s="48">
        <f t="shared" si="6"/>
        <v>1114.7930798</v>
      </c>
      <c r="M441" s="11">
        <f>Predikcia!K439</f>
        <v>5</v>
      </c>
      <c r="N441" s="11">
        <v>8</v>
      </c>
    </row>
    <row r="442" spans="3:14" ht="15.75" thickBot="1">
      <c r="C442" s="103">
        <f>Predikcia!A440</f>
        <v>45707</v>
      </c>
      <c r="D442" s="42" t="str">
        <f>Predikcia!B440</f>
        <v>05:00:00</v>
      </c>
      <c r="E442" s="67">
        <f>Predikcia!G440</f>
        <v>15595.25</v>
      </c>
      <c r="F442" s="68">
        <f>'DHS2025'!C439</f>
        <v>22957</v>
      </c>
      <c r="G442" s="69">
        <f>'DHS2025'!D439</f>
        <v>2959</v>
      </c>
      <c r="H442" s="86">
        <v>8</v>
      </c>
      <c r="I442" s="87">
        <f>'DHS2025'!E439/1000</f>
        <v>8.0630000000000006</v>
      </c>
      <c r="J442" s="50">
        <f>Predikcia!R440</f>
        <v>153.83000000000001</v>
      </c>
      <c r="K442" s="48">
        <f t="shared" si="6"/>
        <v>1212.6082771000001</v>
      </c>
      <c r="M442" s="11">
        <f>Predikcia!K440</f>
        <v>5</v>
      </c>
      <c r="N442" s="11">
        <v>8</v>
      </c>
    </row>
    <row r="443" spans="3:14" ht="15.75" thickBot="1">
      <c r="C443" s="103">
        <f>Predikcia!A441</f>
        <v>45707</v>
      </c>
      <c r="D443" s="42" t="str">
        <f>Predikcia!B441</f>
        <v>06:00:00</v>
      </c>
      <c r="E443" s="67">
        <f>Predikcia!G441</f>
        <v>16093.25</v>
      </c>
      <c r="F443" s="68">
        <f>'DHS2025'!C440</f>
        <v>19408</v>
      </c>
      <c r="G443" s="69">
        <f>'DHS2025'!D440</f>
        <v>6100</v>
      </c>
      <c r="H443" s="86">
        <v>8</v>
      </c>
      <c r="I443" s="87">
        <f>'DHS2025'!E440/1000</f>
        <v>8.0839999999999996</v>
      </c>
      <c r="J443" s="50">
        <f>Predikcia!R441</f>
        <v>194.32</v>
      </c>
      <c r="K443" s="48">
        <f t="shared" si="6"/>
        <v>1539.8144511999999</v>
      </c>
      <c r="M443" s="11">
        <f>Predikcia!K441</f>
        <v>6</v>
      </c>
      <c r="N443" s="11">
        <v>8</v>
      </c>
    </row>
    <row r="444" spans="3:14" ht="15.75" thickBot="1">
      <c r="C444" s="103">
        <f>Predikcia!A442</f>
        <v>45707</v>
      </c>
      <c r="D444" s="42" t="str">
        <f>Predikcia!B442</f>
        <v>07:00:00</v>
      </c>
      <c r="E444" s="67">
        <f>Predikcia!G442</f>
        <v>15399.25</v>
      </c>
      <c r="F444" s="68">
        <f>'DHS2025'!C441</f>
        <v>18607</v>
      </c>
      <c r="G444" s="69">
        <f>'DHS2025'!D441</f>
        <v>5527</v>
      </c>
      <c r="H444" s="86">
        <v>8</v>
      </c>
      <c r="I444" s="87">
        <f>'DHS2025'!E441/1000</f>
        <v>8.06</v>
      </c>
      <c r="J444" s="50">
        <f>Predikcia!R442</f>
        <v>220</v>
      </c>
      <c r="K444" s="48">
        <f t="shared" si="6"/>
        <v>1740.1540000000002</v>
      </c>
      <c r="M444" s="11">
        <f>Predikcia!K442</f>
        <v>5</v>
      </c>
      <c r="N444" s="11">
        <v>8</v>
      </c>
    </row>
    <row r="445" spans="3:14" ht="15.75" thickBot="1">
      <c r="C445" s="103">
        <f>Predikcia!A443</f>
        <v>45707</v>
      </c>
      <c r="D445" s="42" t="str">
        <f>Predikcia!B443</f>
        <v>08:00:00</v>
      </c>
      <c r="E445" s="67">
        <f>Predikcia!G443</f>
        <v>14838.5</v>
      </c>
      <c r="F445" s="68">
        <f>'DHS2025'!C442</f>
        <v>19395</v>
      </c>
      <c r="G445" s="69">
        <f>'DHS2025'!D442</f>
        <v>5340</v>
      </c>
      <c r="H445" s="86">
        <v>8</v>
      </c>
      <c r="I445" s="87">
        <f>'DHS2025'!E442/1000</f>
        <v>8.08</v>
      </c>
      <c r="J445" s="50">
        <f>Predikcia!R443</f>
        <v>185.12</v>
      </c>
      <c r="K445" s="48">
        <f t="shared" si="6"/>
        <v>1465.4599040000001</v>
      </c>
      <c r="M445" s="11">
        <f>Predikcia!K443</f>
        <v>5</v>
      </c>
      <c r="N445" s="11">
        <v>8</v>
      </c>
    </row>
    <row r="446" spans="3:14" ht="15.75" thickBot="1">
      <c r="C446" s="103">
        <f>Predikcia!A444</f>
        <v>45707</v>
      </c>
      <c r="D446" s="42" t="str">
        <f>Predikcia!B444</f>
        <v>09:00:00</v>
      </c>
      <c r="E446" s="67">
        <f>Predikcia!G444</f>
        <v>14677.5</v>
      </c>
      <c r="F446" s="68">
        <f>'DHS2025'!C443</f>
        <v>17081</v>
      </c>
      <c r="G446" s="69">
        <f>'DHS2025'!D443</f>
        <v>6740</v>
      </c>
      <c r="H446" s="86">
        <v>8</v>
      </c>
      <c r="I446" s="87">
        <f>'DHS2025'!E443/1000</f>
        <v>8.0530000000000008</v>
      </c>
      <c r="J446" s="50">
        <f>Predikcia!R444</f>
        <v>168.21</v>
      </c>
      <c r="K446" s="48">
        <f t="shared" si="6"/>
        <v>1325.7484787000003</v>
      </c>
      <c r="M446" s="11">
        <f>Predikcia!K444</f>
        <v>5</v>
      </c>
      <c r="N446" s="11">
        <v>8</v>
      </c>
    </row>
    <row r="447" spans="3:14" ht="15.75" thickBot="1">
      <c r="C447" s="103">
        <f>Predikcia!A445</f>
        <v>45707</v>
      </c>
      <c r="D447" s="42" t="str">
        <f>Predikcia!B445</f>
        <v>10:00:00</v>
      </c>
      <c r="E447" s="67">
        <f>Predikcia!G445</f>
        <v>14977</v>
      </c>
      <c r="F447" s="68">
        <f>'DHS2025'!C444</f>
        <v>15558</v>
      </c>
      <c r="G447" s="69">
        <f>'DHS2025'!D444</f>
        <v>8635</v>
      </c>
      <c r="H447" s="86">
        <v>8</v>
      </c>
      <c r="I447" s="87">
        <f>'DHS2025'!E444/1000</f>
        <v>8.0540000000000003</v>
      </c>
      <c r="J447" s="50">
        <f>Predikcia!R445</f>
        <v>115.97</v>
      </c>
      <c r="K447" s="48">
        <f t="shared" si="6"/>
        <v>909.37955620000002</v>
      </c>
      <c r="M447" s="11">
        <f>Predikcia!K445</f>
        <v>5</v>
      </c>
      <c r="N447" s="11">
        <v>5</v>
      </c>
    </row>
    <row r="448" spans="3:14" ht="15.75" thickBot="1">
      <c r="C448" s="103">
        <f>Predikcia!A446</f>
        <v>45707</v>
      </c>
      <c r="D448" s="42" t="str">
        <f>Predikcia!B446</f>
        <v>11:00:00</v>
      </c>
      <c r="E448" s="67">
        <f>Predikcia!G446</f>
        <v>14560.25</v>
      </c>
      <c r="F448" s="68">
        <f>'DHS2025'!C445</f>
        <v>15472</v>
      </c>
      <c r="G448" s="69">
        <f>'DHS2025'!D445</f>
        <v>8882</v>
      </c>
      <c r="H448" s="86">
        <v>8</v>
      </c>
      <c r="I448" s="87">
        <f>'DHS2025'!E445/1000</f>
        <v>8.0670000000000002</v>
      </c>
      <c r="J448" s="50">
        <f>Predikcia!R446</f>
        <v>126.07</v>
      </c>
      <c r="K448" s="48">
        <f t="shared" si="6"/>
        <v>991.50932309999996</v>
      </c>
      <c r="M448" s="11">
        <f>Predikcia!K446</f>
        <v>5</v>
      </c>
      <c r="N448" s="11">
        <v>5</v>
      </c>
    </row>
    <row r="449" spans="3:14" ht="15.75" thickBot="1">
      <c r="C449" s="103">
        <f>Predikcia!A447</f>
        <v>45707</v>
      </c>
      <c r="D449" s="42" t="str">
        <f>Predikcia!B447</f>
        <v>12:00:00</v>
      </c>
      <c r="E449" s="67">
        <f>Predikcia!G447</f>
        <v>13966</v>
      </c>
      <c r="F449" s="68">
        <f>'DHS2025'!C446</f>
        <v>14730</v>
      </c>
      <c r="G449" s="69">
        <f>'DHS2025'!D446</f>
        <v>5087</v>
      </c>
      <c r="H449" s="86">
        <v>5</v>
      </c>
      <c r="I449" s="87">
        <f>'DHS2025'!E446/1000</f>
        <v>6.9359999999999999</v>
      </c>
      <c r="J449" s="50">
        <f>Predikcia!R447</f>
        <v>112.84</v>
      </c>
      <c r="K449" s="48">
        <f t="shared" si="6"/>
        <v>761.65325759999996</v>
      </c>
      <c r="M449" s="11">
        <f>Predikcia!K447</f>
        <v>5</v>
      </c>
      <c r="N449" s="11">
        <v>5</v>
      </c>
    </row>
    <row r="450" spans="3:14" ht="15.75" thickBot="1">
      <c r="C450" s="103">
        <f>Predikcia!A448</f>
        <v>45707</v>
      </c>
      <c r="D450" s="42" t="str">
        <f>Predikcia!B448</f>
        <v>13:00:00</v>
      </c>
      <c r="E450" s="67">
        <f>Predikcia!G448</f>
        <v>14096.25</v>
      </c>
      <c r="F450" s="68">
        <f>'DHS2025'!C447</f>
        <v>14165</v>
      </c>
      <c r="G450" s="69">
        <f>'DHS2025'!D447</f>
        <v>7178</v>
      </c>
      <c r="H450" s="86">
        <v>8</v>
      </c>
      <c r="I450" s="87">
        <f>'DHS2025'!E447/1000</f>
        <v>6.5190000000000001</v>
      </c>
      <c r="J450" s="50">
        <f>Predikcia!R448</f>
        <v>112.29</v>
      </c>
      <c r="K450" s="48">
        <f t="shared" si="6"/>
        <v>712.31222490000005</v>
      </c>
      <c r="M450" s="11">
        <f>Predikcia!K448</f>
        <v>5</v>
      </c>
      <c r="N450" s="11">
        <v>5</v>
      </c>
    </row>
    <row r="451" spans="3:14" ht="15.75" thickBot="1">
      <c r="C451" s="103">
        <f>Predikcia!A449</f>
        <v>45707</v>
      </c>
      <c r="D451" s="42" t="str">
        <f>Predikcia!B449</f>
        <v>14:00:00</v>
      </c>
      <c r="E451" s="67">
        <f>Predikcia!G449</f>
        <v>13946</v>
      </c>
      <c r="F451" s="68">
        <f>'DHS2025'!C448</f>
        <v>15387</v>
      </c>
      <c r="G451" s="69">
        <f>'DHS2025'!D448</f>
        <v>9584</v>
      </c>
      <c r="H451" s="86">
        <v>8</v>
      </c>
      <c r="I451" s="87">
        <f>'DHS2025'!E448/1000</f>
        <v>8.0909999999999993</v>
      </c>
      <c r="J451" s="50">
        <f>Predikcia!R449</f>
        <v>132.25</v>
      </c>
      <c r="K451" s="48">
        <f t="shared" si="6"/>
        <v>1043.9615024999998</v>
      </c>
      <c r="M451" s="11">
        <f>Predikcia!K449</f>
        <v>5</v>
      </c>
      <c r="N451" s="11">
        <v>8</v>
      </c>
    </row>
    <row r="452" spans="3:14" ht="15.75" thickBot="1">
      <c r="C452" s="103">
        <f>Predikcia!A450</f>
        <v>45707</v>
      </c>
      <c r="D452" s="42" t="str">
        <f>Predikcia!B450</f>
        <v>15:00:00</v>
      </c>
      <c r="E452" s="67">
        <f>Predikcia!G450</f>
        <v>15246</v>
      </c>
      <c r="F452" s="68">
        <f>'DHS2025'!C449</f>
        <v>15379</v>
      </c>
      <c r="G452" s="69">
        <f>'DHS2025'!D449</f>
        <v>8326</v>
      </c>
      <c r="H452" s="86">
        <v>8</v>
      </c>
      <c r="I452" s="87">
        <f>'DHS2025'!E449/1000</f>
        <v>8.0449999999999999</v>
      </c>
      <c r="J452" s="50">
        <f>Predikcia!R450</f>
        <v>155.74</v>
      </c>
      <c r="K452" s="48">
        <f t="shared" si="6"/>
        <v>1225.113517</v>
      </c>
      <c r="M452" s="11">
        <f>Predikcia!K450</f>
        <v>5</v>
      </c>
      <c r="N452" s="11">
        <v>8</v>
      </c>
    </row>
    <row r="453" spans="3:14" ht="15.75" thickBot="1">
      <c r="C453" s="103">
        <f>Predikcia!A451</f>
        <v>45707</v>
      </c>
      <c r="D453" s="42" t="str">
        <f>Predikcia!B451</f>
        <v>16:00:00</v>
      </c>
      <c r="E453" s="67">
        <f>Predikcia!G451</f>
        <v>14608.5</v>
      </c>
      <c r="F453" s="68">
        <f>'DHS2025'!C450</f>
        <v>15019</v>
      </c>
      <c r="G453" s="69">
        <f>'DHS2025'!D450</f>
        <v>9130</v>
      </c>
      <c r="H453" s="86">
        <v>8</v>
      </c>
      <c r="I453" s="87">
        <f>'DHS2025'!E450/1000</f>
        <v>8.0609999999999999</v>
      </c>
      <c r="J453" s="50">
        <f>Predikcia!R451</f>
        <v>199.39</v>
      </c>
      <c r="K453" s="48">
        <f t="shared" si="6"/>
        <v>1575.8940620999999</v>
      </c>
      <c r="M453" s="11">
        <f>Predikcia!K451</f>
        <v>5</v>
      </c>
      <c r="N453" s="11">
        <v>8</v>
      </c>
    </row>
    <row r="454" spans="3:14" ht="15.75" thickBot="1">
      <c r="C454" s="103">
        <f>Predikcia!A452</f>
        <v>45707</v>
      </c>
      <c r="D454" s="42" t="str">
        <f>Predikcia!B452</f>
        <v>17:00:00</v>
      </c>
      <c r="E454" s="67">
        <f>Predikcia!G452</f>
        <v>14576.5</v>
      </c>
      <c r="F454" s="68">
        <f>'DHS2025'!C451</f>
        <v>16637</v>
      </c>
      <c r="G454" s="69">
        <f>'DHS2025'!D451</f>
        <v>7786</v>
      </c>
      <c r="H454" s="86">
        <v>8</v>
      </c>
      <c r="I454" s="87">
        <f>'DHS2025'!E451/1000</f>
        <v>8.0399999999999991</v>
      </c>
      <c r="J454" s="50">
        <f>Predikcia!R452</f>
        <v>227.8</v>
      </c>
      <c r="K454" s="48">
        <f t="shared" ref="K454:K517" si="7">(J454*0.99-1.9)*I454</f>
        <v>1797.9208799999999</v>
      </c>
      <c r="M454" s="11">
        <f>Predikcia!K452</f>
        <v>5</v>
      </c>
      <c r="N454" s="11">
        <v>8</v>
      </c>
    </row>
    <row r="455" spans="3:14" ht="15.75" thickBot="1">
      <c r="C455" s="103">
        <f>Predikcia!A453</f>
        <v>45707</v>
      </c>
      <c r="D455" s="42" t="str">
        <f>Predikcia!B453</f>
        <v>18:00:00</v>
      </c>
      <c r="E455" s="67">
        <f>Predikcia!G453</f>
        <v>15160.75</v>
      </c>
      <c r="F455" s="68">
        <f>'DHS2025'!C452</f>
        <v>19223</v>
      </c>
      <c r="G455" s="69">
        <f>'DHS2025'!D452</f>
        <v>5146</v>
      </c>
      <c r="H455" s="86">
        <v>8</v>
      </c>
      <c r="I455" s="87">
        <f>'DHS2025'!E452/1000</f>
        <v>8.0739999999999998</v>
      </c>
      <c r="J455" s="50">
        <f>Predikcia!R453</f>
        <v>205</v>
      </c>
      <c r="K455" s="48">
        <f t="shared" si="7"/>
        <v>1623.2776999999999</v>
      </c>
      <c r="M455" s="11">
        <f>Predikcia!K453</f>
        <v>5</v>
      </c>
      <c r="N455" s="11">
        <v>8</v>
      </c>
    </row>
    <row r="456" spans="3:14" ht="15.75" thickBot="1">
      <c r="C456" s="103">
        <f>Predikcia!A454</f>
        <v>45707</v>
      </c>
      <c r="D456" s="42" t="str">
        <f>Predikcia!B454</f>
        <v>19:00:00</v>
      </c>
      <c r="E456" s="67">
        <f>Predikcia!G454</f>
        <v>15250.5</v>
      </c>
      <c r="F456" s="68">
        <f>'DHS2025'!C453</f>
        <v>21222</v>
      </c>
      <c r="G456" s="69">
        <f>'DHS2025'!D453</f>
        <v>4244</v>
      </c>
      <c r="H456" s="86">
        <v>8</v>
      </c>
      <c r="I456" s="87">
        <f>'DHS2025'!E453/1000</f>
        <v>8.0619999999999994</v>
      </c>
      <c r="J456" s="50">
        <f>Predikcia!R454</f>
        <v>200</v>
      </c>
      <c r="K456" s="48">
        <f t="shared" si="7"/>
        <v>1580.9581999999998</v>
      </c>
      <c r="M456" s="11">
        <f>Predikcia!K454</f>
        <v>5</v>
      </c>
      <c r="N456" s="11">
        <v>8</v>
      </c>
    </row>
    <row r="457" spans="3:14" ht="15.75" thickBot="1">
      <c r="C457" s="103">
        <f>Predikcia!A455</f>
        <v>45707</v>
      </c>
      <c r="D457" s="42" t="str">
        <f>Predikcia!B455</f>
        <v>20:00:00</v>
      </c>
      <c r="E457" s="67">
        <f>Predikcia!G455</f>
        <v>15459.5</v>
      </c>
      <c r="F457" s="68">
        <f>'DHS2025'!C454</f>
        <v>19746</v>
      </c>
      <c r="G457" s="69">
        <f>'DHS2025'!D454</f>
        <v>4881</v>
      </c>
      <c r="H457" s="86">
        <v>8</v>
      </c>
      <c r="I457" s="87">
        <f>'DHS2025'!E454/1000</f>
        <v>8.06</v>
      </c>
      <c r="J457" s="50">
        <f>Predikcia!R455</f>
        <v>220</v>
      </c>
      <c r="K457" s="48">
        <f t="shared" si="7"/>
        <v>1740.1540000000002</v>
      </c>
      <c r="M457" s="11">
        <f>Predikcia!K455</f>
        <v>5</v>
      </c>
      <c r="N457" s="11">
        <v>8</v>
      </c>
    </row>
    <row r="458" spans="3:14" ht="15.75" thickBot="1">
      <c r="C458" s="103">
        <f>Predikcia!A456</f>
        <v>45707</v>
      </c>
      <c r="D458" s="42" t="str">
        <f>Predikcia!B456</f>
        <v>21:00:00</v>
      </c>
      <c r="E458" s="67">
        <f>Predikcia!G456</f>
        <v>15662.5</v>
      </c>
      <c r="F458" s="68">
        <f>'DHS2025'!C455</f>
        <v>20202</v>
      </c>
      <c r="G458" s="69">
        <f>'DHS2025'!D455</f>
        <v>3970</v>
      </c>
      <c r="H458" s="86">
        <v>8</v>
      </c>
      <c r="I458" s="87">
        <f>'DHS2025'!E455/1000</f>
        <v>8.0579999999999998</v>
      </c>
      <c r="J458" s="50">
        <f>Predikcia!R456</f>
        <v>217.7</v>
      </c>
      <c r="K458" s="48">
        <f t="shared" si="7"/>
        <v>1721.3741339999999</v>
      </c>
      <c r="M458" s="11">
        <f>Predikcia!K456</f>
        <v>5</v>
      </c>
      <c r="N458" s="11">
        <v>8</v>
      </c>
    </row>
    <row r="459" spans="3:14" ht="15.75" thickBot="1">
      <c r="C459" s="103">
        <f>Predikcia!A457</f>
        <v>45707</v>
      </c>
      <c r="D459" s="42" t="str">
        <f>Predikcia!B457</f>
        <v>22:00:00</v>
      </c>
      <c r="E459" s="67">
        <f>Predikcia!G457</f>
        <v>13238</v>
      </c>
      <c r="F459" s="68">
        <f>'DHS2025'!C456</f>
        <v>17786</v>
      </c>
      <c r="G459" s="69">
        <f>'DHS2025'!D456</f>
        <v>6748</v>
      </c>
      <c r="H459" s="86">
        <v>8</v>
      </c>
      <c r="I459" s="87">
        <f>'DHS2025'!E456/1000</f>
        <v>8.0459999999999994</v>
      </c>
      <c r="J459" s="50">
        <f>Predikcia!R457</f>
        <v>218.01</v>
      </c>
      <c r="K459" s="48">
        <f t="shared" si="7"/>
        <v>1721.2799753999996</v>
      </c>
      <c r="M459" s="11">
        <f>Predikcia!K457</f>
        <v>5</v>
      </c>
      <c r="N459" s="11">
        <v>8</v>
      </c>
    </row>
    <row r="460" spans="3:14" ht="15.75" thickBot="1">
      <c r="C460" s="107">
        <f>Predikcia!A458</f>
        <v>45707</v>
      </c>
      <c r="D460" s="46" t="str">
        <f>Predikcia!B458</f>
        <v>23:00:00</v>
      </c>
      <c r="E460" s="70">
        <f>Predikcia!G458</f>
        <v>8225</v>
      </c>
      <c r="F460" s="71">
        <f>'DHS2025'!C457</f>
        <v>10077</v>
      </c>
      <c r="G460" s="72">
        <f>'DHS2025'!D457</f>
        <v>14380</v>
      </c>
      <c r="H460" s="88">
        <v>8</v>
      </c>
      <c r="I460" s="87">
        <f>'DHS2025'!E457/1000</f>
        <v>8.0709999999999997</v>
      </c>
      <c r="J460" s="50">
        <f>Predikcia!R458</f>
        <v>213.33</v>
      </c>
      <c r="K460" s="48">
        <f t="shared" si="7"/>
        <v>1689.2336657000001</v>
      </c>
      <c r="M460" s="11">
        <f>Predikcia!K458</f>
        <v>4</v>
      </c>
      <c r="N460" s="11">
        <v>8</v>
      </c>
    </row>
    <row r="461" spans="3:14" ht="15.75" thickBot="1">
      <c r="C461" s="104">
        <f>Predikcia!A459</f>
        <v>45708</v>
      </c>
      <c r="D461" s="43" t="str">
        <f>Predikcia!B459</f>
        <v>00:00:00</v>
      </c>
      <c r="E461" s="64">
        <f>Predikcia!G459</f>
        <v>7845.25</v>
      </c>
      <c r="F461" s="65">
        <f>'DHS2025'!C458</f>
        <v>12686</v>
      </c>
      <c r="G461" s="66">
        <f>'DHS2025'!D458</f>
        <v>13225</v>
      </c>
      <c r="H461" s="84">
        <v>8</v>
      </c>
      <c r="I461" s="85">
        <f>'DHS2025'!E458/1000</f>
        <v>8.0820000000000007</v>
      </c>
      <c r="J461" s="50">
        <f>Predikcia!R459</f>
        <v>132.1</v>
      </c>
      <c r="K461" s="48">
        <f t="shared" si="7"/>
        <v>1041.6000779999999</v>
      </c>
      <c r="M461" s="11">
        <f>Predikcia!K459</f>
        <v>3</v>
      </c>
      <c r="N461" s="11">
        <v>8</v>
      </c>
    </row>
    <row r="462" spans="3:14" ht="15.75" thickBot="1">
      <c r="C462" s="105">
        <f>Predikcia!A460</f>
        <v>45708</v>
      </c>
      <c r="D462" s="44" t="str">
        <f>Predikcia!B460</f>
        <v>01:00:00</v>
      </c>
      <c r="E462" s="67">
        <f>Predikcia!G460</f>
        <v>8749</v>
      </c>
      <c r="F462" s="68">
        <f>'DHS2025'!C459</f>
        <v>15282</v>
      </c>
      <c r="G462" s="69">
        <f>'DHS2025'!D459</f>
        <v>9809</v>
      </c>
      <c r="H462" s="86">
        <v>8</v>
      </c>
      <c r="I462" s="87">
        <f>'DHS2025'!E459/1000</f>
        <v>8.0609999999999999</v>
      </c>
      <c r="J462" s="50">
        <f>Predikcia!R460</f>
        <v>140.76</v>
      </c>
      <c r="K462" s="48">
        <f t="shared" si="7"/>
        <v>1108.0037963999998</v>
      </c>
      <c r="M462" s="11">
        <f>Predikcia!K460</f>
        <v>4</v>
      </c>
      <c r="N462" s="11">
        <v>8</v>
      </c>
    </row>
    <row r="463" spans="3:14" ht="15.75" thickBot="1">
      <c r="C463" s="105">
        <f>Predikcia!A461</f>
        <v>45708</v>
      </c>
      <c r="D463" s="44" t="str">
        <f>Predikcia!B461</f>
        <v>02:00:00</v>
      </c>
      <c r="E463" s="67">
        <f>Predikcia!G461</f>
        <v>10149</v>
      </c>
      <c r="F463" s="68">
        <f>'DHS2025'!C460</f>
        <v>17993</v>
      </c>
      <c r="G463" s="69">
        <f>'DHS2025'!D460</f>
        <v>8166</v>
      </c>
      <c r="H463" s="86">
        <v>8</v>
      </c>
      <c r="I463" s="87">
        <f>'DHS2025'!E460/1000</f>
        <v>8.0359999999999996</v>
      </c>
      <c r="J463" s="50">
        <f>Predikcia!R461</f>
        <v>126.5</v>
      </c>
      <c r="K463" s="48">
        <f t="shared" si="7"/>
        <v>991.12005999999985</v>
      </c>
      <c r="M463" s="11">
        <f>Predikcia!K461</f>
        <v>4</v>
      </c>
      <c r="N463" s="11">
        <v>4</v>
      </c>
    </row>
    <row r="464" spans="3:14" ht="15.75" thickBot="1">
      <c r="C464" s="105">
        <f>Predikcia!A462</f>
        <v>45708</v>
      </c>
      <c r="D464" s="44" t="str">
        <f>Predikcia!B462</f>
        <v>03:00:00</v>
      </c>
      <c r="E464" s="67">
        <f>Predikcia!G462</f>
        <v>11945</v>
      </c>
      <c r="F464" s="68">
        <f>'DHS2025'!C461</f>
        <v>16118</v>
      </c>
      <c r="G464" s="69">
        <f>'DHS2025'!D461</f>
        <v>9155</v>
      </c>
      <c r="H464" s="86">
        <v>8</v>
      </c>
      <c r="I464" s="87">
        <f>'DHS2025'!E461/1000</f>
        <v>7.99</v>
      </c>
      <c r="J464" s="50">
        <f>Predikcia!R462</f>
        <v>121.66</v>
      </c>
      <c r="K464" s="48">
        <f t="shared" si="7"/>
        <v>947.16176599999994</v>
      </c>
      <c r="M464" s="11">
        <f>Predikcia!K462</f>
        <v>4</v>
      </c>
      <c r="N464" s="11">
        <v>4</v>
      </c>
    </row>
    <row r="465" spans="3:14" ht="15.75" thickBot="1">
      <c r="C465" s="105">
        <f>Predikcia!A463</f>
        <v>45708</v>
      </c>
      <c r="D465" s="44" t="str">
        <f>Predikcia!B463</f>
        <v>04:00:00</v>
      </c>
      <c r="E465" s="67">
        <f>Predikcia!G463</f>
        <v>16812.5</v>
      </c>
      <c r="F465" s="68">
        <f>'DHS2025'!C462</f>
        <v>23024</v>
      </c>
      <c r="G465" s="69">
        <f>'DHS2025'!D462</f>
        <v>3400</v>
      </c>
      <c r="H465" s="86">
        <v>8</v>
      </c>
      <c r="I465" s="87">
        <f>'DHS2025'!E462/1000</f>
        <v>8.0519999999999996</v>
      </c>
      <c r="J465" s="50">
        <f>Predikcia!R463</f>
        <v>121.59</v>
      </c>
      <c r="K465" s="48">
        <f t="shared" si="7"/>
        <v>953.9534531999999</v>
      </c>
      <c r="M465" s="11">
        <f>Predikcia!K463</f>
        <v>6</v>
      </c>
      <c r="N465" s="11">
        <v>6</v>
      </c>
    </row>
    <row r="466" spans="3:14" ht="15.75" thickBot="1">
      <c r="C466" s="105">
        <f>Predikcia!A464</f>
        <v>45708</v>
      </c>
      <c r="D466" s="44" t="str">
        <f>Predikcia!B464</f>
        <v>05:00:00</v>
      </c>
      <c r="E466" s="67">
        <f>Predikcia!G464</f>
        <v>18018.5</v>
      </c>
      <c r="F466" s="68">
        <f>'DHS2025'!C463</f>
        <v>22714</v>
      </c>
      <c r="G466" s="69">
        <f>'DHS2025'!D463</f>
        <v>3338</v>
      </c>
      <c r="H466" s="86">
        <v>8</v>
      </c>
      <c r="I466" s="87">
        <f>'DHS2025'!E463/1000</f>
        <v>8.0079999999999991</v>
      </c>
      <c r="J466" s="50">
        <f>Predikcia!R464</f>
        <v>150.69999999999999</v>
      </c>
      <c r="K466" s="48">
        <f t="shared" si="7"/>
        <v>1179.5223439999997</v>
      </c>
      <c r="M466" s="11">
        <f>Predikcia!K464</f>
        <v>6</v>
      </c>
      <c r="N466" s="11">
        <v>8</v>
      </c>
    </row>
    <row r="467" spans="3:14" ht="15.75" thickBot="1">
      <c r="C467" s="105">
        <f>Predikcia!A465</f>
        <v>45708</v>
      </c>
      <c r="D467" s="44" t="str">
        <f>Predikcia!B465</f>
        <v>06:00:00</v>
      </c>
      <c r="E467" s="67">
        <f>Predikcia!G465</f>
        <v>17400.25</v>
      </c>
      <c r="F467" s="68">
        <f>'DHS2025'!C464</f>
        <v>21971</v>
      </c>
      <c r="G467" s="69">
        <f>'DHS2025'!D464</f>
        <v>3057</v>
      </c>
      <c r="H467" s="86">
        <v>8</v>
      </c>
      <c r="I467" s="87">
        <f>'DHS2025'!E464/1000</f>
        <v>8.0500000000000007</v>
      </c>
      <c r="J467" s="50">
        <f>Predikcia!R465</f>
        <v>224.42</v>
      </c>
      <c r="K467" s="48">
        <f t="shared" si="7"/>
        <v>1773.22019</v>
      </c>
      <c r="M467" s="11">
        <f>Predikcia!K465</f>
        <v>6</v>
      </c>
      <c r="N467" s="11">
        <v>8</v>
      </c>
    </row>
    <row r="468" spans="3:14" ht="15.75" thickBot="1">
      <c r="C468" s="105">
        <f>Predikcia!A466</f>
        <v>45708</v>
      </c>
      <c r="D468" s="44" t="str">
        <f>Predikcia!B466</f>
        <v>07:00:00</v>
      </c>
      <c r="E468" s="67">
        <f>Predikcia!G466</f>
        <v>16923.25</v>
      </c>
      <c r="F468" s="68">
        <f>'DHS2025'!C465</f>
        <v>21020</v>
      </c>
      <c r="G468" s="69">
        <f>'DHS2025'!D465</f>
        <v>4520</v>
      </c>
      <c r="H468" s="86">
        <v>8</v>
      </c>
      <c r="I468" s="87">
        <f>'DHS2025'!E465/1000</f>
        <v>8.08</v>
      </c>
      <c r="J468" s="50">
        <f>Predikcia!R466</f>
        <v>174.72</v>
      </c>
      <c r="K468" s="48">
        <f t="shared" si="7"/>
        <v>1382.2682239999999</v>
      </c>
      <c r="M468" s="11">
        <f>Predikcia!K466</f>
        <v>6</v>
      </c>
      <c r="N468" s="11">
        <v>8</v>
      </c>
    </row>
    <row r="469" spans="3:14" ht="15.75" thickBot="1">
      <c r="C469" s="105">
        <f>Predikcia!A467</f>
        <v>45708</v>
      </c>
      <c r="D469" s="44" t="str">
        <f>Predikcia!B467</f>
        <v>08:00:00</v>
      </c>
      <c r="E469" s="67">
        <f>Predikcia!G467</f>
        <v>15965</v>
      </c>
      <c r="F469" s="68">
        <f>'DHS2025'!C466</f>
        <v>21275</v>
      </c>
      <c r="G469" s="69">
        <f>'DHS2025'!D466</f>
        <v>4443</v>
      </c>
      <c r="H469" s="86">
        <v>8</v>
      </c>
      <c r="I469" s="87">
        <f>'DHS2025'!E466/1000</f>
        <v>8.0909999999999993</v>
      </c>
      <c r="J469" s="50">
        <f>Predikcia!R467</f>
        <v>179.17</v>
      </c>
      <c r="K469" s="48">
        <f t="shared" si="7"/>
        <v>1419.7949252999997</v>
      </c>
      <c r="M469" s="11">
        <f>Predikcia!K467</f>
        <v>5</v>
      </c>
      <c r="N469" s="11">
        <v>8</v>
      </c>
    </row>
    <row r="470" spans="3:14" ht="15.75" thickBot="1">
      <c r="C470" s="105">
        <f>Predikcia!A468</f>
        <v>45708</v>
      </c>
      <c r="D470" s="44" t="str">
        <f>Predikcia!B468</f>
        <v>09:00:00</v>
      </c>
      <c r="E470" s="67">
        <f>Predikcia!G468</f>
        <v>15159.75</v>
      </c>
      <c r="F470" s="68">
        <f>'DHS2025'!C467</f>
        <v>19788</v>
      </c>
      <c r="G470" s="69">
        <f>'DHS2025'!D467</f>
        <v>1176</v>
      </c>
      <c r="H470" s="86">
        <v>5</v>
      </c>
      <c r="I470" s="87">
        <f>'DHS2025'!E467/1000</f>
        <v>6.3319999999999999</v>
      </c>
      <c r="J470" s="50">
        <f>Predikcia!R468</f>
        <v>120.89</v>
      </c>
      <c r="K470" s="48">
        <f t="shared" si="7"/>
        <v>745.78992519999997</v>
      </c>
      <c r="M470" s="11">
        <f>Predikcia!K468</f>
        <v>5</v>
      </c>
      <c r="N470" s="11">
        <v>5</v>
      </c>
    </row>
    <row r="471" spans="3:14" ht="15.75" thickBot="1">
      <c r="C471" s="105">
        <f>Predikcia!A469</f>
        <v>45708</v>
      </c>
      <c r="D471" s="44" t="str">
        <f>Predikcia!B469</f>
        <v>10:00:00</v>
      </c>
      <c r="E471" s="67">
        <f>Predikcia!G469</f>
        <v>15017.5</v>
      </c>
      <c r="F471" s="68">
        <f>'DHS2025'!C468</f>
        <v>14742</v>
      </c>
      <c r="G471" s="69">
        <f>'DHS2025'!D468</f>
        <v>2354</v>
      </c>
      <c r="H471" s="86">
        <v>5</v>
      </c>
      <c r="I471" s="87">
        <f>'DHS2025'!E468/1000</f>
        <v>5.0549999999999997</v>
      </c>
      <c r="J471" s="50">
        <f>Predikcia!R469</f>
        <v>106.39</v>
      </c>
      <c r="K471" s="48">
        <f t="shared" si="7"/>
        <v>522.81893549999995</v>
      </c>
      <c r="M471" s="11">
        <f>Predikcia!K469</f>
        <v>5</v>
      </c>
      <c r="N471" s="11">
        <v>5</v>
      </c>
    </row>
    <row r="472" spans="3:14" ht="15.75" thickBot="1">
      <c r="C472" s="105">
        <f>Predikcia!A470</f>
        <v>45708</v>
      </c>
      <c r="D472" s="44" t="str">
        <f>Predikcia!B470</f>
        <v>11:00:00</v>
      </c>
      <c r="E472" s="67">
        <f>Predikcia!G470</f>
        <v>13388</v>
      </c>
      <c r="F472" s="68">
        <f>'DHS2025'!C469</f>
        <v>13389</v>
      </c>
      <c r="G472" s="69">
        <f>'DHS2025'!D469</f>
        <v>3186</v>
      </c>
      <c r="H472" s="86">
        <v>5</v>
      </c>
      <c r="I472" s="87">
        <f>'DHS2025'!E469/1000</f>
        <v>5.0819999999999999</v>
      </c>
      <c r="J472" s="50">
        <f>Predikcia!R470</f>
        <v>93.08</v>
      </c>
      <c r="K472" s="48">
        <f t="shared" si="7"/>
        <v>458.64643439999992</v>
      </c>
      <c r="M472" s="11">
        <f>Predikcia!K470</f>
        <v>5</v>
      </c>
      <c r="N472" s="11">
        <v>5</v>
      </c>
    </row>
    <row r="473" spans="3:14" ht="15.75" thickBot="1">
      <c r="C473" s="105">
        <f>Predikcia!A471</f>
        <v>45708</v>
      </c>
      <c r="D473" s="44" t="str">
        <f>Predikcia!B471</f>
        <v>12:00:00</v>
      </c>
      <c r="E473" s="67">
        <f>Predikcia!G471</f>
        <v>13140.25</v>
      </c>
      <c r="F473" s="68">
        <f>'DHS2025'!C470</f>
        <v>13853</v>
      </c>
      <c r="G473" s="69">
        <f>'DHS2025'!D470</f>
        <v>2488</v>
      </c>
      <c r="H473" s="86">
        <v>5</v>
      </c>
      <c r="I473" s="87">
        <f>'DHS2025'!E470/1000</f>
        <v>5.0549999999999997</v>
      </c>
      <c r="J473" s="50">
        <f>Predikcia!R471</f>
        <v>95.81</v>
      </c>
      <c r="K473" s="48">
        <f t="shared" si="7"/>
        <v>469.87185449999993</v>
      </c>
      <c r="M473" s="11">
        <f>Predikcia!K471</f>
        <v>5</v>
      </c>
      <c r="N473" s="11">
        <v>5</v>
      </c>
    </row>
    <row r="474" spans="3:14" ht="15.75" thickBot="1">
      <c r="C474" s="105">
        <f>Predikcia!A472</f>
        <v>45708</v>
      </c>
      <c r="D474" s="44" t="str">
        <f>Predikcia!B472</f>
        <v>13:00:00</v>
      </c>
      <c r="E474" s="67">
        <f>Predikcia!G472</f>
        <v>13216.5</v>
      </c>
      <c r="F474" s="68">
        <f>'DHS2025'!C471</f>
        <v>15905</v>
      </c>
      <c r="G474" s="69">
        <f>'DHS2025'!D471</f>
        <v>3377</v>
      </c>
      <c r="H474" s="86">
        <v>5</v>
      </c>
      <c r="I474" s="87">
        <f>'DHS2025'!E471/1000</f>
        <v>5.1180000000000003</v>
      </c>
      <c r="J474" s="50">
        <f>Predikcia!R472</f>
        <v>97.67</v>
      </c>
      <c r="K474" s="48">
        <f t="shared" si="7"/>
        <v>485.15210940000003</v>
      </c>
      <c r="M474" s="11">
        <f>Predikcia!K472</f>
        <v>5</v>
      </c>
      <c r="N474" s="11">
        <v>5</v>
      </c>
    </row>
    <row r="475" spans="3:14" ht="15.75" thickBot="1">
      <c r="C475" s="105">
        <f>Predikcia!A473</f>
        <v>45708</v>
      </c>
      <c r="D475" s="44" t="str">
        <f>Predikcia!B473</f>
        <v>14:00:00</v>
      </c>
      <c r="E475" s="67">
        <f>Predikcia!G473</f>
        <v>13067.75</v>
      </c>
      <c r="F475" s="68">
        <f>'DHS2025'!C472</f>
        <v>15110</v>
      </c>
      <c r="G475" s="69">
        <f>'DHS2025'!D472</f>
        <v>1256</v>
      </c>
      <c r="H475" s="86">
        <v>5</v>
      </c>
      <c r="I475" s="87">
        <f>'DHS2025'!E472/1000</f>
        <v>5.0810000000000004</v>
      </c>
      <c r="J475" s="50">
        <f>Predikcia!R473</f>
        <v>108.57</v>
      </c>
      <c r="K475" s="48">
        <f t="shared" si="7"/>
        <v>536.47382829999992</v>
      </c>
      <c r="M475" s="11">
        <f>Predikcia!K473</f>
        <v>5</v>
      </c>
      <c r="N475" s="11">
        <v>5</v>
      </c>
    </row>
    <row r="476" spans="3:14" ht="15.75" thickBot="1">
      <c r="C476" s="105">
        <f>Predikcia!A474</f>
        <v>45708</v>
      </c>
      <c r="D476" s="44" t="str">
        <f>Predikcia!B474</f>
        <v>15:00:00</v>
      </c>
      <c r="E476" s="67">
        <f>Predikcia!G474</f>
        <v>13453.75</v>
      </c>
      <c r="F476" s="68">
        <f>'DHS2025'!C473</f>
        <v>14791</v>
      </c>
      <c r="G476" s="69">
        <f>'DHS2025'!D473</f>
        <v>7969</v>
      </c>
      <c r="H476" s="86">
        <v>8</v>
      </c>
      <c r="I476" s="87">
        <f>'DHS2025'!E473/1000</f>
        <v>6.9749999999999996</v>
      </c>
      <c r="J476" s="50">
        <f>Predikcia!R474</f>
        <v>151.36000000000001</v>
      </c>
      <c r="K476" s="48">
        <f t="shared" si="7"/>
        <v>1031.92614</v>
      </c>
      <c r="M476" s="11">
        <f>Predikcia!K474</f>
        <v>5</v>
      </c>
      <c r="N476" s="11">
        <v>8</v>
      </c>
    </row>
    <row r="477" spans="3:14" ht="15.75" thickBot="1">
      <c r="C477" s="105">
        <f>Predikcia!A475</f>
        <v>45708</v>
      </c>
      <c r="D477" s="44" t="str">
        <f>Predikcia!B475</f>
        <v>16:00:00</v>
      </c>
      <c r="E477" s="67">
        <f>Predikcia!G475</f>
        <v>12984</v>
      </c>
      <c r="F477" s="68">
        <f>'DHS2025'!C474</f>
        <v>15581</v>
      </c>
      <c r="G477" s="69">
        <f>'DHS2025'!D474</f>
        <v>9036</v>
      </c>
      <c r="H477" s="86">
        <v>8</v>
      </c>
      <c r="I477" s="87">
        <f>'DHS2025'!E474/1000</f>
        <v>8.048</v>
      </c>
      <c r="J477" s="50">
        <f>Predikcia!R475</f>
        <v>121.06</v>
      </c>
      <c r="K477" s="48">
        <f t="shared" si="7"/>
        <v>949.2567712</v>
      </c>
      <c r="M477" s="11">
        <f>Predikcia!K475</f>
        <v>5</v>
      </c>
      <c r="N477" s="11">
        <v>5</v>
      </c>
    </row>
    <row r="478" spans="3:14" ht="15.75" thickBot="1">
      <c r="C478" s="105">
        <f>Predikcia!A476</f>
        <v>45708</v>
      </c>
      <c r="D478" s="44" t="str">
        <f>Predikcia!B476</f>
        <v>17:00:00</v>
      </c>
      <c r="E478" s="67">
        <f>Predikcia!G476</f>
        <v>13858.5</v>
      </c>
      <c r="F478" s="68">
        <f>'DHS2025'!C475</f>
        <v>17311</v>
      </c>
      <c r="G478" s="69">
        <f>'DHS2025'!D475</f>
        <v>7650</v>
      </c>
      <c r="H478" s="86">
        <v>8</v>
      </c>
      <c r="I478" s="87">
        <f>'DHS2025'!E475/1000</f>
        <v>8.0579999999999998</v>
      </c>
      <c r="J478" s="50">
        <f>Predikcia!R476</f>
        <v>290</v>
      </c>
      <c r="K478" s="48">
        <f t="shared" si="7"/>
        <v>2298.1416000000004</v>
      </c>
      <c r="M478" s="11">
        <f>Predikcia!K476</f>
        <v>5</v>
      </c>
      <c r="N478" s="11">
        <v>8</v>
      </c>
    </row>
    <row r="479" spans="3:14" ht="15.75" thickBot="1">
      <c r="C479" s="105">
        <f>Predikcia!A477</f>
        <v>45708</v>
      </c>
      <c r="D479" s="44" t="str">
        <f>Predikcia!B477</f>
        <v>18:00:00</v>
      </c>
      <c r="E479" s="67">
        <f>Predikcia!G477</f>
        <v>15100.5</v>
      </c>
      <c r="F479" s="68">
        <f>'DHS2025'!C476</f>
        <v>19479</v>
      </c>
      <c r="G479" s="69">
        <f>'DHS2025'!D476</f>
        <v>6091</v>
      </c>
      <c r="H479" s="86">
        <v>8</v>
      </c>
      <c r="I479" s="87">
        <f>'DHS2025'!E476/1000</f>
        <v>8.0679999999999996</v>
      </c>
      <c r="J479" s="50">
        <f>Predikcia!R477</f>
        <v>200</v>
      </c>
      <c r="K479" s="48">
        <f t="shared" si="7"/>
        <v>1582.1347999999998</v>
      </c>
      <c r="M479" s="11">
        <f>Predikcia!K477</f>
        <v>5</v>
      </c>
      <c r="N479" s="11">
        <v>8</v>
      </c>
    </row>
    <row r="480" spans="3:14" ht="15.75" thickBot="1">
      <c r="C480" s="105">
        <f>Predikcia!A478</f>
        <v>45708</v>
      </c>
      <c r="D480" s="44" t="str">
        <f>Predikcia!B478</f>
        <v>19:00:00</v>
      </c>
      <c r="E480" s="67">
        <f>Predikcia!G478</f>
        <v>14988.75</v>
      </c>
      <c r="F480" s="68">
        <f>'DHS2025'!C477</f>
        <v>19674</v>
      </c>
      <c r="G480" s="69">
        <f>'DHS2025'!D477</f>
        <v>5267</v>
      </c>
      <c r="H480" s="86">
        <v>8</v>
      </c>
      <c r="I480" s="87">
        <f>'DHS2025'!E477/1000</f>
        <v>8.093</v>
      </c>
      <c r="J480" s="50">
        <f>Predikcia!R478</f>
        <v>210</v>
      </c>
      <c r="K480" s="48">
        <f t="shared" si="7"/>
        <v>1667.1579999999999</v>
      </c>
      <c r="M480" s="11">
        <f>Predikcia!K478</f>
        <v>5</v>
      </c>
      <c r="N480" s="11">
        <v>8</v>
      </c>
    </row>
    <row r="481" spans="3:14" ht="15.75" thickBot="1">
      <c r="C481" s="105">
        <f>Predikcia!A479</f>
        <v>45708</v>
      </c>
      <c r="D481" s="44" t="str">
        <f>Predikcia!B479</f>
        <v>20:00:00</v>
      </c>
      <c r="E481" s="67">
        <f>Predikcia!G479</f>
        <v>15229.75</v>
      </c>
      <c r="F481" s="68">
        <f>'DHS2025'!C478</f>
        <v>20773</v>
      </c>
      <c r="G481" s="69">
        <f>'DHS2025'!D478</f>
        <v>4593</v>
      </c>
      <c r="H481" s="86">
        <v>8</v>
      </c>
      <c r="I481" s="87">
        <f>'DHS2025'!E478/1000</f>
        <v>8.07</v>
      </c>
      <c r="J481" s="50">
        <f>Predikcia!R479</f>
        <v>206.89</v>
      </c>
      <c r="K481" s="48">
        <f t="shared" si="7"/>
        <v>1637.5732769999997</v>
      </c>
      <c r="M481" s="11">
        <f>Predikcia!K479</f>
        <v>5</v>
      </c>
      <c r="N481" s="11">
        <v>8</v>
      </c>
    </row>
    <row r="482" spans="3:14" ht="15.75" thickBot="1">
      <c r="C482" s="105">
        <f>Predikcia!A480</f>
        <v>45708</v>
      </c>
      <c r="D482" s="44" t="str">
        <f>Predikcia!B480</f>
        <v>21:00:00</v>
      </c>
      <c r="E482" s="67">
        <f>Predikcia!G480</f>
        <v>14161</v>
      </c>
      <c r="F482" s="68">
        <f>'DHS2025'!C479</f>
        <v>21119</v>
      </c>
      <c r="G482" s="69">
        <f>'DHS2025'!D479</f>
        <v>4299</v>
      </c>
      <c r="H482" s="86">
        <v>8</v>
      </c>
      <c r="I482" s="87">
        <f>'DHS2025'!E479/1000</f>
        <v>8.07</v>
      </c>
      <c r="J482" s="50">
        <f>Predikcia!R480</f>
        <v>224.7</v>
      </c>
      <c r="K482" s="48">
        <f t="shared" si="7"/>
        <v>1779.8627099999999</v>
      </c>
      <c r="M482" s="11">
        <f>Predikcia!K480</f>
        <v>5</v>
      </c>
      <c r="N482" s="11">
        <v>8</v>
      </c>
    </row>
    <row r="483" spans="3:14" ht="15.75" thickBot="1">
      <c r="C483" s="105">
        <f>Predikcia!A481</f>
        <v>45708</v>
      </c>
      <c r="D483" s="44" t="str">
        <f>Predikcia!B481</f>
        <v>22:00:00</v>
      </c>
      <c r="E483" s="67">
        <f>Predikcia!G481</f>
        <v>12828.25</v>
      </c>
      <c r="F483" s="68">
        <f>'DHS2025'!C480</f>
        <v>16824</v>
      </c>
      <c r="G483" s="69">
        <f>'DHS2025'!D480</f>
        <v>8077</v>
      </c>
      <c r="H483" s="86">
        <v>8</v>
      </c>
      <c r="I483" s="87">
        <f>'DHS2025'!E480/1000</f>
        <v>8.0510000000000002</v>
      </c>
      <c r="J483" s="50">
        <f>Predikcia!R481</f>
        <v>221.4</v>
      </c>
      <c r="K483" s="48">
        <f t="shared" si="7"/>
        <v>1749.369586</v>
      </c>
      <c r="M483" s="11">
        <f>Predikcia!K481</f>
        <v>5</v>
      </c>
      <c r="N483" s="11">
        <v>8</v>
      </c>
    </row>
    <row r="484" spans="3:14" ht="15.75" thickBot="1">
      <c r="C484" s="106">
        <f>Predikcia!A482</f>
        <v>45708</v>
      </c>
      <c r="D484" s="45" t="str">
        <f>Predikcia!B482</f>
        <v>23:00:00</v>
      </c>
      <c r="E484" s="70">
        <f>Predikcia!G482</f>
        <v>7304.25</v>
      </c>
      <c r="F484" s="71">
        <f>'DHS2025'!C481</f>
        <v>10341</v>
      </c>
      <c r="G484" s="72">
        <f>'DHS2025'!D481</f>
        <v>14479</v>
      </c>
      <c r="H484" s="88">
        <v>8</v>
      </c>
      <c r="I484" s="87">
        <f>'DHS2025'!E481/1000</f>
        <v>8.0489999999999995</v>
      </c>
      <c r="J484" s="50">
        <f>Predikcia!R482</f>
        <v>182.94</v>
      </c>
      <c r="K484" s="48">
        <f t="shared" si="7"/>
        <v>1442.4661193999998</v>
      </c>
      <c r="M484" s="11">
        <f>Predikcia!K482</f>
        <v>3</v>
      </c>
      <c r="N484" s="11">
        <v>8</v>
      </c>
    </row>
    <row r="485" spans="3:14" ht="15.75" thickBot="1">
      <c r="C485" s="102">
        <f>Predikcia!A483</f>
        <v>45709</v>
      </c>
      <c r="D485" s="41" t="str">
        <f>Predikcia!B483</f>
        <v>00:00:00</v>
      </c>
      <c r="E485" s="64">
        <f>Predikcia!G483</f>
        <v>6645</v>
      </c>
      <c r="F485" s="65">
        <f>'DHS2025'!C482</f>
        <v>12312</v>
      </c>
      <c r="G485" s="66">
        <f>'DHS2025'!D482</f>
        <v>11666</v>
      </c>
      <c r="H485" s="84">
        <v>7</v>
      </c>
      <c r="I485" s="85">
        <f>'DHS2025'!E482/1000</f>
        <v>7.4480000000000004</v>
      </c>
      <c r="J485" s="50">
        <f>Predikcia!R483</f>
        <v>117.42</v>
      </c>
      <c r="K485" s="48">
        <f t="shared" si="7"/>
        <v>851.64751839999997</v>
      </c>
      <c r="M485" s="11">
        <f>Predikcia!K483</f>
        <v>3</v>
      </c>
      <c r="N485" s="11">
        <v>3</v>
      </c>
    </row>
    <row r="486" spans="3:14" ht="15.75" thickBot="1">
      <c r="C486" s="103">
        <f>Predikcia!A484</f>
        <v>45709</v>
      </c>
      <c r="D486" s="42" t="str">
        <f>Predikcia!B484</f>
        <v>01:00:00</v>
      </c>
      <c r="E486" s="67">
        <f>Predikcia!G484</f>
        <v>6983</v>
      </c>
      <c r="F486" s="68">
        <f>'DHS2025'!C483</f>
        <v>15597</v>
      </c>
      <c r="G486" s="69">
        <f>'DHS2025'!D483</f>
        <v>8265</v>
      </c>
      <c r="H486" s="86">
        <v>8</v>
      </c>
      <c r="I486" s="87">
        <f>'DHS2025'!E483/1000</f>
        <v>7.8419999999999996</v>
      </c>
      <c r="J486" s="50">
        <f>Predikcia!R484</f>
        <v>96.1</v>
      </c>
      <c r="K486" s="48">
        <f t="shared" si="7"/>
        <v>731.18023799999992</v>
      </c>
      <c r="M486" s="11">
        <f>Predikcia!K484</f>
        <v>3</v>
      </c>
      <c r="N486" s="11">
        <v>3</v>
      </c>
    </row>
    <row r="487" spans="3:14" ht="15.75" thickBot="1">
      <c r="C487" s="103">
        <f>Predikcia!A485</f>
        <v>45709</v>
      </c>
      <c r="D487" s="42" t="str">
        <f>Predikcia!B485</f>
        <v>02:00:00</v>
      </c>
      <c r="E487" s="67">
        <f>Predikcia!G485</f>
        <v>6861</v>
      </c>
      <c r="F487" s="68">
        <f>'DHS2025'!C484</f>
        <v>18153</v>
      </c>
      <c r="G487" s="69">
        <f>'DHS2025'!D484</f>
        <v>7043</v>
      </c>
      <c r="H487" s="86">
        <v>8</v>
      </c>
      <c r="I487" s="87">
        <f>'DHS2025'!E484/1000</f>
        <v>8.0719999999999992</v>
      </c>
      <c r="J487" s="50">
        <f>Predikcia!R485</f>
        <v>144.26</v>
      </c>
      <c r="K487" s="48">
        <f t="shared" si="7"/>
        <v>1137.4852527999997</v>
      </c>
      <c r="M487" s="11">
        <f>Predikcia!K485</f>
        <v>3</v>
      </c>
      <c r="N487" s="11">
        <v>8</v>
      </c>
    </row>
    <row r="488" spans="3:14" ht="15.75" thickBot="1">
      <c r="C488" s="103">
        <f>Predikcia!A486</f>
        <v>45709</v>
      </c>
      <c r="D488" s="42" t="str">
        <f>Predikcia!B486</f>
        <v>03:00:00</v>
      </c>
      <c r="E488" s="67">
        <f>Predikcia!G486</f>
        <v>7622.25</v>
      </c>
      <c r="F488" s="68">
        <f>'DHS2025'!C485</f>
        <v>15249</v>
      </c>
      <c r="G488" s="69">
        <f>'DHS2025'!D485</f>
        <v>7579</v>
      </c>
      <c r="H488" s="86">
        <v>8</v>
      </c>
      <c r="I488" s="87">
        <f>'DHS2025'!E485/1000</f>
        <v>8.0470000000000006</v>
      </c>
      <c r="J488" s="50">
        <f>Predikcia!R486</f>
        <v>144.47999999999999</v>
      </c>
      <c r="K488" s="48">
        <f t="shared" si="7"/>
        <v>1135.7149543999999</v>
      </c>
      <c r="M488" s="11">
        <f>Predikcia!K486</f>
        <v>3</v>
      </c>
      <c r="N488" s="11">
        <v>8</v>
      </c>
    </row>
    <row r="489" spans="3:14" ht="15.75" thickBot="1">
      <c r="C489" s="103">
        <f>Predikcia!A487</f>
        <v>45709</v>
      </c>
      <c r="D489" s="42" t="str">
        <f>Predikcia!B487</f>
        <v>04:00:00</v>
      </c>
      <c r="E489" s="67">
        <f>Predikcia!G487</f>
        <v>12808.25</v>
      </c>
      <c r="F489" s="68">
        <f>'DHS2025'!C486</f>
        <v>21099</v>
      </c>
      <c r="G489" s="69">
        <f>'DHS2025'!D486</f>
        <v>4091</v>
      </c>
      <c r="H489" s="86">
        <v>8</v>
      </c>
      <c r="I489" s="87">
        <f>'DHS2025'!E486/1000</f>
        <v>8.0310000000000006</v>
      </c>
      <c r="J489" s="50">
        <f>Predikcia!R487</f>
        <v>117.42</v>
      </c>
      <c r="K489" s="48">
        <f t="shared" si="7"/>
        <v>918.31111980000003</v>
      </c>
      <c r="M489" s="11">
        <f>Predikcia!K487</f>
        <v>5</v>
      </c>
      <c r="N489" s="11">
        <v>5</v>
      </c>
    </row>
    <row r="490" spans="3:14" ht="15.75" thickBot="1">
      <c r="C490" s="103">
        <f>Predikcia!A488</f>
        <v>45709</v>
      </c>
      <c r="D490" s="42" t="str">
        <f>Predikcia!B488</f>
        <v>05:00:00</v>
      </c>
      <c r="E490" s="67">
        <f>Predikcia!G488</f>
        <v>15552.5</v>
      </c>
      <c r="F490" s="68">
        <f>'DHS2025'!C487</f>
        <v>21688</v>
      </c>
      <c r="G490" s="69">
        <f>'DHS2025'!D487</f>
        <v>4656</v>
      </c>
      <c r="H490" s="86">
        <v>8</v>
      </c>
      <c r="I490" s="87">
        <f>'DHS2025'!E487/1000</f>
        <v>8.0830000000000002</v>
      </c>
      <c r="J490" s="50">
        <f>Predikcia!R488</f>
        <v>162.1</v>
      </c>
      <c r="K490" s="48">
        <f t="shared" si="7"/>
        <v>1281.7940569999998</v>
      </c>
      <c r="M490" s="11">
        <f>Predikcia!K488</f>
        <v>5</v>
      </c>
      <c r="N490" s="11">
        <v>8</v>
      </c>
    </row>
    <row r="491" spans="3:14" ht="15.75" thickBot="1">
      <c r="C491" s="103">
        <f>Predikcia!A489</f>
        <v>45709</v>
      </c>
      <c r="D491" s="42" t="str">
        <f>Predikcia!B489</f>
        <v>06:00:00</v>
      </c>
      <c r="E491" s="67">
        <f>Predikcia!G489</f>
        <v>15023.5</v>
      </c>
      <c r="F491" s="68">
        <f>'DHS2025'!C488</f>
        <v>21497</v>
      </c>
      <c r="G491" s="69">
        <f>'DHS2025'!D488</f>
        <v>3200</v>
      </c>
      <c r="H491" s="86">
        <v>8</v>
      </c>
      <c r="I491" s="87">
        <f>'DHS2025'!E488/1000</f>
        <v>8.0120000000000005</v>
      </c>
      <c r="J491" s="50">
        <f>Predikcia!R489</f>
        <v>125.8</v>
      </c>
      <c r="K491" s="48">
        <f t="shared" si="7"/>
        <v>982.60770400000001</v>
      </c>
      <c r="M491" s="11">
        <f>Predikcia!K489</f>
        <v>5</v>
      </c>
      <c r="N491" s="11">
        <v>5</v>
      </c>
    </row>
    <row r="492" spans="3:14" ht="15.75" thickBot="1">
      <c r="C492" s="103">
        <f>Predikcia!A490</f>
        <v>45709</v>
      </c>
      <c r="D492" s="42" t="str">
        <f>Predikcia!B490</f>
        <v>07:00:00</v>
      </c>
      <c r="E492" s="67">
        <f>Predikcia!G490</f>
        <v>13560</v>
      </c>
      <c r="F492" s="68">
        <f>'DHS2025'!C489</f>
        <v>21472</v>
      </c>
      <c r="G492" s="69">
        <f>'DHS2025'!D489</f>
        <v>3279</v>
      </c>
      <c r="H492" s="86">
        <v>8</v>
      </c>
      <c r="I492" s="87">
        <f>'DHS2025'!E489/1000</f>
        <v>8.0299999999999994</v>
      </c>
      <c r="J492" s="50">
        <f>Predikcia!R490</f>
        <v>165.71</v>
      </c>
      <c r="K492" s="48">
        <f t="shared" si="7"/>
        <v>1302.0877869999997</v>
      </c>
      <c r="M492" s="11">
        <f>Predikcia!K490</f>
        <v>5</v>
      </c>
      <c r="N492" s="11">
        <v>8</v>
      </c>
    </row>
    <row r="493" spans="3:14" ht="15.75" thickBot="1">
      <c r="C493" s="103">
        <f>Predikcia!A491</f>
        <v>45709</v>
      </c>
      <c r="D493" s="42" t="str">
        <f>Predikcia!B491</f>
        <v>08:00:00</v>
      </c>
      <c r="E493" s="67">
        <f>Predikcia!G491</f>
        <v>14372.75</v>
      </c>
      <c r="F493" s="68">
        <f>'DHS2025'!C490</f>
        <v>20178</v>
      </c>
      <c r="G493" s="69">
        <f>'DHS2025'!D490</f>
        <v>5153</v>
      </c>
      <c r="H493" s="86">
        <v>8</v>
      </c>
      <c r="I493" s="87">
        <f>'DHS2025'!E490/1000</f>
        <v>8.0779999999999994</v>
      </c>
      <c r="J493" s="50">
        <f>Predikcia!R491</f>
        <v>151.03</v>
      </c>
      <c r="K493" s="48">
        <f t="shared" si="7"/>
        <v>1192.4719365999999</v>
      </c>
      <c r="M493" s="11">
        <f>Predikcia!K491</f>
        <v>5</v>
      </c>
      <c r="N493" s="11">
        <v>8</v>
      </c>
    </row>
    <row r="494" spans="3:14" ht="15.75" thickBot="1">
      <c r="C494" s="103">
        <f>Predikcia!A492</f>
        <v>45709</v>
      </c>
      <c r="D494" s="42" t="str">
        <f>Predikcia!B492</f>
        <v>09:00:00</v>
      </c>
      <c r="E494" s="67">
        <f>Predikcia!G492</f>
        <v>14423.5</v>
      </c>
      <c r="F494" s="68">
        <f>'DHS2025'!C491</f>
        <v>19977</v>
      </c>
      <c r="G494" s="69">
        <f>'DHS2025'!D491</f>
        <v>5322</v>
      </c>
      <c r="H494" s="86">
        <v>8</v>
      </c>
      <c r="I494" s="87">
        <f>'DHS2025'!E491/1000</f>
        <v>8.0649999999999995</v>
      </c>
      <c r="J494" s="50">
        <f>Predikcia!R492</f>
        <v>129.59</v>
      </c>
      <c r="K494" s="48">
        <f t="shared" si="7"/>
        <v>1019.3684165</v>
      </c>
      <c r="M494" s="11">
        <f>Predikcia!K492</f>
        <v>5</v>
      </c>
      <c r="N494" s="11">
        <v>5</v>
      </c>
    </row>
    <row r="495" spans="3:14" ht="15.75" thickBot="1">
      <c r="C495" s="103">
        <f>Predikcia!A493</f>
        <v>45709</v>
      </c>
      <c r="D495" s="42" t="str">
        <f>Predikcia!B493</f>
        <v>10:00:00</v>
      </c>
      <c r="E495" s="67">
        <f>Predikcia!G493</f>
        <v>14022</v>
      </c>
      <c r="F495" s="68">
        <f>'DHS2025'!C492</f>
        <v>17682</v>
      </c>
      <c r="G495" s="69">
        <f>'DHS2025'!D492</f>
        <v>2261</v>
      </c>
      <c r="H495" s="86">
        <v>5</v>
      </c>
      <c r="I495" s="87">
        <f>'DHS2025'!E492/1000</f>
        <v>6.6719999999999997</v>
      </c>
      <c r="J495" s="50">
        <f>Predikcia!R493</f>
        <v>103.6</v>
      </c>
      <c r="K495" s="48">
        <f t="shared" si="7"/>
        <v>671.63020799999993</v>
      </c>
      <c r="M495" s="11">
        <f>Predikcia!K493</f>
        <v>5</v>
      </c>
      <c r="N495" s="11">
        <v>5</v>
      </c>
    </row>
    <row r="496" spans="3:14" ht="15.75" thickBot="1">
      <c r="C496" s="103">
        <f>Predikcia!A494</f>
        <v>45709</v>
      </c>
      <c r="D496" s="42" t="str">
        <f>Predikcia!B494</f>
        <v>11:00:00</v>
      </c>
      <c r="E496" s="67">
        <f>Predikcia!G494</f>
        <v>13866.5</v>
      </c>
      <c r="F496" s="68">
        <f>'DHS2025'!C493</f>
        <v>15511</v>
      </c>
      <c r="G496" s="69">
        <f>'DHS2025'!D493</f>
        <v>727</v>
      </c>
      <c r="H496" s="86">
        <v>5</v>
      </c>
      <c r="I496" s="87">
        <f>'DHS2025'!E493/1000</f>
        <v>5.0579999999999998</v>
      </c>
      <c r="J496" s="50">
        <f>Predikcia!R494</f>
        <v>87.17</v>
      </c>
      <c r="K496" s="48">
        <f t="shared" si="7"/>
        <v>426.88660139999996</v>
      </c>
      <c r="M496" s="11">
        <f>Predikcia!K494</f>
        <v>5</v>
      </c>
      <c r="N496" s="11">
        <v>5</v>
      </c>
    </row>
    <row r="497" spans="3:14" ht="15.75" thickBot="1">
      <c r="C497" s="103">
        <f>Predikcia!A495</f>
        <v>45709</v>
      </c>
      <c r="D497" s="42" t="str">
        <f>Predikcia!B495</f>
        <v>12:00:00</v>
      </c>
      <c r="E497" s="67">
        <f>Predikcia!G495</f>
        <v>12712</v>
      </c>
      <c r="F497" s="68">
        <f>'DHS2025'!C494</f>
        <v>13730</v>
      </c>
      <c r="G497" s="69">
        <f>'DHS2025'!D494</f>
        <v>2622</v>
      </c>
      <c r="H497" s="86">
        <v>5</v>
      </c>
      <c r="I497" s="87">
        <f>'DHS2025'!E494/1000</f>
        <v>5.0650000000000004</v>
      </c>
      <c r="J497" s="50">
        <f>Predikcia!R495</f>
        <v>79.430000000000007</v>
      </c>
      <c r="K497" s="48">
        <f t="shared" si="7"/>
        <v>388.66632049999998</v>
      </c>
      <c r="M497" s="11">
        <f>Predikcia!K495</f>
        <v>5</v>
      </c>
      <c r="N497" s="11">
        <v>5</v>
      </c>
    </row>
    <row r="498" spans="3:14" ht="15.75" thickBot="1">
      <c r="C498" s="103">
        <f>Predikcia!A496</f>
        <v>45709</v>
      </c>
      <c r="D498" s="42" t="str">
        <f>Predikcia!B496</f>
        <v>13:00:00</v>
      </c>
      <c r="E498" s="67">
        <f>Predikcia!G496</f>
        <v>12346.25</v>
      </c>
      <c r="F498" s="68">
        <f>'DHS2025'!C495</f>
        <v>14718</v>
      </c>
      <c r="G498" s="69">
        <f>'DHS2025'!D495</f>
        <v>2130</v>
      </c>
      <c r="H498" s="86">
        <v>5</v>
      </c>
      <c r="I498" s="87">
        <f>'DHS2025'!E495/1000</f>
        <v>5.0750000000000002</v>
      </c>
      <c r="J498" s="50">
        <f>Predikcia!R496</f>
        <v>78.42</v>
      </c>
      <c r="K498" s="48">
        <f t="shared" si="7"/>
        <v>384.35918500000002</v>
      </c>
      <c r="M498" s="11">
        <f>Predikcia!K496</f>
        <v>5</v>
      </c>
      <c r="N498" s="11">
        <v>5</v>
      </c>
    </row>
    <row r="499" spans="3:14" ht="15.75" thickBot="1">
      <c r="C499" s="103">
        <f>Predikcia!A497</f>
        <v>45709</v>
      </c>
      <c r="D499" s="42" t="str">
        <f>Predikcia!B497</f>
        <v>14:00:00</v>
      </c>
      <c r="E499" s="67">
        <f>Predikcia!G497</f>
        <v>12506.25</v>
      </c>
      <c r="F499" s="68">
        <f>'DHS2025'!C496</f>
        <v>14357</v>
      </c>
      <c r="G499" s="69">
        <f>'DHS2025'!D496</f>
        <v>1831</v>
      </c>
      <c r="H499" s="86">
        <v>5</v>
      </c>
      <c r="I499" s="87">
        <f>'DHS2025'!E496/1000</f>
        <v>5.0629999999999997</v>
      </c>
      <c r="J499" s="50">
        <f>Predikcia!R497</f>
        <v>97.22</v>
      </c>
      <c r="K499" s="48">
        <f t="shared" si="7"/>
        <v>477.68291139999991</v>
      </c>
      <c r="M499" s="11">
        <f>Predikcia!K497</f>
        <v>5</v>
      </c>
      <c r="N499" s="11">
        <v>5</v>
      </c>
    </row>
    <row r="500" spans="3:14" ht="15.75" thickBot="1">
      <c r="C500" s="103">
        <f>Predikcia!A498</f>
        <v>45709</v>
      </c>
      <c r="D500" s="42" t="str">
        <f>Predikcia!B498</f>
        <v>15:00:00</v>
      </c>
      <c r="E500" s="67">
        <f>Predikcia!G498</f>
        <v>12795.75</v>
      </c>
      <c r="F500" s="68">
        <f>'DHS2025'!C497</f>
        <v>14915</v>
      </c>
      <c r="G500" s="69">
        <f>'DHS2025'!D497</f>
        <v>1585</v>
      </c>
      <c r="H500" s="86">
        <v>5.4</v>
      </c>
      <c r="I500" s="87">
        <f>'DHS2025'!E497/1000</f>
        <v>5.3220000000000001</v>
      </c>
      <c r="J500" s="50">
        <f>Predikcia!R498</f>
        <v>102.69</v>
      </c>
      <c r="K500" s="48">
        <f t="shared" si="7"/>
        <v>530.93921820000003</v>
      </c>
      <c r="M500" s="11">
        <f>Predikcia!K498</f>
        <v>5</v>
      </c>
      <c r="N500" s="11">
        <v>5</v>
      </c>
    </row>
    <row r="501" spans="3:14" ht="15.75" thickBot="1">
      <c r="C501" s="103">
        <f>Predikcia!A499</f>
        <v>45709</v>
      </c>
      <c r="D501" s="42" t="str">
        <f>Predikcia!B499</f>
        <v>16:00:00</v>
      </c>
      <c r="E501" s="67">
        <f>Predikcia!G499</f>
        <v>12748.75</v>
      </c>
      <c r="F501" s="68">
        <f>'DHS2025'!C498</f>
        <v>14765</v>
      </c>
      <c r="G501" s="69">
        <f>'DHS2025'!D498</f>
        <v>2359</v>
      </c>
      <c r="H501" s="86">
        <v>5</v>
      </c>
      <c r="I501" s="87">
        <f>'DHS2025'!E498/1000</f>
        <v>5.4649999999999999</v>
      </c>
      <c r="J501" s="50">
        <f>Predikcia!R499</f>
        <v>145</v>
      </c>
      <c r="K501" s="48">
        <f t="shared" si="7"/>
        <v>774.11725000000001</v>
      </c>
      <c r="M501" s="11">
        <f>Predikcia!K499</f>
        <v>5</v>
      </c>
      <c r="N501" s="11">
        <v>8</v>
      </c>
    </row>
    <row r="502" spans="3:14" ht="15.75" thickBot="1">
      <c r="C502" s="103">
        <f>Predikcia!A500</f>
        <v>45709</v>
      </c>
      <c r="D502" s="42" t="str">
        <f>Predikcia!B500</f>
        <v>17:00:00</v>
      </c>
      <c r="E502" s="67">
        <f>Predikcia!G500</f>
        <v>12835.5</v>
      </c>
      <c r="F502" s="68">
        <f>'DHS2025'!C499</f>
        <v>16257</v>
      </c>
      <c r="G502" s="69">
        <f>'DHS2025'!D499</f>
        <v>25</v>
      </c>
      <c r="H502" s="86">
        <v>5</v>
      </c>
      <c r="I502" s="87">
        <f>'DHS2025'!E499/1000</f>
        <v>5.0549999999999997</v>
      </c>
      <c r="J502" s="50">
        <f>Predikcia!R500</f>
        <v>123.28</v>
      </c>
      <c r="K502" s="48">
        <f t="shared" si="7"/>
        <v>607.34409599999992</v>
      </c>
      <c r="M502" s="11">
        <f>Predikcia!K500</f>
        <v>5</v>
      </c>
      <c r="N502" s="11">
        <v>5</v>
      </c>
    </row>
    <row r="503" spans="3:14" ht="15.75" thickBot="1">
      <c r="C503" s="103">
        <f>Predikcia!A501</f>
        <v>45709</v>
      </c>
      <c r="D503" s="42" t="str">
        <f>Predikcia!B501</f>
        <v>18:00:00</v>
      </c>
      <c r="E503" s="67">
        <f>Predikcia!G501</f>
        <v>13803.75</v>
      </c>
      <c r="F503" s="68">
        <f>'DHS2025'!C500</f>
        <v>15870</v>
      </c>
      <c r="G503" s="69">
        <f>'DHS2025'!D500</f>
        <v>27</v>
      </c>
      <c r="H503" s="86">
        <v>5</v>
      </c>
      <c r="I503" s="87">
        <f>'DHS2025'!E500/1000</f>
        <v>5.0510000000000002</v>
      </c>
      <c r="J503" s="50">
        <f>Predikcia!R501</f>
        <v>115.81</v>
      </c>
      <c r="K503" s="48">
        <f t="shared" si="7"/>
        <v>569.50984689999996</v>
      </c>
      <c r="M503" s="11">
        <f>Predikcia!K501</f>
        <v>5</v>
      </c>
      <c r="N503" s="11">
        <v>5</v>
      </c>
    </row>
    <row r="504" spans="3:14" ht="15.75" thickBot="1">
      <c r="C504" s="103">
        <f>Predikcia!A502</f>
        <v>45709</v>
      </c>
      <c r="D504" s="42" t="str">
        <f>Predikcia!B502</f>
        <v>19:00:00</v>
      </c>
      <c r="E504" s="67">
        <f>Predikcia!G502</f>
        <v>13938.75</v>
      </c>
      <c r="F504" s="68">
        <f>'DHS2025'!C501</f>
        <v>19420</v>
      </c>
      <c r="G504" s="69">
        <f>'DHS2025'!D501</f>
        <v>619</v>
      </c>
      <c r="H504" s="86">
        <v>8</v>
      </c>
      <c r="I504" s="87">
        <f>'DHS2025'!E501/1000</f>
        <v>6.4649999999999999</v>
      </c>
      <c r="J504" s="50">
        <f>Predikcia!R502</f>
        <v>152.5</v>
      </c>
      <c r="K504" s="48">
        <f t="shared" si="7"/>
        <v>963.76987499999996</v>
      </c>
      <c r="M504" s="11">
        <f>Predikcia!K502</f>
        <v>5</v>
      </c>
      <c r="N504" s="11">
        <v>7.8999999999999986</v>
      </c>
    </row>
    <row r="505" spans="3:14" ht="15.75" thickBot="1">
      <c r="C505" s="103">
        <f>Predikcia!A503</f>
        <v>45709</v>
      </c>
      <c r="D505" s="42" t="str">
        <f>Predikcia!B503</f>
        <v>20:00:00</v>
      </c>
      <c r="E505" s="67">
        <f>Predikcia!G503</f>
        <v>14054.5</v>
      </c>
      <c r="F505" s="68">
        <f>'DHS2025'!C502</f>
        <v>18928</v>
      </c>
      <c r="G505" s="69">
        <f>'DHS2025'!D502</f>
        <v>3289</v>
      </c>
      <c r="H505" s="86">
        <v>8</v>
      </c>
      <c r="I505" s="87">
        <f>'DHS2025'!E502/1000</f>
        <v>8.0489999999999995</v>
      </c>
      <c r="J505" s="50">
        <f>Predikcia!R503</f>
        <v>194</v>
      </c>
      <c r="K505" s="48">
        <f t="shared" si="7"/>
        <v>1530.5978399999999</v>
      </c>
      <c r="M505" s="11">
        <f>Predikcia!K503</f>
        <v>5</v>
      </c>
      <c r="N505" s="11">
        <v>8</v>
      </c>
    </row>
    <row r="506" spans="3:14" ht="15.75" thickBot="1">
      <c r="C506" s="103">
        <f>Predikcia!A504</f>
        <v>45709</v>
      </c>
      <c r="D506" s="42" t="str">
        <f>Predikcia!B504</f>
        <v>21:00:00</v>
      </c>
      <c r="E506" s="67">
        <f>Predikcia!G504</f>
        <v>14021.75</v>
      </c>
      <c r="F506" s="68">
        <f>'DHS2025'!C503</f>
        <v>19813</v>
      </c>
      <c r="G506" s="69">
        <f>'DHS2025'!D503</f>
        <v>4735</v>
      </c>
      <c r="H506" s="86">
        <v>8</v>
      </c>
      <c r="I506" s="87">
        <f>'DHS2025'!E503/1000</f>
        <v>8.0449999999999999</v>
      </c>
      <c r="J506" s="50">
        <f>Predikcia!R504</f>
        <v>203.96</v>
      </c>
      <c r="K506" s="48">
        <f t="shared" si="7"/>
        <v>1609.1641179999999</v>
      </c>
      <c r="M506" s="11">
        <f>Predikcia!K504</f>
        <v>5</v>
      </c>
      <c r="N506" s="11">
        <v>8</v>
      </c>
    </row>
    <row r="507" spans="3:14" ht="15.75" thickBot="1">
      <c r="C507" s="103">
        <f>Predikcia!A505</f>
        <v>45709</v>
      </c>
      <c r="D507" s="42" t="str">
        <f>Predikcia!B505</f>
        <v>22:00:00</v>
      </c>
      <c r="E507" s="67">
        <f>Predikcia!G505</f>
        <v>11415.75</v>
      </c>
      <c r="F507" s="68">
        <f>'DHS2025'!C504</f>
        <v>15177</v>
      </c>
      <c r="G507" s="69">
        <f>'DHS2025'!D504</f>
        <v>8991</v>
      </c>
      <c r="H507" s="86">
        <v>8</v>
      </c>
      <c r="I507" s="87">
        <f>'DHS2025'!E504/1000</f>
        <v>8.0609999999999999</v>
      </c>
      <c r="J507" s="50">
        <f>Predikcia!R505</f>
        <v>193.84</v>
      </c>
      <c r="K507" s="48">
        <f t="shared" si="7"/>
        <v>1531.6028976</v>
      </c>
      <c r="M507" s="11">
        <f>Predikcia!K505</f>
        <v>4</v>
      </c>
      <c r="N507" s="11">
        <v>8</v>
      </c>
    </row>
    <row r="508" spans="3:14" ht="15.75" thickBot="1">
      <c r="C508" s="107">
        <f>Predikcia!A506</f>
        <v>45709</v>
      </c>
      <c r="D508" s="46" t="str">
        <f>Predikcia!B506</f>
        <v>23:00:00</v>
      </c>
      <c r="E508" s="70">
        <f>Predikcia!G506</f>
        <v>6241</v>
      </c>
      <c r="F508" s="71">
        <f>'DHS2025'!C505</f>
        <v>9869</v>
      </c>
      <c r="G508" s="72">
        <f>'DHS2025'!D505</f>
        <v>14384</v>
      </c>
      <c r="H508" s="88">
        <v>6</v>
      </c>
      <c r="I508" s="87">
        <f>'DHS2025'!E505/1000</f>
        <v>8.0809999999999995</v>
      </c>
      <c r="J508" s="50">
        <f>Predikcia!R506</f>
        <v>119.64</v>
      </c>
      <c r="K508" s="48">
        <f t="shared" si="7"/>
        <v>941.78883159999998</v>
      </c>
      <c r="M508" s="11">
        <f>Predikcia!K506</f>
        <v>3</v>
      </c>
      <c r="N508" s="11">
        <v>3</v>
      </c>
    </row>
    <row r="509" spans="3:14" ht="15.75" thickBot="1">
      <c r="C509" s="104">
        <f>Predikcia!A507</f>
        <v>45710</v>
      </c>
      <c r="D509" s="43" t="str">
        <f>Predikcia!B507</f>
        <v>00:00:00</v>
      </c>
      <c r="E509" s="64">
        <f>Predikcia!G507</f>
        <v>4820.75</v>
      </c>
      <c r="F509" s="65">
        <f>'DHS2025'!C506</f>
        <v>11541</v>
      </c>
      <c r="G509" s="66">
        <f>'DHS2025'!D506</f>
        <v>13219</v>
      </c>
      <c r="H509" s="84">
        <v>8</v>
      </c>
      <c r="I509" s="85">
        <f>'DHS2025'!E506/1000</f>
        <v>8.0500000000000007</v>
      </c>
      <c r="J509" s="50">
        <f>Predikcia!R507</f>
        <v>184.67</v>
      </c>
      <c r="K509" s="48">
        <f t="shared" si="7"/>
        <v>1456.4325650000001</v>
      </c>
      <c r="M509" s="11">
        <f>Predikcia!K507</f>
        <v>3</v>
      </c>
      <c r="N509" s="11">
        <v>5</v>
      </c>
    </row>
    <row r="510" spans="3:14" ht="15.75" thickBot="1">
      <c r="C510" s="105">
        <f>Predikcia!A508</f>
        <v>45710</v>
      </c>
      <c r="D510" s="44" t="str">
        <f>Predikcia!B508</f>
        <v>01:00:00</v>
      </c>
      <c r="E510" s="67">
        <f>Predikcia!G508</f>
        <v>5610.25</v>
      </c>
      <c r="F510" s="68">
        <f>'DHS2025'!C507</f>
        <v>12874</v>
      </c>
      <c r="G510" s="69">
        <f>'DHS2025'!D507</f>
        <v>11963</v>
      </c>
      <c r="H510" s="86">
        <v>8</v>
      </c>
      <c r="I510" s="87">
        <f>'DHS2025'!E507/1000</f>
        <v>8.0389999999999997</v>
      </c>
      <c r="J510" s="50">
        <f>Predikcia!R508</f>
        <v>173.98</v>
      </c>
      <c r="K510" s="48">
        <f t="shared" si="7"/>
        <v>1369.3648677999997</v>
      </c>
      <c r="M510" s="11">
        <f>Predikcia!K508</f>
        <v>3</v>
      </c>
      <c r="N510" s="11">
        <v>5</v>
      </c>
    </row>
    <row r="511" spans="3:14" ht="15.75" thickBot="1">
      <c r="C511" s="105">
        <f>Predikcia!A509</f>
        <v>45710</v>
      </c>
      <c r="D511" s="44" t="str">
        <f>Predikcia!B509</f>
        <v>02:00:00</v>
      </c>
      <c r="E511" s="67">
        <f>Predikcia!G509</f>
        <v>7019.75</v>
      </c>
      <c r="F511" s="68">
        <f>'DHS2025'!C508</f>
        <v>15145</v>
      </c>
      <c r="G511" s="69">
        <f>'DHS2025'!D508</f>
        <v>10340</v>
      </c>
      <c r="H511" s="86">
        <v>8</v>
      </c>
      <c r="I511" s="87">
        <f>'DHS2025'!E508/1000</f>
        <v>8.0850000000000009</v>
      </c>
      <c r="J511" s="50">
        <f>Predikcia!R509</f>
        <v>169.22</v>
      </c>
      <c r="K511" s="48">
        <f t="shared" si="7"/>
        <v>1339.1007629999999</v>
      </c>
      <c r="M511" s="11">
        <f>Predikcia!K509</f>
        <v>3</v>
      </c>
      <c r="N511" s="11">
        <v>6</v>
      </c>
    </row>
    <row r="512" spans="3:14" ht="15.75" thickBot="1">
      <c r="C512" s="105">
        <f>Predikcia!A510</f>
        <v>45710</v>
      </c>
      <c r="D512" s="44" t="str">
        <f>Predikcia!B510</f>
        <v>03:00:00</v>
      </c>
      <c r="E512" s="67">
        <f>Predikcia!G510</f>
        <v>7813.5</v>
      </c>
      <c r="F512" s="68">
        <f>'DHS2025'!C509</f>
        <v>15070</v>
      </c>
      <c r="G512" s="69">
        <f>'DHS2025'!D509</f>
        <v>10095</v>
      </c>
      <c r="H512" s="86">
        <v>8</v>
      </c>
      <c r="I512" s="87">
        <f>'DHS2025'!E509/1000</f>
        <v>8.0399999999999991</v>
      </c>
      <c r="J512" s="50">
        <f>Predikcia!R510</f>
        <v>160.72</v>
      </c>
      <c r="K512" s="48">
        <f t="shared" si="7"/>
        <v>1263.9909119999998</v>
      </c>
      <c r="M512" s="11">
        <f>Predikcia!K510</f>
        <v>3</v>
      </c>
      <c r="N512" s="11">
        <v>6</v>
      </c>
    </row>
    <row r="513" spans="3:14" ht="15.75" thickBot="1">
      <c r="C513" s="105">
        <f>Predikcia!A511</f>
        <v>45710</v>
      </c>
      <c r="D513" s="44" t="str">
        <f>Predikcia!B511</f>
        <v>04:00:00</v>
      </c>
      <c r="E513" s="67">
        <f>Predikcia!G511</f>
        <v>15506.25</v>
      </c>
      <c r="F513" s="68">
        <f>'DHS2025'!C510</f>
        <v>22421</v>
      </c>
      <c r="G513" s="69">
        <f>'DHS2025'!D510</f>
        <v>2834</v>
      </c>
      <c r="H513" s="86">
        <v>8</v>
      </c>
      <c r="I513" s="87">
        <f>'DHS2025'!E510/1000</f>
        <v>8.0660000000000007</v>
      </c>
      <c r="J513" s="50">
        <f>Predikcia!R511</f>
        <v>164.83</v>
      </c>
      <c r="K513" s="48">
        <f t="shared" si="7"/>
        <v>1300.8981922</v>
      </c>
      <c r="M513" s="11">
        <f>Predikcia!K511</f>
        <v>5</v>
      </c>
      <c r="N513" s="11">
        <v>7</v>
      </c>
    </row>
    <row r="514" spans="3:14" ht="15.75" thickBot="1">
      <c r="C514" s="105">
        <f>Predikcia!A512</f>
        <v>45710</v>
      </c>
      <c r="D514" s="44" t="str">
        <f>Predikcia!B512</f>
        <v>05:00:00</v>
      </c>
      <c r="E514" s="67">
        <f>Predikcia!G512</f>
        <v>16825.75</v>
      </c>
      <c r="F514" s="68">
        <f>'DHS2025'!C511</f>
        <v>22928</v>
      </c>
      <c r="G514" s="69">
        <f>'DHS2025'!D511</f>
        <v>2366</v>
      </c>
      <c r="H514" s="86">
        <v>8</v>
      </c>
      <c r="I514" s="87">
        <f>'DHS2025'!E511/1000</f>
        <v>8.0540000000000003</v>
      </c>
      <c r="J514" s="50">
        <f>Predikcia!R512</f>
        <v>171.8</v>
      </c>
      <c r="K514" s="48">
        <f t="shared" si="7"/>
        <v>1354.5378280000002</v>
      </c>
      <c r="M514" s="11">
        <f>Predikcia!K512</f>
        <v>6</v>
      </c>
      <c r="N514" s="11">
        <v>8</v>
      </c>
    </row>
    <row r="515" spans="3:14" ht="15.75" thickBot="1">
      <c r="C515" s="105">
        <f>Predikcia!A513</f>
        <v>45710</v>
      </c>
      <c r="D515" s="44" t="str">
        <f>Predikcia!B513</f>
        <v>06:00:00</v>
      </c>
      <c r="E515" s="67">
        <f>Predikcia!G513</f>
        <v>16371.25</v>
      </c>
      <c r="F515" s="68">
        <f>'DHS2025'!C512</f>
        <v>21749</v>
      </c>
      <c r="G515" s="69">
        <f>'DHS2025'!D512</f>
        <v>3294</v>
      </c>
      <c r="H515" s="86">
        <v>8</v>
      </c>
      <c r="I515" s="87">
        <f>'DHS2025'!E512/1000</f>
        <v>8.0350000000000001</v>
      </c>
      <c r="J515" s="50">
        <f>Predikcia!R513</f>
        <v>204.42</v>
      </c>
      <c r="K515" s="48">
        <f t="shared" si="7"/>
        <v>1610.8230530000001</v>
      </c>
      <c r="M515" s="11">
        <f>Predikcia!K513</f>
        <v>6</v>
      </c>
      <c r="N515" s="11">
        <v>8</v>
      </c>
    </row>
    <row r="516" spans="3:14" ht="15.75" thickBot="1">
      <c r="C516" s="105">
        <f>Predikcia!A514</f>
        <v>45710</v>
      </c>
      <c r="D516" s="44" t="str">
        <f>Predikcia!B514</f>
        <v>07:00:00</v>
      </c>
      <c r="E516" s="67">
        <f>Predikcia!G514</f>
        <v>14966</v>
      </c>
      <c r="F516" s="68">
        <f>'DHS2025'!C513</f>
        <v>19364</v>
      </c>
      <c r="G516" s="69">
        <f>'DHS2025'!D513</f>
        <v>6280</v>
      </c>
      <c r="H516" s="86">
        <v>8</v>
      </c>
      <c r="I516" s="87">
        <f>'DHS2025'!E513/1000</f>
        <v>8.0779999999999994</v>
      </c>
      <c r="J516" s="50">
        <f>Predikcia!R514</f>
        <v>169.74</v>
      </c>
      <c r="K516" s="48">
        <f t="shared" si="7"/>
        <v>1342.0999228000001</v>
      </c>
      <c r="M516" s="11">
        <f>Predikcia!K514</f>
        <v>5</v>
      </c>
      <c r="N516" s="11">
        <v>8</v>
      </c>
    </row>
    <row r="517" spans="3:14" ht="15.75" thickBot="1">
      <c r="C517" s="105">
        <f>Predikcia!A515</f>
        <v>45710</v>
      </c>
      <c r="D517" s="44" t="str">
        <f>Predikcia!B515</f>
        <v>08:00:00</v>
      </c>
      <c r="E517" s="67">
        <f>Predikcia!G515</f>
        <v>15531.75</v>
      </c>
      <c r="F517" s="68">
        <f>'DHS2025'!C514</f>
        <v>19536</v>
      </c>
      <c r="G517" s="69">
        <f>'DHS2025'!D514</f>
        <v>5982</v>
      </c>
      <c r="H517" s="86">
        <v>8</v>
      </c>
      <c r="I517" s="87">
        <f>'DHS2025'!E514/1000</f>
        <v>8.077</v>
      </c>
      <c r="J517" s="50">
        <f>Predikcia!R515</f>
        <v>108.67</v>
      </c>
      <c r="K517" s="48">
        <f t="shared" si="7"/>
        <v>853.60401409999986</v>
      </c>
      <c r="M517" s="11">
        <f>Predikcia!K515</f>
        <v>5</v>
      </c>
      <c r="N517" s="11">
        <v>8</v>
      </c>
    </row>
    <row r="518" spans="3:14" ht="15.75" thickBot="1">
      <c r="C518" s="105">
        <f>Predikcia!A516</f>
        <v>45710</v>
      </c>
      <c r="D518" s="44" t="str">
        <f>Predikcia!B516</f>
        <v>09:00:00</v>
      </c>
      <c r="E518" s="67">
        <f>Predikcia!G516</f>
        <v>14260</v>
      </c>
      <c r="F518" s="68">
        <f>'DHS2025'!C515</f>
        <v>15746</v>
      </c>
      <c r="G518" s="69">
        <f>'DHS2025'!D515</f>
        <v>8097</v>
      </c>
      <c r="H518" s="86">
        <v>8</v>
      </c>
      <c r="I518" s="87">
        <f>'DHS2025'!E515/1000</f>
        <v>8.0370000000000008</v>
      </c>
      <c r="J518" s="50">
        <f>Predikcia!R516</f>
        <v>70.680000000000007</v>
      </c>
      <c r="K518" s="48">
        <f t="shared" ref="K518:K581" si="8">(J518*0.99-1.9)*I518</f>
        <v>547.10430840000004</v>
      </c>
      <c r="M518" s="11">
        <f>Predikcia!K516</f>
        <v>5</v>
      </c>
      <c r="N518" s="11">
        <v>8</v>
      </c>
    </row>
    <row r="519" spans="3:14" ht="15.75" thickBot="1">
      <c r="C519" s="105">
        <f>Predikcia!A517</f>
        <v>45710</v>
      </c>
      <c r="D519" s="44" t="str">
        <f>Predikcia!B517</f>
        <v>10:00:00</v>
      </c>
      <c r="E519" s="67">
        <f>Predikcia!G517</f>
        <v>12901</v>
      </c>
      <c r="F519" s="68">
        <f>'DHS2025'!C516</f>
        <v>13741</v>
      </c>
      <c r="G519" s="69">
        <f>'DHS2025'!D516</f>
        <v>7186</v>
      </c>
      <c r="H519" s="86">
        <v>7</v>
      </c>
      <c r="I519" s="87">
        <f>'DHS2025'!E516/1000</f>
        <v>7.194</v>
      </c>
      <c r="J519" s="50">
        <f>Predikcia!R517</f>
        <v>58.3</v>
      </c>
      <c r="K519" s="48">
        <f t="shared" si="8"/>
        <v>401.54749800000002</v>
      </c>
      <c r="M519" s="11">
        <f>Predikcia!K517</f>
        <v>5</v>
      </c>
      <c r="N519" s="11">
        <v>7</v>
      </c>
    </row>
    <row r="520" spans="3:14" ht="15.75" thickBot="1">
      <c r="C520" s="105">
        <f>Predikcia!A518</f>
        <v>45710</v>
      </c>
      <c r="D520" s="44" t="str">
        <f>Predikcia!B518</f>
        <v>11:00:00</v>
      </c>
      <c r="E520" s="67">
        <f>Predikcia!G518</f>
        <v>12311.25</v>
      </c>
      <c r="F520" s="68">
        <f>'DHS2025'!C517</f>
        <v>14557</v>
      </c>
      <c r="G520" s="69">
        <f>'DHS2025'!D517</f>
        <v>5621</v>
      </c>
      <c r="H520" s="86">
        <v>6</v>
      </c>
      <c r="I520" s="87">
        <f>'DHS2025'!E517/1000</f>
        <v>6.6550000000000002</v>
      </c>
      <c r="J520" s="50">
        <f>Predikcia!R518</f>
        <v>56.77</v>
      </c>
      <c r="K520" s="48">
        <f t="shared" si="8"/>
        <v>361.38180650000004</v>
      </c>
      <c r="M520" s="11">
        <f>Predikcia!K518</f>
        <v>5</v>
      </c>
      <c r="N520" s="11">
        <v>6</v>
      </c>
    </row>
    <row r="521" spans="3:14" ht="15.75" thickBot="1">
      <c r="C521" s="105">
        <f>Predikcia!A519</f>
        <v>45710</v>
      </c>
      <c r="D521" s="44" t="str">
        <f>Predikcia!B519</f>
        <v>12:00:00</v>
      </c>
      <c r="E521" s="67">
        <f>Predikcia!G519</f>
        <v>12361</v>
      </c>
      <c r="F521" s="68">
        <f>'DHS2025'!C518</f>
        <v>14829</v>
      </c>
      <c r="G521" s="69">
        <f>'DHS2025'!D518</f>
        <v>4155</v>
      </c>
      <c r="H521" s="86">
        <v>6</v>
      </c>
      <c r="I521" s="87">
        <f>'DHS2025'!E518/1000</f>
        <v>6.0549999999999997</v>
      </c>
      <c r="J521" s="50">
        <f>Predikcia!R519</f>
        <v>53.09</v>
      </c>
      <c r="K521" s="48">
        <f t="shared" si="8"/>
        <v>306.74085050000002</v>
      </c>
      <c r="M521" s="11">
        <f>Predikcia!K519</f>
        <v>5</v>
      </c>
      <c r="N521" s="11">
        <v>6</v>
      </c>
    </row>
    <row r="522" spans="3:14" ht="15.75" thickBot="1">
      <c r="C522" s="105">
        <f>Predikcia!A520</f>
        <v>45710</v>
      </c>
      <c r="D522" s="44" t="str">
        <f>Predikcia!B520</f>
        <v>13:00:00</v>
      </c>
      <c r="E522" s="67">
        <f>Predikcia!G520</f>
        <v>12358.5</v>
      </c>
      <c r="F522" s="68">
        <f>'DHS2025'!C519</f>
        <v>13670</v>
      </c>
      <c r="G522" s="69">
        <f>'DHS2025'!D519</f>
        <v>5120</v>
      </c>
      <c r="H522" s="86">
        <v>6</v>
      </c>
      <c r="I522" s="87">
        <f>'DHS2025'!E519/1000</f>
        <v>6.0650000000000004</v>
      </c>
      <c r="J522" s="50">
        <f>Predikcia!R520</f>
        <v>56.26</v>
      </c>
      <c r="K522" s="48">
        <f t="shared" si="8"/>
        <v>326.28123099999999</v>
      </c>
      <c r="M522" s="11">
        <f>Predikcia!K520</f>
        <v>5</v>
      </c>
      <c r="N522" s="11">
        <v>6</v>
      </c>
    </row>
    <row r="523" spans="3:14" ht="15.75" thickBot="1">
      <c r="C523" s="105">
        <f>Predikcia!A521</f>
        <v>45710</v>
      </c>
      <c r="D523" s="44" t="str">
        <f>Predikcia!B521</f>
        <v>14:00:00</v>
      </c>
      <c r="E523" s="67">
        <f>Predikcia!G521</f>
        <v>12139.25</v>
      </c>
      <c r="F523" s="68">
        <f>'DHS2025'!C520</f>
        <v>14083</v>
      </c>
      <c r="G523" s="69">
        <f>'DHS2025'!D520</f>
        <v>4976</v>
      </c>
      <c r="H523" s="86">
        <v>6</v>
      </c>
      <c r="I523" s="87">
        <f>'DHS2025'!E520/1000</f>
        <v>6.0679999999999996</v>
      </c>
      <c r="J523" s="50">
        <f>Predikcia!R521</f>
        <v>68.150000000000006</v>
      </c>
      <c r="K523" s="48">
        <f t="shared" si="8"/>
        <v>397.86965799999996</v>
      </c>
      <c r="M523" s="11">
        <f>Predikcia!K521</f>
        <v>5</v>
      </c>
      <c r="N523" s="11">
        <v>6</v>
      </c>
    </row>
    <row r="524" spans="3:14" ht="15.75" thickBot="1">
      <c r="C524" s="105">
        <f>Predikcia!A522</f>
        <v>45710</v>
      </c>
      <c r="D524" s="44" t="str">
        <f>Predikcia!B522</f>
        <v>15:00:00</v>
      </c>
      <c r="E524" s="67">
        <f>Predikcia!G522</f>
        <v>12240.25</v>
      </c>
      <c r="F524" s="68">
        <f>'DHS2025'!C521</f>
        <v>14235</v>
      </c>
      <c r="G524" s="69">
        <f>'DHS2025'!D521</f>
        <v>7496</v>
      </c>
      <c r="H524" s="86">
        <v>7</v>
      </c>
      <c r="I524" s="87">
        <f>'DHS2025'!E521/1000</f>
        <v>6.9870000000000001</v>
      </c>
      <c r="J524" s="50">
        <f>Predikcia!R522</f>
        <v>154.66999999999999</v>
      </c>
      <c r="K524" s="48">
        <f t="shared" si="8"/>
        <v>1056.5971970999999</v>
      </c>
      <c r="M524" s="11">
        <f>Predikcia!K522</f>
        <v>5</v>
      </c>
      <c r="N524" s="11">
        <v>7</v>
      </c>
    </row>
    <row r="525" spans="3:14" ht="15.75" thickBot="1">
      <c r="C525" s="105">
        <f>Predikcia!A523</f>
        <v>45710</v>
      </c>
      <c r="D525" s="44" t="str">
        <f>Predikcia!B523</f>
        <v>16:00:00</v>
      </c>
      <c r="E525" s="67">
        <f>Predikcia!G523</f>
        <v>12523</v>
      </c>
      <c r="F525" s="68">
        <f>'DHS2025'!C522</f>
        <v>14290</v>
      </c>
      <c r="G525" s="69">
        <f>'DHS2025'!D522</f>
        <v>10652</v>
      </c>
      <c r="H525" s="86">
        <v>8</v>
      </c>
      <c r="I525" s="87">
        <f>'DHS2025'!E522/1000</f>
        <v>8.0060000000000002</v>
      </c>
      <c r="J525" s="50">
        <f>Predikcia!R523</f>
        <v>226.8</v>
      </c>
      <c r="K525" s="48">
        <f t="shared" si="8"/>
        <v>1782.3917920000001</v>
      </c>
      <c r="M525" s="11">
        <f>Predikcia!K523</f>
        <v>5</v>
      </c>
      <c r="N525" s="11">
        <v>7</v>
      </c>
    </row>
    <row r="526" spans="3:14" ht="15.75" thickBot="1">
      <c r="C526" s="105">
        <f>Predikcia!A524</f>
        <v>45710</v>
      </c>
      <c r="D526" s="44" t="str">
        <f>Predikcia!B524</f>
        <v>17:00:00</v>
      </c>
      <c r="E526" s="67">
        <f>Predikcia!G524</f>
        <v>12657.5</v>
      </c>
      <c r="F526" s="68">
        <f>'DHS2025'!C523</f>
        <v>15750</v>
      </c>
      <c r="G526" s="69">
        <f>'DHS2025'!D523</f>
        <v>8314</v>
      </c>
      <c r="H526" s="86">
        <v>8</v>
      </c>
      <c r="I526" s="87">
        <f>'DHS2025'!E523/1000</f>
        <v>8.0649999999999995</v>
      </c>
      <c r="J526" s="50">
        <f>Predikcia!R524</f>
        <v>126.31</v>
      </c>
      <c r="K526" s="48">
        <f t="shared" si="8"/>
        <v>993.17974849999996</v>
      </c>
      <c r="M526" s="11">
        <f>Predikcia!K524</f>
        <v>5</v>
      </c>
      <c r="N526" s="11">
        <v>8</v>
      </c>
    </row>
    <row r="527" spans="3:14" ht="15.75" thickBot="1">
      <c r="C527" s="105">
        <f>Predikcia!A525</f>
        <v>45710</v>
      </c>
      <c r="D527" s="44" t="str">
        <f>Predikcia!B525</f>
        <v>18:00:00</v>
      </c>
      <c r="E527" s="67">
        <f>Predikcia!G525</f>
        <v>14197</v>
      </c>
      <c r="F527" s="68">
        <f>'DHS2025'!C524</f>
        <v>17722</v>
      </c>
      <c r="G527" s="69">
        <f>'DHS2025'!D524</f>
        <v>6396</v>
      </c>
      <c r="H527" s="86">
        <v>8</v>
      </c>
      <c r="I527" s="87">
        <f>'DHS2025'!E524/1000</f>
        <v>8.0619999999999994</v>
      </c>
      <c r="J527" s="50">
        <f>Predikcia!R525</f>
        <v>180</v>
      </c>
      <c r="K527" s="48">
        <f t="shared" si="8"/>
        <v>1421.3305999999998</v>
      </c>
      <c r="M527" s="11">
        <f>Predikcia!K525</f>
        <v>5</v>
      </c>
      <c r="N527" s="11">
        <v>8</v>
      </c>
    </row>
    <row r="528" spans="3:14" ht="15.75" thickBot="1">
      <c r="C528" s="105">
        <f>Predikcia!A526</f>
        <v>45710</v>
      </c>
      <c r="D528" s="44" t="str">
        <f>Predikcia!B526</f>
        <v>19:00:00</v>
      </c>
      <c r="E528" s="67">
        <f>Predikcia!G526</f>
        <v>14153.25</v>
      </c>
      <c r="F528" s="68">
        <f>'DHS2025'!C525</f>
        <v>19255</v>
      </c>
      <c r="G528" s="69">
        <f>'DHS2025'!D525</f>
        <v>5409</v>
      </c>
      <c r="H528" s="86">
        <v>8</v>
      </c>
      <c r="I528" s="87">
        <f>'DHS2025'!E525/1000</f>
        <v>8.0630000000000006</v>
      </c>
      <c r="J528" s="50">
        <f>Predikcia!R526</f>
        <v>165.2</v>
      </c>
      <c r="K528" s="48">
        <f t="shared" si="8"/>
        <v>1303.3678239999999</v>
      </c>
      <c r="M528" s="11">
        <f>Predikcia!K526</f>
        <v>5</v>
      </c>
      <c r="N528" s="11">
        <v>8</v>
      </c>
    </row>
    <row r="529" spans="3:14" ht="15.75" thickBot="1">
      <c r="C529" s="105">
        <f>Predikcia!A527</f>
        <v>45710</v>
      </c>
      <c r="D529" s="44" t="str">
        <f>Predikcia!B527</f>
        <v>20:00:00</v>
      </c>
      <c r="E529" s="67">
        <f>Predikcia!G527</f>
        <v>14012</v>
      </c>
      <c r="F529" s="68">
        <f>'DHS2025'!C526</f>
        <v>18478</v>
      </c>
      <c r="G529" s="69">
        <f>'DHS2025'!D526</f>
        <v>5487</v>
      </c>
      <c r="H529" s="86">
        <v>8</v>
      </c>
      <c r="I529" s="87">
        <f>'DHS2025'!E526/1000</f>
        <v>8.0660000000000007</v>
      </c>
      <c r="J529" s="50">
        <f>Predikcia!R527</f>
        <v>193</v>
      </c>
      <c r="K529" s="48">
        <f t="shared" si="8"/>
        <v>1525.8452199999999</v>
      </c>
      <c r="M529" s="11">
        <f>Predikcia!K527</f>
        <v>5</v>
      </c>
      <c r="N529" s="11">
        <v>8</v>
      </c>
    </row>
    <row r="530" spans="3:14" ht="15.75" thickBot="1">
      <c r="C530" s="105">
        <f>Predikcia!A528</f>
        <v>45710</v>
      </c>
      <c r="D530" s="44" t="str">
        <f>Predikcia!B528</f>
        <v>21:00:00</v>
      </c>
      <c r="E530" s="67">
        <f>Predikcia!G528</f>
        <v>14588.75</v>
      </c>
      <c r="F530" s="68">
        <f>'DHS2025'!C527</f>
        <v>18532</v>
      </c>
      <c r="G530" s="69">
        <f>'DHS2025'!D527</f>
        <v>5862</v>
      </c>
      <c r="H530" s="86">
        <v>8</v>
      </c>
      <c r="I530" s="87">
        <f>'DHS2025'!E527/1000</f>
        <v>8.0169999999999995</v>
      </c>
      <c r="J530" s="50">
        <f>Predikcia!R528</f>
        <v>168.1</v>
      </c>
      <c r="K530" s="48">
        <f t="shared" si="8"/>
        <v>1318.9488229999997</v>
      </c>
      <c r="M530" s="11">
        <f>Predikcia!K528</f>
        <v>5</v>
      </c>
      <c r="N530" s="11">
        <v>8</v>
      </c>
    </row>
    <row r="531" spans="3:14" ht="15.75" thickBot="1">
      <c r="C531" s="105">
        <f>Predikcia!A529</f>
        <v>45710</v>
      </c>
      <c r="D531" s="44" t="str">
        <f>Predikcia!B529</f>
        <v>22:00:00</v>
      </c>
      <c r="E531" s="67">
        <f>Predikcia!G529</f>
        <v>12444.5</v>
      </c>
      <c r="F531" s="68">
        <f>'DHS2025'!C528</f>
        <v>16205</v>
      </c>
      <c r="G531" s="69">
        <f>'DHS2025'!D528</f>
        <v>8286</v>
      </c>
      <c r="H531" s="86">
        <v>8</v>
      </c>
      <c r="I531" s="87">
        <f>'DHS2025'!E528/1000</f>
        <v>8.0519999999999996</v>
      </c>
      <c r="J531" s="50">
        <f>Predikcia!R529</f>
        <v>180.23</v>
      </c>
      <c r="K531" s="48">
        <f t="shared" si="8"/>
        <v>1421.4010403999998</v>
      </c>
      <c r="M531" s="11">
        <f>Predikcia!K529</f>
        <v>5</v>
      </c>
      <c r="N531" s="11">
        <v>7</v>
      </c>
    </row>
    <row r="532" spans="3:14" ht="15.75" thickBot="1">
      <c r="C532" s="106">
        <f>Predikcia!A530</f>
        <v>45710</v>
      </c>
      <c r="D532" s="45" t="str">
        <f>Predikcia!B530</f>
        <v>23:00:00</v>
      </c>
      <c r="E532" s="70">
        <f>Predikcia!G530</f>
        <v>6346.5</v>
      </c>
      <c r="F532" s="71">
        <f>'DHS2025'!C529</f>
        <v>9517</v>
      </c>
      <c r="G532" s="72">
        <f>'DHS2025'!D529</f>
        <v>14634</v>
      </c>
      <c r="H532" s="88">
        <v>8</v>
      </c>
      <c r="I532" s="87">
        <f>'DHS2025'!E529/1000</f>
        <v>8.0649999999999995</v>
      </c>
      <c r="J532" s="50">
        <f>Predikcia!R530</f>
        <v>211.27</v>
      </c>
      <c r="K532" s="48">
        <f t="shared" si="8"/>
        <v>1671.5301245000001</v>
      </c>
      <c r="M532" s="11">
        <f>Predikcia!K530</f>
        <v>3</v>
      </c>
      <c r="N532" s="11">
        <v>6</v>
      </c>
    </row>
    <row r="533" spans="3:14" ht="15.75" thickBot="1">
      <c r="C533" s="102">
        <f>Predikcia!A531</f>
        <v>45711</v>
      </c>
      <c r="D533" s="41" t="str">
        <f>Predikcia!B531</f>
        <v>00:00:00</v>
      </c>
      <c r="E533" s="64">
        <f>Predikcia!G531</f>
        <v>6197</v>
      </c>
      <c r="F533" s="65">
        <f>'DHS2025'!C530</f>
        <v>10762</v>
      </c>
      <c r="G533" s="66">
        <f>'DHS2025'!D530</f>
        <v>13883</v>
      </c>
      <c r="H533" s="84">
        <v>8</v>
      </c>
      <c r="I533" s="85">
        <f>'DHS2025'!E530/1000</f>
        <v>8.0779999999999994</v>
      </c>
      <c r="J533" s="50">
        <f>Predikcia!R531</f>
        <v>164.1</v>
      </c>
      <c r="K533" s="48">
        <f t="shared" si="8"/>
        <v>1296.995602</v>
      </c>
      <c r="M533" s="11">
        <f>Predikcia!K531</f>
        <v>3</v>
      </c>
      <c r="N533" s="11">
        <v>7</v>
      </c>
    </row>
    <row r="534" spans="3:14" ht="15.75" thickBot="1">
      <c r="C534" s="103">
        <f>Predikcia!A532</f>
        <v>45711</v>
      </c>
      <c r="D534" s="42" t="str">
        <f>Predikcia!B532</f>
        <v>01:00:00</v>
      </c>
      <c r="E534" s="67">
        <f>Predikcia!G532</f>
        <v>7601.25</v>
      </c>
      <c r="F534" s="68">
        <f>'DHS2025'!C531</f>
        <v>11004</v>
      </c>
      <c r="G534" s="69">
        <f>'DHS2025'!D531</f>
        <v>13860</v>
      </c>
      <c r="H534" s="86">
        <v>8</v>
      </c>
      <c r="I534" s="87">
        <f>'DHS2025'!E531/1000</f>
        <v>8.0559999999999992</v>
      </c>
      <c r="J534" s="50">
        <f>Predikcia!R532</f>
        <v>177.88</v>
      </c>
      <c r="K534" s="48">
        <f t="shared" si="8"/>
        <v>1403.3648671999999</v>
      </c>
      <c r="M534" s="11">
        <f>Predikcia!K532</f>
        <v>3</v>
      </c>
      <c r="N534" s="11">
        <v>8</v>
      </c>
    </row>
    <row r="535" spans="3:14" ht="15.75" thickBot="1">
      <c r="C535" s="103">
        <f>Predikcia!A533</f>
        <v>45711</v>
      </c>
      <c r="D535" s="42" t="str">
        <f>Predikcia!B533</f>
        <v>02:00:00</v>
      </c>
      <c r="E535" s="67">
        <f>Predikcia!G533</f>
        <v>7779</v>
      </c>
      <c r="F535" s="68">
        <f>'DHS2025'!C532</f>
        <v>12128</v>
      </c>
      <c r="G535" s="69">
        <f>'DHS2025'!D532</f>
        <v>11701</v>
      </c>
      <c r="H535" s="86">
        <v>8</v>
      </c>
      <c r="I535" s="87">
        <f>'DHS2025'!E532/1000</f>
        <v>8.0139999999999993</v>
      </c>
      <c r="J535" s="50">
        <f>Predikcia!R533</f>
        <v>159.02000000000001</v>
      </c>
      <c r="K535" s="48">
        <f t="shared" si="8"/>
        <v>1246.4158171999998</v>
      </c>
      <c r="M535" s="11">
        <f>Predikcia!K533</f>
        <v>3</v>
      </c>
      <c r="N535" s="11">
        <v>8</v>
      </c>
    </row>
    <row r="536" spans="3:14" ht="15.75" thickBot="1">
      <c r="C536" s="103">
        <f>Predikcia!A534</f>
        <v>45711</v>
      </c>
      <c r="D536" s="42" t="str">
        <f>Predikcia!B534</f>
        <v>03:00:00</v>
      </c>
      <c r="E536" s="67">
        <f>Predikcia!G534</f>
        <v>9853.25</v>
      </c>
      <c r="F536" s="68">
        <f>'DHS2025'!C533</f>
        <v>13575</v>
      </c>
      <c r="G536" s="69">
        <f>'DHS2025'!D533</f>
        <v>11225</v>
      </c>
      <c r="H536" s="86">
        <v>8</v>
      </c>
      <c r="I536" s="87">
        <f>'DHS2025'!E533/1000</f>
        <v>8.0470000000000006</v>
      </c>
      <c r="J536" s="50">
        <f>Predikcia!R534</f>
        <v>159.27000000000001</v>
      </c>
      <c r="K536" s="48">
        <f t="shared" si="8"/>
        <v>1253.5399331000001</v>
      </c>
      <c r="M536" s="11">
        <f>Predikcia!K534</f>
        <v>4</v>
      </c>
      <c r="N536" s="11">
        <v>8</v>
      </c>
    </row>
    <row r="537" spans="3:14" ht="15.75" thickBot="1">
      <c r="C537" s="103">
        <f>Predikcia!A535</f>
        <v>45711</v>
      </c>
      <c r="D537" s="42" t="str">
        <f>Predikcia!B535</f>
        <v>04:00:00</v>
      </c>
      <c r="E537" s="67">
        <f>Predikcia!G535</f>
        <v>14829.75</v>
      </c>
      <c r="F537" s="68">
        <f>'DHS2025'!C534</f>
        <v>23139</v>
      </c>
      <c r="G537" s="69">
        <f>'DHS2025'!D534</f>
        <v>2244</v>
      </c>
      <c r="H537" s="86">
        <v>8</v>
      </c>
      <c r="I537" s="87">
        <f>'DHS2025'!E534/1000</f>
        <v>8.0719999999999992</v>
      </c>
      <c r="J537" s="50">
        <f>Predikcia!R535</f>
        <v>157.25</v>
      </c>
      <c r="K537" s="48">
        <f t="shared" si="8"/>
        <v>1241.29198</v>
      </c>
      <c r="M537" s="11">
        <f>Predikcia!K535</f>
        <v>5</v>
      </c>
      <c r="N537" s="11">
        <v>8</v>
      </c>
    </row>
    <row r="538" spans="3:14" ht="15.75" thickBot="1">
      <c r="C538" s="103">
        <f>Predikcia!A536</f>
        <v>45711</v>
      </c>
      <c r="D538" s="42" t="str">
        <f>Predikcia!B536</f>
        <v>05:00:00</v>
      </c>
      <c r="E538" s="67">
        <f>Predikcia!G536</f>
        <v>16765.5</v>
      </c>
      <c r="F538" s="68">
        <f>'DHS2025'!C535</f>
        <v>21842</v>
      </c>
      <c r="G538" s="69">
        <f>'DHS2025'!D535</f>
        <v>3046</v>
      </c>
      <c r="H538" s="86">
        <v>8</v>
      </c>
      <c r="I538" s="87">
        <f>'DHS2025'!E535/1000</f>
        <v>8.09</v>
      </c>
      <c r="J538" s="50">
        <f>Predikcia!R536</f>
        <v>168.62</v>
      </c>
      <c r="K538" s="48">
        <f t="shared" si="8"/>
        <v>1335.1234419999998</v>
      </c>
      <c r="M538" s="11">
        <f>Predikcia!K536</f>
        <v>6</v>
      </c>
      <c r="N538" s="11">
        <v>8</v>
      </c>
    </row>
    <row r="539" spans="3:14" ht="15.75" thickBot="1">
      <c r="C539" s="103">
        <f>Predikcia!A537</f>
        <v>45711</v>
      </c>
      <c r="D539" s="42" t="str">
        <f>Predikcia!B537</f>
        <v>06:00:00</v>
      </c>
      <c r="E539" s="67">
        <f>Predikcia!G537</f>
        <v>16985</v>
      </c>
      <c r="F539" s="68">
        <f>'DHS2025'!C536</f>
        <v>19767</v>
      </c>
      <c r="G539" s="69">
        <f>'DHS2025'!D536</f>
        <v>5208</v>
      </c>
      <c r="H539" s="86">
        <v>8</v>
      </c>
      <c r="I539" s="87">
        <f>'DHS2025'!E536/1000</f>
        <v>8.06</v>
      </c>
      <c r="J539" s="50">
        <f>Predikcia!R537</f>
        <v>158.82</v>
      </c>
      <c r="K539" s="48">
        <f t="shared" si="8"/>
        <v>1251.9743080000001</v>
      </c>
      <c r="M539" s="11">
        <f>Predikcia!K537</f>
        <v>6</v>
      </c>
      <c r="N539" s="11">
        <v>8</v>
      </c>
    </row>
    <row r="540" spans="3:14" ht="15.75" thickBot="1">
      <c r="C540" s="103">
        <f>Predikcia!A538</f>
        <v>45711</v>
      </c>
      <c r="D540" s="42" t="str">
        <f>Predikcia!B538</f>
        <v>07:00:00</v>
      </c>
      <c r="E540" s="67">
        <f>Predikcia!G538</f>
        <v>15849</v>
      </c>
      <c r="F540" s="68">
        <f>'DHS2025'!C537</f>
        <v>18118</v>
      </c>
      <c r="G540" s="69">
        <f>'DHS2025'!D537</f>
        <v>6559</v>
      </c>
      <c r="H540" s="86">
        <v>8</v>
      </c>
      <c r="I540" s="87">
        <f>'DHS2025'!E537/1000</f>
        <v>8.0690000000000008</v>
      </c>
      <c r="J540" s="50">
        <f>Predikcia!R538</f>
        <v>153</v>
      </c>
      <c r="K540" s="48">
        <f t="shared" si="8"/>
        <v>1206.88033</v>
      </c>
      <c r="M540" s="11">
        <f>Predikcia!K538</f>
        <v>5</v>
      </c>
      <c r="N540" s="11">
        <v>8</v>
      </c>
    </row>
    <row r="541" spans="3:14" ht="15.75" thickBot="1">
      <c r="C541" s="103">
        <f>Predikcia!A539</f>
        <v>45711</v>
      </c>
      <c r="D541" s="42" t="str">
        <f>Predikcia!B539</f>
        <v>08:00:00</v>
      </c>
      <c r="E541" s="67">
        <f>Predikcia!G539</f>
        <v>14979.75</v>
      </c>
      <c r="F541" s="68">
        <f>'DHS2025'!C538</f>
        <v>17452</v>
      </c>
      <c r="G541" s="69">
        <f>'DHS2025'!D538</f>
        <v>6801</v>
      </c>
      <c r="H541" s="86">
        <v>8</v>
      </c>
      <c r="I541" s="87">
        <f>'DHS2025'!E538/1000</f>
        <v>8.0449999999999999</v>
      </c>
      <c r="J541" s="50">
        <f>Predikcia!R539</f>
        <v>118.8</v>
      </c>
      <c r="K541" s="48">
        <f t="shared" si="8"/>
        <v>930.90303999999992</v>
      </c>
      <c r="M541" s="11">
        <f>Predikcia!K539</f>
        <v>5</v>
      </c>
      <c r="N541" s="11">
        <v>8</v>
      </c>
    </row>
    <row r="542" spans="3:14" ht="15.75" thickBot="1">
      <c r="C542" s="103">
        <f>Predikcia!A540</f>
        <v>45711</v>
      </c>
      <c r="D542" s="42" t="str">
        <f>Predikcia!B540</f>
        <v>09:00:00</v>
      </c>
      <c r="E542" s="67">
        <f>Predikcia!G540</f>
        <v>15208.5</v>
      </c>
      <c r="F542" s="68">
        <f>'DHS2025'!C539</f>
        <v>16553</v>
      </c>
      <c r="G542" s="69">
        <f>'DHS2025'!D539</f>
        <v>5343</v>
      </c>
      <c r="H542" s="86">
        <v>7</v>
      </c>
      <c r="I542" s="87">
        <f>'DHS2025'!E539/1000</f>
        <v>7.25</v>
      </c>
      <c r="J542" s="50">
        <f>Predikcia!R540</f>
        <v>101.3</v>
      </c>
      <c r="K542" s="48">
        <f t="shared" si="8"/>
        <v>713.30574999999988</v>
      </c>
      <c r="M542" s="11">
        <f>Predikcia!K540</f>
        <v>5</v>
      </c>
      <c r="N542" s="11">
        <v>7</v>
      </c>
    </row>
    <row r="543" spans="3:14" ht="15.75" thickBot="1">
      <c r="C543" s="103">
        <f>Predikcia!A541</f>
        <v>45711</v>
      </c>
      <c r="D543" s="42" t="str">
        <f>Predikcia!B541</f>
        <v>10:00:00</v>
      </c>
      <c r="E543" s="67">
        <f>Predikcia!G541</f>
        <v>14076.25</v>
      </c>
      <c r="F543" s="68">
        <f>'DHS2025'!C540</f>
        <v>14606</v>
      </c>
      <c r="G543" s="69">
        <f>'DHS2025'!D540</f>
        <v>3623</v>
      </c>
      <c r="H543" s="86">
        <v>6</v>
      </c>
      <c r="I543" s="87">
        <f>'DHS2025'!E540/1000</f>
        <v>6.1020000000000003</v>
      </c>
      <c r="J543" s="50">
        <f>Predikcia!R541</f>
        <v>86.11</v>
      </c>
      <c r="K543" s="48">
        <f t="shared" si="8"/>
        <v>508.59498779999996</v>
      </c>
      <c r="M543" s="11">
        <f>Predikcia!K541</f>
        <v>5</v>
      </c>
      <c r="N543" s="11">
        <v>6</v>
      </c>
    </row>
    <row r="544" spans="3:14" ht="15.75" thickBot="1">
      <c r="C544" s="103">
        <f>Predikcia!A542</f>
        <v>45711</v>
      </c>
      <c r="D544" s="42" t="str">
        <f>Predikcia!B542</f>
        <v>11:00:00</v>
      </c>
      <c r="E544" s="67">
        <f>Predikcia!G542</f>
        <v>12639.5</v>
      </c>
      <c r="F544" s="68">
        <f>'DHS2025'!C541</f>
        <v>13641</v>
      </c>
      <c r="G544" s="69">
        <f>'DHS2025'!D541</f>
        <v>2413</v>
      </c>
      <c r="H544" s="86">
        <v>5</v>
      </c>
      <c r="I544" s="87">
        <f>'DHS2025'!E541/1000</f>
        <v>5.1189999999999998</v>
      </c>
      <c r="J544" s="50">
        <f>Predikcia!R542</f>
        <v>87.81</v>
      </c>
      <c r="K544" s="48">
        <f t="shared" si="8"/>
        <v>435.27829609999992</v>
      </c>
      <c r="M544" s="11">
        <f>Predikcia!K542</f>
        <v>5</v>
      </c>
      <c r="N544" s="11">
        <v>5</v>
      </c>
    </row>
    <row r="545" spans="3:14" ht="15.75" thickBot="1">
      <c r="C545" s="103">
        <f>Predikcia!A543</f>
        <v>45711</v>
      </c>
      <c r="D545" s="42" t="str">
        <f>Predikcia!B543</f>
        <v>12:00:00</v>
      </c>
      <c r="E545" s="67">
        <f>Predikcia!G543</f>
        <v>12893.5</v>
      </c>
      <c r="F545" s="68">
        <f>'DHS2025'!C542</f>
        <v>11402</v>
      </c>
      <c r="G545" s="69">
        <f>'DHS2025'!D542</f>
        <v>1220</v>
      </c>
      <c r="H545" s="86">
        <v>5</v>
      </c>
      <c r="I545" s="87">
        <f>'DHS2025'!E542/1000</f>
        <v>4.9610000000000003</v>
      </c>
      <c r="J545" s="50">
        <f>Predikcia!R543</f>
        <v>74.02</v>
      </c>
      <c r="K545" s="48">
        <f t="shared" si="8"/>
        <v>354.11518779999994</v>
      </c>
      <c r="M545" s="11">
        <f>Predikcia!K543</f>
        <v>5</v>
      </c>
      <c r="N545" s="11">
        <v>5</v>
      </c>
    </row>
    <row r="546" spans="3:14" ht="15.75" thickBot="1">
      <c r="C546" s="103">
        <f>Predikcia!A544</f>
        <v>45711</v>
      </c>
      <c r="D546" s="42" t="str">
        <f>Predikcia!B544</f>
        <v>13:00:00</v>
      </c>
      <c r="E546" s="67">
        <f>Predikcia!G544</f>
        <v>12114.5</v>
      </c>
      <c r="F546" s="68">
        <f>'DHS2025'!C543</f>
        <v>12581</v>
      </c>
      <c r="G546" s="69">
        <f>'DHS2025'!D543</f>
        <v>3637</v>
      </c>
      <c r="H546" s="86">
        <v>5</v>
      </c>
      <c r="I546" s="87">
        <f>'DHS2025'!E543/1000</f>
        <v>5.0650000000000004</v>
      </c>
      <c r="J546" s="50">
        <f>Predikcia!R544</f>
        <v>73.400000000000006</v>
      </c>
      <c r="K546" s="48">
        <f t="shared" si="8"/>
        <v>358.42979000000008</v>
      </c>
      <c r="M546" s="11">
        <f>Predikcia!K544</f>
        <v>5</v>
      </c>
      <c r="N546" s="11">
        <v>5</v>
      </c>
    </row>
    <row r="547" spans="3:14" ht="15.75" thickBot="1">
      <c r="C547" s="103">
        <f>Predikcia!A545</f>
        <v>45711</v>
      </c>
      <c r="D547" s="42" t="str">
        <f>Predikcia!B545</f>
        <v>14:00:00</v>
      </c>
      <c r="E547" s="67">
        <f>Predikcia!G545</f>
        <v>11205.75</v>
      </c>
      <c r="F547" s="68">
        <f>'DHS2025'!C544</f>
        <v>13086</v>
      </c>
      <c r="G547" s="69">
        <f>'DHS2025'!D544</f>
        <v>2774</v>
      </c>
      <c r="H547" s="86">
        <v>5</v>
      </c>
      <c r="I547" s="87">
        <f>'DHS2025'!E544/1000</f>
        <v>5.0510000000000002</v>
      </c>
      <c r="J547" s="50">
        <f>Predikcia!R545</f>
        <v>101.32</v>
      </c>
      <c r="K547" s="48">
        <f t="shared" si="8"/>
        <v>497.05274679999997</v>
      </c>
      <c r="M547" s="11">
        <f>Predikcia!K545</f>
        <v>4</v>
      </c>
      <c r="N547" s="11">
        <v>5</v>
      </c>
    </row>
    <row r="548" spans="3:14" ht="15.75" thickBot="1">
      <c r="C548" s="103">
        <f>Predikcia!A546</f>
        <v>45711</v>
      </c>
      <c r="D548" s="42" t="str">
        <f>Predikcia!B546</f>
        <v>15:00:00</v>
      </c>
      <c r="E548" s="67">
        <f>Predikcia!G546</f>
        <v>11761</v>
      </c>
      <c r="F548" s="68">
        <f>'DHS2025'!C545</f>
        <v>13151</v>
      </c>
      <c r="G548" s="69">
        <f>'DHS2025'!D545</f>
        <v>2601</v>
      </c>
      <c r="H548" s="86">
        <v>5</v>
      </c>
      <c r="I548" s="87">
        <f>'DHS2025'!E545/1000</f>
        <v>5.04</v>
      </c>
      <c r="J548" s="50">
        <f>Predikcia!R546</f>
        <v>134.66</v>
      </c>
      <c r="K548" s="48">
        <f t="shared" si="8"/>
        <v>662.32353599999999</v>
      </c>
      <c r="M548" s="11">
        <f>Predikcia!K546</f>
        <v>4</v>
      </c>
      <c r="N548" s="11">
        <v>5</v>
      </c>
    </row>
    <row r="549" spans="3:14" ht="15.75" thickBot="1">
      <c r="C549" s="103">
        <f>Predikcia!A547</f>
        <v>45711</v>
      </c>
      <c r="D549" s="42" t="str">
        <f>Predikcia!B547</f>
        <v>16:00:00</v>
      </c>
      <c r="E549" s="67">
        <f>Predikcia!G547</f>
        <v>12508.5</v>
      </c>
      <c r="F549" s="68">
        <f>'DHS2025'!C546</f>
        <v>13126</v>
      </c>
      <c r="G549" s="69">
        <f>'DHS2025'!D546</f>
        <v>7431</v>
      </c>
      <c r="H549" s="86">
        <v>7</v>
      </c>
      <c r="I549" s="87">
        <f>'DHS2025'!E546/1000</f>
        <v>6.976</v>
      </c>
      <c r="J549" s="50">
        <f>Predikcia!R547</f>
        <v>161.24</v>
      </c>
      <c r="K549" s="48">
        <f t="shared" si="8"/>
        <v>1100.3077375999999</v>
      </c>
      <c r="M549" s="11">
        <f>Predikcia!K547</f>
        <v>5</v>
      </c>
      <c r="N549" s="11">
        <v>7</v>
      </c>
    </row>
    <row r="550" spans="3:14" ht="15.75" thickBot="1">
      <c r="C550" s="103">
        <f>Predikcia!A548</f>
        <v>45711</v>
      </c>
      <c r="D550" s="42" t="str">
        <f>Predikcia!B548</f>
        <v>17:00:00</v>
      </c>
      <c r="E550" s="67">
        <f>Predikcia!G548</f>
        <v>12972.25</v>
      </c>
      <c r="F550" s="68">
        <f>'DHS2025'!C547</f>
        <v>15447</v>
      </c>
      <c r="G550" s="69">
        <f>'DHS2025'!D547</f>
        <v>9565</v>
      </c>
      <c r="H550" s="86">
        <v>8</v>
      </c>
      <c r="I550" s="87">
        <f>'DHS2025'!E547/1000</f>
        <v>8.0289999999999999</v>
      </c>
      <c r="J550" s="50">
        <f>Predikcia!R548</f>
        <v>118.64</v>
      </c>
      <c r="K550" s="48">
        <f t="shared" si="8"/>
        <v>927.77985439999986</v>
      </c>
      <c r="M550" s="11">
        <f>Predikcia!K548</f>
        <v>5</v>
      </c>
      <c r="N550" s="11">
        <v>8</v>
      </c>
    </row>
    <row r="551" spans="3:14" ht="15.75" thickBot="1">
      <c r="C551" s="103">
        <f>Predikcia!A549</f>
        <v>45711</v>
      </c>
      <c r="D551" s="42" t="str">
        <f>Predikcia!B549</f>
        <v>18:00:00</v>
      </c>
      <c r="E551" s="67">
        <f>Predikcia!G549</f>
        <v>13594.5</v>
      </c>
      <c r="F551" s="68">
        <f>'DHS2025'!C548</f>
        <v>16842</v>
      </c>
      <c r="G551" s="69">
        <f>'DHS2025'!D548</f>
        <v>7483</v>
      </c>
      <c r="H551" s="86">
        <v>8</v>
      </c>
      <c r="I551" s="87">
        <f>'DHS2025'!E548/1000</f>
        <v>8.0540000000000003</v>
      </c>
      <c r="J551" s="50">
        <f>Predikcia!R549</f>
        <v>131.41999999999999</v>
      </c>
      <c r="K551" s="48">
        <f t="shared" si="8"/>
        <v>1032.5695131999998</v>
      </c>
      <c r="M551" s="11">
        <f>Predikcia!K549</f>
        <v>5</v>
      </c>
      <c r="N551" s="11">
        <v>8</v>
      </c>
    </row>
    <row r="552" spans="3:14" ht="15.75" thickBot="1">
      <c r="C552" s="103">
        <f>Predikcia!A550</f>
        <v>45711</v>
      </c>
      <c r="D552" s="42" t="str">
        <f>Predikcia!B550</f>
        <v>19:00:00</v>
      </c>
      <c r="E552" s="67">
        <f>Predikcia!G550</f>
        <v>13880</v>
      </c>
      <c r="F552" s="68">
        <f>'DHS2025'!C549</f>
        <v>17472</v>
      </c>
      <c r="G552" s="69">
        <f>'DHS2025'!D549</f>
        <v>6868</v>
      </c>
      <c r="H552" s="86">
        <v>8</v>
      </c>
      <c r="I552" s="87">
        <f>'DHS2025'!E549/1000</f>
        <v>8.08</v>
      </c>
      <c r="J552" s="50">
        <f>Predikcia!R550</f>
        <v>121.58</v>
      </c>
      <c r="K552" s="48">
        <f t="shared" si="8"/>
        <v>957.1907359999999</v>
      </c>
      <c r="M552" s="11">
        <f>Predikcia!K550</f>
        <v>5</v>
      </c>
      <c r="N552" s="11">
        <v>8</v>
      </c>
    </row>
    <row r="553" spans="3:14" ht="15.75" thickBot="1">
      <c r="C553" s="103">
        <f>Predikcia!A551</f>
        <v>45711</v>
      </c>
      <c r="D553" s="42" t="str">
        <f>Predikcia!B551</f>
        <v>20:00:00</v>
      </c>
      <c r="E553" s="67">
        <f>Predikcia!G551</f>
        <v>14528</v>
      </c>
      <c r="F553" s="68">
        <f>'DHS2025'!C550</f>
        <v>16640</v>
      </c>
      <c r="G553" s="69">
        <f>'DHS2025'!D550</f>
        <v>7158</v>
      </c>
      <c r="H553" s="86">
        <v>8</v>
      </c>
      <c r="I553" s="87">
        <f>'DHS2025'!E550/1000</f>
        <v>8.0820000000000007</v>
      </c>
      <c r="J553" s="50">
        <f>Predikcia!R551</f>
        <v>155</v>
      </c>
      <c r="K553" s="48">
        <f t="shared" si="8"/>
        <v>1224.8271</v>
      </c>
      <c r="M553" s="11">
        <f>Predikcia!K551</f>
        <v>5</v>
      </c>
      <c r="N553" s="11">
        <v>8</v>
      </c>
    </row>
    <row r="554" spans="3:14" ht="15.75" thickBot="1">
      <c r="C554" s="103">
        <f>Predikcia!A552</f>
        <v>45711</v>
      </c>
      <c r="D554" s="42" t="str">
        <f>Predikcia!B552</f>
        <v>21:00:00</v>
      </c>
      <c r="E554" s="67">
        <f>Predikcia!G552</f>
        <v>13876.25</v>
      </c>
      <c r="F554" s="68">
        <f>'DHS2025'!C551</f>
        <v>17181</v>
      </c>
      <c r="G554" s="69">
        <f>'DHS2025'!D551</f>
        <v>7018</v>
      </c>
      <c r="H554" s="86">
        <v>8</v>
      </c>
      <c r="I554" s="87">
        <f>'DHS2025'!E551/1000</f>
        <v>8.0440000000000005</v>
      </c>
      <c r="J554" s="50">
        <f>Predikcia!R552</f>
        <v>150</v>
      </c>
      <c r="K554" s="48">
        <f t="shared" si="8"/>
        <v>1179.2504000000001</v>
      </c>
      <c r="M554" s="11">
        <f>Predikcia!K552</f>
        <v>5</v>
      </c>
      <c r="N554" s="11">
        <v>8</v>
      </c>
    </row>
    <row r="555" spans="3:14" ht="15.75" thickBot="1">
      <c r="C555" s="103">
        <f>Predikcia!A553</f>
        <v>45711</v>
      </c>
      <c r="D555" s="42" t="str">
        <f>Predikcia!B553</f>
        <v>22:00:00</v>
      </c>
      <c r="E555" s="67">
        <f>Predikcia!G553</f>
        <v>12109.25</v>
      </c>
      <c r="F555" s="68">
        <f>'DHS2025'!C552</f>
        <v>14132</v>
      </c>
      <c r="G555" s="69">
        <f>'DHS2025'!D552</f>
        <v>10359</v>
      </c>
      <c r="H555" s="86">
        <v>8</v>
      </c>
      <c r="I555" s="87">
        <f>'DHS2025'!E552/1000</f>
        <v>8.0440000000000005</v>
      </c>
      <c r="J555" s="50">
        <f>Predikcia!R553</f>
        <v>184.21</v>
      </c>
      <c r="K555" s="48">
        <f t="shared" si="8"/>
        <v>1451.6837876000002</v>
      </c>
      <c r="M555" s="11">
        <f>Predikcia!K553</f>
        <v>5</v>
      </c>
      <c r="N555" s="11">
        <v>8</v>
      </c>
    </row>
    <row r="556" spans="3:14" ht="15.75" thickBot="1">
      <c r="C556" s="107">
        <f>Predikcia!A554</f>
        <v>45711</v>
      </c>
      <c r="D556" s="46" t="str">
        <f>Predikcia!B554</f>
        <v>23:00:00</v>
      </c>
      <c r="E556" s="70">
        <f>Predikcia!G554</f>
        <v>6390.75</v>
      </c>
      <c r="F556" s="71">
        <f>'DHS2025'!C553</f>
        <v>7213</v>
      </c>
      <c r="G556" s="72">
        <f>'DHS2025'!D553</f>
        <v>16884</v>
      </c>
      <c r="H556" s="88">
        <v>8</v>
      </c>
      <c r="I556" s="87">
        <f>'DHS2025'!E553/1000</f>
        <v>8.0459999999999994</v>
      </c>
      <c r="J556" s="50">
        <f>Predikcia!R554</f>
        <v>130.44</v>
      </c>
      <c r="K556" s="48">
        <f t="shared" si="8"/>
        <v>1023.7376375999997</v>
      </c>
      <c r="M556" s="11">
        <f>Predikcia!K554</f>
        <v>3</v>
      </c>
      <c r="N556" s="11">
        <v>8</v>
      </c>
    </row>
    <row r="557" spans="3:14" ht="15.75" thickBot="1">
      <c r="C557" s="104">
        <f>Predikcia!A555</f>
        <v>45712</v>
      </c>
      <c r="D557" s="43" t="str">
        <f>Predikcia!B555</f>
        <v>00:00:00</v>
      </c>
      <c r="E557" s="64">
        <f>Predikcia!G555</f>
        <v>5892.25</v>
      </c>
      <c r="F557" s="65">
        <f>'DHS2025'!C554</f>
        <v>7297</v>
      </c>
      <c r="G557" s="66">
        <f>'DHS2025'!D554</f>
        <v>16834</v>
      </c>
      <c r="H557" s="84">
        <v>8</v>
      </c>
      <c r="I557" s="85">
        <f>'DHS2025'!E554/1000</f>
        <v>8.0760000000000005</v>
      </c>
      <c r="J557" s="50">
        <f>Predikcia!R555</f>
        <v>165.93</v>
      </c>
      <c r="K557" s="48">
        <f t="shared" si="8"/>
        <v>1311.3057732</v>
      </c>
      <c r="M557" s="11">
        <f>Predikcia!K555</f>
        <v>3</v>
      </c>
      <c r="N557" s="11">
        <v>8</v>
      </c>
    </row>
    <row r="558" spans="3:14" ht="15.75" thickBot="1">
      <c r="C558" s="105">
        <f>Predikcia!A556</f>
        <v>45712</v>
      </c>
      <c r="D558" s="44" t="str">
        <f>Predikcia!B556</f>
        <v>01:00:00</v>
      </c>
      <c r="E558" s="67">
        <f>Predikcia!G556</f>
        <v>6905.75</v>
      </c>
      <c r="F558" s="68">
        <f>'DHS2025'!C555</f>
        <v>8008</v>
      </c>
      <c r="G558" s="69">
        <f>'DHS2025'!D555</f>
        <v>15879</v>
      </c>
      <c r="H558" s="86">
        <v>8</v>
      </c>
      <c r="I558" s="87">
        <f>'DHS2025'!E555/1000</f>
        <v>8.0549999999999997</v>
      </c>
      <c r="J558" s="50">
        <f>Predikcia!R556</f>
        <v>143.24</v>
      </c>
      <c r="K558" s="48">
        <f t="shared" si="8"/>
        <v>1126.9557179999999</v>
      </c>
      <c r="M558" s="11">
        <f>Predikcia!K556</f>
        <v>3</v>
      </c>
      <c r="N558" s="11">
        <v>8</v>
      </c>
    </row>
    <row r="559" spans="3:14" ht="15.75" thickBot="1">
      <c r="C559" s="105">
        <f>Predikcia!A557</f>
        <v>45712</v>
      </c>
      <c r="D559" s="44" t="str">
        <f>Predikcia!B557</f>
        <v>02:00:00</v>
      </c>
      <c r="E559" s="67">
        <f>Predikcia!G557</f>
        <v>7689.25</v>
      </c>
      <c r="F559" s="68">
        <f>'DHS2025'!C556</f>
        <v>10450</v>
      </c>
      <c r="G559" s="69">
        <f>'DHS2025'!D556</f>
        <v>14125</v>
      </c>
      <c r="H559" s="86">
        <v>8</v>
      </c>
      <c r="I559" s="87">
        <f>'DHS2025'!E556/1000</f>
        <v>8.0749999999999993</v>
      </c>
      <c r="J559" s="50">
        <f>Predikcia!R557</f>
        <v>139.19</v>
      </c>
      <c r="K559" s="48">
        <f t="shared" si="8"/>
        <v>1097.3771574999998</v>
      </c>
      <c r="M559" s="11">
        <f>Predikcia!K557</f>
        <v>3</v>
      </c>
      <c r="N559" s="11">
        <v>8</v>
      </c>
    </row>
    <row r="560" spans="3:14" ht="15.75" thickBot="1">
      <c r="C560" s="105">
        <f>Predikcia!A558</f>
        <v>45712</v>
      </c>
      <c r="D560" s="44" t="str">
        <f>Predikcia!B558</f>
        <v>03:00:00</v>
      </c>
      <c r="E560" s="67">
        <f>Predikcia!G558</f>
        <v>8603.75</v>
      </c>
      <c r="F560" s="68">
        <f>'DHS2025'!C557</f>
        <v>11915</v>
      </c>
      <c r="G560" s="69">
        <f>'DHS2025'!D557</f>
        <v>12334</v>
      </c>
      <c r="H560" s="86">
        <v>8</v>
      </c>
      <c r="I560" s="87">
        <f>'DHS2025'!E557/1000</f>
        <v>8.0540000000000003</v>
      </c>
      <c r="J560" s="50">
        <f>Predikcia!R558</f>
        <v>142.46</v>
      </c>
      <c r="K560" s="48">
        <f t="shared" si="8"/>
        <v>1120.5965116</v>
      </c>
      <c r="M560" s="11">
        <f>Predikcia!K558</f>
        <v>4</v>
      </c>
      <c r="N560" s="11">
        <v>8</v>
      </c>
    </row>
    <row r="561" spans="3:14" ht="15.75" thickBot="1">
      <c r="C561" s="105">
        <f>Predikcia!A559</f>
        <v>45712</v>
      </c>
      <c r="D561" s="44" t="str">
        <f>Predikcia!B559</f>
        <v>04:00:00</v>
      </c>
      <c r="E561" s="67">
        <f>Predikcia!G559</f>
        <v>14126.75</v>
      </c>
      <c r="F561" s="68">
        <f>'DHS2025'!C558</f>
        <v>19941</v>
      </c>
      <c r="G561" s="69">
        <f>'DHS2025'!D558</f>
        <v>4662</v>
      </c>
      <c r="H561" s="86">
        <v>8</v>
      </c>
      <c r="I561" s="87">
        <f>'DHS2025'!E558/1000</f>
        <v>8.0850000000000009</v>
      </c>
      <c r="J561" s="50">
        <f>Predikcia!R559</f>
        <v>143.88999999999999</v>
      </c>
      <c r="K561" s="48">
        <f t="shared" si="8"/>
        <v>1136.3556435</v>
      </c>
      <c r="M561" s="11">
        <f>Predikcia!K559</f>
        <v>5</v>
      </c>
      <c r="N561" s="11">
        <v>8</v>
      </c>
    </row>
    <row r="562" spans="3:14" ht="15.75" thickBot="1">
      <c r="C562" s="105">
        <f>Predikcia!A560</f>
        <v>45712</v>
      </c>
      <c r="D562" s="44" t="str">
        <f>Predikcia!B560</f>
        <v>05:00:00</v>
      </c>
      <c r="E562" s="67">
        <f>Predikcia!G560</f>
        <v>15704.25</v>
      </c>
      <c r="F562" s="68">
        <f>'DHS2025'!C559</f>
        <v>18781</v>
      </c>
      <c r="G562" s="69">
        <f>'DHS2025'!D559</f>
        <v>5374</v>
      </c>
      <c r="H562" s="86">
        <v>8</v>
      </c>
      <c r="I562" s="87">
        <f>'DHS2025'!E559/1000</f>
        <v>8.08</v>
      </c>
      <c r="J562" s="50">
        <f>Predikcia!R560</f>
        <v>217.49</v>
      </c>
      <c r="K562" s="48">
        <f t="shared" si="8"/>
        <v>1724.394008</v>
      </c>
      <c r="M562" s="11">
        <f>Predikcia!K560</f>
        <v>5</v>
      </c>
      <c r="N562" s="11">
        <v>8</v>
      </c>
    </row>
    <row r="563" spans="3:14" ht="15.75" thickBot="1">
      <c r="C563" s="105">
        <f>Predikcia!A561</f>
        <v>45712</v>
      </c>
      <c r="D563" s="44" t="str">
        <f>Predikcia!B561</f>
        <v>06:00:00</v>
      </c>
      <c r="E563" s="67">
        <f>Predikcia!G561</f>
        <v>16269.25</v>
      </c>
      <c r="F563" s="68">
        <f>'DHS2025'!C560</f>
        <v>19379</v>
      </c>
      <c r="G563" s="69">
        <f>'DHS2025'!D560</f>
        <v>5507</v>
      </c>
      <c r="H563" s="86">
        <v>8</v>
      </c>
      <c r="I563" s="87">
        <f>'DHS2025'!E560/1000</f>
        <v>8.1150000000000002</v>
      </c>
      <c r="J563" s="50">
        <f>Predikcia!R561</f>
        <v>305.87</v>
      </c>
      <c r="K563" s="48">
        <f t="shared" si="8"/>
        <v>2441.8951995000002</v>
      </c>
      <c r="M563" s="11">
        <f>Predikcia!K561</f>
        <v>6</v>
      </c>
      <c r="N563" s="11">
        <v>8</v>
      </c>
    </row>
    <row r="564" spans="3:14" ht="15.75" thickBot="1">
      <c r="C564" s="105">
        <f>Predikcia!A562</f>
        <v>45712</v>
      </c>
      <c r="D564" s="44" t="str">
        <f>Predikcia!B562</f>
        <v>07:00:00</v>
      </c>
      <c r="E564" s="67">
        <f>Predikcia!G562</f>
        <v>15403.25</v>
      </c>
      <c r="F564" s="68">
        <f>'DHS2025'!C561</f>
        <v>17836</v>
      </c>
      <c r="G564" s="69">
        <f>'DHS2025'!D561</f>
        <v>6474</v>
      </c>
      <c r="H564" s="86">
        <v>8</v>
      </c>
      <c r="I564" s="87">
        <f>'DHS2025'!E561/1000</f>
        <v>8.0530000000000008</v>
      </c>
      <c r="J564" s="50">
        <f>Predikcia!R562</f>
        <v>300</v>
      </c>
      <c r="K564" s="48">
        <f t="shared" si="8"/>
        <v>2376.4403000000002</v>
      </c>
      <c r="M564" s="11">
        <f>Predikcia!K562</f>
        <v>5</v>
      </c>
      <c r="N564" s="11">
        <v>8</v>
      </c>
    </row>
    <row r="565" spans="3:14" ht="15.75" thickBot="1">
      <c r="C565" s="105">
        <f>Predikcia!A563</f>
        <v>45712</v>
      </c>
      <c r="D565" s="44" t="str">
        <f>Predikcia!B563</f>
        <v>08:00:00</v>
      </c>
      <c r="E565" s="67">
        <f>Predikcia!G563</f>
        <v>14866.75</v>
      </c>
      <c r="F565" s="68">
        <f>'DHS2025'!C562</f>
        <v>17254</v>
      </c>
      <c r="G565" s="69">
        <f>'DHS2025'!D562</f>
        <v>6554</v>
      </c>
      <c r="H565" s="86">
        <v>8</v>
      </c>
      <c r="I565" s="87">
        <f>'DHS2025'!E562/1000</f>
        <v>8.0329999999999995</v>
      </c>
      <c r="J565" s="50">
        <f>Predikcia!R563</f>
        <v>196.24</v>
      </c>
      <c r="K565" s="48">
        <f t="shared" si="8"/>
        <v>1545.3692607999999</v>
      </c>
      <c r="M565" s="11">
        <f>Predikcia!K563</f>
        <v>5</v>
      </c>
      <c r="N565" s="11">
        <v>8</v>
      </c>
    </row>
    <row r="566" spans="3:14" ht="15.75" thickBot="1">
      <c r="C566" s="105">
        <f>Predikcia!A564</f>
        <v>45712</v>
      </c>
      <c r="D566" s="44" t="str">
        <f>Predikcia!B564</f>
        <v>09:00:00</v>
      </c>
      <c r="E566" s="67">
        <f>Predikcia!G564</f>
        <v>14713.75</v>
      </c>
      <c r="F566" s="68">
        <f>'DHS2025'!C563</f>
        <v>17316</v>
      </c>
      <c r="G566" s="69">
        <f>'DHS2025'!D563</f>
        <v>6572</v>
      </c>
      <c r="H566" s="86">
        <v>8</v>
      </c>
      <c r="I566" s="87">
        <f>'DHS2025'!E563/1000</f>
        <v>8.0549999999999997</v>
      </c>
      <c r="J566" s="50">
        <f>Predikcia!R564</f>
        <v>204.28</v>
      </c>
      <c r="K566" s="48">
        <f t="shared" si="8"/>
        <v>1613.716146</v>
      </c>
      <c r="M566" s="11">
        <f>Predikcia!K564</f>
        <v>5</v>
      </c>
      <c r="N566" s="11">
        <v>8</v>
      </c>
    </row>
    <row r="567" spans="3:14" ht="15.75" thickBot="1">
      <c r="C567" s="105">
        <f>Predikcia!A565</f>
        <v>45712</v>
      </c>
      <c r="D567" s="44" t="str">
        <f>Predikcia!B565</f>
        <v>10:00:00</v>
      </c>
      <c r="E567" s="67">
        <f>Predikcia!G565</f>
        <v>12982.5</v>
      </c>
      <c r="F567" s="68">
        <f>'DHS2025'!C564</f>
        <v>17328</v>
      </c>
      <c r="G567" s="69">
        <f>'DHS2025'!D564</f>
        <v>7037</v>
      </c>
      <c r="H567" s="86">
        <v>8</v>
      </c>
      <c r="I567" s="87">
        <f>'DHS2025'!E564/1000</f>
        <v>8.0630000000000006</v>
      </c>
      <c r="J567" s="50">
        <f>Predikcia!R565</f>
        <v>164.76</v>
      </c>
      <c r="K567" s="48">
        <f t="shared" si="8"/>
        <v>1299.8555812</v>
      </c>
      <c r="M567" s="11">
        <f>Predikcia!K565</f>
        <v>5</v>
      </c>
      <c r="N567" s="11">
        <v>8</v>
      </c>
    </row>
    <row r="568" spans="3:14" ht="15.75" thickBot="1">
      <c r="C568" s="105">
        <f>Predikcia!A566</f>
        <v>45712</v>
      </c>
      <c r="D568" s="44" t="str">
        <f>Predikcia!B566</f>
        <v>11:00:00</v>
      </c>
      <c r="E568" s="67">
        <f>Predikcia!G566</f>
        <v>11485</v>
      </c>
      <c r="F568" s="68">
        <f>'DHS2025'!C565</f>
        <v>16592</v>
      </c>
      <c r="G568" s="69">
        <f>'DHS2025'!D565</f>
        <v>7095</v>
      </c>
      <c r="H568" s="86">
        <v>8</v>
      </c>
      <c r="I568" s="87">
        <f>'DHS2025'!E565/1000</f>
        <v>8.0719999999999992</v>
      </c>
      <c r="J568" s="50">
        <f>Predikcia!R566</f>
        <v>166.71</v>
      </c>
      <c r="K568" s="48">
        <f t="shared" si="8"/>
        <v>1316.8894887999998</v>
      </c>
      <c r="M568" s="11">
        <f>Predikcia!K566</f>
        <v>4</v>
      </c>
      <c r="N568" s="11">
        <v>8</v>
      </c>
    </row>
    <row r="569" spans="3:14" ht="15.75" thickBot="1">
      <c r="C569" s="105">
        <f>Predikcia!A567</f>
        <v>45712</v>
      </c>
      <c r="D569" s="44" t="str">
        <f>Predikcia!B567</f>
        <v>12:00:00</v>
      </c>
      <c r="E569" s="67">
        <f>Predikcia!G567</f>
        <v>11451.5</v>
      </c>
      <c r="F569" s="68">
        <f>'DHS2025'!C566</f>
        <v>16037</v>
      </c>
      <c r="G569" s="69">
        <f>'DHS2025'!D566</f>
        <v>8441</v>
      </c>
      <c r="H569" s="86">
        <v>8</v>
      </c>
      <c r="I569" s="87">
        <f>'DHS2025'!E566/1000</f>
        <v>8.0739999999999998</v>
      </c>
      <c r="J569" s="50">
        <f>Predikcia!R567</f>
        <v>159.55000000000001</v>
      </c>
      <c r="K569" s="48">
        <f t="shared" si="8"/>
        <v>1259.984033</v>
      </c>
      <c r="M569" s="11">
        <f>Predikcia!K567</f>
        <v>4</v>
      </c>
      <c r="N569" s="11">
        <v>8</v>
      </c>
    </row>
    <row r="570" spans="3:14" ht="15.75" thickBot="1">
      <c r="C570" s="105">
        <f>Predikcia!A568</f>
        <v>45712</v>
      </c>
      <c r="D570" s="44" t="str">
        <f>Predikcia!B568</f>
        <v>13:00:00</v>
      </c>
      <c r="E570" s="67">
        <f>Predikcia!G568</f>
        <v>11094.5</v>
      </c>
      <c r="F570" s="68">
        <f>'DHS2025'!C567</f>
        <v>15590</v>
      </c>
      <c r="G570" s="69">
        <f>'DHS2025'!D567</f>
        <v>7816</v>
      </c>
      <c r="H570" s="86">
        <v>8</v>
      </c>
      <c r="I570" s="87">
        <f>'DHS2025'!E567/1000</f>
        <v>8.0719999999999992</v>
      </c>
      <c r="J570" s="50">
        <f>Predikcia!R568</f>
        <v>164.69</v>
      </c>
      <c r="K570" s="48">
        <f t="shared" si="8"/>
        <v>1300.7471031999999</v>
      </c>
      <c r="M570" s="11">
        <f>Predikcia!K568</f>
        <v>4</v>
      </c>
      <c r="N570" s="11">
        <v>8</v>
      </c>
    </row>
    <row r="571" spans="3:14" ht="15.75" thickBot="1">
      <c r="C571" s="105">
        <f>Predikcia!A569</f>
        <v>45712</v>
      </c>
      <c r="D571" s="44" t="str">
        <f>Predikcia!B569</f>
        <v>14:00:00</v>
      </c>
      <c r="E571" s="67">
        <f>Predikcia!G569</f>
        <v>10872.5</v>
      </c>
      <c r="F571" s="68">
        <f>'DHS2025'!C568</f>
        <v>16772</v>
      </c>
      <c r="G571" s="69">
        <f>'DHS2025'!D568</f>
        <v>7040</v>
      </c>
      <c r="H571" s="86">
        <v>8</v>
      </c>
      <c r="I571" s="87">
        <f>'DHS2025'!E568/1000</f>
        <v>8.0530000000000008</v>
      </c>
      <c r="J571" s="50">
        <f>Predikcia!R569</f>
        <v>201.56</v>
      </c>
      <c r="K571" s="48">
        <f t="shared" si="8"/>
        <v>1591.6303532000002</v>
      </c>
      <c r="M571" s="11">
        <f>Predikcia!K569</f>
        <v>4</v>
      </c>
      <c r="N571" s="11">
        <v>8</v>
      </c>
    </row>
    <row r="572" spans="3:14" ht="15.75" thickBot="1">
      <c r="C572" s="105">
        <f>Predikcia!A570</f>
        <v>45712</v>
      </c>
      <c r="D572" s="44" t="str">
        <f>Predikcia!B570</f>
        <v>15:00:00</v>
      </c>
      <c r="E572" s="67">
        <f>Predikcia!G570</f>
        <v>11373.5</v>
      </c>
      <c r="F572" s="68">
        <f>'DHS2025'!C569</f>
        <v>16748</v>
      </c>
      <c r="G572" s="69">
        <f>'DHS2025'!D569</f>
        <v>6859</v>
      </c>
      <c r="H572" s="86">
        <v>8</v>
      </c>
      <c r="I572" s="87">
        <f>'DHS2025'!E569/1000</f>
        <v>8.0470000000000006</v>
      </c>
      <c r="J572" s="50">
        <f>Predikcia!R570</f>
        <v>280.3</v>
      </c>
      <c r="K572" s="48">
        <f t="shared" si="8"/>
        <v>2217.7290590000002</v>
      </c>
      <c r="M572" s="11">
        <f>Predikcia!K570</f>
        <v>4</v>
      </c>
      <c r="N572" s="11">
        <v>8</v>
      </c>
    </row>
    <row r="573" spans="3:14" ht="15.75" thickBot="1">
      <c r="C573" s="105">
        <f>Predikcia!A571</f>
        <v>45712</v>
      </c>
      <c r="D573" s="44" t="str">
        <f>Predikcia!B571</f>
        <v>16:00:00</v>
      </c>
      <c r="E573" s="67">
        <f>Predikcia!G571</f>
        <v>11666.75</v>
      </c>
      <c r="F573" s="68">
        <f>'DHS2025'!C570</f>
        <v>16351</v>
      </c>
      <c r="G573" s="69">
        <f>'DHS2025'!D570</f>
        <v>7122</v>
      </c>
      <c r="H573" s="86">
        <v>8</v>
      </c>
      <c r="I573" s="87">
        <f>'DHS2025'!E570/1000</f>
        <v>8.0389999999999997</v>
      </c>
      <c r="J573" s="50">
        <f>Predikcia!R571</f>
        <v>290</v>
      </c>
      <c r="K573" s="48">
        <f t="shared" si="8"/>
        <v>2292.7228000000005</v>
      </c>
      <c r="M573" s="11">
        <f>Predikcia!K571</f>
        <v>4</v>
      </c>
      <c r="N573" s="11">
        <v>8</v>
      </c>
    </row>
    <row r="574" spans="3:14" ht="15.75" thickBot="1">
      <c r="C574" s="105">
        <f>Predikcia!A572</f>
        <v>45712</v>
      </c>
      <c r="D574" s="44" t="str">
        <f>Predikcia!B572</f>
        <v>17:00:00</v>
      </c>
      <c r="E574" s="67">
        <f>Predikcia!G572</f>
        <v>12363</v>
      </c>
      <c r="F574" s="68">
        <f>'DHS2025'!C571</f>
        <v>16433</v>
      </c>
      <c r="G574" s="69">
        <f>'DHS2025'!D571</f>
        <v>7463</v>
      </c>
      <c r="H574" s="86">
        <v>8</v>
      </c>
      <c r="I574" s="87">
        <f>'DHS2025'!E571/1000</f>
        <v>8.0449999999999999</v>
      </c>
      <c r="J574" s="50">
        <f>Predikcia!R572</f>
        <v>190</v>
      </c>
      <c r="K574" s="48">
        <f t="shared" si="8"/>
        <v>1497.9789999999998</v>
      </c>
      <c r="M574" s="11">
        <f>Predikcia!K572</f>
        <v>5</v>
      </c>
      <c r="N574" s="11">
        <v>8</v>
      </c>
    </row>
    <row r="575" spans="3:14" ht="15.75" thickBot="1">
      <c r="C575" s="105">
        <f>Predikcia!A573</f>
        <v>45712</v>
      </c>
      <c r="D575" s="44" t="str">
        <f>Predikcia!B573</f>
        <v>18:00:00</v>
      </c>
      <c r="E575" s="67">
        <f>Predikcia!G573</f>
        <v>13252.75</v>
      </c>
      <c r="F575" s="68">
        <f>'DHS2025'!C572</f>
        <v>16548</v>
      </c>
      <c r="G575" s="69">
        <f>'DHS2025'!D572</f>
        <v>7032</v>
      </c>
      <c r="H575" s="86">
        <v>8</v>
      </c>
      <c r="I575" s="87">
        <f>'DHS2025'!E572/1000</f>
        <v>8.0470000000000006</v>
      </c>
      <c r="J575" s="50">
        <f>Predikcia!R573</f>
        <v>290</v>
      </c>
      <c r="K575" s="48">
        <f t="shared" si="8"/>
        <v>2295.0044000000007</v>
      </c>
      <c r="M575" s="11">
        <f>Predikcia!K573</f>
        <v>5</v>
      </c>
      <c r="N575" s="11">
        <v>8</v>
      </c>
    </row>
    <row r="576" spans="3:14" ht="15.75" thickBot="1">
      <c r="C576" s="105">
        <f>Predikcia!A574</f>
        <v>45712</v>
      </c>
      <c r="D576" s="44" t="str">
        <f>Predikcia!B574</f>
        <v>19:00:00</v>
      </c>
      <c r="E576" s="67">
        <f>Predikcia!G574</f>
        <v>13180</v>
      </c>
      <c r="F576" s="68">
        <f>'DHS2025'!C573</f>
        <v>17152</v>
      </c>
      <c r="G576" s="69">
        <f>'DHS2025'!D573</f>
        <v>6613</v>
      </c>
      <c r="H576" s="86">
        <v>8</v>
      </c>
      <c r="I576" s="87">
        <f>'DHS2025'!E573/1000</f>
        <v>8.0850000000000009</v>
      </c>
      <c r="J576" s="50">
        <f>Predikcia!R574</f>
        <v>300</v>
      </c>
      <c r="K576" s="48">
        <f t="shared" si="8"/>
        <v>2385.8835000000004</v>
      </c>
      <c r="M576" s="11">
        <f>Predikcia!K574</f>
        <v>5</v>
      </c>
      <c r="N576" s="11">
        <v>8</v>
      </c>
    </row>
    <row r="577" spans="3:14" ht="15.75" thickBot="1">
      <c r="C577" s="105">
        <f>Predikcia!A575</f>
        <v>45712</v>
      </c>
      <c r="D577" s="44" t="str">
        <f>Predikcia!B575</f>
        <v>20:00:00</v>
      </c>
      <c r="E577" s="67">
        <f>Predikcia!G575</f>
        <v>14298.25</v>
      </c>
      <c r="F577" s="68">
        <f>'DHS2025'!C574</f>
        <v>17634</v>
      </c>
      <c r="G577" s="69">
        <f>'DHS2025'!D574</f>
        <v>6080</v>
      </c>
      <c r="H577" s="86">
        <v>8</v>
      </c>
      <c r="I577" s="87">
        <f>'DHS2025'!E574/1000</f>
        <v>8.0500000000000007</v>
      </c>
      <c r="J577" s="50">
        <f>Predikcia!R575</f>
        <v>256.77999999999997</v>
      </c>
      <c r="K577" s="48">
        <f t="shared" si="8"/>
        <v>2031.11321</v>
      </c>
      <c r="M577" s="11">
        <f>Predikcia!K575</f>
        <v>5</v>
      </c>
      <c r="N577" s="11">
        <v>8</v>
      </c>
    </row>
    <row r="578" spans="3:14" ht="15.75" thickBot="1">
      <c r="C578" s="105">
        <f>Predikcia!A576</f>
        <v>45712</v>
      </c>
      <c r="D578" s="44" t="str">
        <f>Predikcia!B576</f>
        <v>21:00:00</v>
      </c>
      <c r="E578" s="67">
        <f>Predikcia!G576</f>
        <v>14035.75</v>
      </c>
      <c r="F578" s="68">
        <f>'DHS2025'!C575</f>
        <v>18084</v>
      </c>
      <c r="G578" s="69">
        <f>'DHS2025'!D575</f>
        <v>6492</v>
      </c>
      <c r="H578" s="86">
        <v>8</v>
      </c>
      <c r="I578" s="87">
        <f>'DHS2025'!E575/1000</f>
        <v>8.06</v>
      </c>
      <c r="J578" s="50">
        <f>Predikcia!R576</f>
        <v>230.28</v>
      </c>
      <c r="K578" s="48">
        <f t="shared" si="8"/>
        <v>1822.1822320000001</v>
      </c>
      <c r="M578" s="11">
        <f>Predikcia!K576</f>
        <v>5</v>
      </c>
      <c r="N578" s="11">
        <v>8</v>
      </c>
    </row>
    <row r="579" spans="3:14" ht="15.75" thickBot="1">
      <c r="C579" s="105">
        <f>Predikcia!A577</f>
        <v>45712</v>
      </c>
      <c r="D579" s="44" t="str">
        <f>Predikcia!B577</f>
        <v>22:00:00</v>
      </c>
      <c r="E579" s="67">
        <f>Predikcia!G577</f>
        <v>11716</v>
      </c>
      <c r="F579" s="68">
        <f>'DHS2025'!C576</f>
        <v>14619</v>
      </c>
      <c r="G579" s="69">
        <f>'DHS2025'!D576</f>
        <v>9713</v>
      </c>
      <c r="H579" s="86">
        <v>8</v>
      </c>
      <c r="I579" s="87">
        <f>'DHS2025'!E576/1000</f>
        <v>8.0820000000000007</v>
      </c>
      <c r="J579" s="50">
        <f>Predikcia!R577</f>
        <v>208.35</v>
      </c>
      <c r="K579" s="48">
        <f t="shared" si="8"/>
        <v>1651.690053</v>
      </c>
      <c r="M579" s="11">
        <f>Predikcia!K577</f>
        <v>4</v>
      </c>
      <c r="N579" s="11">
        <v>8</v>
      </c>
    </row>
    <row r="580" spans="3:14" ht="15.75" thickBot="1">
      <c r="C580" s="106">
        <f>Predikcia!A578</f>
        <v>45712</v>
      </c>
      <c r="D580" s="45" t="str">
        <f>Predikcia!B578</f>
        <v>23:00:00</v>
      </c>
      <c r="E580" s="70">
        <f>Predikcia!G578</f>
        <v>6169.5</v>
      </c>
      <c r="F580" s="71">
        <f>'DHS2025'!C577</f>
        <v>8116</v>
      </c>
      <c r="G580" s="72">
        <f>'DHS2025'!D577</f>
        <v>15810</v>
      </c>
      <c r="H580" s="88">
        <v>8</v>
      </c>
      <c r="I580" s="87">
        <f>'DHS2025'!E577/1000</f>
        <v>8.0589999999999993</v>
      </c>
      <c r="J580" s="50">
        <f>Predikcia!R578</f>
        <v>165.08</v>
      </c>
      <c r="K580" s="48">
        <f t="shared" si="8"/>
        <v>1301.7638227999998</v>
      </c>
      <c r="M580" s="11">
        <f>Predikcia!K578</f>
        <v>3</v>
      </c>
      <c r="N580" s="11">
        <v>8</v>
      </c>
    </row>
    <row r="581" spans="3:14" ht="15.75" thickBot="1">
      <c r="C581" s="102">
        <f>Predikcia!A579</f>
        <v>45713</v>
      </c>
      <c r="D581" s="41" t="str">
        <f>Predikcia!B579</f>
        <v>00:00:00</v>
      </c>
      <c r="E581" s="64">
        <f>Predikcia!G579</f>
        <v>4704.75</v>
      </c>
      <c r="F581" s="65">
        <f>'DHS2025'!C578</f>
        <v>7956</v>
      </c>
      <c r="G581" s="66">
        <f>'DHS2025'!D578</f>
        <v>15628</v>
      </c>
      <c r="H581" s="84">
        <v>8</v>
      </c>
      <c r="I581" s="85">
        <f>'DHS2025'!E578/1000</f>
        <v>8.0429999999999993</v>
      </c>
      <c r="J581" s="50">
        <f>Predikcia!R579</f>
        <v>200.09</v>
      </c>
      <c r="K581" s="48">
        <f t="shared" si="8"/>
        <v>1577.9489312999999</v>
      </c>
      <c r="M581" s="11">
        <f>Predikcia!K579</f>
        <v>3</v>
      </c>
      <c r="N581" s="11">
        <v>8</v>
      </c>
    </row>
    <row r="582" spans="3:14" ht="15.75" thickBot="1">
      <c r="C582" s="103">
        <f>Predikcia!A580</f>
        <v>45713</v>
      </c>
      <c r="D582" s="42" t="str">
        <f>Predikcia!B580</f>
        <v>01:00:00</v>
      </c>
      <c r="E582" s="67">
        <f>Predikcia!G580</f>
        <v>5610.75</v>
      </c>
      <c r="F582" s="68">
        <f>'DHS2025'!C579</f>
        <v>9028</v>
      </c>
      <c r="G582" s="69">
        <f>'DHS2025'!D579</f>
        <v>15205</v>
      </c>
      <c r="H582" s="86">
        <v>8</v>
      </c>
      <c r="I582" s="87">
        <f>'DHS2025'!E579/1000</f>
        <v>8.032</v>
      </c>
      <c r="J582" s="50">
        <f>Predikcia!R580</f>
        <v>166.94</v>
      </c>
      <c r="K582" s="48">
        <f t="shared" ref="K582:K645" si="9">(J582*0.99-1.9)*I582</f>
        <v>1312.1926592</v>
      </c>
      <c r="M582" s="11">
        <f>Predikcia!K580</f>
        <v>3</v>
      </c>
      <c r="N582" s="11">
        <v>8</v>
      </c>
    </row>
    <row r="583" spans="3:14" ht="15.75" thickBot="1">
      <c r="C583" s="103">
        <f>Predikcia!A581</f>
        <v>45713</v>
      </c>
      <c r="D583" s="42" t="str">
        <f>Predikcia!B581</f>
        <v>02:00:00</v>
      </c>
      <c r="E583" s="67">
        <f>Predikcia!G581</f>
        <v>5717.25</v>
      </c>
      <c r="F583" s="68">
        <f>'DHS2025'!C580</f>
        <v>11007</v>
      </c>
      <c r="G583" s="69">
        <f>'DHS2025'!D580</f>
        <v>13767</v>
      </c>
      <c r="H583" s="86">
        <v>8</v>
      </c>
      <c r="I583" s="87">
        <f>'DHS2025'!E580/1000</f>
        <v>7.8</v>
      </c>
      <c r="J583" s="50">
        <f>Predikcia!R581</f>
        <v>159.63999999999999</v>
      </c>
      <c r="K583" s="48">
        <f t="shared" si="9"/>
        <v>1217.9200799999999</v>
      </c>
      <c r="M583" s="11">
        <f>Predikcia!K581</f>
        <v>3</v>
      </c>
      <c r="N583" s="11">
        <v>8</v>
      </c>
    </row>
    <row r="584" spans="3:14" ht="15.75" thickBot="1">
      <c r="C584" s="103">
        <f>Predikcia!A582</f>
        <v>45713</v>
      </c>
      <c r="D584" s="42" t="str">
        <f>Predikcia!B582</f>
        <v>03:00:00</v>
      </c>
      <c r="E584" s="67">
        <f>Predikcia!G582</f>
        <v>7255.5</v>
      </c>
      <c r="F584" s="68">
        <f>'DHS2025'!C581</f>
        <v>11025</v>
      </c>
      <c r="G584" s="69">
        <f>'DHS2025'!D581</f>
        <v>12659</v>
      </c>
      <c r="H584" s="86">
        <v>8</v>
      </c>
      <c r="I584" s="87">
        <f>'DHS2025'!E581/1000</f>
        <v>8.0410000000000004</v>
      </c>
      <c r="J584" s="50">
        <f>Predikcia!R582</f>
        <v>156.72</v>
      </c>
      <c r="K584" s="48">
        <f t="shared" si="9"/>
        <v>1232.3057647999999</v>
      </c>
      <c r="M584" s="11">
        <f>Predikcia!K582</f>
        <v>3</v>
      </c>
      <c r="N584" s="11">
        <v>8</v>
      </c>
    </row>
    <row r="585" spans="3:14" ht="15.75" thickBot="1">
      <c r="C585" s="103">
        <f>Predikcia!A583</f>
        <v>45713</v>
      </c>
      <c r="D585" s="42" t="str">
        <f>Predikcia!B583</f>
        <v>04:00:00</v>
      </c>
      <c r="E585" s="67">
        <f>Predikcia!G583</f>
        <v>13801</v>
      </c>
      <c r="F585" s="68">
        <f>'DHS2025'!C582</f>
        <v>18499</v>
      </c>
      <c r="G585" s="69">
        <f>'DHS2025'!D582</f>
        <v>5466</v>
      </c>
      <c r="H585" s="86">
        <v>8</v>
      </c>
      <c r="I585" s="87">
        <f>'DHS2025'!E582/1000</f>
        <v>8.06</v>
      </c>
      <c r="J585" s="50">
        <f>Predikcia!R583</f>
        <v>159.52000000000001</v>
      </c>
      <c r="K585" s="48">
        <f t="shared" si="9"/>
        <v>1257.559888</v>
      </c>
      <c r="M585" s="11">
        <f>Predikcia!K583</f>
        <v>5</v>
      </c>
      <c r="N585" s="11">
        <v>8</v>
      </c>
    </row>
    <row r="586" spans="3:14" ht="15.75" thickBot="1">
      <c r="C586" s="103">
        <f>Predikcia!A584</f>
        <v>45713</v>
      </c>
      <c r="D586" s="42" t="str">
        <f>Predikcia!B584</f>
        <v>05:00:00</v>
      </c>
      <c r="E586" s="67">
        <f>Predikcia!G584</f>
        <v>14651.25</v>
      </c>
      <c r="F586" s="68">
        <f>'DHS2025'!C583</f>
        <v>18456</v>
      </c>
      <c r="G586" s="69">
        <f>'DHS2025'!D583</f>
        <v>5668</v>
      </c>
      <c r="H586" s="86">
        <v>8</v>
      </c>
      <c r="I586" s="87">
        <f>'DHS2025'!E583/1000</f>
        <v>8.0139999999999993</v>
      </c>
      <c r="J586" s="50">
        <f>Predikcia!R584</f>
        <v>193.03</v>
      </c>
      <c r="K586" s="48">
        <f t="shared" si="9"/>
        <v>1516.2463957999998</v>
      </c>
      <c r="M586" s="11">
        <f>Predikcia!K584</f>
        <v>5</v>
      </c>
      <c r="N586" s="11">
        <v>8</v>
      </c>
    </row>
    <row r="587" spans="3:14" ht="15.75" thickBot="1">
      <c r="C587" s="103">
        <f>Predikcia!A585</f>
        <v>45713</v>
      </c>
      <c r="D587" s="42" t="str">
        <f>Predikcia!B585</f>
        <v>06:00:00</v>
      </c>
      <c r="E587" s="67">
        <f>Predikcia!G585</f>
        <v>16252.25</v>
      </c>
      <c r="F587" s="68">
        <f>'DHS2025'!C584</f>
        <v>17562</v>
      </c>
      <c r="G587" s="69">
        <f>'DHS2025'!D584</f>
        <v>5744</v>
      </c>
      <c r="H587" s="86">
        <v>8</v>
      </c>
      <c r="I587" s="87">
        <f>'DHS2025'!E584/1000</f>
        <v>8.0489999999999995</v>
      </c>
      <c r="J587" s="50">
        <f>Predikcia!R585</f>
        <v>169.4</v>
      </c>
      <c r="K587" s="48">
        <f t="shared" si="9"/>
        <v>1334.572494</v>
      </c>
      <c r="M587" s="11">
        <f>Predikcia!K585</f>
        <v>6</v>
      </c>
      <c r="N587" s="11">
        <v>8</v>
      </c>
    </row>
    <row r="588" spans="3:14" ht="15.75" thickBot="1">
      <c r="C588" s="103">
        <f>Predikcia!A586</f>
        <v>45713</v>
      </c>
      <c r="D588" s="42" t="str">
        <f>Predikcia!B586</f>
        <v>07:00:00</v>
      </c>
      <c r="E588" s="67">
        <f>Predikcia!G586</f>
        <v>13322.5</v>
      </c>
      <c r="F588" s="68">
        <f>'DHS2025'!C585</f>
        <v>17678</v>
      </c>
      <c r="G588" s="69">
        <f>'DHS2025'!D585</f>
        <v>6160</v>
      </c>
      <c r="H588" s="86">
        <v>8</v>
      </c>
      <c r="I588" s="87">
        <f>'DHS2025'!E585/1000</f>
        <v>8.0519999999999996</v>
      </c>
      <c r="J588" s="50">
        <f>Predikcia!R586</f>
        <v>86.76</v>
      </c>
      <c r="K588" s="48">
        <f t="shared" si="9"/>
        <v>676.30680480000001</v>
      </c>
      <c r="M588" s="11">
        <f>Predikcia!K586</f>
        <v>5</v>
      </c>
      <c r="N588" s="11">
        <v>8</v>
      </c>
    </row>
    <row r="589" spans="3:14" ht="15.75" thickBot="1">
      <c r="C589" s="103">
        <f>Predikcia!A587</f>
        <v>45713</v>
      </c>
      <c r="D589" s="42" t="str">
        <f>Predikcia!B587</f>
        <v>08:00:00</v>
      </c>
      <c r="E589" s="67">
        <f>Predikcia!G587</f>
        <v>13764</v>
      </c>
      <c r="F589" s="68">
        <f>'DHS2025'!C586</f>
        <v>17757</v>
      </c>
      <c r="G589" s="69">
        <f>'DHS2025'!D586</f>
        <v>6445</v>
      </c>
      <c r="H589" s="86">
        <v>8</v>
      </c>
      <c r="I589" s="87">
        <f>'DHS2025'!E586/1000</f>
        <v>8.0739999999999998</v>
      </c>
      <c r="J589" s="50">
        <f>Predikcia!R587</f>
        <v>172.71</v>
      </c>
      <c r="K589" s="48">
        <f t="shared" si="9"/>
        <v>1365.1753346</v>
      </c>
      <c r="M589" s="11">
        <f>Predikcia!K587</f>
        <v>5</v>
      </c>
      <c r="N589" s="11">
        <v>8</v>
      </c>
    </row>
    <row r="590" spans="3:14" ht="15.75" thickBot="1">
      <c r="C590" s="103">
        <f>Predikcia!A588</f>
        <v>45713</v>
      </c>
      <c r="D590" s="42" t="str">
        <f>Predikcia!B588</f>
        <v>09:00:00</v>
      </c>
      <c r="E590" s="67">
        <f>Predikcia!G588</f>
        <v>15033.5</v>
      </c>
      <c r="F590" s="68">
        <f>'DHS2025'!C587</f>
        <v>17263</v>
      </c>
      <c r="G590" s="69">
        <f>'DHS2025'!D587</f>
        <v>6335</v>
      </c>
      <c r="H590" s="86">
        <v>8</v>
      </c>
      <c r="I590" s="87">
        <f>'DHS2025'!E587/1000</f>
        <v>8.0570000000000004</v>
      </c>
      <c r="J590" s="50">
        <f>Predikcia!R588</f>
        <v>155.06</v>
      </c>
      <c r="K590" s="48">
        <f t="shared" si="9"/>
        <v>1221.5169358000001</v>
      </c>
      <c r="M590" s="11">
        <f>Predikcia!K588</f>
        <v>5</v>
      </c>
      <c r="N590" s="11">
        <v>8</v>
      </c>
    </row>
    <row r="591" spans="3:14" ht="15.75" thickBot="1">
      <c r="C591" s="103">
        <f>Predikcia!A589</f>
        <v>45713</v>
      </c>
      <c r="D591" s="42" t="str">
        <f>Predikcia!B589</f>
        <v>10:00:00</v>
      </c>
      <c r="E591" s="67">
        <f>Predikcia!G589</f>
        <v>14374.25</v>
      </c>
      <c r="F591" s="68">
        <f>'DHS2025'!C588</f>
        <v>15822</v>
      </c>
      <c r="G591" s="69">
        <f>'DHS2025'!D588</f>
        <v>8265</v>
      </c>
      <c r="H591" s="86">
        <v>8</v>
      </c>
      <c r="I591" s="87">
        <f>'DHS2025'!E588/1000</f>
        <v>8.0519999999999996</v>
      </c>
      <c r="J591" s="50">
        <f>Predikcia!R589</f>
        <v>141.96</v>
      </c>
      <c r="K591" s="48">
        <f t="shared" si="9"/>
        <v>1116.3325007999999</v>
      </c>
      <c r="M591" s="11">
        <f>Predikcia!K589</f>
        <v>5</v>
      </c>
      <c r="N591" s="11">
        <v>8</v>
      </c>
    </row>
    <row r="592" spans="3:14" ht="15.75" thickBot="1">
      <c r="C592" s="103">
        <f>Predikcia!A590</f>
        <v>45713</v>
      </c>
      <c r="D592" s="42" t="str">
        <f>Predikcia!B590</f>
        <v>11:00:00</v>
      </c>
      <c r="E592" s="67">
        <f>Predikcia!G590</f>
        <v>12130.75</v>
      </c>
      <c r="F592" s="68">
        <f>'DHS2025'!C589</f>
        <v>15067</v>
      </c>
      <c r="G592" s="69">
        <f>'DHS2025'!D589</f>
        <v>8596</v>
      </c>
      <c r="H592" s="86">
        <v>8</v>
      </c>
      <c r="I592" s="87">
        <f>'DHS2025'!E589/1000</f>
        <v>8.0839999999999996</v>
      </c>
      <c r="J592" s="50">
        <f>Predikcia!R590</f>
        <v>128.16</v>
      </c>
      <c r="K592" s="48">
        <f t="shared" si="9"/>
        <v>1010.3253855999999</v>
      </c>
      <c r="M592" s="11">
        <f>Predikcia!K590</f>
        <v>5</v>
      </c>
      <c r="N592" s="11">
        <v>8</v>
      </c>
    </row>
    <row r="593" spans="3:14" ht="15.75" thickBot="1">
      <c r="C593" s="103">
        <f>Predikcia!A591</f>
        <v>45713</v>
      </c>
      <c r="D593" s="42" t="str">
        <f>Predikcia!B591</f>
        <v>12:00:00</v>
      </c>
      <c r="E593" s="67">
        <f>Predikcia!G591</f>
        <v>12606.5</v>
      </c>
      <c r="F593" s="68">
        <f>'DHS2025'!C590</f>
        <v>14026</v>
      </c>
      <c r="G593" s="69">
        <f>'DHS2025'!D590</f>
        <v>9355</v>
      </c>
      <c r="H593" s="86">
        <v>8</v>
      </c>
      <c r="I593" s="87">
        <f>'DHS2025'!E590/1000</f>
        <v>8.0559999999999992</v>
      </c>
      <c r="J593" s="50">
        <f>Predikcia!R591</f>
        <v>126.5</v>
      </c>
      <c r="K593" s="48">
        <f t="shared" si="9"/>
        <v>993.5867599999998</v>
      </c>
      <c r="M593" s="11">
        <f>Predikcia!K591</f>
        <v>5</v>
      </c>
      <c r="N593" s="11">
        <v>8</v>
      </c>
    </row>
    <row r="594" spans="3:14" ht="15.75" thickBot="1">
      <c r="C594" s="103">
        <f>Predikcia!A592</f>
        <v>45713</v>
      </c>
      <c r="D594" s="42" t="str">
        <f>Predikcia!B592</f>
        <v>13:00:00</v>
      </c>
      <c r="E594" s="67">
        <f>Predikcia!G592</f>
        <v>12211.75</v>
      </c>
      <c r="F594" s="68">
        <f>'DHS2025'!C591</f>
        <v>14883</v>
      </c>
      <c r="G594" s="69">
        <f>'DHS2025'!D591</f>
        <v>8520</v>
      </c>
      <c r="H594" s="86">
        <v>8</v>
      </c>
      <c r="I594" s="87">
        <f>'DHS2025'!E591/1000</f>
        <v>8.0459999999999994</v>
      </c>
      <c r="J594" s="50">
        <f>Predikcia!R592</f>
        <v>128.33000000000001</v>
      </c>
      <c r="K594" s="48">
        <f t="shared" si="9"/>
        <v>1006.9303482</v>
      </c>
      <c r="M594" s="11">
        <f>Predikcia!K592</f>
        <v>5</v>
      </c>
      <c r="N594" s="11">
        <v>8</v>
      </c>
    </row>
    <row r="595" spans="3:14" ht="15.75" thickBot="1">
      <c r="C595" s="103">
        <f>Predikcia!A593</f>
        <v>45713</v>
      </c>
      <c r="D595" s="42" t="str">
        <f>Predikcia!B593</f>
        <v>14:00:00</v>
      </c>
      <c r="E595" s="67">
        <f>Predikcia!G593</f>
        <v>12196</v>
      </c>
      <c r="F595" s="68">
        <f>'DHS2025'!C592</f>
        <v>15326</v>
      </c>
      <c r="G595" s="69">
        <f>'DHS2025'!D592</f>
        <v>7938</v>
      </c>
      <c r="H595" s="86">
        <v>8</v>
      </c>
      <c r="I595" s="87">
        <f>'DHS2025'!E592/1000</f>
        <v>8.0670000000000002</v>
      </c>
      <c r="J595" s="50">
        <f>Predikcia!R593</f>
        <v>137.38</v>
      </c>
      <c r="K595" s="48">
        <f t="shared" si="9"/>
        <v>1081.8347154000001</v>
      </c>
      <c r="M595" s="11">
        <f>Predikcia!K593</f>
        <v>5</v>
      </c>
      <c r="N595" s="11">
        <v>8</v>
      </c>
    </row>
    <row r="596" spans="3:14" ht="15.75" thickBot="1">
      <c r="C596" s="103">
        <f>Predikcia!A594</f>
        <v>45713</v>
      </c>
      <c r="D596" s="42" t="str">
        <f>Predikcia!B594</f>
        <v>15:00:00</v>
      </c>
      <c r="E596" s="67">
        <f>Predikcia!G594</f>
        <v>11959.25</v>
      </c>
      <c r="F596" s="68">
        <f>'DHS2025'!C593</f>
        <v>14534</v>
      </c>
      <c r="G596" s="69">
        <f>'DHS2025'!D593</f>
        <v>8461</v>
      </c>
      <c r="H596" s="86">
        <v>8</v>
      </c>
      <c r="I596" s="87">
        <f>'DHS2025'!E593/1000</f>
        <v>8.0350000000000001</v>
      </c>
      <c r="J596" s="50">
        <f>Predikcia!R594</f>
        <v>151.85</v>
      </c>
      <c r="K596" s="48">
        <f t="shared" si="9"/>
        <v>1192.6471025000001</v>
      </c>
      <c r="M596" s="11">
        <f>Predikcia!K594</f>
        <v>4</v>
      </c>
      <c r="N596" s="11">
        <v>8</v>
      </c>
    </row>
    <row r="597" spans="3:14" ht="15.75" thickBot="1">
      <c r="C597" s="103">
        <f>Predikcia!A595</f>
        <v>45713</v>
      </c>
      <c r="D597" s="42" t="str">
        <f>Predikcia!B595</f>
        <v>16:00:00</v>
      </c>
      <c r="E597" s="67">
        <f>Predikcia!G595</f>
        <v>12040.25</v>
      </c>
      <c r="F597" s="68">
        <f>'DHS2025'!C594</f>
        <v>14710</v>
      </c>
      <c r="G597" s="69">
        <f>'DHS2025'!D594</f>
        <v>9384</v>
      </c>
      <c r="H597" s="86">
        <v>8</v>
      </c>
      <c r="I597" s="87">
        <f>'DHS2025'!E594/1000</f>
        <v>8.0890000000000004</v>
      </c>
      <c r="J597" s="50">
        <f>Predikcia!R595</f>
        <v>127.44</v>
      </c>
      <c r="K597" s="48">
        <f t="shared" si="9"/>
        <v>1005.1844384</v>
      </c>
      <c r="M597" s="11">
        <f>Predikcia!K595</f>
        <v>5</v>
      </c>
      <c r="N597" s="11">
        <v>8</v>
      </c>
    </row>
    <row r="598" spans="3:14" ht="15.75" thickBot="1">
      <c r="C598" s="103">
        <f>Predikcia!A596</f>
        <v>45713</v>
      </c>
      <c r="D598" s="42" t="str">
        <f>Predikcia!B596</f>
        <v>17:00:00</v>
      </c>
      <c r="E598" s="67">
        <f>Predikcia!G596</f>
        <v>12476.25</v>
      </c>
      <c r="F598" s="68">
        <f>'DHS2025'!C595</f>
        <v>15620</v>
      </c>
      <c r="G598" s="69">
        <f>'DHS2025'!D595</f>
        <v>7955</v>
      </c>
      <c r="H598" s="86">
        <v>8</v>
      </c>
      <c r="I598" s="87">
        <f>'DHS2025'!E595/1000</f>
        <v>8.0559999999999992</v>
      </c>
      <c r="J598" s="50">
        <f>Predikcia!R596</f>
        <v>140.33000000000001</v>
      </c>
      <c r="K598" s="48">
        <f t="shared" si="9"/>
        <v>1103.8870952</v>
      </c>
      <c r="M598" s="11">
        <f>Predikcia!K596</f>
        <v>5</v>
      </c>
      <c r="N598" s="11">
        <v>8</v>
      </c>
    </row>
    <row r="599" spans="3:14" ht="15.75" thickBot="1">
      <c r="C599" s="103">
        <f>Predikcia!A597</f>
        <v>45713</v>
      </c>
      <c r="D599" s="42" t="str">
        <f>Predikcia!B597</f>
        <v>18:00:00</v>
      </c>
      <c r="E599" s="67">
        <f>Predikcia!G597</f>
        <v>13378.75</v>
      </c>
      <c r="F599" s="68">
        <f>'DHS2025'!C596</f>
        <v>17313</v>
      </c>
      <c r="G599" s="69">
        <f>'DHS2025'!D596</f>
        <v>6795</v>
      </c>
      <c r="H599" s="86">
        <v>8</v>
      </c>
      <c r="I599" s="87">
        <f>'DHS2025'!E596/1000</f>
        <v>8.0730000000000004</v>
      </c>
      <c r="J599" s="50">
        <f>Predikcia!R597</f>
        <v>170.15</v>
      </c>
      <c r="K599" s="48">
        <f t="shared" si="9"/>
        <v>1344.5460404999999</v>
      </c>
      <c r="M599" s="11">
        <f>Predikcia!K597</f>
        <v>5</v>
      </c>
      <c r="N599" s="11">
        <v>8</v>
      </c>
    </row>
    <row r="600" spans="3:14" ht="15.75" thickBot="1">
      <c r="C600" s="103">
        <f>Predikcia!A598</f>
        <v>45713</v>
      </c>
      <c r="D600" s="42" t="str">
        <f>Predikcia!B598</f>
        <v>19:00:00</v>
      </c>
      <c r="E600" s="67">
        <f>Predikcia!G598</f>
        <v>13796.5</v>
      </c>
      <c r="F600" s="68">
        <f>'DHS2025'!C597</f>
        <v>17250</v>
      </c>
      <c r="G600" s="69">
        <f>'DHS2025'!D597</f>
        <v>6658</v>
      </c>
      <c r="H600" s="86">
        <v>8</v>
      </c>
      <c r="I600" s="87">
        <f>'DHS2025'!E597/1000</f>
        <v>8.0559999999999992</v>
      </c>
      <c r="J600" s="50">
        <f>Predikcia!R598</f>
        <v>135.31</v>
      </c>
      <c r="K600" s="48">
        <f t="shared" si="9"/>
        <v>1063.8503863999997</v>
      </c>
      <c r="M600" s="11">
        <f>Predikcia!K598</f>
        <v>5</v>
      </c>
      <c r="N600" s="11">
        <v>8</v>
      </c>
    </row>
    <row r="601" spans="3:14" ht="15.75" thickBot="1">
      <c r="C601" s="103">
        <f>Predikcia!A599</f>
        <v>45713</v>
      </c>
      <c r="D601" s="42" t="str">
        <f>Predikcia!B599</f>
        <v>20:00:00</v>
      </c>
      <c r="E601" s="67">
        <f>Predikcia!G599</f>
        <v>13510.5</v>
      </c>
      <c r="F601" s="68">
        <f>'DHS2025'!C598</f>
        <v>16565</v>
      </c>
      <c r="G601" s="69">
        <f>'DHS2025'!D598</f>
        <v>7066</v>
      </c>
      <c r="H601" s="86">
        <v>8</v>
      </c>
      <c r="I601" s="87">
        <f>'DHS2025'!E598/1000</f>
        <v>8.0570000000000004</v>
      </c>
      <c r="J601" s="50">
        <f>Predikcia!R599</f>
        <v>127.38</v>
      </c>
      <c r="K601" s="48">
        <f t="shared" si="9"/>
        <v>1000.7293534</v>
      </c>
      <c r="M601" s="11">
        <f>Predikcia!K599</f>
        <v>5</v>
      </c>
      <c r="N601" s="11">
        <v>8</v>
      </c>
    </row>
    <row r="602" spans="3:14" ht="15.75" thickBot="1">
      <c r="C602" s="103">
        <f>Predikcia!A600</f>
        <v>45713</v>
      </c>
      <c r="D602" s="42" t="str">
        <f>Predikcia!B600</f>
        <v>21:00:00</v>
      </c>
      <c r="E602" s="67">
        <f>Predikcia!G600</f>
        <v>12572.25</v>
      </c>
      <c r="F602" s="68">
        <f>'DHS2025'!C599</f>
        <v>17452</v>
      </c>
      <c r="G602" s="69">
        <f>'DHS2025'!D599</f>
        <v>6483</v>
      </c>
      <c r="H602" s="86">
        <v>8</v>
      </c>
      <c r="I602" s="87">
        <f>'DHS2025'!E599/1000</f>
        <v>8.0559999999999992</v>
      </c>
      <c r="J602" s="50">
        <f>Predikcia!R600</f>
        <v>125.3</v>
      </c>
      <c r="K602" s="48">
        <f t="shared" si="9"/>
        <v>984.01623199999983</v>
      </c>
      <c r="M602" s="11">
        <f>Predikcia!K600</f>
        <v>5</v>
      </c>
      <c r="N602" s="11">
        <v>8</v>
      </c>
    </row>
    <row r="603" spans="3:14" ht="15.75" thickBot="1">
      <c r="C603" s="103">
        <f>Predikcia!A601</f>
        <v>45713</v>
      </c>
      <c r="D603" s="42" t="str">
        <f>Predikcia!B601</f>
        <v>22:00:00</v>
      </c>
      <c r="E603" s="67">
        <f>Predikcia!G601</f>
        <v>12447</v>
      </c>
      <c r="F603" s="68">
        <f>'DHS2025'!C600</f>
        <v>13457</v>
      </c>
      <c r="G603" s="69">
        <f>'DHS2025'!D600</f>
        <v>10024</v>
      </c>
      <c r="H603" s="86">
        <v>8</v>
      </c>
      <c r="I603" s="87">
        <f>'DHS2025'!E600/1000</f>
        <v>8.0579999999999998</v>
      </c>
      <c r="J603" s="50">
        <f>Predikcia!R601</f>
        <v>119.42</v>
      </c>
      <c r="K603" s="48">
        <f t="shared" si="9"/>
        <v>937.35329639999998</v>
      </c>
      <c r="M603" s="11">
        <f>Predikcia!K601</f>
        <v>5</v>
      </c>
      <c r="N603" s="11">
        <v>8</v>
      </c>
    </row>
    <row r="604" spans="3:14" ht="15.75" thickBot="1">
      <c r="C604" s="107">
        <f>Predikcia!A602</f>
        <v>45713</v>
      </c>
      <c r="D604" s="46" t="str">
        <f>Predikcia!B602</f>
        <v>23:00:00</v>
      </c>
      <c r="E604" s="70">
        <f>Predikcia!G602</f>
        <v>8601.5</v>
      </c>
      <c r="F604" s="71">
        <f>'DHS2025'!C601</f>
        <v>7939</v>
      </c>
      <c r="G604" s="72">
        <f>'DHS2025'!D601</f>
        <v>15848</v>
      </c>
      <c r="H604" s="88">
        <v>8</v>
      </c>
      <c r="I604" s="87">
        <f>'DHS2025'!E601/1000</f>
        <v>8.0790000000000006</v>
      </c>
      <c r="J604" s="50">
        <f>Predikcia!R602</f>
        <v>147.51</v>
      </c>
      <c r="K604" s="48">
        <f t="shared" si="9"/>
        <v>1164.4658571</v>
      </c>
      <c r="M604" s="11">
        <f>Predikcia!K602</f>
        <v>4</v>
      </c>
      <c r="N604" s="11">
        <v>8</v>
      </c>
    </row>
    <row r="605" spans="3:14" ht="15.75" thickBot="1">
      <c r="C605" s="104">
        <f>Predikcia!A603</f>
        <v>45714</v>
      </c>
      <c r="D605" s="43" t="str">
        <f>Predikcia!B603</f>
        <v>00:00:00</v>
      </c>
      <c r="E605" s="64">
        <f>Predikcia!G603</f>
        <v>6865.75</v>
      </c>
      <c r="F605" s="65">
        <f>'DHS2025'!C602</f>
        <v>7450</v>
      </c>
      <c r="G605" s="66">
        <f>'DHS2025'!D602</f>
        <v>16147</v>
      </c>
      <c r="H605" s="84">
        <v>8</v>
      </c>
      <c r="I605" s="85">
        <f>'DHS2025'!E602/1000</f>
        <v>8.06</v>
      </c>
      <c r="J605" s="50">
        <f>Predikcia!R603</f>
        <v>124.12</v>
      </c>
      <c r="K605" s="48">
        <f t="shared" si="9"/>
        <v>975.08912799999996</v>
      </c>
      <c r="M605" s="11">
        <f>Predikcia!K603</f>
        <v>3</v>
      </c>
      <c r="N605" s="11">
        <v>8</v>
      </c>
    </row>
    <row r="606" spans="3:14" ht="15.75" thickBot="1">
      <c r="C606" s="105">
        <f>Predikcia!A604</f>
        <v>45714</v>
      </c>
      <c r="D606" s="44" t="str">
        <f>Predikcia!B604</f>
        <v>01:00:00</v>
      </c>
      <c r="E606" s="67">
        <f>Predikcia!G604</f>
        <v>7026.25</v>
      </c>
      <c r="F606" s="68">
        <f>'DHS2025'!C603</f>
        <v>8016</v>
      </c>
      <c r="G606" s="69">
        <f>'DHS2025'!D603</f>
        <v>15961</v>
      </c>
      <c r="H606" s="86">
        <v>8</v>
      </c>
      <c r="I606" s="87">
        <f>'DHS2025'!E603/1000</f>
        <v>8.0790000000000006</v>
      </c>
      <c r="J606" s="50">
        <f>Predikcia!R604</f>
        <v>121.61</v>
      </c>
      <c r="K606" s="48">
        <f t="shared" si="9"/>
        <v>957.3122181</v>
      </c>
      <c r="M606" s="11">
        <f>Predikcia!K604</f>
        <v>3</v>
      </c>
      <c r="N606" s="11">
        <v>8</v>
      </c>
    </row>
    <row r="607" spans="3:14" ht="15.75" thickBot="1">
      <c r="C607" s="105">
        <f>Predikcia!A605</f>
        <v>45714</v>
      </c>
      <c r="D607" s="44" t="str">
        <f>Predikcia!B605</f>
        <v>02:00:00</v>
      </c>
      <c r="E607" s="67">
        <f>Predikcia!G605</f>
        <v>8625.5</v>
      </c>
      <c r="F607" s="68">
        <f>'DHS2025'!C604</f>
        <v>9234</v>
      </c>
      <c r="G607" s="69">
        <f>'DHS2025'!D604</f>
        <v>14580</v>
      </c>
      <c r="H607" s="86">
        <v>8</v>
      </c>
      <c r="I607" s="87">
        <f>'DHS2025'!E604/1000</f>
        <v>8.07</v>
      </c>
      <c r="J607" s="50">
        <f>Predikcia!R605</f>
        <v>118.24</v>
      </c>
      <c r="K607" s="48">
        <f t="shared" si="9"/>
        <v>929.32183199999997</v>
      </c>
      <c r="M607" s="11">
        <f>Predikcia!K605</f>
        <v>4</v>
      </c>
      <c r="N607" s="11">
        <v>8</v>
      </c>
    </row>
    <row r="608" spans="3:14" ht="15.75" thickBot="1">
      <c r="C608" s="105">
        <f>Predikcia!A606</f>
        <v>45714</v>
      </c>
      <c r="D608" s="44" t="str">
        <f>Predikcia!B606</f>
        <v>03:00:00</v>
      </c>
      <c r="E608" s="67">
        <f>Predikcia!G606</f>
        <v>10051</v>
      </c>
      <c r="F608" s="68">
        <f>'DHS2025'!C605</f>
        <v>11390</v>
      </c>
      <c r="G608" s="69">
        <f>'DHS2025'!D605</f>
        <v>13215</v>
      </c>
      <c r="H608" s="86">
        <v>8</v>
      </c>
      <c r="I608" s="87">
        <f>'DHS2025'!E605/1000</f>
        <v>8.06</v>
      </c>
      <c r="J608" s="50">
        <f>Predikcia!R606</f>
        <v>117.74</v>
      </c>
      <c r="K608" s="48">
        <f t="shared" si="9"/>
        <v>924.18055599999991</v>
      </c>
      <c r="M608" s="11">
        <f>Predikcia!K606</f>
        <v>4</v>
      </c>
      <c r="N608" s="11">
        <v>8</v>
      </c>
    </row>
    <row r="609" spans="3:14" ht="15.75" thickBot="1">
      <c r="C609" s="105">
        <f>Predikcia!A607</f>
        <v>45714</v>
      </c>
      <c r="D609" s="44" t="str">
        <f>Predikcia!B607</f>
        <v>04:00:00</v>
      </c>
      <c r="E609" s="67">
        <f>Predikcia!G607</f>
        <v>15209.75</v>
      </c>
      <c r="F609" s="68">
        <f>'DHS2025'!C606</f>
        <v>18904</v>
      </c>
      <c r="G609" s="69">
        <f>'DHS2025'!D606</f>
        <v>4771</v>
      </c>
      <c r="H609" s="86">
        <v>8</v>
      </c>
      <c r="I609" s="87">
        <f>'DHS2025'!E606/1000</f>
        <v>8.0649999999999995</v>
      </c>
      <c r="J609" s="50">
        <f>Predikcia!R607</f>
        <v>118.08</v>
      </c>
      <c r="K609" s="48">
        <f t="shared" si="9"/>
        <v>927.46854799999983</v>
      </c>
      <c r="M609" s="11">
        <f>Predikcia!K607</f>
        <v>5</v>
      </c>
      <c r="N609" s="11">
        <v>8</v>
      </c>
    </row>
    <row r="610" spans="3:14" ht="15.75" thickBot="1">
      <c r="C610" s="105">
        <f>Predikcia!A608</f>
        <v>45714</v>
      </c>
      <c r="D610" s="44" t="str">
        <f>Predikcia!B608</f>
        <v>05:00:00</v>
      </c>
      <c r="E610" s="67">
        <f>Predikcia!G608</f>
        <v>14433.75</v>
      </c>
      <c r="F610" s="68">
        <f>'DHS2025'!C607</f>
        <v>18993</v>
      </c>
      <c r="G610" s="69">
        <f>'DHS2025'!D607</f>
        <v>4947</v>
      </c>
      <c r="H610" s="86">
        <v>8</v>
      </c>
      <c r="I610" s="87">
        <f>'DHS2025'!E607/1000</f>
        <v>8.0830000000000002</v>
      </c>
      <c r="J610" s="50">
        <f>Predikcia!R608</f>
        <v>127.34</v>
      </c>
      <c r="K610" s="48">
        <f t="shared" si="9"/>
        <v>1003.6386278</v>
      </c>
      <c r="M610" s="11">
        <f>Predikcia!K608</f>
        <v>5</v>
      </c>
      <c r="N610" s="11">
        <v>8</v>
      </c>
    </row>
    <row r="611" spans="3:14" ht="15.75" thickBot="1">
      <c r="C611" s="105">
        <f>Predikcia!A609</f>
        <v>45714</v>
      </c>
      <c r="D611" s="44" t="str">
        <f>Predikcia!B609</f>
        <v>06:00:00</v>
      </c>
      <c r="E611" s="67">
        <f>Predikcia!G609</f>
        <v>14312.25</v>
      </c>
      <c r="F611" s="68">
        <f>'DHS2025'!C608</f>
        <v>19284</v>
      </c>
      <c r="G611" s="69">
        <f>'DHS2025'!D608</f>
        <v>4938</v>
      </c>
      <c r="H611" s="86">
        <v>8</v>
      </c>
      <c r="I611" s="87">
        <f>'DHS2025'!E608/1000</f>
        <v>8.0779999999999994</v>
      </c>
      <c r="J611" s="50">
        <f>Predikcia!R609</f>
        <v>146.41999999999999</v>
      </c>
      <c r="K611" s="48">
        <f t="shared" si="9"/>
        <v>1155.6047523999998</v>
      </c>
      <c r="M611" s="11">
        <f>Predikcia!K609</f>
        <v>5</v>
      </c>
      <c r="N611" s="11">
        <v>8</v>
      </c>
    </row>
    <row r="612" spans="3:14" ht="15.75" thickBot="1">
      <c r="C612" s="105">
        <f>Predikcia!A610</f>
        <v>45714</v>
      </c>
      <c r="D612" s="44" t="str">
        <f>Predikcia!B610</f>
        <v>07:00:00</v>
      </c>
      <c r="E612" s="67">
        <f>Predikcia!G610</f>
        <v>13759</v>
      </c>
      <c r="F612" s="68">
        <f>'DHS2025'!C609</f>
        <v>17936</v>
      </c>
      <c r="G612" s="69">
        <f>'DHS2025'!D609</f>
        <v>6099</v>
      </c>
      <c r="H612" s="86">
        <v>8</v>
      </c>
      <c r="I612" s="87">
        <f>'DHS2025'!E609/1000</f>
        <v>8.0410000000000004</v>
      </c>
      <c r="J612" s="50">
        <f>Predikcia!R610</f>
        <v>207.98</v>
      </c>
      <c r="K612" s="48">
        <f t="shared" si="9"/>
        <v>1640.3656082</v>
      </c>
      <c r="M612" s="11">
        <f>Predikcia!K610</f>
        <v>5</v>
      </c>
      <c r="N612" s="11">
        <v>8</v>
      </c>
    </row>
    <row r="613" spans="3:14" ht="15.75" thickBot="1">
      <c r="C613" s="105">
        <f>Predikcia!A611</f>
        <v>45714</v>
      </c>
      <c r="D613" s="44" t="str">
        <f>Predikcia!B611</f>
        <v>08:00:00</v>
      </c>
      <c r="E613" s="67">
        <f>Predikcia!G611</f>
        <v>13973</v>
      </c>
      <c r="F613" s="68">
        <f>'DHS2025'!C610</f>
        <v>18186</v>
      </c>
      <c r="G613" s="69">
        <f>'DHS2025'!D610</f>
        <v>5870</v>
      </c>
      <c r="H613" s="86">
        <v>8</v>
      </c>
      <c r="I613" s="87">
        <f>'DHS2025'!E610/1000</f>
        <v>8.0619999999999994</v>
      </c>
      <c r="J613" s="50">
        <f>Predikcia!R611</f>
        <v>179.26</v>
      </c>
      <c r="K613" s="48">
        <f t="shared" si="9"/>
        <v>1415.4243787999999</v>
      </c>
      <c r="M613" s="11">
        <f>Predikcia!K611</f>
        <v>5</v>
      </c>
      <c r="N613" s="11">
        <v>8</v>
      </c>
    </row>
    <row r="614" spans="3:14" ht="15.75" thickBot="1">
      <c r="C614" s="105">
        <f>Predikcia!A612</f>
        <v>45714</v>
      </c>
      <c r="D614" s="44" t="str">
        <f>Predikcia!B612</f>
        <v>09:00:00</v>
      </c>
      <c r="E614" s="67">
        <f>Predikcia!G612</f>
        <v>13948.75</v>
      </c>
      <c r="F614" s="68">
        <f>'DHS2025'!C611</f>
        <v>17103</v>
      </c>
      <c r="G614" s="69">
        <f>'DHS2025'!D611</f>
        <v>7141</v>
      </c>
      <c r="H614" s="86">
        <v>8</v>
      </c>
      <c r="I614" s="87">
        <f>'DHS2025'!E611/1000</f>
        <v>8.0540000000000003</v>
      </c>
      <c r="J614" s="50">
        <f>Predikcia!R612</f>
        <v>158.99</v>
      </c>
      <c r="K614" s="48">
        <f t="shared" si="9"/>
        <v>1252.3978054000002</v>
      </c>
      <c r="M614" s="11">
        <f>Predikcia!K612</f>
        <v>5</v>
      </c>
      <c r="N614" s="11">
        <v>8</v>
      </c>
    </row>
    <row r="615" spans="3:14" ht="15.75" thickBot="1">
      <c r="C615" s="105">
        <f>Predikcia!A613</f>
        <v>45714</v>
      </c>
      <c r="D615" s="44" t="str">
        <f>Predikcia!B613</f>
        <v>10:00:00</v>
      </c>
      <c r="E615" s="67">
        <f>Predikcia!G613</f>
        <v>13323.75</v>
      </c>
      <c r="F615" s="68">
        <f>'DHS2025'!C612</f>
        <v>15500</v>
      </c>
      <c r="G615" s="69">
        <f>'DHS2025'!D612</f>
        <v>7827</v>
      </c>
      <c r="H615" s="86">
        <v>8</v>
      </c>
      <c r="I615" s="87">
        <f>'DHS2025'!E612/1000</f>
        <v>8.0640000000000001</v>
      </c>
      <c r="J615" s="50">
        <f>Predikcia!R613</f>
        <v>143.87</v>
      </c>
      <c r="K615" s="48">
        <f t="shared" si="9"/>
        <v>1133.2444031999999</v>
      </c>
      <c r="M615" s="11">
        <f>Predikcia!K613</f>
        <v>5</v>
      </c>
      <c r="N615" s="11">
        <v>8</v>
      </c>
    </row>
    <row r="616" spans="3:14" ht="15.75" thickBot="1">
      <c r="C616" s="105">
        <f>Predikcia!A614</f>
        <v>45714</v>
      </c>
      <c r="D616" s="44" t="str">
        <f>Predikcia!B614</f>
        <v>11:00:00</v>
      </c>
      <c r="E616" s="67">
        <f>Predikcia!G614</f>
        <v>12716</v>
      </c>
      <c r="F616" s="68">
        <f>'DHS2025'!C613</f>
        <v>14124</v>
      </c>
      <c r="G616" s="69">
        <f>'DHS2025'!D613</f>
        <v>9812</v>
      </c>
      <c r="H616" s="86">
        <v>8</v>
      </c>
      <c r="I616" s="87">
        <f>'DHS2025'!E613/1000</f>
        <v>8.0709999999999997</v>
      </c>
      <c r="J616" s="50">
        <f>Predikcia!R614</f>
        <v>131.29</v>
      </c>
      <c r="K616" s="48">
        <f t="shared" si="9"/>
        <v>1033.7102740999997</v>
      </c>
      <c r="M616" s="11">
        <f>Predikcia!K614</f>
        <v>5</v>
      </c>
      <c r="N616" s="11">
        <v>8</v>
      </c>
    </row>
    <row r="617" spans="3:14" ht="15.75" thickBot="1">
      <c r="C617" s="105">
        <f>Predikcia!A615</f>
        <v>45714</v>
      </c>
      <c r="D617" s="44" t="str">
        <f>Predikcia!B615</f>
        <v>12:00:00</v>
      </c>
      <c r="E617" s="67">
        <f>Predikcia!G615</f>
        <v>12857</v>
      </c>
      <c r="F617" s="68">
        <f>'DHS2025'!C614</f>
        <v>12582</v>
      </c>
      <c r="G617" s="69">
        <f>'DHS2025'!D614</f>
        <v>10458</v>
      </c>
      <c r="H617" s="86">
        <v>8</v>
      </c>
      <c r="I617" s="87">
        <f>'DHS2025'!E614/1000</f>
        <v>8.0570000000000004</v>
      </c>
      <c r="J617" s="50">
        <f>Predikcia!R615</f>
        <v>120.83</v>
      </c>
      <c r="K617" s="48">
        <f t="shared" si="9"/>
        <v>948.48373690000005</v>
      </c>
      <c r="M617" s="11">
        <f>Predikcia!K615</f>
        <v>5</v>
      </c>
      <c r="N617" s="11">
        <v>8</v>
      </c>
    </row>
    <row r="618" spans="3:14" ht="15.75" thickBot="1">
      <c r="C618" s="105">
        <f>Predikcia!A616</f>
        <v>45714</v>
      </c>
      <c r="D618" s="44" t="str">
        <f>Predikcia!B616</f>
        <v>13:00:00</v>
      </c>
      <c r="E618" s="67">
        <f>Predikcia!G616</f>
        <v>12891.5</v>
      </c>
      <c r="F618" s="68">
        <f>'DHS2025'!C615</f>
        <v>12595</v>
      </c>
      <c r="G618" s="69">
        <f>'DHS2025'!D615</f>
        <v>10661</v>
      </c>
      <c r="H618" s="86">
        <v>8</v>
      </c>
      <c r="I618" s="87">
        <f>'DHS2025'!E615/1000</f>
        <v>8.07</v>
      </c>
      <c r="J618" s="50">
        <f>Predikcia!R616</f>
        <v>121.24</v>
      </c>
      <c r="K618" s="48">
        <f t="shared" si="9"/>
        <v>953.28973199999996</v>
      </c>
      <c r="M618" s="11">
        <f>Predikcia!K616</f>
        <v>5</v>
      </c>
      <c r="N618" s="11">
        <v>8</v>
      </c>
    </row>
    <row r="619" spans="3:14" ht="15.75" thickBot="1">
      <c r="C619" s="105">
        <f>Predikcia!A617</f>
        <v>45714</v>
      </c>
      <c r="D619" s="44" t="str">
        <f>Predikcia!B617</f>
        <v>14:00:00</v>
      </c>
      <c r="E619" s="67">
        <f>Predikcia!G617</f>
        <v>13000</v>
      </c>
      <c r="F619" s="68">
        <f>'DHS2025'!C616</f>
        <v>12525</v>
      </c>
      <c r="G619" s="69">
        <f>'DHS2025'!D616</f>
        <v>10926</v>
      </c>
      <c r="H619" s="86">
        <v>8</v>
      </c>
      <c r="I619" s="87">
        <f>'DHS2025'!E616/1000</f>
        <v>8.0579999999999998</v>
      </c>
      <c r="J619" s="50">
        <f>Predikcia!R617</f>
        <v>128.51</v>
      </c>
      <c r="K619" s="48">
        <f t="shared" si="9"/>
        <v>1009.8680441999999</v>
      </c>
      <c r="M619" s="11">
        <f>Predikcia!K617</f>
        <v>5</v>
      </c>
      <c r="N619" s="11">
        <v>8</v>
      </c>
    </row>
    <row r="620" spans="3:14" ht="15.75" thickBot="1">
      <c r="C620" s="105">
        <f>Predikcia!A618</f>
        <v>45714</v>
      </c>
      <c r="D620" s="44" t="str">
        <f>Predikcia!B618</f>
        <v>15:00:00</v>
      </c>
      <c r="E620" s="67">
        <f>Predikcia!G618</f>
        <v>12950.25</v>
      </c>
      <c r="F620" s="68">
        <f>'DHS2025'!C617</f>
        <v>11641</v>
      </c>
      <c r="G620" s="69">
        <f>'DHS2025'!D617</f>
        <v>11937</v>
      </c>
      <c r="H620" s="86">
        <v>8</v>
      </c>
      <c r="I620" s="87">
        <f>'DHS2025'!E617/1000</f>
        <v>8.0530000000000008</v>
      </c>
      <c r="J620" s="50">
        <f>Predikcia!R618</f>
        <v>156.97</v>
      </c>
      <c r="K620" s="48">
        <f t="shared" si="9"/>
        <v>1236.1379159000001</v>
      </c>
      <c r="M620" s="11">
        <f>Predikcia!K618</f>
        <v>5</v>
      </c>
      <c r="N620" s="11">
        <v>8</v>
      </c>
    </row>
    <row r="621" spans="3:14" ht="15.75" thickBot="1">
      <c r="C621" s="105">
        <f>Predikcia!A619</f>
        <v>45714</v>
      </c>
      <c r="D621" s="44" t="str">
        <f>Predikcia!B619</f>
        <v>16:00:00</v>
      </c>
      <c r="E621" s="67">
        <f>Predikcia!G619</f>
        <v>12750.75</v>
      </c>
      <c r="F621" s="68">
        <f>'DHS2025'!C618</f>
        <v>12452</v>
      </c>
      <c r="G621" s="69">
        <f>'DHS2025'!D618</f>
        <v>11107</v>
      </c>
      <c r="H621" s="86">
        <v>8</v>
      </c>
      <c r="I621" s="87">
        <f>'DHS2025'!E618/1000</f>
        <v>8.0660000000000007</v>
      </c>
      <c r="J621" s="50">
        <f>Predikcia!R619</f>
        <v>191</v>
      </c>
      <c r="K621" s="48">
        <f t="shared" si="9"/>
        <v>1509.87454</v>
      </c>
      <c r="M621" s="11">
        <f>Predikcia!K619</f>
        <v>5</v>
      </c>
      <c r="N621" s="11">
        <v>8</v>
      </c>
    </row>
    <row r="622" spans="3:14" ht="15.75" thickBot="1">
      <c r="C622" s="105">
        <f>Predikcia!A620</f>
        <v>45714</v>
      </c>
      <c r="D622" s="44" t="str">
        <f>Predikcia!B620</f>
        <v>17:00:00</v>
      </c>
      <c r="E622" s="67">
        <f>Predikcia!G620</f>
        <v>13648</v>
      </c>
      <c r="F622" s="68">
        <f>'DHS2025'!C619</f>
        <v>14349</v>
      </c>
      <c r="G622" s="69">
        <f>'DHS2025'!D619</f>
        <v>9254</v>
      </c>
      <c r="H622" s="86">
        <v>8</v>
      </c>
      <c r="I622" s="87">
        <f>'DHS2025'!E619/1000</f>
        <v>8.0530000000000008</v>
      </c>
      <c r="J622" s="50">
        <f>Predikcia!R620</f>
        <v>132.47999999999999</v>
      </c>
      <c r="K622" s="48">
        <f t="shared" si="9"/>
        <v>1040.8921255999999</v>
      </c>
      <c r="M622" s="11">
        <f>Predikcia!K620</f>
        <v>5</v>
      </c>
      <c r="N622" s="11">
        <v>8</v>
      </c>
    </row>
    <row r="623" spans="3:14" ht="15.75" thickBot="1">
      <c r="C623" s="105">
        <f>Predikcia!A621</f>
        <v>45714</v>
      </c>
      <c r="D623" s="44" t="str">
        <f>Predikcia!B621</f>
        <v>18:00:00</v>
      </c>
      <c r="E623" s="67">
        <f>Predikcia!G621</f>
        <v>14511.5</v>
      </c>
      <c r="F623" s="68">
        <f>'DHS2025'!C620</f>
        <v>15537</v>
      </c>
      <c r="G623" s="69">
        <f>'DHS2025'!D620</f>
        <v>7985</v>
      </c>
      <c r="H623" s="86">
        <v>8</v>
      </c>
      <c r="I623" s="87">
        <f>'DHS2025'!E620/1000</f>
        <v>8.0589999999999993</v>
      </c>
      <c r="J623" s="50">
        <f>Predikcia!R621</f>
        <v>194</v>
      </c>
      <c r="K623" s="48">
        <f t="shared" si="9"/>
        <v>1532.4994399999998</v>
      </c>
      <c r="M623" s="11">
        <f>Predikcia!K621</f>
        <v>5</v>
      </c>
      <c r="N623" s="11">
        <v>8</v>
      </c>
    </row>
    <row r="624" spans="3:14" ht="15.75" thickBot="1">
      <c r="C624" s="105">
        <f>Predikcia!A622</f>
        <v>45714</v>
      </c>
      <c r="D624" s="44" t="str">
        <f>Predikcia!B622</f>
        <v>19:00:00</v>
      </c>
      <c r="E624" s="67">
        <f>Predikcia!G622</f>
        <v>14330.25</v>
      </c>
      <c r="F624" s="68">
        <f>'DHS2025'!C621</f>
        <v>15907</v>
      </c>
      <c r="G624" s="69">
        <f>'DHS2025'!D621</f>
        <v>7289</v>
      </c>
      <c r="H624" s="86">
        <v>8</v>
      </c>
      <c r="I624" s="87">
        <f>'DHS2025'!E621/1000</f>
        <v>8.0570000000000004</v>
      </c>
      <c r="J624" s="50">
        <f>Predikcia!R622</f>
        <v>197.37</v>
      </c>
      <c r="K624" s="48">
        <f t="shared" si="9"/>
        <v>1558.9996891000001</v>
      </c>
      <c r="M624" s="11">
        <f>Predikcia!K622</f>
        <v>5</v>
      </c>
      <c r="N624" s="11">
        <v>8</v>
      </c>
    </row>
    <row r="625" spans="3:14" ht="15.75" thickBot="1">
      <c r="C625" s="105">
        <f>Predikcia!A623</f>
        <v>45714</v>
      </c>
      <c r="D625" s="44" t="str">
        <f>Predikcia!B623</f>
        <v>20:00:00</v>
      </c>
      <c r="E625" s="67">
        <f>Predikcia!G623</f>
        <v>14128.25</v>
      </c>
      <c r="F625" s="68">
        <f>'DHS2025'!C622</f>
        <v>16811</v>
      </c>
      <c r="G625" s="69">
        <f>'DHS2025'!D622</f>
        <v>6626</v>
      </c>
      <c r="H625" s="86">
        <v>8</v>
      </c>
      <c r="I625" s="87">
        <f>'DHS2025'!E622/1000</f>
        <v>8.06</v>
      </c>
      <c r="J625" s="50">
        <f>Predikcia!R623</f>
        <v>201.14</v>
      </c>
      <c r="K625" s="48">
        <f t="shared" si="9"/>
        <v>1589.6625159999999</v>
      </c>
      <c r="M625" s="11">
        <f>Predikcia!K623</f>
        <v>5</v>
      </c>
      <c r="N625" s="11">
        <v>8</v>
      </c>
    </row>
    <row r="626" spans="3:14" ht="15.75" thickBot="1">
      <c r="C626" s="105">
        <f>Predikcia!A624</f>
        <v>45714</v>
      </c>
      <c r="D626" s="44" t="str">
        <f>Predikcia!B624</f>
        <v>21:00:00</v>
      </c>
      <c r="E626" s="67">
        <f>Predikcia!G624</f>
        <v>13678.5</v>
      </c>
      <c r="F626" s="68">
        <f>'DHS2025'!C623</f>
        <v>17220</v>
      </c>
      <c r="G626" s="69">
        <f>'DHS2025'!D623</f>
        <v>6559</v>
      </c>
      <c r="H626" s="86">
        <v>8</v>
      </c>
      <c r="I626" s="87">
        <f>'DHS2025'!E623/1000</f>
        <v>8.0559999999999992</v>
      </c>
      <c r="J626" s="50">
        <f>Predikcia!R624</f>
        <v>177.75</v>
      </c>
      <c r="K626" s="48">
        <f t="shared" si="9"/>
        <v>1402.3280599999998</v>
      </c>
      <c r="M626" s="11">
        <f>Predikcia!K624</f>
        <v>5</v>
      </c>
      <c r="N626" s="11">
        <v>8</v>
      </c>
    </row>
    <row r="627" spans="3:14" ht="15.75" thickBot="1">
      <c r="C627" s="105">
        <f>Predikcia!A625</f>
        <v>45714</v>
      </c>
      <c r="D627" s="44" t="str">
        <f>Predikcia!B625</f>
        <v>22:00:00</v>
      </c>
      <c r="E627" s="67">
        <f>Predikcia!G625</f>
        <v>12706</v>
      </c>
      <c r="F627" s="68">
        <f>'DHS2025'!C624</f>
        <v>13701</v>
      </c>
      <c r="G627" s="69">
        <f>'DHS2025'!D624</f>
        <v>10623</v>
      </c>
      <c r="H627" s="86">
        <v>8</v>
      </c>
      <c r="I627" s="87">
        <f>'DHS2025'!E624/1000</f>
        <v>8.0579999999999998</v>
      </c>
      <c r="J627" s="50">
        <f>Predikcia!R625</f>
        <v>147.81</v>
      </c>
      <c r="K627" s="48">
        <f t="shared" si="9"/>
        <v>1163.8322501999999</v>
      </c>
      <c r="M627" s="11">
        <f>Predikcia!K625</f>
        <v>5</v>
      </c>
      <c r="N627" s="11">
        <v>8</v>
      </c>
    </row>
    <row r="628" spans="3:14" ht="15.75" thickBot="1">
      <c r="C628" s="106">
        <f>Predikcia!A626</f>
        <v>45714</v>
      </c>
      <c r="D628" s="45" t="str">
        <f>Predikcia!B626</f>
        <v>23:00:00</v>
      </c>
      <c r="E628" s="70">
        <f>Predikcia!G626</f>
        <v>8109.75</v>
      </c>
      <c r="F628" s="71">
        <f>'DHS2025'!C625</f>
        <v>7741</v>
      </c>
      <c r="G628" s="72">
        <f>'DHS2025'!D625</f>
        <v>16069</v>
      </c>
      <c r="H628" s="88">
        <v>8</v>
      </c>
      <c r="I628" s="87">
        <f>'DHS2025'!E625/1000</f>
        <v>8.0739999999999998</v>
      </c>
      <c r="J628" s="50">
        <f>Predikcia!R626</f>
        <v>128.94999999999999</v>
      </c>
      <c r="K628" s="48">
        <f t="shared" si="9"/>
        <v>1015.3902769999999</v>
      </c>
      <c r="M628" s="11">
        <f>Predikcia!K626</f>
        <v>4</v>
      </c>
      <c r="N628" s="11">
        <v>8</v>
      </c>
    </row>
    <row r="629" spans="3:14" ht="15.75" thickBot="1">
      <c r="C629" s="102">
        <f>Predikcia!A627</f>
        <v>45715</v>
      </c>
      <c r="D629" s="41" t="str">
        <f>Predikcia!B627</f>
        <v>00:00:00</v>
      </c>
      <c r="E629" s="64">
        <f>Predikcia!G627</f>
        <v>6240.5</v>
      </c>
      <c r="F629" s="65">
        <f>'DHS2025'!C626</f>
        <v>6953</v>
      </c>
      <c r="G629" s="66">
        <f>'DHS2025'!D626</f>
        <v>16412</v>
      </c>
      <c r="H629" s="84">
        <v>8</v>
      </c>
      <c r="I629" s="85">
        <f>'DHS2025'!E626/1000</f>
        <v>8.07</v>
      </c>
      <c r="J629" s="50">
        <f>Predikcia!R627</f>
        <v>123.04</v>
      </c>
      <c r="K629" s="48">
        <f t="shared" si="9"/>
        <v>967.67047200000002</v>
      </c>
      <c r="M629" s="11">
        <f>Predikcia!K627</f>
        <v>3</v>
      </c>
      <c r="N629" s="11">
        <v>8</v>
      </c>
    </row>
    <row r="630" spans="3:14" ht="15.75" thickBot="1">
      <c r="C630" s="103">
        <f>Predikcia!A628</f>
        <v>45715</v>
      </c>
      <c r="D630" s="42" t="str">
        <f>Predikcia!B628</f>
        <v>01:00:00</v>
      </c>
      <c r="E630" s="67">
        <f>Predikcia!G628</f>
        <v>6905.75</v>
      </c>
      <c r="F630" s="68">
        <f>'DHS2025'!C627</f>
        <v>7302</v>
      </c>
      <c r="G630" s="69">
        <f>'DHS2025'!D627</f>
        <v>16341</v>
      </c>
      <c r="H630" s="86">
        <v>8</v>
      </c>
      <c r="I630" s="87">
        <f>'DHS2025'!E627/1000</f>
        <v>8.0570000000000004</v>
      </c>
      <c r="J630" s="50">
        <f>Predikcia!R628</f>
        <v>103.81</v>
      </c>
      <c r="K630" s="48">
        <f t="shared" si="9"/>
        <v>812.72489830000006</v>
      </c>
      <c r="M630" s="11">
        <f>Predikcia!K628</f>
        <v>3</v>
      </c>
      <c r="N630" s="11">
        <v>8</v>
      </c>
    </row>
    <row r="631" spans="3:14" ht="15.75" thickBot="1">
      <c r="C631" s="103">
        <f>Predikcia!A629</f>
        <v>45715</v>
      </c>
      <c r="D631" s="42" t="str">
        <f>Predikcia!B629</f>
        <v>02:00:00</v>
      </c>
      <c r="E631" s="67">
        <f>Predikcia!G629</f>
        <v>7523.25</v>
      </c>
      <c r="F631" s="68">
        <f>'DHS2025'!C628</f>
        <v>8549</v>
      </c>
      <c r="G631" s="69">
        <f>'DHS2025'!D628</f>
        <v>14857</v>
      </c>
      <c r="H631" s="86">
        <v>8</v>
      </c>
      <c r="I631" s="87">
        <f>'DHS2025'!E628/1000</f>
        <v>8.0559999999999992</v>
      </c>
      <c r="J631" s="50">
        <f>Predikcia!R629</f>
        <v>102.53</v>
      </c>
      <c r="K631" s="48">
        <f t="shared" si="9"/>
        <v>802.41546319999986</v>
      </c>
      <c r="M631" s="11">
        <f>Predikcia!K629</f>
        <v>3</v>
      </c>
      <c r="N631" s="11">
        <v>8</v>
      </c>
    </row>
    <row r="632" spans="3:14" ht="15.75" thickBot="1">
      <c r="C632" s="103">
        <f>Predikcia!A630</f>
        <v>45715</v>
      </c>
      <c r="D632" s="42" t="str">
        <f>Predikcia!B630</f>
        <v>03:00:00</v>
      </c>
      <c r="E632" s="67">
        <f>Predikcia!G630</f>
        <v>8857.75</v>
      </c>
      <c r="F632" s="68">
        <f>'DHS2025'!C629</f>
        <v>10271</v>
      </c>
      <c r="G632" s="69">
        <f>'DHS2025'!D629</f>
        <v>14235</v>
      </c>
      <c r="H632" s="86">
        <v>8</v>
      </c>
      <c r="I632" s="87">
        <f>'DHS2025'!E629/1000</f>
        <v>8.0630000000000006</v>
      </c>
      <c r="J632" s="50">
        <f>Predikcia!R630</f>
        <v>101.28</v>
      </c>
      <c r="K632" s="48">
        <f t="shared" si="9"/>
        <v>793.1347336</v>
      </c>
      <c r="M632" s="11">
        <f>Predikcia!K630</f>
        <v>4</v>
      </c>
      <c r="N632" s="11">
        <v>8</v>
      </c>
    </row>
    <row r="633" spans="3:14" ht="15.75" thickBot="1">
      <c r="C633" s="103">
        <f>Predikcia!A631</f>
        <v>45715</v>
      </c>
      <c r="D633" s="42" t="str">
        <f>Predikcia!B631</f>
        <v>04:00:00</v>
      </c>
      <c r="E633" s="67">
        <f>Predikcia!G631</f>
        <v>13818.25</v>
      </c>
      <c r="F633" s="68">
        <f>'DHS2025'!C630</f>
        <v>18269</v>
      </c>
      <c r="G633" s="69">
        <f>'DHS2025'!D630</f>
        <v>5799</v>
      </c>
      <c r="H633" s="86">
        <v>8</v>
      </c>
      <c r="I633" s="87">
        <f>'DHS2025'!E630/1000</f>
        <v>8.0489999999999995</v>
      </c>
      <c r="J633" s="50">
        <f>Predikcia!R631</f>
        <v>101.38</v>
      </c>
      <c r="K633" s="48">
        <f t="shared" si="9"/>
        <v>792.55444379999983</v>
      </c>
      <c r="M633" s="11">
        <f>Predikcia!K631</f>
        <v>5</v>
      </c>
      <c r="N633" s="11">
        <v>8</v>
      </c>
    </row>
    <row r="634" spans="3:14" ht="15.75" thickBot="1">
      <c r="C634" s="103">
        <f>Predikcia!A632</f>
        <v>45715</v>
      </c>
      <c r="D634" s="42" t="str">
        <f>Predikcia!B632</f>
        <v>05:00:00</v>
      </c>
      <c r="E634" s="67">
        <f>Predikcia!G632</f>
        <v>15719</v>
      </c>
      <c r="F634" s="68">
        <f>'DHS2025'!C631</f>
        <v>18405</v>
      </c>
      <c r="G634" s="69">
        <f>'DHS2025'!D631</f>
        <v>5504</v>
      </c>
      <c r="H634" s="86">
        <v>8</v>
      </c>
      <c r="I634" s="87">
        <f>'DHS2025'!E631/1000</f>
        <v>8.0559999999999992</v>
      </c>
      <c r="J634" s="50">
        <f>Predikcia!R632</f>
        <v>102.66</v>
      </c>
      <c r="K634" s="48">
        <f t="shared" si="9"/>
        <v>803.45227039999986</v>
      </c>
      <c r="M634" s="11">
        <f>Predikcia!K632</f>
        <v>5</v>
      </c>
      <c r="N634" s="11">
        <v>8</v>
      </c>
    </row>
    <row r="635" spans="3:14" ht="15.75" thickBot="1">
      <c r="C635" s="103">
        <f>Predikcia!A633</f>
        <v>45715</v>
      </c>
      <c r="D635" s="42" t="str">
        <f>Predikcia!B633</f>
        <v>06:00:00</v>
      </c>
      <c r="E635" s="67">
        <f>Predikcia!G633</f>
        <v>15540.5</v>
      </c>
      <c r="F635" s="68">
        <f>'DHS2025'!C632</f>
        <v>17184</v>
      </c>
      <c r="G635" s="69">
        <f>'DHS2025'!D632</f>
        <v>7251</v>
      </c>
      <c r="H635" s="86">
        <v>8</v>
      </c>
      <c r="I635" s="87">
        <f>'DHS2025'!E632/1000</f>
        <v>8.0749999999999993</v>
      </c>
      <c r="J635" s="50">
        <f>Predikcia!R633</f>
        <v>129.18</v>
      </c>
      <c r="K635" s="48">
        <f t="shared" si="9"/>
        <v>1017.3547149999999</v>
      </c>
      <c r="M635" s="11">
        <f>Predikcia!K633</f>
        <v>5</v>
      </c>
      <c r="N635" s="11">
        <v>8</v>
      </c>
    </row>
    <row r="636" spans="3:14" ht="15.75" thickBot="1">
      <c r="C636" s="103">
        <f>Predikcia!A634</f>
        <v>45715</v>
      </c>
      <c r="D636" s="42" t="str">
        <f>Predikcia!B634</f>
        <v>07:00:00</v>
      </c>
      <c r="E636" s="67">
        <f>Predikcia!G634</f>
        <v>14484.75</v>
      </c>
      <c r="F636" s="68">
        <f>'DHS2025'!C633</f>
        <v>16167</v>
      </c>
      <c r="G636" s="69">
        <f>'DHS2025'!D633</f>
        <v>6956</v>
      </c>
      <c r="H636" s="86">
        <v>8</v>
      </c>
      <c r="I636" s="87">
        <f>'DHS2025'!E633/1000</f>
        <v>8.0299999999999994</v>
      </c>
      <c r="J636" s="50">
        <f>Predikcia!R634</f>
        <v>169.18</v>
      </c>
      <c r="K636" s="48">
        <f t="shared" si="9"/>
        <v>1329.6732459999998</v>
      </c>
      <c r="M636" s="11">
        <f>Predikcia!K634</f>
        <v>5</v>
      </c>
      <c r="N636" s="11">
        <v>8</v>
      </c>
    </row>
    <row r="637" spans="3:14" ht="15.75" thickBot="1">
      <c r="C637" s="103">
        <f>Predikcia!A635</f>
        <v>45715</v>
      </c>
      <c r="D637" s="42" t="str">
        <f>Predikcia!B635</f>
        <v>08:00:00</v>
      </c>
      <c r="E637" s="67">
        <f>Predikcia!G635</f>
        <v>14533</v>
      </c>
      <c r="F637" s="68">
        <f>'DHS2025'!C634</f>
        <v>15926</v>
      </c>
      <c r="G637" s="69">
        <f>'DHS2025'!D634</f>
        <v>7007</v>
      </c>
      <c r="H637" s="86">
        <v>8</v>
      </c>
      <c r="I637" s="87">
        <f>'DHS2025'!E634/1000</f>
        <v>8.0489999999999995</v>
      </c>
      <c r="J637" s="50">
        <f>Predikcia!R635</f>
        <v>173.96</v>
      </c>
      <c r="K637" s="48">
        <f t="shared" si="9"/>
        <v>1370.9088996</v>
      </c>
      <c r="M637" s="11">
        <f>Predikcia!K635</f>
        <v>5</v>
      </c>
      <c r="N637" s="11">
        <v>8</v>
      </c>
    </row>
    <row r="638" spans="3:14" ht="15.75" thickBot="1">
      <c r="C638" s="103">
        <f>Predikcia!A636</f>
        <v>45715</v>
      </c>
      <c r="D638" s="42" t="str">
        <f>Predikcia!B636</f>
        <v>09:00:00</v>
      </c>
      <c r="E638" s="67">
        <f>Predikcia!G636</f>
        <v>14552.75</v>
      </c>
      <c r="F638" s="68">
        <f>'DHS2025'!C635</f>
        <v>14943</v>
      </c>
      <c r="G638" s="69">
        <f>'DHS2025'!D635</f>
        <v>8848</v>
      </c>
      <c r="H638" s="86">
        <v>8</v>
      </c>
      <c r="I638" s="87">
        <f>'DHS2025'!E635/1000</f>
        <v>8.06</v>
      </c>
      <c r="J638" s="50">
        <f>Predikcia!R636</f>
        <v>157.19</v>
      </c>
      <c r="K638" s="48">
        <f t="shared" si="9"/>
        <v>1238.9678859999999</v>
      </c>
      <c r="M638" s="11">
        <f>Predikcia!K636</f>
        <v>5</v>
      </c>
      <c r="N638" s="11">
        <v>8</v>
      </c>
    </row>
    <row r="639" spans="3:14" ht="15.75" thickBot="1">
      <c r="C639" s="103">
        <f>Predikcia!A637</f>
        <v>45715</v>
      </c>
      <c r="D639" s="42" t="str">
        <f>Predikcia!B637</f>
        <v>10:00:00</v>
      </c>
      <c r="E639" s="67">
        <f>Predikcia!G637</f>
        <v>14108.75</v>
      </c>
      <c r="F639" s="68">
        <f>'DHS2025'!C636</f>
        <v>12858</v>
      </c>
      <c r="G639" s="69">
        <f>'DHS2025'!D636</f>
        <v>10785</v>
      </c>
      <c r="H639" s="86">
        <v>8</v>
      </c>
      <c r="I639" s="87">
        <f>'DHS2025'!E636/1000</f>
        <v>8.0640000000000001</v>
      </c>
      <c r="J639" s="50">
        <f>Predikcia!R637</f>
        <v>138.94999999999999</v>
      </c>
      <c r="K639" s="48">
        <f t="shared" si="9"/>
        <v>1093.9662719999999</v>
      </c>
      <c r="M639" s="11">
        <f>Predikcia!K637</f>
        <v>5</v>
      </c>
      <c r="N639" s="11">
        <v>8</v>
      </c>
    </row>
    <row r="640" spans="3:14" ht="15.75" thickBot="1">
      <c r="C640" s="103">
        <f>Predikcia!A638</f>
        <v>45715</v>
      </c>
      <c r="D640" s="42" t="str">
        <f>Predikcia!B638</f>
        <v>11:00:00</v>
      </c>
      <c r="E640" s="67">
        <f>Predikcia!G638</f>
        <v>13861</v>
      </c>
      <c r="F640" s="68">
        <f>'DHS2025'!C637</f>
        <v>13105</v>
      </c>
      <c r="G640" s="69">
        <f>'DHS2025'!D637</f>
        <v>10178</v>
      </c>
      <c r="H640" s="86">
        <v>8</v>
      </c>
      <c r="I640" s="87">
        <f>'DHS2025'!E637/1000</f>
        <v>8.07</v>
      </c>
      <c r="J640" s="50">
        <f>Predikcia!R638</f>
        <v>146.1</v>
      </c>
      <c r="K640" s="48">
        <f t="shared" si="9"/>
        <v>1151.9037299999998</v>
      </c>
      <c r="M640" s="11">
        <f>Predikcia!K638</f>
        <v>5</v>
      </c>
      <c r="N640" s="11">
        <v>8</v>
      </c>
    </row>
    <row r="641" spans="3:17" ht="15.75" thickBot="1">
      <c r="C641" s="103">
        <f>Predikcia!A639</f>
        <v>45715</v>
      </c>
      <c r="D641" s="42" t="str">
        <f>Predikcia!B639</f>
        <v>12:00:00</v>
      </c>
      <c r="E641" s="67">
        <f>Predikcia!G639</f>
        <v>12873.25</v>
      </c>
      <c r="F641" s="68">
        <f>'DHS2025'!C638</f>
        <v>12063</v>
      </c>
      <c r="G641" s="69">
        <f>'DHS2025'!D638</f>
        <v>11423</v>
      </c>
      <c r="H641" s="86">
        <v>8</v>
      </c>
      <c r="I641" s="87">
        <f>'DHS2025'!E638/1000</f>
        <v>8.0419999999999998</v>
      </c>
      <c r="J641" s="50">
        <f>Predikcia!R639</f>
        <v>136.63999999999999</v>
      </c>
      <c r="K641" s="48">
        <f t="shared" si="9"/>
        <v>1072.5904911999999</v>
      </c>
      <c r="M641" s="11">
        <f>Predikcia!K639</f>
        <v>5</v>
      </c>
      <c r="N641" s="11">
        <v>8</v>
      </c>
    </row>
    <row r="642" spans="3:17" ht="15.75" thickBot="1">
      <c r="C642" s="103">
        <f>Predikcia!A640</f>
        <v>45715</v>
      </c>
      <c r="D642" s="42" t="str">
        <f>Predikcia!B640</f>
        <v>13:00:00</v>
      </c>
      <c r="E642" s="67">
        <f>Predikcia!G640</f>
        <v>13798.25</v>
      </c>
      <c r="F642" s="68">
        <f>'DHS2025'!C639</f>
        <v>10813</v>
      </c>
      <c r="G642" s="69">
        <f>'DHS2025'!D639</f>
        <v>10405</v>
      </c>
      <c r="H642" s="86">
        <v>8</v>
      </c>
      <c r="I642" s="87">
        <f>'DHS2025'!E639/1000</f>
        <v>8.0670000000000002</v>
      </c>
      <c r="J642" s="50">
        <f>Predikcia!R640</f>
        <v>118.39</v>
      </c>
      <c r="K642" s="48">
        <f t="shared" si="9"/>
        <v>930.17430869999998</v>
      </c>
      <c r="M642" s="11">
        <f>Predikcia!K640</f>
        <v>5</v>
      </c>
      <c r="N642" s="11">
        <v>8</v>
      </c>
    </row>
    <row r="643" spans="3:17" ht="15.75" thickBot="1">
      <c r="C643" s="103">
        <f>Predikcia!A641</f>
        <v>45715</v>
      </c>
      <c r="D643" s="42" t="str">
        <f>Predikcia!B641</f>
        <v>14:00:00</v>
      </c>
      <c r="E643" s="67">
        <f>Predikcia!G641</f>
        <v>11715.5</v>
      </c>
      <c r="F643" s="68">
        <f>'DHS2025'!C640</f>
        <v>13689</v>
      </c>
      <c r="G643" s="69">
        <f>'DHS2025'!D640</f>
        <v>9525</v>
      </c>
      <c r="H643" s="86">
        <v>8</v>
      </c>
      <c r="I643" s="87">
        <f>'DHS2025'!E640/1000</f>
        <v>8.0830000000000002</v>
      </c>
      <c r="J643" s="50">
        <f>Predikcia!R641</f>
        <v>121.65</v>
      </c>
      <c r="K643" s="48">
        <f t="shared" si="9"/>
        <v>958.10628050000003</v>
      </c>
      <c r="M643" s="11">
        <f>Predikcia!K641</f>
        <v>4</v>
      </c>
      <c r="N643" s="11">
        <v>8</v>
      </c>
    </row>
    <row r="644" spans="3:17" ht="15.75" thickBot="1">
      <c r="C644" s="103">
        <f>Predikcia!A642</f>
        <v>45715</v>
      </c>
      <c r="D644" s="42" t="str">
        <f>Predikcia!B642</f>
        <v>15:00:00</v>
      </c>
      <c r="E644" s="67">
        <f>Predikcia!G642</f>
        <v>11177</v>
      </c>
      <c r="F644" s="68">
        <f>'DHS2025'!C641</f>
        <v>12938</v>
      </c>
      <c r="G644" s="69">
        <f>'DHS2025'!D641</f>
        <v>10237</v>
      </c>
      <c r="H644" s="86">
        <v>8</v>
      </c>
      <c r="I644" s="87">
        <f>'DHS2025'!E641/1000</f>
        <v>8.0660000000000007</v>
      </c>
      <c r="J644" s="50">
        <f>Predikcia!R642</f>
        <v>139.28</v>
      </c>
      <c r="K644" s="48">
        <f t="shared" si="9"/>
        <v>1096.8727552</v>
      </c>
      <c r="M644" s="11">
        <f>Predikcia!K642</f>
        <v>4</v>
      </c>
      <c r="N644" s="11">
        <v>8</v>
      </c>
    </row>
    <row r="645" spans="3:17" ht="15.75" thickBot="1">
      <c r="C645" s="103">
        <f>Predikcia!A643</f>
        <v>45715</v>
      </c>
      <c r="D645" s="42" t="str">
        <f>Predikcia!B643</f>
        <v>16:00:00</v>
      </c>
      <c r="E645" s="67">
        <f>Predikcia!G643</f>
        <v>11387.5</v>
      </c>
      <c r="F645" s="68">
        <f>'DHS2025'!C642</f>
        <v>12732</v>
      </c>
      <c r="G645" s="69">
        <f>'DHS2025'!D642</f>
        <v>10823</v>
      </c>
      <c r="H645" s="86">
        <v>8</v>
      </c>
      <c r="I645" s="87">
        <f>'DHS2025'!E642/1000</f>
        <v>8.0630000000000006</v>
      </c>
      <c r="J645" s="50">
        <f>Predikcia!R643</f>
        <v>161.06</v>
      </c>
      <c r="K645" s="48">
        <f t="shared" si="9"/>
        <v>1270.3208122000001</v>
      </c>
      <c r="M645" s="11">
        <f>Predikcia!K643</f>
        <v>4</v>
      </c>
      <c r="N645" s="11">
        <v>8</v>
      </c>
    </row>
    <row r="646" spans="3:17" ht="15.75" thickBot="1">
      <c r="C646" s="103">
        <f>Predikcia!A644</f>
        <v>45715</v>
      </c>
      <c r="D646" s="42" t="str">
        <f>Predikcia!B644</f>
        <v>17:00:00</v>
      </c>
      <c r="E646" s="67">
        <f>Predikcia!G644</f>
        <v>12667.25</v>
      </c>
      <c r="F646" s="68">
        <f>'DHS2025'!C643</f>
        <v>13176</v>
      </c>
      <c r="G646" s="69">
        <f>'DHS2025'!D643</f>
        <v>10484</v>
      </c>
      <c r="H646" s="86">
        <v>8</v>
      </c>
      <c r="I646" s="87">
        <f>'DHS2025'!E643/1000</f>
        <v>8.07</v>
      </c>
      <c r="J646" s="50">
        <f>Predikcia!R644</f>
        <v>173.45</v>
      </c>
      <c r="K646" s="48">
        <f t="shared" ref="K646:K676" si="10">(J646*0.99-1.9)*I646</f>
        <v>1370.411085</v>
      </c>
      <c r="M646" s="11">
        <f>Predikcia!K644</f>
        <v>5</v>
      </c>
      <c r="N646" s="11">
        <v>8</v>
      </c>
    </row>
    <row r="647" spans="3:17" ht="15.75" thickBot="1">
      <c r="C647" s="103">
        <f>Predikcia!A645</f>
        <v>45715</v>
      </c>
      <c r="D647" s="42" t="str">
        <f>Predikcia!B645</f>
        <v>18:00:00</v>
      </c>
      <c r="E647" s="67">
        <f>Predikcia!G645</f>
        <v>14275.25</v>
      </c>
      <c r="F647" s="68">
        <f>'DHS2025'!C644</f>
        <v>14687</v>
      </c>
      <c r="G647" s="69">
        <f>'DHS2025'!D644</f>
        <v>8926</v>
      </c>
      <c r="H647" s="86">
        <v>8</v>
      </c>
      <c r="I647" s="87">
        <f>'DHS2025'!E644/1000</f>
        <v>8.0609999999999999</v>
      </c>
      <c r="J647" s="50">
        <f>Predikcia!R645</f>
        <v>168.44</v>
      </c>
      <c r="K647" s="48">
        <f t="shared" si="10"/>
        <v>1328.9009915999998</v>
      </c>
      <c r="M647" s="11">
        <f>Predikcia!K645</f>
        <v>5</v>
      </c>
      <c r="N647" s="11">
        <v>8</v>
      </c>
    </row>
    <row r="648" spans="3:17" ht="15.75" thickBot="1">
      <c r="C648" s="103">
        <f>Predikcia!A646</f>
        <v>45715</v>
      </c>
      <c r="D648" s="42" t="str">
        <f>Predikcia!B646</f>
        <v>19:00:00</v>
      </c>
      <c r="E648" s="67">
        <f>Predikcia!G646</f>
        <v>14174.25</v>
      </c>
      <c r="F648" s="68">
        <f>'DHS2025'!C645</f>
        <v>14080</v>
      </c>
      <c r="G648" s="69">
        <f>'DHS2025'!D645</f>
        <v>8520</v>
      </c>
      <c r="H648" s="86">
        <v>8</v>
      </c>
      <c r="I648" s="87">
        <f>'DHS2025'!E645/1000</f>
        <v>8.0649999999999995</v>
      </c>
      <c r="J648" s="50">
        <f>Predikcia!R646</f>
        <v>158.66999999999999</v>
      </c>
      <c r="K648" s="48">
        <f t="shared" si="10"/>
        <v>1251.5533144999997</v>
      </c>
      <c r="M648" s="11">
        <f>Predikcia!K646</f>
        <v>5</v>
      </c>
      <c r="N648" s="11">
        <v>8</v>
      </c>
    </row>
    <row r="649" spans="3:17" ht="15.75" thickBot="1">
      <c r="C649" s="103">
        <f>Predikcia!A647</f>
        <v>45715</v>
      </c>
      <c r="D649" s="42" t="str">
        <f>Predikcia!B647</f>
        <v>20:00:00</v>
      </c>
      <c r="E649" s="67">
        <f>Predikcia!G647</f>
        <v>15219</v>
      </c>
      <c r="F649" s="68">
        <f>'DHS2025'!C646</f>
        <v>15073</v>
      </c>
      <c r="G649" s="69">
        <f>'DHS2025'!D646</f>
        <v>8584</v>
      </c>
      <c r="H649" s="86">
        <v>8</v>
      </c>
      <c r="I649" s="87">
        <f>'DHS2025'!E646/1000</f>
        <v>8.0549999999999997</v>
      </c>
      <c r="J649" s="50">
        <f>Predikcia!R647</f>
        <v>148.6</v>
      </c>
      <c r="K649" s="48">
        <f t="shared" si="10"/>
        <v>1169.69877</v>
      </c>
      <c r="M649" s="11">
        <f>Predikcia!K647</f>
        <v>5</v>
      </c>
      <c r="N649" s="11">
        <v>8</v>
      </c>
    </row>
    <row r="650" spans="3:17" ht="15.75" thickBot="1">
      <c r="C650" s="103">
        <f>Predikcia!A648</f>
        <v>45715</v>
      </c>
      <c r="D650" s="42" t="str">
        <f>Predikcia!B648</f>
        <v>21:00:00</v>
      </c>
      <c r="E650" s="67">
        <f>Predikcia!G648</f>
        <v>14841.5</v>
      </c>
      <c r="F650" s="68">
        <f>'DHS2025'!C647</f>
        <v>15469</v>
      </c>
      <c r="G650" s="69">
        <f>'DHS2025'!D647</f>
        <v>7901</v>
      </c>
      <c r="H650" s="86">
        <v>8</v>
      </c>
      <c r="I650" s="87">
        <f>'DHS2025'!E647/1000</f>
        <v>8.0440000000000005</v>
      </c>
      <c r="J650" s="50">
        <f>Predikcia!R648</f>
        <v>135.58000000000001</v>
      </c>
      <c r="K650" s="48">
        <f t="shared" si="10"/>
        <v>1064.4158648000002</v>
      </c>
      <c r="M650" s="11">
        <f>Predikcia!K648</f>
        <v>5</v>
      </c>
      <c r="N650" s="11">
        <v>8</v>
      </c>
    </row>
    <row r="651" spans="3:17" ht="15.75" thickBot="1">
      <c r="C651" s="103">
        <f>Predikcia!A649</f>
        <v>45715</v>
      </c>
      <c r="D651" s="42" t="str">
        <f>Predikcia!B649</f>
        <v>22:00:00</v>
      </c>
      <c r="E651" s="67">
        <f>Predikcia!G649</f>
        <v>12643.5</v>
      </c>
      <c r="F651" s="68">
        <f>'DHS2025'!C648</f>
        <v>11685</v>
      </c>
      <c r="G651" s="69">
        <f>'DHS2025'!D648</f>
        <v>11832</v>
      </c>
      <c r="H651" s="86">
        <v>8</v>
      </c>
      <c r="I651" s="87">
        <f>'DHS2025'!E648/1000</f>
        <v>8.048</v>
      </c>
      <c r="J651" s="50">
        <f>Predikcia!R649</f>
        <v>119.55</v>
      </c>
      <c r="K651" s="48">
        <f t="shared" si="10"/>
        <v>937.22581600000001</v>
      </c>
      <c r="M651" s="11">
        <f>Predikcia!K649</f>
        <v>5</v>
      </c>
      <c r="N651" s="11">
        <v>8</v>
      </c>
    </row>
    <row r="652" spans="3:17" ht="15.75" thickBot="1">
      <c r="C652" s="107">
        <f>Predikcia!A650</f>
        <v>45715</v>
      </c>
      <c r="D652" s="46" t="str">
        <f>Predikcia!B650</f>
        <v>23:00:00</v>
      </c>
      <c r="E652" s="70">
        <f>Predikcia!G650</f>
        <v>6476.5</v>
      </c>
      <c r="F652" s="71">
        <f>'DHS2025'!C649</f>
        <v>6248</v>
      </c>
      <c r="G652" s="72">
        <f>'DHS2025'!D649</f>
        <v>14070</v>
      </c>
      <c r="H652" s="88">
        <v>6</v>
      </c>
      <c r="I652" s="87">
        <f>'DHS2025'!E649/1000</f>
        <v>7.1180000000000003</v>
      </c>
      <c r="J652" s="50">
        <f>Predikcia!R650</f>
        <v>114.86</v>
      </c>
      <c r="K652" s="48">
        <f t="shared" si="10"/>
        <v>795.87354519999997</v>
      </c>
      <c r="M652" s="11">
        <f>Predikcia!K650</f>
        <v>3</v>
      </c>
      <c r="N652" s="11">
        <v>8</v>
      </c>
    </row>
    <row r="653" spans="3:17" ht="15.75" thickBot="1">
      <c r="C653" s="104">
        <f>Predikcia!A651</f>
        <v>45716</v>
      </c>
      <c r="D653" s="43" t="str">
        <f>Predikcia!B651</f>
        <v>00:00:00</v>
      </c>
      <c r="E653" s="64">
        <f>Predikcia!G651</f>
        <v>6010.5</v>
      </c>
      <c r="F653" s="65">
        <f>'DHS2025'!C650</f>
        <v>6425</v>
      </c>
      <c r="G653" s="66">
        <f>'DHS2025'!D650</f>
        <v>7070</v>
      </c>
      <c r="H653" s="84">
        <v>3</v>
      </c>
      <c r="I653" s="85">
        <f>'DHS2025'!E650/1000</f>
        <v>4.202</v>
      </c>
      <c r="J653" s="50">
        <f>Predikcia!R651</f>
        <v>112.04</v>
      </c>
      <c r="K653" s="48">
        <f t="shared" si="10"/>
        <v>458.10035919999996</v>
      </c>
      <c r="M653" s="11">
        <f>Predikcia!K651</f>
        <v>3</v>
      </c>
      <c r="N653" s="11">
        <v>3</v>
      </c>
    </row>
    <row r="654" spans="3:17" ht="15.75" thickBot="1">
      <c r="C654" s="105">
        <f>Predikcia!A652</f>
        <v>45716</v>
      </c>
      <c r="D654" s="44" t="str">
        <f>Predikcia!B652</f>
        <v>01:00:00</v>
      </c>
      <c r="E654" s="67">
        <f>Predikcia!G652</f>
        <v>7357.25</v>
      </c>
      <c r="F654" s="68">
        <f>'DHS2025'!C651</f>
        <v>6928</v>
      </c>
      <c r="G654" s="69">
        <f>'DHS2025'!D651</f>
        <v>3921</v>
      </c>
      <c r="H654" s="86">
        <v>3</v>
      </c>
      <c r="I654" s="87">
        <f>'DHS2025'!E651/1000</f>
        <v>3.0590000000000002</v>
      </c>
      <c r="J654" s="50">
        <f>Predikcia!R652</f>
        <v>110.54</v>
      </c>
      <c r="K654" s="48">
        <f t="shared" si="10"/>
        <v>328.9483414</v>
      </c>
      <c r="M654" s="11">
        <f>Predikcia!K652</f>
        <v>3</v>
      </c>
      <c r="N654" s="11">
        <v>3</v>
      </c>
    </row>
    <row r="655" spans="3:17" ht="15.75" thickBot="1">
      <c r="C655" s="105">
        <f>Predikcia!A653</f>
        <v>45716</v>
      </c>
      <c r="D655" s="44" t="str">
        <f>Predikcia!B653</f>
        <v>02:00:00</v>
      </c>
      <c r="E655" s="67">
        <f>Predikcia!G653</f>
        <v>8105.5</v>
      </c>
      <c r="F655" s="68">
        <f>'DHS2025'!C652</f>
        <v>8347</v>
      </c>
      <c r="G655" s="69">
        <f>'DHS2025'!D652</f>
        <v>3853</v>
      </c>
      <c r="H655" s="86">
        <v>4</v>
      </c>
      <c r="I655" s="87">
        <f>'DHS2025'!E652/1000</f>
        <v>3.6680000000000001</v>
      </c>
      <c r="J655" s="50">
        <f>Predikcia!R653</f>
        <v>109.38</v>
      </c>
      <c r="K655" s="48">
        <f t="shared" si="10"/>
        <v>390.22458159999996</v>
      </c>
      <c r="M655" s="11">
        <f>Predikcia!K653</f>
        <v>4</v>
      </c>
      <c r="N655" s="11">
        <v>4</v>
      </c>
      <c r="Q655" t="s">
        <v>204</v>
      </c>
    </row>
    <row r="656" spans="3:17" ht="15.75" thickBot="1">
      <c r="C656" s="105">
        <f>Predikcia!A654</f>
        <v>45716</v>
      </c>
      <c r="D656" s="44" t="str">
        <f>Predikcia!B654</f>
        <v>03:00:00</v>
      </c>
      <c r="E656" s="67">
        <f>Predikcia!G654</f>
        <v>9543.25</v>
      </c>
      <c r="F656" s="68">
        <f>'DHS2025'!C653</f>
        <v>8933</v>
      </c>
      <c r="G656" s="69">
        <f>'DHS2025'!D653</f>
        <v>5396</v>
      </c>
      <c r="H656" s="86">
        <v>4</v>
      </c>
      <c r="I656" s="87">
        <f>'DHS2025'!E653/1000</f>
        <v>4.07</v>
      </c>
      <c r="J656" s="50">
        <f>Predikcia!R654</f>
        <v>107.03</v>
      </c>
      <c r="K656" s="48">
        <f t="shared" si="10"/>
        <v>423.52297900000002</v>
      </c>
      <c r="M656" s="11">
        <f>Predikcia!K654</f>
        <v>4</v>
      </c>
      <c r="N656" s="11">
        <v>4</v>
      </c>
    </row>
    <row r="657" spans="3:14" ht="15.75" thickBot="1">
      <c r="C657" s="105">
        <f>Predikcia!A655</f>
        <v>45716</v>
      </c>
      <c r="D657" s="44" t="str">
        <f>Predikcia!B655</f>
        <v>04:00:00</v>
      </c>
      <c r="E657" s="67">
        <f>Predikcia!G655</f>
        <v>14682.25</v>
      </c>
      <c r="F657" s="68">
        <f>'DHS2025'!C654</f>
        <v>13600</v>
      </c>
      <c r="G657" s="69">
        <f>'DHS2025'!D654</f>
        <v>20</v>
      </c>
      <c r="H657" s="86">
        <v>5</v>
      </c>
      <c r="I657" s="87">
        <f>'DHS2025'!E654/1000</f>
        <v>4.6539999999999999</v>
      </c>
      <c r="J657" s="50">
        <f>Predikcia!R655</f>
        <v>112.43</v>
      </c>
      <c r="K657" s="48">
        <f t="shared" si="10"/>
        <v>509.17412779999995</v>
      </c>
      <c r="M657" s="11">
        <f>Predikcia!K655</f>
        <v>5</v>
      </c>
      <c r="N657" s="11">
        <v>5</v>
      </c>
    </row>
    <row r="658" spans="3:14" ht="15.75" thickBot="1">
      <c r="C658" s="105">
        <f>Predikcia!A656</f>
        <v>45716</v>
      </c>
      <c r="D658" s="44" t="str">
        <f>Predikcia!B656</f>
        <v>05:00:00</v>
      </c>
      <c r="E658" s="67">
        <f>Predikcia!G656</f>
        <v>16889.5</v>
      </c>
      <c r="F658" s="68">
        <f>'DHS2025'!C655</f>
        <v>16055</v>
      </c>
      <c r="G658" s="69">
        <f>'DHS2025'!D655</f>
        <v>102</v>
      </c>
      <c r="H658" s="86">
        <v>6</v>
      </c>
      <c r="I658" s="87">
        <f>'DHS2025'!E655/1000</f>
        <v>5.8289999999999997</v>
      </c>
      <c r="J658" s="50">
        <f>Predikcia!R656</f>
        <v>107.81</v>
      </c>
      <c r="K658" s="48">
        <f t="shared" si="10"/>
        <v>611.06514509999988</v>
      </c>
      <c r="M658" s="11">
        <f>Predikcia!K656</f>
        <v>6</v>
      </c>
      <c r="N658" s="11">
        <v>6</v>
      </c>
    </row>
    <row r="659" spans="3:14" ht="15.75" thickBot="1">
      <c r="C659" s="105">
        <f>Predikcia!A657</f>
        <v>45716</v>
      </c>
      <c r="D659" s="44" t="str">
        <f>Predikcia!B657</f>
        <v>06:00:00</v>
      </c>
      <c r="E659" s="67">
        <f>Predikcia!G657</f>
        <v>16345.25</v>
      </c>
      <c r="F659" s="68">
        <f>'DHS2025'!C656</f>
        <v>18195</v>
      </c>
      <c r="G659" s="69">
        <f>'DHS2025'!D656</f>
        <v>97</v>
      </c>
      <c r="H659" s="86">
        <v>6</v>
      </c>
      <c r="I659" s="87">
        <f>'DHS2025'!E656/1000</f>
        <v>6.0609999999999999</v>
      </c>
      <c r="J659" s="50">
        <f>Predikcia!R657</f>
        <v>128.11000000000001</v>
      </c>
      <c r="K659" s="48">
        <f t="shared" si="10"/>
        <v>757.19406290000006</v>
      </c>
      <c r="M659" s="11">
        <f>Predikcia!K657</f>
        <v>6</v>
      </c>
      <c r="N659" s="11">
        <v>6</v>
      </c>
    </row>
    <row r="660" spans="3:14" ht="15.75" thickBot="1">
      <c r="C660" s="105">
        <f>Predikcia!A658</f>
        <v>45716</v>
      </c>
      <c r="D660" s="44" t="str">
        <f>Predikcia!B658</f>
        <v>07:00:00</v>
      </c>
      <c r="E660" s="67">
        <f>Predikcia!G658</f>
        <v>15429.5</v>
      </c>
      <c r="F660" s="68">
        <f>'DHS2025'!C657</f>
        <v>16585</v>
      </c>
      <c r="G660" s="69">
        <f>'DHS2025'!D657</f>
        <v>1750</v>
      </c>
      <c r="H660" s="86">
        <v>6</v>
      </c>
      <c r="I660" s="87">
        <f>'DHS2025'!E657/1000</f>
        <v>6.0579999999999998</v>
      </c>
      <c r="J660" s="50">
        <f>Predikcia!R658</f>
        <v>142.94999999999999</v>
      </c>
      <c r="K660" s="48">
        <f t="shared" si="10"/>
        <v>845.82098899999994</v>
      </c>
      <c r="M660" s="11">
        <f>Predikcia!K658</f>
        <v>5</v>
      </c>
      <c r="N660" s="11">
        <v>5</v>
      </c>
    </row>
    <row r="661" spans="3:14" ht="15.75" thickBot="1">
      <c r="C661" s="105">
        <f>Predikcia!A659</f>
        <v>45716</v>
      </c>
      <c r="D661" s="44" t="str">
        <f>Predikcia!B659</f>
        <v>08:00:00</v>
      </c>
      <c r="E661" s="67">
        <f>Predikcia!G659</f>
        <v>15910.25</v>
      </c>
      <c r="F661" s="68">
        <f>'DHS2025'!C658</f>
        <v>14010</v>
      </c>
      <c r="G661" s="69">
        <f>'DHS2025'!D658</f>
        <v>2844</v>
      </c>
      <c r="H661" s="86">
        <v>6</v>
      </c>
      <c r="I661" s="87">
        <f>'DHS2025'!E658/1000</f>
        <v>6.0449999999999999</v>
      </c>
      <c r="J661" s="50">
        <f>Predikcia!R659</f>
        <v>161.88</v>
      </c>
      <c r="K661" s="48">
        <f t="shared" si="10"/>
        <v>957.293454</v>
      </c>
      <c r="M661" s="11">
        <f>Predikcia!K659</f>
        <v>5</v>
      </c>
      <c r="N661" s="11">
        <v>5</v>
      </c>
    </row>
    <row r="662" spans="3:14" ht="15.75" thickBot="1">
      <c r="C662" s="105">
        <f>Predikcia!A660</f>
        <v>45716</v>
      </c>
      <c r="D662" s="44" t="str">
        <f>Predikcia!B660</f>
        <v>09:00:00</v>
      </c>
      <c r="E662" s="67">
        <f>Predikcia!G660</f>
        <v>15050</v>
      </c>
      <c r="F662" s="68">
        <f>'DHS2025'!C659</f>
        <v>14063</v>
      </c>
      <c r="G662" s="69">
        <f>'DHS2025'!D659</f>
        <v>4238</v>
      </c>
      <c r="H662" s="86">
        <v>6</v>
      </c>
      <c r="I662" s="87">
        <f>'DHS2025'!E659/1000</f>
        <v>6.06</v>
      </c>
      <c r="J662" s="50">
        <f>Predikcia!R660</f>
        <v>146.69999999999999</v>
      </c>
      <c r="K662" s="48">
        <f t="shared" si="10"/>
        <v>868.59797999999978</v>
      </c>
      <c r="M662" s="11">
        <f>Predikcia!K660</f>
        <v>5</v>
      </c>
      <c r="N662" s="11">
        <v>5</v>
      </c>
    </row>
    <row r="663" spans="3:14" ht="15.75" thickBot="1">
      <c r="C663" s="105">
        <f>Predikcia!A661</f>
        <v>45716</v>
      </c>
      <c r="D663" s="44" t="str">
        <f>Predikcia!B661</f>
        <v>10:00:00</v>
      </c>
      <c r="E663" s="67">
        <f>Predikcia!G661</f>
        <v>14457</v>
      </c>
      <c r="F663" s="68">
        <f>'DHS2025'!C660</f>
        <v>13597</v>
      </c>
      <c r="G663" s="69">
        <f>'DHS2025'!D660</f>
        <v>4595</v>
      </c>
      <c r="H663" s="86">
        <v>6</v>
      </c>
      <c r="I663" s="87">
        <f>'DHS2025'!E660/1000</f>
        <v>6.0570000000000004</v>
      </c>
      <c r="J663" s="50">
        <f>Predikcia!R661</f>
        <v>128.83000000000001</v>
      </c>
      <c r="K663" s="48">
        <f t="shared" si="10"/>
        <v>761.01177690000009</v>
      </c>
      <c r="M663" s="11">
        <f>Predikcia!K661</f>
        <v>5</v>
      </c>
      <c r="N663" s="11">
        <v>5</v>
      </c>
    </row>
    <row r="664" spans="3:14" ht="15.75" thickBot="1">
      <c r="C664" s="105">
        <f>Predikcia!A662</f>
        <v>45716</v>
      </c>
      <c r="D664" s="44" t="str">
        <f>Predikcia!B662</f>
        <v>11:00:00</v>
      </c>
      <c r="E664" s="67">
        <f>Predikcia!G662</f>
        <v>13339.25</v>
      </c>
      <c r="F664" s="68">
        <f>'DHS2025'!C661</f>
        <v>13036</v>
      </c>
      <c r="G664" s="69">
        <f>'DHS2025'!D661</f>
        <v>2266</v>
      </c>
      <c r="H664" s="86">
        <v>5</v>
      </c>
      <c r="I664" s="87">
        <f>'DHS2025'!E661/1000</f>
        <v>5.0629999999999997</v>
      </c>
      <c r="J664" s="50">
        <f>Predikcia!R662</f>
        <v>117.05</v>
      </c>
      <c r="K664" s="48">
        <f t="shared" si="10"/>
        <v>577.07820849999996</v>
      </c>
      <c r="M664" s="11">
        <f>Predikcia!K662</f>
        <v>5</v>
      </c>
      <c r="N664" s="11">
        <v>5</v>
      </c>
    </row>
    <row r="665" spans="3:14" ht="15.75" thickBot="1">
      <c r="C665" s="105">
        <f>Predikcia!A663</f>
        <v>45716</v>
      </c>
      <c r="D665" s="44" t="str">
        <f>Predikcia!B663</f>
        <v>12:00:00</v>
      </c>
      <c r="E665" s="67">
        <f>Predikcia!G663</f>
        <v>12780.25</v>
      </c>
      <c r="F665" s="68">
        <f>'DHS2025'!C662</f>
        <v>12390</v>
      </c>
      <c r="G665" s="69">
        <f>'DHS2025'!D662</f>
        <v>2925</v>
      </c>
      <c r="H665" s="86">
        <v>5</v>
      </c>
      <c r="I665" s="87">
        <f>'DHS2025'!E662/1000</f>
        <v>5.0359999999999996</v>
      </c>
      <c r="J665" s="50">
        <f>Predikcia!R663</f>
        <v>109.92</v>
      </c>
      <c r="K665" s="48">
        <f t="shared" si="10"/>
        <v>538.45314880000001</v>
      </c>
      <c r="M665" s="11">
        <f>Predikcia!K663</f>
        <v>5</v>
      </c>
      <c r="N665" s="11">
        <v>5</v>
      </c>
    </row>
    <row r="666" spans="3:14" ht="15.75" thickBot="1">
      <c r="C666" s="105">
        <f>Predikcia!A664</f>
        <v>45716</v>
      </c>
      <c r="D666" s="44" t="str">
        <f>Predikcia!B664</f>
        <v>13:00:00</v>
      </c>
      <c r="E666" s="67">
        <f>Predikcia!G664</f>
        <v>12969</v>
      </c>
      <c r="F666" s="68">
        <f>'DHS2025'!C663</f>
        <v>11633</v>
      </c>
      <c r="G666" s="69">
        <f>'DHS2025'!D663</f>
        <v>3890</v>
      </c>
      <c r="H666" s="86">
        <v>5</v>
      </c>
      <c r="I666" s="87">
        <f>'DHS2025'!E663/1000</f>
        <v>5.0490000000000004</v>
      </c>
      <c r="J666" s="50">
        <f>Predikcia!R664</f>
        <v>109.36</v>
      </c>
      <c r="K666" s="48">
        <f t="shared" si="10"/>
        <v>537.04395360000001</v>
      </c>
      <c r="M666" s="11">
        <f>Predikcia!K664</f>
        <v>5</v>
      </c>
      <c r="N666" s="11">
        <v>5</v>
      </c>
    </row>
    <row r="667" spans="3:14" ht="15.75" thickBot="1">
      <c r="C667" s="105">
        <f>Predikcia!A665</f>
        <v>45716</v>
      </c>
      <c r="D667" s="44" t="str">
        <f>Predikcia!B665</f>
        <v>14:00:00</v>
      </c>
      <c r="E667" s="67">
        <f>Predikcia!G665</f>
        <v>12329.25</v>
      </c>
      <c r="F667" s="68">
        <f>'DHS2025'!C664</f>
        <v>11786</v>
      </c>
      <c r="G667" s="69">
        <f>'DHS2025'!D664</f>
        <v>3764</v>
      </c>
      <c r="H667" s="86">
        <v>5</v>
      </c>
      <c r="I667" s="87">
        <f>'DHS2025'!E664/1000</f>
        <v>5.0629999999999997</v>
      </c>
      <c r="J667" s="50">
        <f>Predikcia!R665</f>
        <v>112.08</v>
      </c>
      <c r="K667" s="48">
        <f t="shared" si="10"/>
        <v>552.16672959999994</v>
      </c>
      <c r="M667" s="11">
        <f>Predikcia!K665</f>
        <v>5</v>
      </c>
      <c r="N667" s="11">
        <v>5</v>
      </c>
    </row>
    <row r="668" spans="3:14" ht="15.75" thickBot="1">
      <c r="C668" s="105">
        <f>Predikcia!A666</f>
        <v>45716</v>
      </c>
      <c r="D668" s="44" t="str">
        <f>Predikcia!B666</f>
        <v>15:00:00</v>
      </c>
      <c r="E668" s="67">
        <f>Predikcia!G666</f>
        <v>12344.5</v>
      </c>
      <c r="F668" s="68">
        <f>'DHS2025'!C665</f>
        <v>11854</v>
      </c>
      <c r="G668" s="69">
        <f>'DHS2025'!D665</f>
        <v>3847</v>
      </c>
      <c r="H668" s="86">
        <v>5</v>
      </c>
      <c r="I668" s="87">
        <f>'DHS2025'!E665/1000</f>
        <v>5.05</v>
      </c>
      <c r="J668" s="50">
        <f>Predikcia!R666</f>
        <v>126.19</v>
      </c>
      <c r="K668" s="48">
        <f t="shared" si="10"/>
        <v>621.29190499999993</v>
      </c>
      <c r="M668" s="11">
        <f>Predikcia!K666</f>
        <v>5</v>
      </c>
      <c r="N668" s="11">
        <v>5</v>
      </c>
    </row>
    <row r="669" spans="3:14" ht="15.75" thickBot="1">
      <c r="C669" s="105">
        <f>Predikcia!A667</f>
        <v>45716</v>
      </c>
      <c r="D669" s="44" t="str">
        <f>Predikcia!B667</f>
        <v>16:00:00</v>
      </c>
      <c r="E669" s="67">
        <f>Predikcia!G667</f>
        <v>12757.5</v>
      </c>
      <c r="F669" s="68">
        <f>'DHS2025'!C666</f>
        <v>13294</v>
      </c>
      <c r="G669" s="69">
        <f>'DHS2025'!D666</f>
        <v>6082</v>
      </c>
      <c r="H669" s="86">
        <v>6</v>
      </c>
      <c r="I669" s="87">
        <f>'DHS2025'!E666/1000</f>
        <v>6.0439999999999996</v>
      </c>
      <c r="J669" s="50">
        <f>Predikcia!R667</f>
        <v>125.77</v>
      </c>
      <c r="K669" s="48">
        <f t="shared" si="10"/>
        <v>741.06874119999986</v>
      </c>
      <c r="M669" s="11">
        <f>Predikcia!K667</f>
        <v>5</v>
      </c>
      <c r="N669" s="11">
        <v>5</v>
      </c>
    </row>
    <row r="670" spans="3:14" ht="15.75" thickBot="1">
      <c r="C670" s="105">
        <f>Predikcia!A668</f>
        <v>45716</v>
      </c>
      <c r="D670" s="44" t="str">
        <f>Predikcia!B668</f>
        <v>17:00:00</v>
      </c>
      <c r="E670" s="67">
        <f>Predikcia!G668</f>
        <v>12818.5</v>
      </c>
      <c r="F670" s="68">
        <f>'DHS2025'!C667</f>
        <v>12889</v>
      </c>
      <c r="G670" s="69">
        <f>'DHS2025'!D667</f>
        <v>5438</v>
      </c>
      <c r="H670" s="86">
        <v>6</v>
      </c>
      <c r="I670" s="87">
        <f>'DHS2025'!E667/1000</f>
        <v>6.0629999999999997</v>
      </c>
      <c r="J670" s="50">
        <f>Predikcia!R668</f>
        <v>137.12</v>
      </c>
      <c r="K670" s="48">
        <f t="shared" si="10"/>
        <v>811.52527440000006</v>
      </c>
      <c r="M670" s="11">
        <f>Predikcia!K668</f>
        <v>5</v>
      </c>
      <c r="N670" s="11">
        <v>5</v>
      </c>
    </row>
    <row r="671" spans="3:14" ht="15.75" thickBot="1">
      <c r="C671" s="105">
        <f>Predikcia!A669</f>
        <v>45716</v>
      </c>
      <c r="D671" s="44" t="str">
        <f>Predikcia!B669</f>
        <v>18:00:00</v>
      </c>
      <c r="E671" s="67">
        <f>Predikcia!G669</f>
        <v>13970.75</v>
      </c>
      <c r="F671" s="68">
        <f>'DHS2025'!C668</f>
        <v>14363</v>
      </c>
      <c r="G671" s="69">
        <f>'DHS2025'!D668</f>
        <v>3952</v>
      </c>
      <c r="H671" s="86">
        <v>6</v>
      </c>
      <c r="I671" s="87">
        <f>'DHS2025'!E668/1000</f>
        <v>6.0620000000000003</v>
      </c>
      <c r="J671" s="50">
        <f>Predikcia!R669</f>
        <v>139.19999999999999</v>
      </c>
      <c r="K671" s="48">
        <f t="shared" si="10"/>
        <v>823.87429599999996</v>
      </c>
      <c r="M671" s="11">
        <f>Predikcia!K669</f>
        <v>5</v>
      </c>
      <c r="N671" s="11">
        <v>5</v>
      </c>
    </row>
    <row r="672" spans="3:14" ht="15.75" thickBot="1">
      <c r="C672" s="105">
        <f>Predikcia!A670</f>
        <v>45716</v>
      </c>
      <c r="D672" s="44" t="str">
        <f>Predikcia!B670</f>
        <v>19:00:00</v>
      </c>
      <c r="E672" s="67">
        <f>Predikcia!G670</f>
        <v>15123.75</v>
      </c>
      <c r="F672" s="68">
        <f>'DHS2025'!C669</f>
        <v>15281</v>
      </c>
      <c r="G672" s="69">
        <f>'DHS2025'!D669</f>
        <v>3397</v>
      </c>
      <c r="H672" s="86">
        <v>6</v>
      </c>
      <c r="I672" s="87">
        <f>'DHS2025'!E669/1000</f>
        <v>6.07</v>
      </c>
      <c r="J672" s="50">
        <f>Predikcia!R670</f>
        <v>136.55000000000001</v>
      </c>
      <c r="K672" s="48">
        <f t="shared" si="10"/>
        <v>809.03691500000014</v>
      </c>
      <c r="M672" s="11">
        <f>Predikcia!K670</f>
        <v>5</v>
      </c>
      <c r="N672" s="11">
        <v>5</v>
      </c>
    </row>
    <row r="673" spans="3:14" ht="15.75" thickBot="1">
      <c r="C673" s="105">
        <f>Predikcia!A671</f>
        <v>45716</v>
      </c>
      <c r="D673" s="44" t="str">
        <f>Predikcia!B671</f>
        <v>20:00:00</v>
      </c>
      <c r="E673" s="67">
        <f>Predikcia!G671</f>
        <v>14121.25</v>
      </c>
      <c r="F673" s="68">
        <f>'DHS2025'!C670</f>
        <v>15199</v>
      </c>
      <c r="G673" s="69">
        <f>'DHS2025'!D670</f>
        <v>2581</v>
      </c>
      <c r="H673" s="86">
        <v>6</v>
      </c>
      <c r="I673" s="87">
        <f>'DHS2025'!E670/1000</f>
        <v>6.0579999999999998</v>
      </c>
      <c r="J673" s="50">
        <f>Predikcia!R671</f>
        <v>117.95</v>
      </c>
      <c r="K673" s="48">
        <f t="shared" si="10"/>
        <v>695.88548899999989</v>
      </c>
      <c r="M673" s="11">
        <f>Predikcia!K671</f>
        <v>5</v>
      </c>
      <c r="N673" s="11">
        <v>5</v>
      </c>
    </row>
    <row r="674" spans="3:14" ht="15.75" thickBot="1">
      <c r="C674" s="105">
        <f>Predikcia!A672</f>
        <v>45716</v>
      </c>
      <c r="D674" s="44" t="str">
        <f>Predikcia!B672</f>
        <v>21:00:00</v>
      </c>
      <c r="E674" s="67">
        <f>Predikcia!G672</f>
        <v>14642</v>
      </c>
      <c r="F674" s="68">
        <f>'DHS2025'!C671</f>
        <v>14654</v>
      </c>
      <c r="G674" s="69">
        <f>'DHS2025'!D671</f>
        <v>125</v>
      </c>
      <c r="H674" s="86">
        <v>5</v>
      </c>
      <c r="I674" s="87">
        <f>'DHS2025'!E671/1000</f>
        <v>5.0679999999999996</v>
      </c>
      <c r="J674" s="50">
        <f>Predikcia!R672</f>
        <v>118.53</v>
      </c>
      <c r="K674" s="48">
        <f t="shared" si="10"/>
        <v>585.07373959999995</v>
      </c>
      <c r="M674" s="11">
        <f>Predikcia!K672</f>
        <v>5</v>
      </c>
      <c r="N674" s="11">
        <v>5</v>
      </c>
    </row>
    <row r="675" spans="3:14" ht="15.75" thickBot="1">
      <c r="C675" s="105">
        <f>Predikcia!A673</f>
        <v>45716</v>
      </c>
      <c r="D675" s="44" t="str">
        <f>Predikcia!B673</f>
        <v>22:00:00</v>
      </c>
      <c r="E675" s="67">
        <f>Predikcia!G673</f>
        <v>12838.5</v>
      </c>
      <c r="F675" s="68">
        <f>'DHS2025'!C672</f>
        <v>12922</v>
      </c>
      <c r="G675" s="69">
        <f>'DHS2025'!D672</f>
        <v>1481</v>
      </c>
      <c r="H675" s="86">
        <v>5</v>
      </c>
      <c r="I675" s="87">
        <f>'DHS2025'!E672/1000</f>
        <v>5.0529999999999999</v>
      </c>
      <c r="J675" s="50">
        <f>Predikcia!R673</f>
        <v>121.66</v>
      </c>
      <c r="K675" s="48">
        <f t="shared" si="10"/>
        <v>598.99980019999998</v>
      </c>
      <c r="M675" s="11">
        <f>Predikcia!K673</f>
        <v>5</v>
      </c>
      <c r="N675" s="11">
        <v>5</v>
      </c>
    </row>
    <row r="676" spans="3:14" ht="15.75" thickBot="1">
      <c r="C676" s="106">
        <f>Predikcia!A674</f>
        <v>45716</v>
      </c>
      <c r="D676" s="45" t="str">
        <f>Predikcia!B674</f>
        <v>23:00:00</v>
      </c>
      <c r="E676" s="70">
        <f>Predikcia!G674</f>
        <v>8038</v>
      </c>
      <c r="F676" s="71">
        <f>'DHS2025'!C673</f>
        <v>6799</v>
      </c>
      <c r="G676" s="72">
        <f>'DHS2025'!D673</f>
        <v>4882</v>
      </c>
      <c r="H676" s="88">
        <v>4</v>
      </c>
      <c r="I676" s="89">
        <f>'DHS2025'!E673/1000</f>
        <v>4.0599999999999996</v>
      </c>
      <c r="J676" s="50">
        <f>Predikcia!R674</f>
        <v>116.8</v>
      </c>
      <c r="K676" s="48">
        <f t="shared" si="10"/>
        <v>461.75191999999987</v>
      </c>
      <c r="M676" s="11">
        <f>Predikcia!K674</f>
        <v>4</v>
      </c>
      <c r="N676" s="11">
        <v>4</v>
      </c>
    </row>
    <row r="677" spans="3:14" ht="15.75" thickBot="1">
      <c r="D677" s="40"/>
      <c r="K677" s="49">
        <f>SUM(K5:K676)</f>
        <v>742034.25460319954</v>
      </c>
    </row>
  </sheetData>
  <mergeCells count="9">
    <mergeCell ref="I1:I4"/>
    <mergeCell ref="J1:J4"/>
    <mergeCell ref="K1:K4"/>
    <mergeCell ref="C1:C4"/>
    <mergeCell ref="D1:D4"/>
    <mergeCell ref="E1:E4"/>
    <mergeCell ref="F1:F4"/>
    <mergeCell ref="G1:G4"/>
    <mergeCell ref="H1:H4"/>
  </mergeCells>
  <conditionalFormatting sqref="H5:H676">
    <cfRule type="expression" dxfId="1" priority="1">
      <formula>$H5&lt;&gt;$N5</formula>
    </cfRule>
    <cfRule type="expression" dxfId="0" priority="2">
      <formula>$H5&lt;&gt;$M5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75"/>
  <sheetViews>
    <sheetView zoomScaleNormal="100" workbookViewId="0">
      <pane ySplit="2" topLeftCell="A654" activePane="bottomLeft" state="frozen"/>
      <selection pane="bottomLeft" activeCell="W626" sqref="W626"/>
    </sheetView>
  </sheetViews>
  <sheetFormatPr defaultRowHeight="15"/>
  <cols>
    <col min="1" max="1" width="24.28515625" bestFit="1" customWidth="1"/>
    <col min="15" max="15" width="9.5703125" bestFit="1" customWidth="1"/>
    <col min="16" max="16" width="11.7109375" bestFit="1" customWidth="1"/>
    <col min="18" max="18" width="19.140625" bestFit="1" customWidth="1"/>
    <col min="19" max="19" width="14.7109375" bestFit="1" customWidth="1"/>
  </cols>
  <sheetData>
    <row r="1" spans="1:19" ht="13.5" customHeight="1" thickBot="1">
      <c r="C1" s="3"/>
      <c r="D1" s="3"/>
      <c r="E1" s="3"/>
      <c r="F1" s="3"/>
      <c r="O1" s="113" t="s">
        <v>5</v>
      </c>
      <c r="P1" s="114"/>
      <c r="Q1" s="114"/>
      <c r="R1" s="114"/>
      <c r="S1" s="115"/>
    </row>
    <row r="2" spans="1:19" ht="39" customHeight="1" thickBot="1">
      <c r="A2" s="4" t="s">
        <v>0</v>
      </c>
      <c r="B2" s="5" t="s">
        <v>1</v>
      </c>
      <c r="C2" s="26">
        <v>2021</v>
      </c>
      <c r="D2" s="26">
        <v>2022</v>
      </c>
      <c r="E2" s="26">
        <v>2023</v>
      </c>
      <c r="F2" s="26">
        <v>2024</v>
      </c>
      <c r="G2" s="27" t="s">
        <v>6</v>
      </c>
      <c r="H2" s="32" t="s">
        <v>7</v>
      </c>
      <c r="I2" s="33" t="s">
        <v>8</v>
      </c>
      <c r="J2" s="34" t="s">
        <v>9</v>
      </c>
      <c r="K2" s="8" t="s">
        <v>10</v>
      </c>
      <c r="L2" s="9" t="s">
        <v>11</v>
      </c>
      <c r="M2" s="10">
        <v>4</v>
      </c>
      <c r="N2" s="5"/>
      <c r="O2" s="12" t="s">
        <v>12</v>
      </c>
      <c r="P2" s="13" t="s">
        <v>13</v>
      </c>
      <c r="Q2" s="13" t="s">
        <v>14</v>
      </c>
      <c r="R2" s="5" t="s">
        <v>15</v>
      </c>
      <c r="S2" s="6" t="s">
        <v>16</v>
      </c>
    </row>
    <row r="3" spans="1:19" ht="15.75" thickBot="1">
      <c r="A3" s="99">
        <v>45689</v>
      </c>
      <c r="B3" s="23" t="s">
        <v>17</v>
      </c>
      <c r="C3" s="51">
        <f>'DHS2021'!C2</f>
        <v>13500</v>
      </c>
      <c r="D3" s="52">
        <f>'DHS2022'!C2</f>
        <v>5834</v>
      </c>
      <c r="E3" s="52">
        <f>'DHS2023'!C2</f>
        <v>6187</v>
      </c>
      <c r="F3" s="52">
        <f>'DHS2024'!C2</f>
        <v>8299</v>
      </c>
      <c r="G3" s="53">
        <f>AVERAGE(C3:F3)</f>
        <v>8455</v>
      </c>
      <c r="H3" s="73">
        <f>G3/$M$2/1000</f>
        <v>2.11375</v>
      </c>
      <c r="I3" s="74">
        <v>1</v>
      </c>
      <c r="J3" s="73">
        <f>H3+I3</f>
        <v>3.11375</v>
      </c>
      <c r="K3" s="80">
        <f>ROUNDUP(J3,0)</f>
        <v>4</v>
      </c>
      <c r="L3" s="11"/>
      <c r="M3" s="11"/>
      <c r="N3" s="11"/>
      <c r="O3" s="12">
        <f>'DHS2025'!C2</f>
        <v>6183</v>
      </c>
      <c r="P3" s="13">
        <f>'DHS2025'!D2</f>
        <v>2395</v>
      </c>
      <c r="Q3" s="13">
        <f>'DHS2025'!E2</f>
        <v>2063</v>
      </c>
      <c r="R3" s="60">
        <v>138.97999999999999</v>
      </c>
      <c r="S3" s="61">
        <f>(Porovnavanie!J5*0.99-1.9)*Porovnavanie!I5</f>
        <v>279.92888259999995</v>
      </c>
    </row>
    <row r="4" spans="1:19" ht="15.75" thickBot="1">
      <c r="A4" s="100">
        <f>$A$3+INT((ROW()-3)/24)</f>
        <v>45689</v>
      </c>
      <c r="B4" s="24" t="s">
        <v>18</v>
      </c>
      <c r="C4" s="54">
        <f>'DHS2021'!C3</f>
        <v>15674</v>
      </c>
      <c r="D4" s="55">
        <f>'DHS2022'!C3</f>
        <v>6159</v>
      </c>
      <c r="E4" s="55">
        <f>'DHS2023'!C3</f>
        <v>6848</v>
      </c>
      <c r="F4" s="55">
        <f>'DHS2024'!C3</f>
        <v>13492</v>
      </c>
      <c r="G4" s="56">
        <f t="shared" ref="G4:G67" si="0">AVERAGE(C4:F4)</f>
        <v>10543.25</v>
      </c>
      <c r="H4" s="75">
        <f t="shared" ref="H4:H67" si="1">G4/$M$2/1000</f>
        <v>2.6358125000000001</v>
      </c>
      <c r="I4" s="76">
        <v>1</v>
      </c>
      <c r="J4" s="75">
        <f t="shared" ref="J4:J67" si="2">H4+I4</f>
        <v>3.6358125000000001</v>
      </c>
      <c r="K4" s="81">
        <f t="shared" ref="K4:K67" si="3">ROUNDUP(J4,0)</f>
        <v>4</v>
      </c>
      <c r="L4" s="11"/>
      <c r="M4" s="11"/>
      <c r="N4" s="11"/>
      <c r="O4" s="28">
        <f>'DHS2025'!C3</f>
        <v>9138</v>
      </c>
      <c r="P4" s="29">
        <f>'DHS2025'!D3</f>
        <v>108</v>
      </c>
      <c r="Q4" s="29">
        <f>'DHS2025'!E3</f>
        <v>2068</v>
      </c>
      <c r="R4" s="62">
        <v>130.97</v>
      </c>
      <c r="S4" s="61">
        <f>(Porovnavanie!J6*0.99-1.9)*Porovnavanie!I6</f>
        <v>264.20830039999998</v>
      </c>
    </row>
    <row r="5" spans="1:19" ht="15.75" thickBot="1">
      <c r="A5" s="100">
        <f t="shared" ref="A5:A68" si="4">$A$3+INT((ROW()-3)/24)</f>
        <v>45689</v>
      </c>
      <c r="B5" s="24" t="s">
        <v>19</v>
      </c>
      <c r="C5" s="54">
        <f>'DHS2021'!C4</f>
        <v>17064</v>
      </c>
      <c r="D5" s="55">
        <f>'DHS2022'!C4</f>
        <v>5346</v>
      </c>
      <c r="E5" s="55">
        <f>'DHS2023'!C4</f>
        <v>12004</v>
      </c>
      <c r="F5" s="55">
        <f>'DHS2024'!C4</f>
        <v>15191</v>
      </c>
      <c r="G5" s="56">
        <f t="shared" si="0"/>
        <v>12401.25</v>
      </c>
      <c r="H5" s="75">
        <f t="shared" si="1"/>
        <v>3.1003124999999998</v>
      </c>
      <c r="I5" s="76">
        <v>1</v>
      </c>
      <c r="J5" s="75">
        <f t="shared" si="2"/>
        <v>4.1003124999999994</v>
      </c>
      <c r="K5" s="81">
        <f t="shared" si="3"/>
        <v>5</v>
      </c>
      <c r="L5" s="11"/>
      <c r="M5" s="11"/>
      <c r="N5" s="11"/>
      <c r="O5" s="28">
        <f>'DHS2025'!C4</f>
        <v>8597</v>
      </c>
      <c r="P5" s="29">
        <f>'DHS2025'!D4</f>
        <v>368</v>
      </c>
      <c r="Q5" s="29">
        <f>'DHS2025'!E4</f>
        <v>2056</v>
      </c>
      <c r="R5" s="62">
        <v>125.43</v>
      </c>
      <c r="S5" s="61">
        <f>(Porovnavanie!J7*0.99-1.9)*Porovnavanie!I7</f>
        <v>251.3988392</v>
      </c>
    </row>
    <row r="6" spans="1:19" ht="15.75" thickBot="1">
      <c r="A6" s="100">
        <f t="shared" si="4"/>
        <v>45689</v>
      </c>
      <c r="B6" s="24" t="s">
        <v>20</v>
      </c>
      <c r="C6" s="54">
        <f>'DHS2021'!C5</f>
        <v>16851</v>
      </c>
      <c r="D6" s="55">
        <f>'DHS2022'!C5</f>
        <v>5931</v>
      </c>
      <c r="E6" s="55">
        <f>'DHS2023'!C5</f>
        <v>13482</v>
      </c>
      <c r="F6" s="55">
        <f>'DHS2024'!C5</f>
        <v>15023</v>
      </c>
      <c r="G6" s="56">
        <f t="shared" si="0"/>
        <v>12821.75</v>
      </c>
      <c r="H6" s="75">
        <f t="shared" si="1"/>
        <v>3.2054374999999999</v>
      </c>
      <c r="I6" s="76">
        <v>1</v>
      </c>
      <c r="J6" s="75">
        <f t="shared" si="2"/>
        <v>4.2054375000000004</v>
      </c>
      <c r="K6" s="81">
        <f t="shared" si="3"/>
        <v>5</v>
      </c>
      <c r="L6" s="11"/>
      <c r="M6" s="11"/>
      <c r="N6" s="11"/>
      <c r="O6" s="28">
        <f>'DHS2025'!C5</f>
        <v>14026</v>
      </c>
      <c r="P6" s="29">
        <f>'DHS2025'!D5</f>
        <v>43</v>
      </c>
      <c r="Q6" s="29">
        <f>'DHS2025'!E5</f>
        <v>3972</v>
      </c>
      <c r="R6" s="62">
        <v>119.21</v>
      </c>
      <c r="S6" s="61">
        <f>(Porovnavanie!J8*0.99-1.9)*Porovnavanie!I8</f>
        <v>461.22029879999997</v>
      </c>
    </row>
    <row r="7" spans="1:19" ht="15.75" thickBot="1">
      <c r="A7" s="100">
        <f t="shared" si="4"/>
        <v>45689</v>
      </c>
      <c r="B7" s="24" t="s">
        <v>21</v>
      </c>
      <c r="C7" s="54">
        <f>'DHS2021'!C6</f>
        <v>24143</v>
      </c>
      <c r="D7" s="55">
        <f>'DHS2022'!C6</f>
        <v>7781</v>
      </c>
      <c r="E7" s="55">
        <f>'DHS2023'!C6</f>
        <v>15000</v>
      </c>
      <c r="F7" s="55">
        <f>'DHS2024'!C6</f>
        <v>16675</v>
      </c>
      <c r="G7" s="56">
        <f t="shared" si="0"/>
        <v>15899.75</v>
      </c>
      <c r="H7" s="75">
        <f t="shared" si="1"/>
        <v>3.9749374999999998</v>
      </c>
      <c r="I7" s="76">
        <v>1</v>
      </c>
      <c r="J7" s="75">
        <f t="shared" si="2"/>
        <v>4.9749374999999993</v>
      </c>
      <c r="K7" s="81">
        <f t="shared" si="3"/>
        <v>5</v>
      </c>
      <c r="L7" s="11"/>
      <c r="M7" s="11"/>
      <c r="N7" s="11"/>
      <c r="O7" s="28">
        <f>'DHS2025'!C6</f>
        <v>16121</v>
      </c>
      <c r="P7" s="29">
        <f>'DHS2025'!D6</f>
        <v>27</v>
      </c>
      <c r="Q7" s="29">
        <f>'DHS2025'!E6</f>
        <v>5051</v>
      </c>
      <c r="R7" s="62">
        <v>119.45</v>
      </c>
      <c r="S7" s="61">
        <f>(Porovnavanie!J9*0.99-1.9)*Porovnavanie!I9</f>
        <v>587.71163049999996</v>
      </c>
    </row>
    <row r="8" spans="1:19" ht="15.75" thickBot="1">
      <c r="A8" s="100">
        <f t="shared" si="4"/>
        <v>45689</v>
      </c>
      <c r="B8" s="24" t="s">
        <v>22</v>
      </c>
      <c r="C8" s="54">
        <f>'DHS2021'!C7</f>
        <v>24523</v>
      </c>
      <c r="D8" s="55">
        <f>'DHS2022'!C7</f>
        <v>10507</v>
      </c>
      <c r="E8" s="55">
        <f>'DHS2023'!C7</f>
        <v>18294</v>
      </c>
      <c r="F8" s="55">
        <f>'DHS2024'!C7</f>
        <v>13126</v>
      </c>
      <c r="G8" s="56">
        <f t="shared" si="0"/>
        <v>16612.5</v>
      </c>
      <c r="H8" s="75">
        <f t="shared" si="1"/>
        <v>4.1531250000000002</v>
      </c>
      <c r="I8" s="76">
        <v>1</v>
      </c>
      <c r="J8" s="75">
        <f t="shared" si="2"/>
        <v>5.1531250000000002</v>
      </c>
      <c r="K8" s="81">
        <f t="shared" si="3"/>
        <v>6</v>
      </c>
      <c r="L8" s="11"/>
      <c r="M8" s="11"/>
      <c r="N8" s="11"/>
      <c r="O8" s="28">
        <f>'DHS2025'!C7</f>
        <v>16884</v>
      </c>
      <c r="P8" s="29">
        <f>'DHS2025'!D7</f>
        <v>102</v>
      </c>
      <c r="Q8" s="29">
        <f>'DHS2025'!E7</f>
        <v>5906</v>
      </c>
      <c r="R8" s="62">
        <v>121.06</v>
      </c>
      <c r="S8" s="61">
        <f>(Porovnavanie!J10*0.99-1.9)*Porovnavanie!I10</f>
        <v>696.60915639999996</v>
      </c>
    </row>
    <row r="9" spans="1:19" ht="15.75" thickBot="1">
      <c r="A9" s="100">
        <f t="shared" si="4"/>
        <v>45689</v>
      </c>
      <c r="B9" s="24" t="s">
        <v>23</v>
      </c>
      <c r="C9" s="54">
        <f>'DHS2021'!C8</f>
        <v>24110</v>
      </c>
      <c r="D9" s="55">
        <f>'DHS2022'!C8</f>
        <v>13665</v>
      </c>
      <c r="E9" s="55">
        <f>'DHS2023'!C8</f>
        <v>20805</v>
      </c>
      <c r="F9" s="55">
        <f>'DHS2024'!C8</f>
        <v>16966</v>
      </c>
      <c r="G9" s="56">
        <f t="shared" si="0"/>
        <v>18886.5</v>
      </c>
      <c r="H9" s="75">
        <f t="shared" si="1"/>
        <v>4.7216250000000004</v>
      </c>
      <c r="I9" s="76">
        <v>1</v>
      </c>
      <c r="J9" s="75">
        <f t="shared" si="2"/>
        <v>5.7216250000000004</v>
      </c>
      <c r="K9" s="81">
        <f t="shared" si="3"/>
        <v>6</v>
      </c>
      <c r="L9" s="11"/>
      <c r="M9" s="11"/>
      <c r="N9" s="11"/>
      <c r="O9" s="28">
        <f>'DHS2025'!C8</f>
        <v>21088</v>
      </c>
      <c r="P9" s="29">
        <f>'DHS2025'!D8</f>
        <v>30</v>
      </c>
      <c r="Q9" s="29">
        <f>'DHS2025'!E8</f>
        <v>6942</v>
      </c>
      <c r="R9" s="62">
        <v>127.22</v>
      </c>
      <c r="S9" s="61">
        <f>(Porovnavanie!J11*0.99-1.9)*Porovnavanie!I11</f>
        <v>861.13982759999999</v>
      </c>
    </row>
    <row r="10" spans="1:19" ht="15.75" thickBot="1">
      <c r="A10" s="100">
        <f t="shared" si="4"/>
        <v>45689</v>
      </c>
      <c r="B10" s="24" t="s">
        <v>24</v>
      </c>
      <c r="C10" s="54">
        <f>'DHS2021'!C9</f>
        <v>23365</v>
      </c>
      <c r="D10" s="55">
        <f>'DHS2022'!C9</f>
        <v>14502</v>
      </c>
      <c r="E10" s="55">
        <f>'DHS2023'!C9</f>
        <v>15161</v>
      </c>
      <c r="F10" s="55">
        <f>'DHS2024'!C9</f>
        <v>13607</v>
      </c>
      <c r="G10" s="56">
        <f t="shared" si="0"/>
        <v>16658.75</v>
      </c>
      <c r="H10" s="75">
        <f t="shared" si="1"/>
        <v>4.1646875000000003</v>
      </c>
      <c r="I10" s="76">
        <v>1</v>
      </c>
      <c r="J10" s="75">
        <f t="shared" si="2"/>
        <v>5.1646875000000003</v>
      </c>
      <c r="K10" s="81">
        <f t="shared" si="3"/>
        <v>6</v>
      </c>
      <c r="L10" s="11"/>
      <c r="M10" s="11"/>
      <c r="N10" s="11"/>
      <c r="O10" s="28">
        <f>'DHS2025'!C9</f>
        <v>18198</v>
      </c>
      <c r="P10" s="29">
        <f>'DHS2025'!D9</f>
        <v>5997</v>
      </c>
      <c r="Q10" s="29">
        <f>'DHS2025'!E9</f>
        <v>8065</v>
      </c>
      <c r="R10" s="62">
        <v>144.74</v>
      </c>
      <c r="S10" s="61">
        <f>(Porovnavanie!J12*0.99-1.9)*Porovnavanie!I12</f>
        <v>1140.3313190000001</v>
      </c>
    </row>
    <row r="11" spans="1:19" ht="15.75" thickBot="1">
      <c r="A11" s="100">
        <f t="shared" si="4"/>
        <v>45689</v>
      </c>
      <c r="B11" s="24" t="s">
        <v>25</v>
      </c>
      <c r="C11" s="54">
        <f>'DHS2021'!C10</f>
        <v>23324</v>
      </c>
      <c r="D11" s="55">
        <f>'DHS2022'!C10</f>
        <v>13059</v>
      </c>
      <c r="E11" s="55">
        <f>'DHS2023'!C10</f>
        <v>10841</v>
      </c>
      <c r="F11" s="55">
        <f>'DHS2024'!C10</f>
        <v>14998</v>
      </c>
      <c r="G11" s="56">
        <f t="shared" si="0"/>
        <v>15555.5</v>
      </c>
      <c r="H11" s="75">
        <f t="shared" si="1"/>
        <v>3.8888750000000001</v>
      </c>
      <c r="I11" s="76">
        <v>1</v>
      </c>
      <c r="J11" s="75">
        <f t="shared" si="2"/>
        <v>4.8888750000000005</v>
      </c>
      <c r="K11" s="81">
        <f t="shared" si="3"/>
        <v>5</v>
      </c>
      <c r="L11" s="11"/>
      <c r="M11" s="11"/>
      <c r="N11" s="11"/>
      <c r="O11" s="28">
        <f>'DHS2025'!C10</f>
        <v>15724</v>
      </c>
      <c r="P11" s="29">
        <f>'DHS2025'!D10</f>
        <v>8921</v>
      </c>
      <c r="Q11" s="29">
        <f>'DHS2025'!E10</f>
        <v>8034</v>
      </c>
      <c r="R11" s="62">
        <v>153.46</v>
      </c>
      <c r="S11" s="61">
        <f>(Porovnavanie!J13*0.99-1.9)*Porovnavanie!I13</f>
        <v>1205.3040636000001</v>
      </c>
    </row>
    <row r="12" spans="1:19" ht="15.75" thickBot="1">
      <c r="A12" s="100">
        <f t="shared" si="4"/>
        <v>45689</v>
      </c>
      <c r="B12" s="24" t="s">
        <v>26</v>
      </c>
      <c r="C12" s="54">
        <f>'DHS2021'!C11</f>
        <v>20968</v>
      </c>
      <c r="D12" s="55">
        <f>'DHS2022'!C11</f>
        <v>11558</v>
      </c>
      <c r="E12" s="55">
        <f>'DHS2023'!C11</f>
        <v>15489</v>
      </c>
      <c r="F12" s="55">
        <f>'DHS2024'!C11</f>
        <v>15617</v>
      </c>
      <c r="G12" s="56">
        <f t="shared" si="0"/>
        <v>15908</v>
      </c>
      <c r="H12" s="75">
        <f t="shared" si="1"/>
        <v>3.9769999999999999</v>
      </c>
      <c r="I12" s="76">
        <v>1</v>
      </c>
      <c r="J12" s="75">
        <f t="shared" si="2"/>
        <v>4.9770000000000003</v>
      </c>
      <c r="K12" s="81">
        <f t="shared" si="3"/>
        <v>5</v>
      </c>
      <c r="L12" s="11"/>
      <c r="M12" s="11"/>
      <c r="N12" s="11"/>
      <c r="O12" s="28">
        <f>'DHS2025'!C11</f>
        <v>14875</v>
      </c>
      <c r="P12" s="29">
        <f>'DHS2025'!D11</f>
        <v>8924</v>
      </c>
      <c r="Q12" s="29">
        <f>'DHS2025'!E11</f>
        <v>8057</v>
      </c>
      <c r="R12" s="62">
        <v>142.44</v>
      </c>
      <c r="S12" s="61">
        <f>(Porovnavanie!J14*0.99-1.9)*Porovnavanie!I14</f>
        <v>1120.8543892</v>
      </c>
    </row>
    <row r="13" spans="1:19" ht="15.75" thickBot="1">
      <c r="A13" s="100">
        <f t="shared" si="4"/>
        <v>45689</v>
      </c>
      <c r="B13" s="24" t="s">
        <v>27</v>
      </c>
      <c r="C13" s="54">
        <f>'DHS2021'!C12</f>
        <v>21026</v>
      </c>
      <c r="D13" s="55">
        <f>'DHS2022'!C12</f>
        <v>8600</v>
      </c>
      <c r="E13" s="55">
        <f>'DHS2023'!C12</f>
        <v>14546</v>
      </c>
      <c r="F13" s="55">
        <f>'DHS2024'!C12</f>
        <v>15452</v>
      </c>
      <c r="G13" s="56">
        <f t="shared" si="0"/>
        <v>14906</v>
      </c>
      <c r="H13" s="75">
        <f t="shared" si="1"/>
        <v>3.7265000000000001</v>
      </c>
      <c r="I13" s="76">
        <v>1</v>
      </c>
      <c r="J13" s="75">
        <f t="shared" si="2"/>
        <v>4.7264999999999997</v>
      </c>
      <c r="K13" s="81">
        <f t="shared" si="3"/>
        <v>5</v>
      </c>
      <c r="L13" s="11"/>
      <c r="M13" s="11"/>
      <c r="N13" s="11"/>
      <c r="O13" s="28">
        <f>'DHS2025'!C12</f>
        <v>13798</v>
      </c>
      <c r="P13" s="29">
        <f>'DHS2025'!D12</f>
        <v>10864</v>
      </c>
      <c r="Q13" s="29">
        <f>'DHS2025'!E12</f>
        <v>8069</v>
      </c>
      <c r="R13" s="62">
        <v>128.4</v>
      </c>
      <c r="S13" s="61">
        <f>(Porovnavanie!J15*0.99-1.9)*Porovnavanie!I15</f>
        <v>1010.3679040000001</v>
      </c>
    </row>
    <row r="14" spans="1:19" ht="15.75" thickBot="1">
      <c r="A14" s="100">
        <f t="shared" si="4"/>
        <v>45689</v>
      </c>
      <c r="B14" s="24" t="s">
        <v>28</v>
      </c>
      <c r="C14" s="54">
        <f>'DHS2021'!C13</f>
        <v>17650</v>
      </c>
      <c r="D14" s="55">
        <f>'DHS2022'!C13</f>
        <v>9684</v>
      </c>
      <c r="E14" s="55">
        <f>'DHS2023'!C13</f>
        <v>13116</v>
      </c>
      <c r="F14" s="55">
        <f>'DHS2024'!C13</f>
        <v>15807</v>
      </c>
      <c r="G14" s="56">
        <f t="shared" si="0"/>
        <v>14064.25</v>
      </c>
      <c r="H14" s="75">
        <f t="shared" si="1"/>
        <v>3.5160624999999999</v>
      </c>
      <c r="I14" s="76">
        <v>1</v>
      </c>
      <c r="J14" s="75">
        <f t="shared" si="2"/>
        <v>4.5160625000000003</v>
      </c>
      <c r="K14" s="81">
        <f t="shared" si="3"/>
        <v>5</v>
      </c>
      <c r="L14" s="11"/>
      <c r="M14" s="11"/>
      <c r="N14" s="11"/>
      <c r="O14" s="28">
        <f>'DHS2025'!C13</f>
        <v>12996</v>
      </c>
      <c r="P14" s="29">
        <f>'DHS2025'!D13</f>
        <v>11129</v>
      </c>
      <c r="Q14" s="29">
        <f>'DHS2025'!E13</f>
        <v>8041</v>
      </c>
      <c r="R14" s="62">
        <v>120.08</v>
      </c>
      <c r="S14" s="61">
        <f>(Porovnavanie!J16*0.99-1.9)*Porovnavanie!I16</f>
        <v>940.6297472</v>
      </c>
    </row>
    <row r="15" spans="1:19" ht="15.75" thickBot="1">
      <c r="A15" s="100">
        <f t="shared" si="4"/>
        <v>45689</v>
      </c>
      <c r="B15" s="24" t="s">
        <v>29</v>
      </c>
      <c r="C15" s="54">
        <f>'DHS2021'!C14</f>
        <v>16135</v>
      </c>
      <c r="D15" s="55">
        <f>'DHS2022'!C14</f>
        <v>9106</v>
      </c>
      <c r="E15" s="55">
        <f>'DHS2023'!C14</f>
        <v>13244</v>
      </c>
      <c r="F15" s="55">
        <f>'DHS2024'!C14</f>
        <v>15728</v>
      </c>
      <c r="G15" s="56">
        <f t="shared" si="0"/>
        <v>13553.25</v>
      </c>
      <c r="H15" s="75">
        <f t="shared" si="1"/>
        <v>3.3883125000000001</v>
      </c>
      <c r="I15" s="76">
        <v>1</v>
      </c>
      <c r="J15" s="75">
        <f t="shared" si="2"/>
        <v>4.3883124999999996</v>
      </c>
      <c r="K15" s="81">
        <f t="shared" si="3"/>
        <v>5</v>
      </c>
      <c r="L15" s="11"/>
      <c r="M15" s="11"/>
      <c r="N15" s="11"/>
      <c r="O15" s="28">
        <f>'DHS2025'!C14</f>
        <v>13266</v>
      </c>
      <c r="P15" s="29">
        <f>'DHS2025'!D14</f>
        <v>6105</v>
      </c>
      <c r="Q15" s="29">
        <f>'DHS2025'!E14</f>
        <v>6709</v>
      </c>
      <c r="R15" s="62">
        <v>110.29</v>
      </c>
      <c r="S15" s="61">
        <f>(Porovnavanie!J17*0.99-1.9)*Porovnavanie!I17</f>
        <v>719.78915389999997</v>
      </c>
    </row>
    <row r="16" spans="1:19" ht="15.75" thickBot="1">
      <c r="A16" s="100">
        <f t="shared" si="4"/>
        <v>45689</v>
      </c>
      <c r="B16" s="24" t="s">
        <v>30</v>
      </c>
      <c r="C16" s="54">
        <f>'DHS2021'!C15</f>
        <v>15982</v>
      </c>
      <c r="D16" s="55">
        <f>'DHS2022'!C15</f>
        <v>9028</v>
      </c>
      <c r="E16" s="55">
        <f>'DHS2023'!C15</f>
        <v>14481</v>
      </c>
      <c r="F16" s="55">
        <f>'DHS2024'!C15</f>
        <v>15246</v>
      </c>
      <c r="G16" s="56">
        <f t="shared" si="0"/>
        <v>13684.25</v>
      </c>
      <c r="H16" s="75">
        <f t="shared" si="1"/>
        <v>3.4210625000000001</v>
      </c>
      <c r="I16" s="76">
        <v>1</v>
      </c>
      <c r="J16" s="75">
        <f t="shared" si="2"/>
        <v>4.4210624999999997</v>
      </c>
      <c r="K16" s="81">
        <f t="shared" si="3"/>
        <v>5</v>
      </c>
      <c r="L16" s="11"/>
      <c r="M16" s="11"/>
      <c r="N16" s="11"/>
      <c r="O16" s="28">
        <f>'DHS2025'!C15</f>
        <v>12232</v>
      </c>
      <c r="P16" s="29">
        <f>'DHS2025'!D15</f>
        <v>4541</v>
      </c>
      <c r="Q16" s="29">
        <f>'DHS2025'!E15</f>
        <v>5068</v>
      </c>
      <c r="R16" s="62">
        <v>103.4</v>
      </c>
      <c r="S16" s="61">
        <f>(Porovnavanie!J18*0.99-1.9)*Porovnavanie!I18</f>
        <v>509.16168799999991</v>
      </c>
    </row>
    <row r="17" spans="1:19" ht="15.75" thickBot="1">
      <c r="A17" s="100">
        <f t="shared" si="4"/>
        <v>45689</v>
      </c>
      <c r="B17" s="24" t="s">
        <v>31</v>
      </c>
      <c r="C17" s="54">
        <f>'DHS2021'!C16</f>
        <v>16429</v>
      </c>
      <c r="D17" s="55">
        <f>'DHS2022'!C16</f>
        <v>9187</v>
      </c>
      <c r="E17" s="55">
        <f>'DHS2023'!C16</f>
        <v>15089</v>
      </c>
      <c r="F17" s="55">
        <f>'DHS2024'!C16</f>
        <v>15223</v>
      </c>
      <c r="G17" s="56">
        <f t="shared" si="0"/>
        <v>13982</v>
      </c>
      <c r="H17" s="75">
        <f t="shared" si="1"/>
        <v>3.4954999999999998</v>
      </c>
      <c r="I17" s="76">
        <v>1</v>
      </c>
      <c r="J17" s="75">
        <f t="shared" si="2"/>
        <v>4.4954999999999998</v>
      </c>
      <c r="K17" s="81">
        <f t="shared" si="3"/>
        <v>5</v>
      </c>
      <c r="L17" s="11"/>
      <c r="M17" s="11"/>
      <c r="N17" s="11"/>
      <c r="O17" s="28">
        <f>'DHS2025'!C16</f>
        <v>11526</v>
      </c>
      <c r="P17" s="29">
        <f>'DHS2025'!D16</f>
        <v>4411</v>
      </c>
      <c r="Q17" s="29">
        <f>'DHS2025'!E16</f>
        <v>5059</v>
      </c>
      <c r="R17" s="62">
        <v>113.7</v>
      </c>
      <c r="S17" s="61">
        <f>(Porovnavanie!J19*0.99-1.9)*Porovnavanie!I19</f>
        <v>559.84411699999998</v>
      </c>
    </row>
    <row r="18" spans="1:19" ht="15.75" thickBot="1">
      <c r="A18" s="100">
        <f t="shared" si="4"/>
        <v>45689</v>
      </c>
      <c r="B18" s="24" t="s">
        <v>32</v>
      </c>
      <c r="C18" s="54">
        <f>'DHS2021'!C17</f>
        <v>16672</v>
      </c>
      <c r="D18" s="55">
        <f>'DHS2022'!C17</f>
        <v>9219</v>
      </c>
      <c r="E18" s="55">
        <f>'DHS2023'!C17</f>
        <v>12335</v>
      </c>
      <c r="F18" s="55">
        <f>'DHS2024'!C17</f>
        <v>16054</v>
      </c>
      <c r="G18" s="56">
        <f t="shared" si="0"/>
        <v>13570</v>
      </c>
      <c r="H18" s="75">
        <f t="shared" si="1"/>
        <v>3.3925000000000001</v>
      </c>
      <c r="I18" s="76">
        <v>1</v>
      </c>
      <c r="J18" s="75">
        <f t="shared" si="2"/>
        <v>4.3925000000000001</v>
      </c>
      <c r="K18" s="81">
        <f t="shared" si="3"/>
        <v>5</v>
      </c>
      <c r="L18" s="11"/>
      <c r="M18" s="11"/>
      <c r="N18" s="11"/>
      <c r="O18" s="28">
        <f>'DHS2025'!C17</f>
        <v>12188</v>
      </c>
      <c r="P18" s="29">
        <f>'DHS2025'!D17</f>
        <v>7941</v>
      </c>
      <c r="Q18" s="29">
        <f>'DHS2025'!E17</f>
        <v>6404</v>
      </c>
      <c r="R18" s="62">
        <v>130.16</v>
      </c>
      <c r="S18" s="61">
        <f>(Porovnavanie!J20*0.99-1.9)*Porovnavanie!I20</f>
        <v>813.04159359999983</v>
      </c>
    </row>
    <row r="19" spans="1:19" ht="15.75" thickBot="1">
      <c r="A19" s="100">
        <f t="shared" si="4"/>
        <v>45689</v>
      </c>
      <c r="B19" s="24" t="s">
        <v>33</v>
      </c>
      <c r="C19" s="54">
        <f>'DHS2021'!C18</f>
        <v>18990</v>
      </c>
      <c r="D19" s="55">
        <f>'DHS2022'!C18</f>
        <v>9898</v>
      </c>
      <c r="E19" s="55">
        <f>'DHS2023'!C18</f>
        <v>12618</v>
      </c>
      <c r="F19" s="55">
        <f>'DHS2024'!C18</f>
        <v>16322</v>
      </c>
      <c r="G19" s="56">
        <f t="shared" si="0"/>
        <v>14457</v>
      </c>
      <c r="H19" s="75">
        <f t="shared" si="1"/>
        <v>3.6142500000000002</v>
      </c>
      <c r="I19" s="76">
        <v>1</v>
      </c>
      <c r="J19" s="75">
        <f t="shared" si="2"/>
        <v>4.6142500000000002</v>
      </c>
      <c r="K19" s="81">
        <f t="shared" si="3"/>
        <v>5</v>
      </c>
      <c r="L19" s="11"/>
      <c r="M19" s="11"/>
      <c r="N19" s="11"/>
      <c r="O19" s="28">
        <f>'DHS2025'!C18</f>
        <v>14030</v>
      </c>
      <c r="P19" s="29">
        <f>'DHS2025'!D18</f>
        <v>10680</v>
      </c>
      <c r="Q19" s="29">
        <f>'DHS2025'!E18</f>
        <v>8091</v>
      </c>
      <c r="R19" s="62">
        <v>155.29</v>
      </c>
      <c r="S19" s="61">
        <f>(Porovnavanie!J21*0.99-1.9)*Porovnavanie!I21</f>
        <v>1228.5139760999998</v>
      </c>
    </row>
    <row r="20" spans="1:19" ht="15.75" thickBot="1">
      <c r="A20" s="100">
        <f t="shared" si="4"/>
        <v>45689</v>
      </c>
      <c r="B20" s="24" t="s">
        <v>34</v>
      </c>
      <c r="C20" s="54">
        <f>'DHS2021'!C19</f>
        <v>20999</v>
      </c>
      <c r="D20" s="55">
        <f>'DHS2022'!C19</f>
        <v>9951</v>
      </c>
      <c r="E20" s="55">
        <f>'DHS2023'!C19</f>
        <v>13909</v>
      </c>
      <c r="F20" s="55">
        <f>'DHS2024'!C19</f>
        <v>16839</v>
      </c>
      <c r="G20" s="56">
        <f t="shared" si="0"/>
        <v>15424.5</v>
      </c>
      <c r="H20" s="75">
        <f t="shared" si="1"/>
        <v>3.856125</v>
      </c>
      <c r="I20" s="76">
        <v>1</v>
      </c>
      <c r="J20" s="75">
        <f t="shared" si="2"/>
        <v>4.8561250000000005</v>
      </c>
      <c r="K20" s="81">
        <f t="shared" si="3"/>
        <v>5</v>
      </c>
      <c r="L20" s="11"/>
      <c r="M20" s="11"/>
      <c r="N20" s="11"/>
      <c r="O20" s="28">
        <f>'DHS2025'!C19</f>
        <v>15815</v>
      </c>
      <c r="P20" s="29">
        <f>'DHS2025'!D19</f>
        <v>8501</v>
      </c>
      <c r="Q20" s="29">
        <f>'DHS2025'!E19</f>
        <v>8061</v>
      </c>
      <c r="R20" s="62">
        <v>167.33</v>
      </c>
      <c r="S20" s="61">
        <f>(Porovnavanie!J22*0.99-1.9)*Porovnavanie!I22</f>
        <v>1320.0427586999999</v>
      </c>
    </row>
    <row r="21" spans="1:19" ht="15.75" thickBot="1">
      <c r="A21" s="100">
        <f t="shared" si="4"/>
        <v>45689</v>
      </c>
      <c r="B21" s="24" t="s">
        <v>35</v>
      </c>
      <c r="C21" s="54">
        <f>'DHS2021'!C20</f>
        <v>20686</v>
      </c>
      <c r="D21" s="55">
        <f>'DHS2022'!C20</f>
        <v>10151</v>
      </c>
      <c r="E21" s="55">
        <f>'DHS2023'!C20</f>
        <v>14104</v>
      </c>
      <c r="F21" s="55">
        <f>'DHS2024'!C20</f>
        <v>15774</v>
      </c>
      <c r="G21" s="56">
        <f t="shared" si="0"/>
        <v>15178.75</v>
      </c>
      <c r="H21" s="75">
        <f t="shared" si="1"/>
        <v>3.7946875000000002</v>
      </c>
      <c r="I21" s="76">
        <v>1</v>
      </c>
      <c r="J21" s="75">
        <f t="shared" si="2"/>
        <v>4.7946875000000002</v>
      </c>
      <c r="K21" s="81">
        <f t="shared" si="3"/>
        <v>5</v>
      </c>
      <c r="L21" s="11"/>
      <c r="M21" s="11"/>
      <c r="N21" s="11"/>
      <c r="O21" s="28">
        <f>'DHS2025'!C20</f>
        <v>16487</v>
      </c>
      <c r="P21" s="29">
        <f>'DHS2025'!D20</f>
        <v>8134</v>
      </c>
      <c r="Q21" s="29">
        <f>'DHS2025'!E20</f>
        <v>8063</v>
      </c>
      <c r="R21" s="62">
        <v>167.17</v>
      </c>
      <c r="S21" s="61">
        <f>(Porovnavanie!J23*0.99-1.9)*Porovnavanie!I23</f>
        <v>1319.0930928999999</v>
      </c>
    </row>
    <row r="22" spans="1:19" ht="15.75" thickBot="1">
      <c r="A22" s="100">
        <f t="shared" si="4"/>
        <v>45689</v>
      </c>
      <c r="B22" s="24" t="s">
        <v>36</v>
      </c>
      <c r="C22" s="54">
        <f>'DHS2021'!C21</f>
        <v>20096</v>
      </c>
      <c r="D22" s="55">
        <f>'DHS2022'!C21</f>
        <v>11016</v>
      </c>
      <c r="E22" s="55">
        <f>'DHS2023'!C21</f>
        <v>15604</v>
      </c>
      <c r="F22" s="55">
        <f>'DHS2024'!C21</f>
        <v>16564</v>
      </c>
      <c r="G22" s="56">
        <f t="shared" si="0"/>
        <v>15820</v>
      </c>
      <c r="H22" s="75">
        <f t="shared" si="1"/>
        <v>3.9550000000000001</v>
      </c>
      <c r="I22" s="76">
        <v>1</v>
      </c>
      <c r="J22" s="75">
        <f t="shared" si="2"/>
        <v>4.9550000000000001</v>
      </c>
      <c r="K22" s="81">
        <f t="shared" si="3"/>
        <v>5</v>
      </c>
      <c r="L22" s="11"/>
      <c r="M22" s="11"/>
      <c r="N22" s="11"/>
      <c r="O22" s="28">
        <f>'DHS2025'!C21</f>
        <v>17069</v>
      </c>
      <c r="P22" s="29">
        <f>'DHS2025'!D21</f>
        <v>6927</v>
      </c>
      <c r="Q22" s="29">
        <f>'DHS2025'!E21</f>
        <v>8043</v>
      </c>
      <c r="R22" s="62">
        <v>162.97999999999999</v>
      </c>
      <c r="S22" s="61">
        <f>(Porovnavanie!J24*0.99-1.9)*Porovnavanie!I24</f>
        <v>1282.4579585999998</v>
      </c>
    </row>
    <row r="23" spans="1:19" ht="15.75" thickBot="1">
      <c r="A23" s="100">
        <f t="shared" si="4"/>
        <v>45689</v>
      </c>
      <c r="B23" s="24" t="s">
        <v>37</v>
      </c>
      <c r="C23" s="54">
        <f>'DHS2021'!C22</f>
        <v>20344</v>
      </c>
      <c r="D23" s="55">
        <f>'DHS2022'!C22</f>
        <v>10653</v>
      </c>
      <c r="E23" s="55">
        <f>'DHS2023'!C22</f>
        <v>13837</v>
      </c>
      <c r="F23" s="55">
        <f>'DHS2024'!C22</f>
        <v>17571</v>
      </c>
      <c r="G23" s="56">
        <f t="shared" si="0"/>
        <v>15601.25</v>
      </c>
      <c r="H23" s="75">
        <f t="shared" si="1"/>
        <v>3.9003125000000001</v>
      </c>
      <c r="I23" s="76">
        <v>1</v>
      </c>
      <c r="J23" s="75">
        <f t="shared" si="2"/>
        <v>4.9003125000000001</v>
      </c>
      <c r="K23" s="81">
        <f t="shared" si="3"/>
        <v>5</v>
      </c>
      <c r="L23" s="11"/>
      <c r="M23" s="11"/>
      <c r="N23" s="11"/>
      <c r="O23" s="28">
        <f>'DHS2025'!C22</f>
        <v>17316</v>
      </c>
      <c r="P23" s="29">
        <f>'DHS2025'!D22</f>
        <v>7478</v>
      </c>
      <c r="Q23" s="29">
        <f>'DHS2025'!E22</f>
        <v>8079</v>
      </c>
      <c r="R23" s="62">
        <v>156.6</v>
      </c>
      <c r="S23" s="61">
        <f>(Porovnavanie!J25*0.99-1.9)*Porovnavanie!I25</f>
        <v>1237.169586</v>
      </c>
    </row>
    <row r="24" spans="1:19" ht="15.75" thickBot="1">
      <c r="A24" s="100">
        <f t="shared" si="4"/>
        <v>45689</v>
      </c>
      <c r="B24" s="24" t="s">
        <v>38</v>
      </c>
      <c r="C24" s="54">
        <f>'DHS2021'!C23</f>
        <v>20378</v>
      </c>
      <c r="D24" s="55">
        <f>'DHS2022'!C23</f>
        <v>10275</v>
      </c>
      <c r="E24" s="55">
        <f>'DHS2023'!C23</f>
        <v>15411</v>
      </c>
      <c r="F24" s="55">
        <f>'DHS2024'!C23</f>
        <v>16697</v>
      </c>
      <c r="G24" s="56">
        <f t="shared" si="0"/>
        <v>15690.25</v>
      </c>
      <c r="H24" s="75">
        <f t="shared" si="1"/>
        <v>3.9225625000000002</v>
      </c>
      <c r="I24" s="76">
        <v>1</v>
      </c>
      <c r="J24" s="75">
        <f t="shared" si="2"/>
        <v>4.9225624999999997</v>
      </c>
      <c r="K24" s="81">
        <f t="shared" si="3"/>
        <v>5</v>
      </c>
      <c r="L24" s="11"/>
      <c r="M24" s="11"/>
      <c r="N24" s="11"/>
      <c r="O24" s="28">
        <f>'DHS2025'!C23</f>
        <v>17906</v>
      </c>
      <c r="P24" s="29">
        <f>'DHS2025'!D23</f>
        <v>6580</v>
      </c>
      <c r="Q24" s="29">
        <f>'DHS2025'!E23</f>
        <v>8058</v>
      </c>
      <c r="R24" s="62">
        <v>145.24</v>
      </c>
      <c r="S24" s="61">
        <f>(Porovnavanie!J26*0.99-1.9)*Porovnavanie!I26</f>
        <v>1143.3302807999999</v>
      </c>
    </row>
    <row r="25" spans="1:19" ht="15.75" thickBot="1">
      <c r="A25" s="100">
        <f t="shared" si="4"/>
        <v>45689</v>
      </c>
      <c r="B25" s="24" t="s">
        <v>39</v>
      </c>
      <c r="C25" s="54">
        <f>'DHS2021'!C24</f>
        <v>19584</v>
      </c>
      <c r="D25" s="55">
        <f>'DHS2022'!C24</f>
        <v>8908</v>
      </c>
      <c r="E25" s="55">
        <f>'DHS2023'!C24</f>
        <v>13859</v>
      </c>
      <c r="F25" s="55">
        <f>'DHS2024'!C24</f>
        <v>12728</v>
      </c>
      <c r="G25" s="56">
        <f t="shared" si="0"/>
        <v>13769.75</v>
      </c>
      <c r="H25" s="75">
        <f t="shared" si="1"/>
        <v>3.4424375</v>
      </c>
      <c r="I25" s="76">
        <v>1</v>
      </c>
      <c r="J25" s="75">
        <f t="shared" si="2"/>
        <v>4.4424375000000005</v>
      </c>
      <c r="K25" s="81">
        <f t="shared" si="3"/>
        <v>5</v>
      </c>
      <c r="L25" s="11"/>
      <c r="M25" s="11"/>
      <c r="N25" s="11"/>
      <c r="O25" s="28">
        <f>'DHS2025'!C24</f>
        <v>14570</v>
      </c>
      <c r="P25" s="29">
        <f>'DHS2025'!D24</f>
        <v>5166</v>
      </c>
      <c r="Q25" s="29">
        <f>'DHS2025'!E24</f>
        <v>6699</v>
      </c>
      <c r="R25" s="62">
        <v>141.72999999999999</v>
      </c>
      <c r="S25" s="61">
        <f>(Porovnavanie!J27*0.99-1.9)*Porovnavanie!I27</f>
        <v>927.22667729999978</v>
      </c>
    </row>
    <row r="26" spans="1:19" ht="15.75" thickBot="1">
      <c r="A26" s="100">
        <f t="shared" si="4"/>
        <v>45689</v>
      </c>
      <c r="B26" s="24" t="s">
        <v>40</v>
      </c>
      <c r="C26" s="54">
        <f>'DHS2021'!C25</f>
        <v>11840</v>
      </c>
      <c r="D26" s="55">
        <f>'DHS2022'!C25</f>
        <v>6538</v>
      </c>
      <c r="E26" s="55">
        <f>'DHS2023'!C25</f>
        <v>7784</v>
      </c>
      <c r="F26" s="55">
        <f>'DHS2024'!C25</f>
        <v>7656</v>
      </c>
      <c r="G26" s="56">
        <f t="shared" si="0"/>
        <v>8454.5</v>
      </c>
      <c r="H26" s="75">
        <f t="shared" si="1"/>
        <v>2.1136249999999999</v>
      </c>
      <c r="I26" s="76">
        <v>1</v>
      </c>
      <c r="J26" s="75">
        <f t="shared" si="2"/>
        <v>3.1136249999999999</v>
      </c>
      <c r="K26" s="81">
        <f t="shared" si="3"/>
        <v>4</v>
      </c>
      <c r="L26" s="11"/>
      <c r="M26" s="11"/>
      <c r="N26" s="11"/>
      <c r="O26" s="28">
        <f>'DHS2025'!C25</f>
        <v>8366</v>
      </c>
      <c r="P26" s="29">
        <f>'DHS2025'!D25</f>
        <v>8316</v>
      </c>
      <c r="Q26" s="29">
        <f>'DHS2025'!E25</f>
        <v>5216</v>
      </c>
      <c r="R26" s="62">
        <v>131.74</v>
      </c>
      <c r="S26" s="61">
        <f>(Porovnavanie!J28*0.99-1.9)*Porovnavanie!I28</f>
        <v>670.37388160000012</v>
      </c>
    </row>
    <row r="27" spans="1:19" ht="15.75" thickBot="1">
      <c r="A27" s="101">
        <f t="shared" si="4"/>
        <v>45690</v>
      </c>
      <c r="B27" s="25" t="s">
        <v>17</v>
      </c>
      <c r="C27" s="54">
        <f>'DHS2021'!C26</f>
        <v>11676</v>
      </c>
      <c r="D27" s="55">
        <f>'DHS2022'!C26</f>
        <v>5665</v>
      </c>
      <c r="E27" s="55">
        <f>'DHS2023'!C26</f>
        <v>7067</v>
      </c>
      <c r="F27" s="55">
        <f>'DHS2024'!C26</f>
        <v>12477</v>
      </c>
      <c r="G27" s="56">
        <f t="shared" si="0"/>
        <v>9221.25</v>
      </c>
      <c r="H27" s="75">
        <f t="shared" si="1"/>
        <v>2.3053124999999999</v>
      </c>
      <c r="I27" s="76">
        <v>1</v>
      </c>
      <c r="J27" s="75">
        <f t="shared" si="2"/>
        <v>3.3053124999999999</v>
      </c>
      <c r="K27" s="81">
        <f t="shared" si="3"/>
        <v>4</v>
      </c>
      <c r="L27" s="11"/>
      <c r="M27" s="11"/>
      <c r="N27" s="11"/>
      <c r="O27" s="28">
        <f>'DHS2025'!C26</f>
        <v>8768</v>
      </c>
      <c r="P27" s="29">
        <f>'DHS2025'!D26</f>
        <v>4415</v>
      </c>
      <c r="Q27" s="29">
        <f>'DHS2025'!E26</f>
        <v>4057</v>
      </c>
      <c r="R27" s="62">
        <v>133.26</v>
      </c>
      <c r="S27" s="61">
        <f>(Porovnavanie!J29*0.99-1.9)*Porovnavanie!I29</f>
        <v>527.52116179999996</v>
      </c>
    </row>
    <row r="28" spans="1:19" ht="15.75" thickBot="1">
      <c r="A28" s="101">
        <f t="shared" si="4"/>
        <v>45690</v>
      </c>
      <c r="B28" s="25" t="s">
        <v>18</v>
      </c>
      <c r="C28" s="54">
        <f>'DHS2021'!C27</f>
        <v>13621</v>
      </c>
      <c r="D28" s="55">
        <f>'DHS2022'!C27</f>
        <v>5686</v>
      </c>
      <c r="E28" s="55">
        <f>'DHS2023'!C27</f>
        <v>6894</v>
      </c>
      <c r="F28" s="55">
        <f>'DHS2024'!C27</f>
        <v>12613</v>
      </c>
      <c r="G28" s="56">
        <f t="shared" si="0"/>
        <v>9703.5</v>
      </c>
      <c r="H28" s="75">
        <f t="shared" si="1"/>
        <v>2.425875</v>
      </c>
      <c r="I28" s="76">
        <v>1</v>
      </c>
      <c r="J28" s="75">
        <f t="shared" si="2"/>
        <v>3.425875</v>
      </c>
      <c r="K28" s="81">
        <f t="shared" si="3"/>
        <v>4</v>
      </c>
      <c r="L28" s="11"/>
      <c r="M28" s="11"/>
      <c r="N28" s="11"/>
      <c r="O28" s="28">
        <f>'DHS2025'!C27</f>
        <v>9560</v>
      </c>
      <c r="P28" s="29">
        <f>'DHS2025'!D27</f>
        <v>4294</v>
      </c>
      <c r="Q28" s="29">
        <f>'DHS2025'!E27</f>
        <v>4072</v>
      </c>
      <c r="R28" s="62">
        <v>126.91</v>
      </c>
      <c r="S28" s="61">
        <f>(Porovnavanie!J30*0.99-1.9)*Porovnavanie!I30</f>
        <v>503.87294479999997</v>
      </c>
    </row>
    <row r="29" spans="1:19" ht="15.75" thickBot="1">
      <c r="A29" s="101">
        <f t="shared" si="4"/>
        <v>45690</v>
      </c>
      <c r="B29" s="25" t="s">
        <v>19</v>
      </c>
      <c r="C29" s="54">
        <f>'DHS2021'!C28</f>
        <v>15561</v>
      </c>
      <c r="D29" s="55">
        <f>'DHS2022'!C28</f>
        <v>4646</v>
      </c>
      <c r="E29" s="55">
        <f>'DHS2023'!C28</f>
        <v>9797</v>
      </c>
      <c r="F29" s="55">
        <f>'DHS2024'!C28</f>
        <v>11477</v>
      </c>
      <c r="G29" s="56">
        <f t="shared" si="0"/>
        <v>10370.25</v>
      </c>
      <c r="H29" s="75">
        <f t="shared" si="1"/>
        <v>2.5925625000000001</v>
      </c>
      <c r="I29" s="76">
        <v>1</v>
      </c>
      <c r="J29" s="75">
        <f t="shared" si="2"/>
        <v>3.5925625000000001</v>
      </c>
      <c r="K29" s="81">
        <f t="shared" si="3"/>
        <v>4</v>
      </c>
      <c r="L29" s="11"/>
      <c r="M29" s="11"/>
      <c r="N29" s="11"/>
      <c r="O29" s="28">
        <f>'DHS2025'!C28</f>
        <v>9743</v>
      </c>
      <c r="P29" s="29">
        <f>'DHS2025'!D28</f>
        <v>3807</v>
      </c>
      <c r="Q29" s="29">
        <f>'DHS2025'!E28</f>
        <v>4064</v>
      </c>
      <c r="R29" s="62">
        <v>122.99</v>
      </c>
      <c r="S29" s="61">
        <f>(Porovnavanie!J31*0.99-1.9)*Porovnavanie!I31</f>
        <v>487.11144639999998</v>
      </c>
    </row>
    <row r="30" spans="1:19" ht="15.75" thickBot="1">
      <c r="A30" s="101">
        <f t="shared" si="4"/>
        <v>45690</v>
      </c>
      <c r="B30" s="25" t="s">
        <v>20</v>
      </c>
      <c r="C30" s="54">
        <f>'DHS2021'!C29</f>
        <v>15524</v>
      </c>
      <c r="D30" s="55">
        <f>'DHS2022'!C29</f>
        <v>5503</v>
      </c>
      <c r="E30" s="55">
        <f>'DHS2023'!C29</f>
        <v>10240</v>
      </c>
      <c r="F30" s="55">
        <f>'DHS2024'!C29</f>
        <v>12706</v>
      </c>
      <c r="G30" s="56">
        <f t="shared" si="0"/>
        <v>10993.25</v>
      </c>
      <c r="H30" s="75">
        <f t="shared" si="1"/>
        <v>2.7483124999999999</v>
      </c>
      <c r="I30" s="76">
        <v>1</v>
      </c>
      <c r="J30" s="75">
        <f t="shared" si="2"/>
        <v>3.7483124999999999</v>
      </c>
      <c r="K30" s="81">
        <f t="shared" si="3"/>
        <v>4</v>
      </c>
      <c r="L30" s="11"/>
      <c r="M30" s="11"/>
      <c r="N30" s="11"/>
      <c r="O30" s="28">
        <f>'DHS2025'!C29</f>
        <v>10702</v>
      </c>
      <c r="P30" s="29">
        <f>'DHS2025'!D29</f>
        <v>2776</v>
      </c>
      <c r="Q30" s="29">
        <f>'DHS2025'!E29</f>
        <v>4078</v>
      </c>
      <c r="R30" s="62">
        <v>120.66</v>
      </c>
      <c r="S30" s="61">
        <f>(Porovnavanie!J32*0.99-1.9)*Porovnavanie!I32</f>
        <v>479.38276519999999</v>
      </c>
    </row>
    <row r="31" spans="1:19" ht="15.75" thickBot="1">
      <c r="A31" s="101">
        <f t="shared" si="4"/>
        <v>45690</v>
      </c>
      <c r="B31" s="25" t="s">
        <v>21</v>
      </c>
      <c r="C31" s="54">
        <f>'DHS2021'!C30</f>
        <v>23520</v>
      </c>
      <c r="D31" s="55">
        <f>'DHS2022'!C30</f>
        <v>9435</v>
      </c>
      <c r="E31" s="55">
        <f>'DHS2023'!C30</f>
        <v>13365</v>
      </c>
      <c r="F31" s="55">
        <f>'DHS2024'!C30</f>
        <v>14419</v>
      </c>
      <c r="G31" s="56">
        <f t="shared" si="0"/>
        <v>15184.75</v>
      </c>
      <c r="H31" s="75">
        <f t="shared" si="1"/>
        <v>3.7961874999999998</v>
      </c>
      <c r="I31" s="76">
        <v>1</v>
      </c>
      <c r="J31" s="75">
        <f t="shared" si="2"/>
        <v>4.7961875000000003</v>
      </c>
      <c r="K31" s="81">
        <f t="shared" si="3"/>
        <v>5</v>
      </c>
      <c r="L31" s="11"/>
      <c r="M31" s="11"/>
      <c r="N31" s="11"/>
      <c r="O31" s="28">
        <f>'DHS2025'!C30</f>
        <v>15953</v>
      </c>
      <c r="P31" s="29">
        <f>'DHS2025'!D30</f>
        <v>129</v>
      </c>
      <c r="Q31" s="29">
        <f>'DHS2025'!E30</f>
        <v>5037</v>
      </c>
      <c r="R31" s="62">
        <v>122.34</v>
      </c>
      <c r="S31" s="61">
        <f>(Porovnavanie!J33*0.99-1.9)*Porovnavanie!I33</f>
        <v>600.49401420000004</v>
      </c>
    </row>
    <row r="32" spans="1:19" ht="15.75" thickBot="1">
      <c r="A32" s="101">
        <f t="shared" si="4"/>
        <v>45690</v>
      </c>
      <c r="B32" s="25" t="s">
        <v>22</v>
      </c>
      <c r="C32" s="54">
        <f>'DHS2021'!C31</f>
        <v>22309</v>
      </c>
      <c r="D32" s="55">
        <f>'DHS2022'!C31</f>
        <v>11781</v>
      </c>
      <c r="E32" s="55">
        <f>'DHS2023'!C31</f>
        <v>17950</v>
      </c>
      <c r="F32" s="55">
        <f>'DHS2024'!C31</f>
        <v>13441</v>
      </c>
      <c r="G32" s="56">
        <f t="shared" si="0"/>
        <v>16370.25</v>
      </c>
      <c r="H32" s="75">
        <f t="shared" si="1"/>
        <v>4.0925624999999997</v>
      </c>
      <c r="I32" s="76">
        <v>1</v>
      </c>
      <c r="J32" s="75">
        <f t="shared" si="2"/>
        <v>5.0925624999999997</v>
      </c>
      <c r="K32" s="81">
        <f t="shared" si="3"/>
        <v>6</v>
      </c>
      <c r="L32" s="11"/>
      <c r="M32" s="11"/>
      <c r="N32" s="11"/>
      <c r="O32" s="28">
        <f>'DHS2025'!C31</f>
        <v>17184</v>
      </c>
      <c r="P32" s="29">
        <f>'DHS2025'!D31</f>
        <v>35</v>
      </c>
      <c r="Q32" s="29">
        <f>'DHS2025'!E31</f>
        <v>5873</v>
      </c>
      <c r="R32" s="62">
        <v>123.41</v>
      </c>
      <c r="S32" s="61">
        <f>(Porovnavanie!J34*0.99-1.9)*Porovnavanie!I34</f>
        <v>706.38036069999998</v>
      </c>
    </row>
    <row r="33" spans="1:19" ht="15.75" thickBot="1">
      <c r="A33" s="101">
        <f t="shared" si="4"/>
        <v>45690</v>
      </c>
      <c r="B33" s="25" t="s">
        <v>23</v>
      </c>
      <c r="C33" s="54">
        <f>'DHS2021'!C32</f>
        <v>21603</v>
      </c>
      <c r="D33" s="55">
        <f>'DHS2022'!C32</f>
        <v>13527</v>
      </c>
      <c r="E33" s="55">
        <f>'DHS2023'!C32</f>
        <v>18068</v>
      </c>
      <c r="F33" s="55">
        <f>'DHS2024'!C32</f>
        <v>14815</v>
      </c>
      <c r="G33" s="56">
        <f t="shared" si="0"/>
        <v>17003.25</v>
      </c>
      <c r="H33" s="75">
        <f t="shared" si="1"/>
        <v>4.2508125000000003</v>
      </c>
      <c r="I33" s="76">
        <v>1</v>
      </c>
      <c r="J33" s="75">
        <f t="shared" si="2"/>
        <v>5.2508125000000003</v>
      </c>
      <c r="K33" s="81">
        <f t="shared" si="3"/>
        <v>6</v>
      </c>
      <c r="L33" s="11"/>
      <c r="M33" s="11"/>
      <c r="N33" s="11"/>
      <c r="O33" s="28">
        <f>'DHS2025'!C32</f>
        <v>19426</v>
      </c>
      <c r="P33" s="29">
        <f>'DHS2025'!D32</f>
        <v>89</v>
      </c>
      <c r="Q33" s="29">
        <f>'DHS2025'!E32</f>
        <v>6054</v>
      </c>
      <c r="R33" s="62">
        <v>128.09</v>
      </c>
      <c r="S33" s="61">
        <f>(Porovnavanie!J35*0.99-1.9)*Porovnavanie!I35</f>
        <v>756.19969140000001</v>
      </c>
    </row>
    <row r="34" spans="1:19" ht="15.75" thickBot="1">
      <c r="A34" s="101">
        <f t="shared" si="4"/>
        <v>45690</v>
      </c>
      <c r="B34" s="25" t="s">
        <v>24</v>
      </c>
      <c r="C34" s="54">
        <f>'DHS2021'!C33</f>
        <v>19806</v>
      </c>
      <c r="D34" s="55">
        <f>'DHS2022'!C33</f>
        <v>11867</v>
      </c>
      <c r="E34" s="55">
        <f>'DHS2023'!C33</f>
        <v>14981</v>
      </c>
      <c r="F34" s="55">
        <f>'DHS2024'!C33</f>
        <v>12840</v>
      </c>
      <c r="G34" s="56">
        <f t="shared" si="0"/>
        <v>14873.5</v>
      </c>
      <c r="H34" s="75">
        <f t="shared" si="1"/>
        <v>3.718375</v>
      </c>
      <c r="I34" s="76">
        <v>1</v>
      </c>
      <c r="J34" s="75">
        <f t="shared" si="2"/>
        <v>4.718375</v>
      </c>
      <c r="K34" s="81">
        <f t="shared" si="3"/>
        <v>5</v>
      </c>
      <c r="L34" s="11"/>
      <c r="M34" s="11"/>
      <c r="N34" s="11"/>
      <c r="O34" s="28">
        <f>'DHS2025'!C33</f>
        <v>14589</v>
      </c>
      <c r="P34" s="29">
        <f>'DHS2025'!D33</f>
        <v>10892</v>
      </c>
      <c r="Q34" s="29">
        <f>'DHS2025'!E33</f>
        <v>8006</v>
      </c>
      <c r="R34" s="62">
        <v>135.9</v>
      </c>
      <c r="S34" s="61">
        <f>(Porovnavanie!J36*0.99-1.9)*Porovnavanie!I36</f>
        <v>1061.9238459999999</v>
      </c>
    </row>
    <row r="35" spans="1:19" ht="15.75" thickBot="1">
      <c r="A35" s="101">
        <f t="shared" si="4"/>
        <v>45690</v>
      </c>
      <c r="B35" s="25" t="s">
        <v>25</v>
      </c>
      <c r="C35" s="54">
        <f>'DHS2021'!C34</f>
        <v>21286</v>
      </c>
      <c r="D35" s="55">
        <f>'DHS2022'!C34</f>
        <v>11832</v>
      </c>
      <c r="E35" s="55">
        <f>'DHS2023'!C34</f>
        <v>16208</v>
      </c>
      <c r="F35" s="55">
        <f>'DHS2024'!C34</f>
        <v>12719</v>
      </c>
      <c r="G35" s="56">
        <f t="shared" si="0"/>
        <v>15511.25</v>
      </c>
      <c r="H35" s="75">
        <f t="shared" si="1"/>
        <v>3.8778125000000001</v>
      </c>
      <c r="I35" s="76">
        <v>1</v>
      </c>
      <c r="J35" s="75">
        <f t="shared" si="2"/>
        <v>4.8778125000000001</v>
      </c>
      <c r="K35" s="81">
        <f t="shared" si="3"/>
        <v>5</v>
      </c>
      <c r="L35" s="11"/>
      <c r="M35" s="11"/>
      <c r="N35" s="11"/>
      <c r="O35" s="28">
        <f>'DHS2025'!C34</f>
        <v>14541</v>
      </c>
      <c r="P35" s="29">
        <f>'DHS2025'!D34</f>
        <v>9421</v>
      </c>
      <c r="Q35" s="29">
        <f>'DHS2025'!E34</f>
        <v>8046</v>
      </c>
      <c r="R35" s="62">
        <v>137.30000000000001</v>
      </c>
      <c r="S35" s="61">
        <f>(Porovnavanie!J37*0.99-1.9)*Porovnavanie!I37</f>
        <v>1078.3812419999999</v>
      </c>
    </row>
    <row r="36" spans="1:19" ht="15.75" thickBot="1">
      <c r="A36" s="101">
        <f t="shared" si="4"/>
        <v>45690</v>
      </c>
      <c r="B36" s="25" t="s">
        <v>26</v>
      </c>
      <c r="C36" s="54">
        <f>'DHS2021'!C35</f>
        <v>20049</v>
      </c>
      <c r="D36" s="55">
        <f>'DHS2022'!C35</f>
        <v>9617</v>
      </c>
      <c r="E36" s="55">
        <f>'DHS2023'!C35</f>
        <v>14585</v>
      </c>
      <c r="F36" s="55">
        <f>'DHS2024'!C35</f>
        <v>14386</v>
      </c>
      <c r="G36" s="56">
        <f t="shared" si="0"/>
        <v>14659.25</v>
      </c>
      <c r="H36" s="75">
        <f t="shared" si="1"/>
        <v>3.6648125</v>
      </c>
      <c r="I36" s="76">
        <v>1</v>
      </c>
      <c r="J36" s="75">
        <f t="shared" si="2"/>
        <v>4.6648125</v>
      </c>
      <c r="K36" s="81">
        <f t="shared" si="3"/>
        <v>5</v>
      </c>
      <c r="L36" s="11"/>
      <c r="M36" s="11"/>
      <c r="N36" s="11"/>
      <c r="O36" s="28">
        <f>'DHS2025'!C35</f>
        <v>16426</v>
      </c>
      <c r="P36" s="29">
        <f>'DHS2025'!D35</f>
        <v>7522</v>
      </c>
      <c r="Q36" s="29">
        <f>'DHS2025'!E35</f>
        <v>8043</v>
      </c>
      <c r="R36" s="62">
        <v>137.69999999999999</v>
      </c>
      <c r="S36" s="61">
        <f>(Porovnavanie!J38*0.99-1.9)*Porovnavanie!I38</f>
        <v>1081.1641889999996</v>
      </c>
    </row>
    <row r="37" spans="1:19" ht="15.75" thickBot="1">
      <c r="A37" s="101">
        <f t="shared" si="4"/>
        <v>45690</v>
      </c>
      <c r="B37" s="25" t="s">
        <v>27</v>
      </c>
      <c r="C37" s="54">
        <f>'DHS2021'!C36</f>
        <v>18490</v>
      </c>
      <c r="D37" s="55">
        <f>'DHS2022'!C36</f>
        <v>10201</v>
      </c>
      <c r="E37" s="55">
        <f>'DHS2023'!C36</f>
        <v>14689</v>
      </c>
      <c r="F37" s="55">
        <f>'DHS2024'!C36</f>
        <v>14955</v>
      </c>
      <c r="G37" s="56">
        <f t="shared" si="0"/>
        <v>14583.75</v>
      </c>
      <c r="H37" s="75">
        <f t="shared" si="1"/>
        <v>3.6459375000000001</v>
      </c>
      <c r="I37" s="76">
        <v>1</v>
      </c>
      <c r="J37" s="75">
        <f t="shared" si="2"/>
        <v>4.6459375000000005</v>
      </c>
      <c r="K37" s="81">
        <f t="shared" si="3"/>
        <v>5</v>
      </c>
      <c r="L37" s="11"/>
      <c r="M37" s="11"/>
      <c r="N37" s="11"/>
      <c r="O37" s="28">
        <f>'DHS2025'!C36</f>
        <v>15696</v>
      </c>
      <c r="P37" s="29">
        <f>'DHS2025'!D36</f>
        <v>8427</v>
      </c>
      <c r="Q37" s="29">
        <f>'DHS2025'!E36</f>
        <v>8023</v>
      </c>
      <c r="R37" s="62">
        <v>130.04</v>
      </c>
      <c r="S37" s="61">
        <f>(Porovnavanie!J39*0.99-1.9)*Porovnavanie!I39</f>
        <v>1017.6341107999999</v>
      </c>
    </row>
    <row r="38" spans="1:19" ht="15.75" thickBot="1">
      <c r="A38" s="101">
        <f t="shared" si="4"/>
        <v>45690</v>
      </c>
      <c r="B38" s="25" t="s">
        <v>28</v>
      </c>
      <c r="C38" s="54">
        <f>'DHS2021'!C37</f>
        <v>15600</v>
      </c>
      <c r="D38" s="55">
        <f>'DHS2022'!C37</f>
        <v>9941</v>
      </c>
      <c r="E38" s="55">
        <f>'DHS2023'!C37</f>
        <v>13742</v>
      </c>
      <c r="F38" s="55">
        <f>'DHS2024'!C37</f>
        <v>14037</v>
      </c>
      <c r="G38" s="56">
        <f t="shared" si="0"/>
        <v>13330</v>
      </c>
      <c r="H38" s="75">
        <f t="shared" si="1"/>
        <v>3.3325</v>
      </c>
      <c r="I38" s="76">
        <v>1</v>
      </c>
      <c r="J38" s="75">
        <f t="shared" si="2"/>
        <v>4.3324999999999996</v>
      </c>
      <c r="K38" s="81">
        <f t="shared" si="3"/>
        <v>5</v>
      </c>
      <c r="L38" s="11"/>
      <c r="M38" s="11"/>
      <c r="N38" s="11"/>
      <c r="O38" s="28">
        <f>'DHS2025'!C37</f>
        <v>15209</v>
      </c>
      <c r="P38" s="29">
        <f>'DHS2025'!D37</f>
        <v>2590</v>
      </c>
      <c r="Q38" s="29">
        <f>'DHS2025'!E37</f>
        <v>5956</v>
      </c>
      <c r="R38" s="62">
        <v>129.33000000000001</v>
      </c>
      <c r="S38" s="61">
        <f>(Porovnavanie!J40*0.99-1.9)*Porovnavanie!I40</f>
        <v>751.27018520000013</v>
      </c>
    </row>
    <row r="39" spans="1:19" ht="15.75" thickBot="1">
      <c r="A39" s="101">
        <f t="shared" si="4"/>
        <v>45690</v>
      </c>
      <c r="B39" s="25" t="s">
        <v>29</v>
      </c>
      <c r="C39" s="54">
        <f>'DHS2021'!C38</f>
        <v>14709</v>
      </c>
      <c r="D39" s="55">
        <f>'DHS2022'!C38</f>
        <v>10879</v>
      </c>
      <c r="E39" s="55">
        <f>'DHS2023'!C38</f>
        <v>12619</v>
      </c>
      <c r="F39" s="55">
        <f>'DHS2024'!C38</f>
        <v>14461</v>
      </c>
      <c r="G39" s="56">
        <f t="shared" si="0"/>
        <v>13167</v>
      </c>
      <c r="H39" s="75">
        <f t="shared" si="1"/>
        <v>3.29175</v>
      </c>
      <c r="I39" s="76">
        <v>1</v>
      </c>
      <c r="J39" s="75">
        <f t="shared" si="2"/>
        <v>4.2917500000000004</v>
      </c>
      <c r="K39" s="81">
        <f t="shared" si="3"/>
        <v>5</v>
      </c>
      <c r="L39" s="11"/>
      <c r="M39" s="11"/>
      <c r="N39" s="11"/>
      <c r="O39" s="28">
        <f>'DHS2025'!C38</f>
        <v>14784</v>
      </c>
      <c r="P39" s="29">
        <f>'DHS2025'!D38</f>
        <v>1376</v>
      </c>
      <c r="Q39" s="29">
        <f>'DHS2025'!E38</f>
        <v>5049</v>
      </c>
      <c r="R39" s="62">
        <v>122.24</v>
      </c>
      <c r="S39" s="61">
        <f>(Porovnavanie!J41*0.99-1.9)*Porovnavanie!I41</f>
        <v>601.42476239999996</v>
      </c>
    </row>
    <row r="40" spans="1:19" ht="15.75" thickBot="1">
      <c r="A40" s="101">
        <f t="shared" si="4"/>
        <v>45690</v>
      </c>
      <c r="B40" s="25" t="s">
        <v>30</v>
      </c>
      <c r="C40" s="54">
        <f>'DHS2021'!C39</f>
        <v>16050</v>
      </c>
      <c r="D40" s="55">
        <f>'DHS2022'!C39</f>
        <v>10799</v>
      </c>
      <c r="E40" s="55">
        <f>'DHS2023'!C39</f>
        <v>14855</v>
      </c>
      <c r="F40" s="55">
        <f>'DHS2024'!C39</f>
        <v>14441</v>
      </c>
      <c r="G40" s="56">
        <f t="shared" si="0"/>
        <v>14036.25</v>
      </c>
      <c r="H40" s="75">
        <f t="shared" si="1"/>
        <v>3.5090625000000002</v>
      </c>
      <c r="I40" s="76">
        <v>1</v>
      </c>
      <c r="J40" s="75">
        <f t="shared" si="2"/>
        <v>4.5090625000000006</v>
      </c>
      <c r="K40" s="81">
        <f t="shared" si="3"/>
        <v>5</v>
      </c>
      <c r="L40" s="11"/>
      <c r="M40" s="11"/>
      <c r="N40" s="11"/>
      <c r="O40" s="28">
        <f>'DHS2025'!C39</f>
        <v>14093</v>
      </c>
      <c r="P40" s="29">
        <f>'DHS2025'!D39</f>
        <v>2917</v>
      </c>
      <c r="Q40" s="29">
        <f>'DHS2025'!E39</f>
        <v>5085</v>
      </c>
      <c r="R40" s="62">
        <v>111.88</v>
      </c>
      <c r="S40" s="61">
        <f>(Porovnavanie!J42*0.99-1.9)*Porovnavanie!I42</f>
        <v>553.55920199999991</v>
      </c>
    </row>
    <row r="41" spans="1:19" ht="15.75" thickBot="1">
      <c r="A41" s="101">
        <f t="shared" si="4"/>
        <v>45690</v>
      </c>
      <c r="B41" s="25" t="s">
        <v>31</v>
      </c>
      <c r="C41" s="54">
        <f>'DHS2021'!C40</f>
        <v>16070</v>
      </c>
      <c r="D41" s="55">
        <f>'DHS2022'!C40</f>
        <v>11398</v>
      </c>
      <c r="E41" s="55">
        <f>'DHS2023'!C40</f>
        <v>15167</v>
      </c>
      <c r="F41" s="55">
        <f>'DHS2024'!C40</f>
        <v>13406</v>
      </c>
      <c r="G41" s="56">
        <f t="shared" si="0"/>
        <v>14010.25</v>
      </c>
      <c r="H41" s="75">
        <f t="shared" si="1"/>
        <v>3.5025624999999998</v>
      </c>
      <c r="I41" s="76">
        <v>1</v>
      </c>
      <c r="J41" s="75">
        <f t="shared" si="2"/>
        <v>4.5025624999999998</v>
      </c>
      <c r="K41" s="81">
        <f t="shared" si="3"/>
        <v>5</v>
      </c>
      <c r="L41" s="11"/>
      <c r="M41" s="11"/>
      <c r="N41" s="11"/>
      <c r="O41" s="28">
        <f>'DHS2025'!C40</f>
        <v>13024</v>
      </c>
      <c r="P41" s="29">
        <f>'DHS2025'!D40</f>
        <v>6860</v>
      </c>
      <c r="Q41" s="29">
        <f>'DHS2025'!E40</f>
        <v>6554</v>
      </c>
      <c r="R41" s="62">
        <v>116.75</v>
      </c>
      <c r="S41" s="61">
        <f>(Porovnavanie!J43*0.99-1.9)*Porovnavanie!I43</f>
        <v>745.07510500000001</v>
      </c>
    </row>
    <row r="42" spans="1:19" ht="15.75" thickBot="1">
      <c r="A42" s="101">
        <f t="shared" si="4"/>
        <v>45690</v>
      </c>
      <c r="B42" s="25" t="s">
        <v>32</v>
      </c>
      <c r="C42" s="54">
        <f>'DHS2021'!C41</f>
        <v>16290</v>
      </c>
      <c r="D42" s="55">
        <f>'DHS2022'!C41</f>
        <v>10318</v>
      </c>
      <c r="E42" s="55">
        <f>'DHS2023'!C41</f>
        <v>15667</v>
      </c>
      <c r="F42" s="55">
        <f>'DHS2024'!C41</f>
        <v>12882</v>
      </c>
      <c r="G42" s="56">
        <f t="shared" si="0"/>
        <v>13789.25</v>
      </c>
      <c r="H42" s="75">
        <f t="shared" si="1"/>
        <v>3.4473124999999998</v>
      </c>
      <c r="I42" s="76">
        <v>1</v>
      </c>
      <c r="J42" s="75">
        <f t="shared" si="2"/>
        <v>4.4473124999999998</v>
      </c>
      <c r="K42" s="81">
        <f t="shared" si="3"/>
        <v>5</v>
      </c>
      <c r="L42" s="11"/>
      <c r="M42" s="11"/>
      <c r="N42" s="11"/>
      <c r="O42" s="28">
        <f>'DHS2025'!C41</f>
        <v>14127</v>
      </c>
      <c r="P42" s="29">
        <f>'DHS2025'!D41</f>
        <v>9817</v>
      </c>
      <c r="Q42" s="29">
        <f>'DHS2025'!E41</f>
        <v>8027</v>
      </c>
      <c r="R42" s="62">
        <v>129.30000000000001</v>
      </c>
      <c r="S42" s="61">
        <f>(Porovnavanie!J44*0.99-1.9)*Porovnavanie!I44</f>
        <v>1012.2608889999999</v>
      </c>
    </row>
    <row r="43" spans="1:19" ht="15.75" thickBot="1">
      <c r="A43" s="101">
        <f t="shared" si="4"/>
        <v>45690</v>
      </c>
      <c r="B43" s="25" t="s">
        <v>33</v>
      </c>
      <c r="C43" s="54">
        <f>'DHS2021'!C42</f>
        <v>16962</v>
      </c>
      <c r="D43" s="55">
        <f>'DHS2022'!C42</f>
        <v>11065</v>
      </c>
      <c r="E43" s="55">
        <f>'DHS2023'!C42</f>
        <v>13917</v>
      </c>
      <c r="F43" s="55">
        <f>'DHS2024'!C42</f>
        <v>14361</v>
      </c>
      <c r="G43" s="56">
        <f t="shared" si="0"/>
        <v>14076.25</v>
      </c>
      <c r="H43" s="75">
        <f t="shared" si="1"/>
        <v>3.5190625</v>
      </c>
      <c r="I43" s="76">
        <v>1</v>
      </c>
      <c r="J43" s="75">
        <f t="shared" si="2"/>
        <v>4.5190625000000004</v>
      </c>
      <c r="K43" s="81">
        <f t="shared" si="3"/>
        <v>5</v>
      </c>
      <c r="L43" s="11"/>
      <c r="M43" s="11"/>
      <c r="N43" s="11"/>
      <c r="O43" s="28">
        <f>'DHS2025'!C42</f>
        <v>15398</v>
      </c>
      <c r="P43" s="29">
        <f>'DHS2025'!D42</f>
        <v>8637</v>
      </c>
      <c r="Q43" s="29">
        <f>'DHS2025'!E42</f>
        <v>8053</v>
      </c>
      <c r="R43" s="62">
        <v>153.93</v>
      </c>
      <c r="S43" s="61">
        <f>(Porovnavanie!J45*0.99-1.9)*Porovnavanie!I45</f>
        <v>1211.9016071000001</v>
      </c>
    </row>
    <row r="44" spans="1:19" ht="15.75" thickBot="1">
      <c r="A44" s="101">
        <f t="shared" si="4"/>
        <v>45690</v>
      </c>
      <c r="B44" s="25" t="s">
        <v>34</v>
      </c>
      <c r="C44" s="54">
        <f>'DHS2021'!C43</f>
        <v>18349</v>
      </c>
      <c r="D44" s="55">
        <f>'DHS2022'!C43</f>
        <v>11212</v>
      </c>
      <c r="E44" s="55">
        <f>'DHS2023'!C43</f>
        <v>14680</v>
      </c>
      <c r="F44" s="55">
        <f>'DHS2024'!C43</f>
        <v>15886</v>
      </c>
      <c r="G44" s="56">
        <f t="shared" si="0"/>
        <v>15031.75</v>
      </c>
      <c r="H44" s="75">
        <f t="shared" si="1"/>
        <v>3.7579375000000002</v>
      </c>
      <c r="I44" s="76">
        <v>1</v>
      </c>
      <c r="J44" s="75">
        <f t="shared" si="2"/>
        <v>4.7579375000000006</v>
      </c>
      <c r="K44" s="81">
        <f t="shared" si="3"/>
        <v>5</v>
      </c>
      <c r="L44" s="11"/>
      <c r="M44" s="11"/>
      <c r="N44" s="11"/>
      <c r="O44" s="28">
        <f>'DHS2025'!C43</f>
        <v>15980</v>
      </c>
      <c r="P44" s="29">
        <f>'DHS2025'!D43</f>
        <v>7852</v>
      </c>
      <c r="Q44" s="29">
        <f>'DHS2025'!E43</f>
        <v>8056</v>
      </c>
      <c r="R44" s="62">
        <v>165.75</v>
      </c>
      <c r="S44" s="61">
        <f>(Porovnavanie!J46*0.99-1.9)*Porovnavanie!I46</f>
        <v>1306.6227799999999</v>
      </c>
    </row>
    <row r="45" spans="1:19" ht="15.75" thickBot="1">
      <c r="A45" s="101">
        <f t="shared" si="4"/>
        <v>45690</v>
      </c>
      <c r="B45" s="25" t="s">
        <v>35</v>
      </c>
      <c r="C45" s="54">
        <f>'DHS2021'!C44</f>
        <v>18061</v>
      </c>
      <c r="D45" s="55">
        <f>'DHS2022'!C44</f>
        <v>10753</v>
      </c>
      <c r="E45" s="55">
        <f>'DHS2023'!C44</f>
        <v>15388</v>
      </c>
      <c r="F45" s="55">
        <f>'DHS2024'!C44</f>
        <v>15996</v>
      </c>
      <c r="G45" s="56">
        <f t="shared" si="0"/>
        <v>15049.5</v>
      </c>
      <c r="H45" s="75">
        <f t="shared" si="1"/>
        <v>3.762375</v>
      </c>
      <c r="I45" s="76">
        <v>1</v>
      </c>
      <c r="J45" s="75">
        <f t="shared" si="2"/>
        <v>4.7623750000000005</v>
      </c>
      <c r="K45" s="81">
        <f t="shared" si="3"/>
        <v>5</v>
      </c>
      <c r="L45" s="11"/>
      <c r="M45" s="11"/>
      <c r="N45" s="11"/>
      <c r="O45" s="28">
        <f>'DHS2025'!C44</f>
        <v>15492</v>
      </c>
      <c r="P45" s="29">
        <f>'DHS2025'!D44</f>
        <v>9021</v>
      </c>
      <c r="Q45" s="29">
        <f>'DHS2025'!E44</f>
        <v>8047</v>
      </c>
      <c r="R45" s="62">
        <v>172.15</v>
      </c>
      <c r="S45" s="61">
        <f>(Porovnavanie!J47*0.99-1.9)*Porovnavanie!I47</f>
        <v>1356.1488395000001</v>
      </c>
    </row>
    <row r="46" spans="1:19" ht="15.75" thickBot="1">
      <c r="A46" s="101">
        <f t="shared" si="4"/>
        <v>45690</v>
      </c>
      <c r="B46" s="25" t="s">
        <v>36</v>
      </c>
      <c r="C46" s="54">
        <f>'DHS2021'!C45</f>
        <v>16851</v>
      </c>
      <c r="D46" s="55">
        <f>'DHS2022'!C45</f>
        <v>11369</v>
      </c>
      <c r="E46" s="55">
        <f>'DHS2023'!C45</f>
        <v>15042</v>
      </c>
      <c r="F46" s="55">
        <f>'DHS2024'!C45</f>
        <v>14548</v>
      </c>
      <c r="G46" s="56">
        <f t="shared" si="0"/>
        <v>14452.5</v>
      </c>
      <c r="H46" s="75">
        <f t="shared" si="1"/>
        <v>3.6131250000000001</v>
      </c>
      <c r="I46" s="76">
        <v>1</v>
      </c>
      <c r="J46" s="75">
        <f t="shared" si="2"/>
        <v>4.6131250000000001</v>
      </c>
      <c r="K46" s="81">
        <f t="shared" si="3"/>
        <v>5</v>
      </c>
      <c r="L46" s="11"/>
      <c r="M46" s="11"/>
      <c r="N46" s="11"/>
      <c r="O46" s="28">
        <f>'DHS2025'!C45</f>
        <v>16055</v>
      </c>
      <c r="P46" s="29">
        <f>'DHS2025'!D45</f>
        <v>8765</v>
      </c>
      <c r="Q46" s="29">
        <f>'DHS2025'!E45</f>
        <v>8049</v>
      </c>
      <c r="R46" s="62">
        <v>173.95</v>
      </c>
      <c r="S46" s="61">
        <f>(Porovnavanie!J48*0.99-1.9)*Porovnavanie!I48</f>
        <v>1370.8292144999998</v>
      </c>
    </row>
    <row r="47" spans="1:19" ht="15.75" thickBot="1">
      <c r="A47" s="101">
        <f t="shared" si="4"/>
        <v>45690</v>
      </c>
      <c r="B47" s="25" t="s">
        <v>37</v>
      </c>
      <c r="C47" s="54">
        <f>'DHS2021'!C46</f>
        <v>18059</v>
      </c>
      <c r="D47" s="55">
        <f>'DHS2022'!C46</f>
        <v>11853</v>
      </c>
      <c r="E47" s="55">
        <f>'DHS2023'!C46</f>
        <v>13512</v>
      </c>
      <c r="F47" s="55">
        <f>'DHS2024'!C46</f>
        <v>16133</v>
      </c>
      <c r="G47" s="56">
        <f t="shared" si="0"/>
        <v>14889.25</v>
      </c>
      <c r="H47" s="75">
        <f t="shared" si="1"/>
        <v>3.7223125000000001</v>
      </c>
      <c r="I47" s="76">
        <v>1</v>
      </c>
      <c r="J47" s="75">
        <f t="shared" si="2"/>
        <v>4.7223125000000001</v>
      </c>
      <c r="K47" s="81">
        <f t="shared" si="3"/>
        <v>5</v>
      </c>
      <c r="L47" s="11"/>
      <c r="M47" s="11"/>
      <c r="N47" s="11"/>
      <c r="O47" s="28">
        <f>'DHS2025'!C46</f>
        <v>16599</v>
      </c>
      <c r="P47" s="29">
        <f>'DHS2025'!D46</f>
        <v>7797</v>
      </c>
      <c r="Q47" s="29">
        <f>'DHS2025'!E46</f>
        <v>8064</v>
      </c>
      <c r="R47" s="62">
        <v>165.5</v>
      </c>
      <c r="S47" s="61">
        <f>(Porovnavanie!J49*0.99-1.9)*Porovnavanie!I49</f>
        <v>1305.9244799999999</v>
      </c>
    </row>
    <row r="48" spans="1:19" ht="15.75" thickBot="1">
      <c r="A48" s="101">
        <f t="shared" si="4"/>
        <v>45690</v>
      </c>
      <c r="B48" s="25" t="s">
        <v>38</v>
      </c>
      <c r="C48" s="54">
        <f>'DHS2021'!C47</f>
        <v>16752</v>
      </c>
      <c r="D48" s="55">
        <f>'DHS2022'!C47</f>
        <v>11597</v>
      </c>
      <c r="E48" s="55">
        <f>'DHS2023'!C47</f>
        <v>14513</v>
      </c>
      <c r="F48" s="55">
        <f>'DHS2024'!C47</f>
        <v>14993</v>
      </c>
      <c r="G48" s="56">
        <f t="shared" si="0"/>
        <v>14463.75</v>
      </c>
      <c r="H48" s="75">
        <f t="shared" si="1"/>
        <v>3.6159374999999998</v>
      </c>
      <c r="I48" s="76">
        <v>1</v>
      </c>
      <c r="J48" s="75">
        <f t="shared" si="2"/>
        <v>4.6159374999999994</v>
      </c>
      <c r="K48" s="81">
        <f t="shared" si="3"/>
        <v>5</v>
      </c>
      <c r="L48" s="11"/>
      <c r="M48" s="11"/>
      <c r="N48" s="11"/>
      <c r="O48" s="28">
        <f>'DHS2025'!C47</f>
        <v>16619</v>
      </c>
      <c r="P48" s="29">
        <f>'DHS2025'!D47</f>
        <v>7502</v>
      </c>
      <c r="Q48" s="29">
        <f>'DHS2025'!E47</f>
        <v>8060</v>
      </c>
      <c r="R48" s="62">
        <v>155.77000000000001</v>
      </c>
      <c r="S48" s="61">
        <f>(Porovnavanie!J50*0.99-1.9)*Porovnavanie!I50</f>
        <v>1227.637138</v>
      </c>
    </row>
    <row r="49" spans="1:19" ht="15.75" thickBot="1">
      <c r="A49" s="101">
        <f t="shared" si="4"/>
        <v>45690</v>
      </c>
      <c r="B49" s="25" t="s">
        <v>39</v>
      </c>
      <c r="C49" s="54">
        <f>'DHS2021'!C48</f>
        <v>14168</v>
      </c>
      <c r="D49" s="55">
        <f>'DHS2022'!C48</f>
        <v>10184</v>
      </c>
      <c r="E49" s="55">
        <f>'DHS2023'!C48</f>
        <v>13469</v>
      </c>
      <c r="F49" s="55">
        <f>'DHS2024'!C48</f>
        <v>13362</v>
      </c>
      <c r="G49" s="56">
        <f t="shared" si="0"/>
        <v>12795.75</v>
      </c>
      <c r="H49" s="75">
        <f t="shared" si="1"/>
        <v>3.1989375</v>
      </c>
      <c r="I49" s="76">
        <v>1</v>
      </c>
      <c r="J49" s="75">
        <f t="shared" si="2"/>
        <v>4.1989374999999995</v>
      </c>
      <c r="K49" s="81">
        <f t="shared" si="3"/>
        <v>5</v>
      </c>
      <c r="L49" s="11"/>
      <c r="M49" s="11"/>
      <c r="N49" s="11"/>
      <c r="O49" s="28">
        <f>'DHS2025'!C48</f>
        <v>14649</v>
      </c>
      <c r="P49" s="29">
        <f>'DHS2025'!D48</f>
        <v>5257</v>
      </c>
      <c r="Q49" s="29">
        <f>'DHS2025'!E48</f>
        <v>6784</v>
      </c>
      <c r="R49" s="62">
        <v>148.44</v>
      </c>
      <c r="S49" s="61">
        <f>(Porovnavanie!J51*0.99-1.9)*Porovnavanie!I51</f>
        <v>984.05719039999997</v>
      </c>
    </row>
    <row r="50" spans="1:19" ht="15.75" thickBot="1">
      <c r="A50" s="101">
        <f t="shared" si="4"/>
        <v>45690</v>
      </c>
      <c r="B50" s="25" t="s">
        <v>40</v>
      </c>
      <c r="C50" s="54">
        <f>'DHS2021'!C49</f>
        <v>9757</v>
      </c>
      <c r="D50" s="55">
        <f>'DHS2022'!C49</f>
        <v>5621</v>
      </c>
      <c r="E50" s="55">
        <f>'DHS2023'!C49</f>
        <v>6533</v>
      </c>
      <c r="F50" s="55">
        <f>'DHS2024'!C49</f>
        <v>7957</v>
      </c>
      <c r="G50" s="56">
        <f t="shared" si="0"/>
        <v>7467</v>
      </c>
      <c r="H50" s="75">
        <f t="shared" si="1"/>
        <v>1.8667499999999999</v>
      </c>
      <c r="I50" s="76">
        <v>1</v>
      </c>
      <c r="J50" s="75">
        <f t="shared" si="2"/>
        <v>2.8667499999999997</v>
      </c>
      <c r="K50" s="81">
        <f t="shared" si="3"/>
        <v>3</v>
      </c>
      <c r="L50" s="11"/>
      <c r="M50" s="11"/>
      <c r="N50" s="11"/>
      <c r="O50" s="28">
        <f>'DHS2025'!C49</f>
        <v>8134</v>
      </c>
      <c r="P50" s="29">
        <f>'DHS2025'!D49</f>
        <v>4380</v>
      </c>
      <c r="Q50" s="29">
        <f>'DHS2025'!E49</f>
        <v>3696</v>
      </c>
      <c r="R50" s="62">
        <v>133.24</v>
      </c>
      <c r="S50" s="61">
        <f>(Porovnavanie!J52*0.99-1.9)*Porovnavanie!I52</f>
        <v>480.50808960000001</v>
      </c>
    </row>
    <row r="51" spans="1:19" ht="15.75" thickBot="1">
      <c r="A51" s="100">
        <f t="shared" si="4"/>
        <v>45691</v>
      </c>
      <c r="B51" s="24" t="s">
        <v>17</v>
      </c>
      <c r="C51" s="54">
        <f>'DHS2021'!C50</f>
        <v>7924</v>
      </c>
      <c r="D51" s="55">
        <f>'DHS2022'!C50</f>
        <v>5897</v>
      </c>
      <c r="E51" s="55">
        <f>'DHS2023'!C50</f>
        <v>6259</v>
      </c>
      <c r="F51" s="55">
        <f>'DHS2024'!C50</f>
        <v>11105</v>
      </c>
      <c r="G51" s="56">
        <f t="shared" si="0"/>
        <v>7796.25</v>
      </c>
      <c r="H51" s="75">
        <f t="shared" si="1"/>
        <v>1.9490624999999999</v>
      </c>
      <c r="I51" s="76">
        <v>1</v>
      </c>
      <c r="J51" s="75">
        <f t="shared" si="2"/>
        <v>2.9490625000000001</v>
      </c>
      <c r="K51" s="81">
        <f t="shared" si="3"/>
        <v>3</v>
      </c>
      <c r="L51" s="11"/>
      <c r="M51" s="11"/>
      <c r="N51" s="11"/>
      <c r="O51" s="28">
        <f>'DHS2025'!C50</f>
        <v>7479</v>
      </c>
      <c r="P51" s="29">
        <f>'DHS2025'!D50</f>
        <v>3086</v>
      </c>
      <c r="Q51" s="29">
        <f>'DHS2025'!E50</f>
        <v>3050</v>
      </c>
      <c r="R51" s="62">
        <v>129.54</v>
      </c>
      <c r="S51" s="61">
        <f>(Porovnavanie!J53*0.99-1.9)*Porovnavanie!I53</f>
        <v>385.35102999999992</v>
      </c>
    </row>
    <row r="52" spans="1:19" ht="15.75" thickBot="1">
      <c r="A52" s="100">
        <f t="shared" si="4"/>
        <v>45691</v>
      </c>
      <c r="B52" s="24" t="s">
        <v>18</v>
      </c>
      <c r="C52" s="54">
        <f>'DHS2021'!C51</f>
        <v>9695</v>
      </c>
      <c r="D52" s="55">
        <f>'DHS2022'!C51</f>
        <v>6091</v>
      </c>
      <c r="E52" s="55">
        <f>'DHS2023'!C51</f>
        <v>9564</v>
      </c>
      <c r="F52" s="55">
        <f>'DHS2024'!C51</f>
        <v>11953</v>
      </c>
      <c r="G52" s="56">
        <f t="shared" si="0"/>
        <v>9325.75</v>
      </c>
      <c r="H52" s="75">
        <f t="shared" si="1"/>
        <v>2.3314374999999998</v>
      </c>
      <c r="I52" s="76">
        <v>1</v>
      </c>
      <c r="J52" s="75">
        <f t="shared" si="2"/>
        <v>3.3314374999999998</v>
      </c>
      <c r="K52" s="81">
        <f t="shared" si="3"/>
        <v>4</v>
      </c>
      <c r="L52" s="11"/>
      <c r="M52" s="11"/>
      <c r="N52" s="11"/>
      <c r="O52" s="28">
        <f>'DHS2025'!C51</f>
        <v>10778</v>
      </c>
      <c r="P52" s="29">
        <f>'DHS2025'!D51</f>
        <v>2911</v>
      </c>
      <c r="Q52" s="29">
        <f>'DHS2025'!E51</f>
        <v>3498</v>
      </c>
      <c r="R52" s="62">
        <v>126.63</v>
      </c>
      <c r="S52" s="61">
        <f>(Porovnavanie!J54*0.99-1.9)*Porovnavanie!I54</f>
        <v>431.8760226</v>
      </c>
    </row>
    <row r="53" spans="1:19" ht="15.75" thickBot="1">
      <c r="A53" s="100">
        <f t="shared" si="4"/>
        <v>45691</v>
      </c>
      <c r="B53" s="24" t="s">
        <v>19</v>
      </c>
      <c r="C53" s="54">
        <f>'DHS2021'!C52</f>
        <v>10331</v>
      </c>
      <c r="D53" s="55">
        <f>'DHS2022'!C52</f>
        <v>5316</v>
      </c>
      <c r="E53" s="55">
        <f>'DHS2023'!C52</f>
        <v>12128</v>
      </c>
      <c r="F53" s="55">
        <f>'DHS2024'!C52</f>
        <v>9656</v>
      </c>
      <c r="G53" s="56">
        <f t="shared" si="0"/>
        <v>9357.75</v>
      </c>
      <c r="H53" s="75">
        <f t="shared" si="1"/>
        <v>2.3394374999999998</v>
      </c>
      <c r="I53" s="76">
        <v>1</v>
      </c>
      <c r="J53" s="75">
        <f t="shared" si="2"/>
        <v>3.3394374999999998</v>
      </c>
      <c r="K53" s="81">
        <f t="shared" si="3"/>
        <v>4</v>
      </c>
      <c r="L53" s="11"/>
      <c r="M53" s="11"/>
      <c r="N53" s="11"/>
      <c r="O53" s="28">
        <f>'DHS2025'!C52</f>
        <v>11677</v>
      </c>
      <c r="P53" s="29">
        <f>'DHS2025'!D52</f>
        <v>2605</v>
      </c>
      <c r="Q53" s="29">
        <f>'DHS2025'!E52</f>
        <v>4071</v>
      </c>
      <c r="R53" s="62">
        <v>124.72</v>
      </c>
      <c r="S53" s="61">
        <f>(Porovnavanie!J55*0.99-1.9)*Porovnavanie!I55</f>
        <v>494.92286879999989</v>
      </c>
    </row>
    <row r="54" spans="1:19" ht="15.75" thickBot="1">
      <c r="A54" s="100">
        <f t="shared" si="4"/>
        <v>45691</v>
      </c>
      <c r="B54" s="24" t="s">
        <v>20</v>
      </c>
      <c r="C54" s="54">
        <f>'DHS2021'!C53</f>
        <v>11240</v>
      </c>
      <c r="D54" s="55">
        <f>'DHS2022'!C53</f>
        <v>6680</v>
      </c>
      <c r="E54" s="55">
        <f>'DHS2023'!C53</f>
        <v>12855</v>
      </c>
      <c r="F54" s="55">
        <f>'DHS2024'!C53</f>
        <v>12831</v>
      </c>
      <c r="G54" s="56">
        <f t="shared" si="0"/>
        <v>10901.5</v>
      </c>
      <c r="H54" s="75">
        <f t="shared" si="1"/>
        <v>2.7253750000000001</v>
      </c>
      <c r="I54" s="76">
        <v>1</v>
      </c>
      <c r="J54" s="75">
        <f t="shared" si="2"/>
        <v>3.7253750000000001</v>
      </c>
      <c r="K54" s="81">
        <f t="shared" si="3"/>
        <v>4</v>
      </c>
      <c r="L54" s="11"/>
      <c r="M54" s="11"/>
      <c r="N54" s="11"/>
      <c r="O54" s="28">
        <f>'DHS2025'!C53</f>
        <v>13662</v>
      </c>
      <c r="P54" s="29">
        <f>'DHS2025'!D53</f>
        <v>1144</v>
      </c>
      <c r="Q54" s="29">
        <f>'DHS2025'!E53</f>
        <v>4068</v>
      </c>
      <c r="R54" s="62">
        <v>120.04</v>
      </c>
      <c r="S54" s="61">
        <f>(Porovnavanie!J56*0.99-1.9)*Porovnavanie!I56</f>
        <v>475.71029279999993</v>
      </c>
    </row>
    <row r="55" spans="1:19" ht="15.75" thickBot="1">
      <c r="A55" s="100">
        <f t="shared" si="4"/>
        <v>45691</v>
      </c>
      <c r="B55" s="24" t="s">
        <v>21</v>
      </c>
      <c r="C55" s="54">
        <f>'DHS2021'!C54</f>
        <v>20599</v>
      </c>
      <c r="D55" s="55">
        <f>'DHS2022'!C54</f>
        <v>9305</v>
      </c>
      <c r="E55" s="55">
        <f>'DHS2023'!C54</f>
        <v>13715</v>
      </c>
      <c r="F55" s="55">
        <f>'DHS2024'!C54</f>
        <v>14023</v>
      </c>
      <c r="G55" s="56">
        <f t="shared" si="0"/>
        <v>14410.5</v>
      </c>
      <c r="H55" s="75">
        <f t="shared" si="1"/>
        <v>3.6026250000000002</v>
      </c>
      <c r="I55" s="76">
        <v>1</v>
      </c>
      <c r="J55" s="75">
        <f t="shared" si="2"/>
        <v>4.6026249999999997</v>
      </c>
      <c r="K55" s="81">
        <f t="shared" si="3"/>
        <v>5</v>
      </c>
      <c r="L55" s="11"/>
      <c r="M55" s="11"/>
      <c r="N55" s="11"/>
      <c r="O55" s="28">
        <f>'DHS2025'!C54</f>
        <v>14184</v>
      </c>
      <c r="P55" s="29">
        <f>'DHS2025'!D54</f>
        <v>76</v>
      </c>
      <c r="Q55" s="29">
        <f>'DHS2025'!E54</f>
        <v>4464</v>
      </c>
      <c r="R55" s="62">
        <v>123.24</v>
      </c>
      <c r="S55" s="61">
        <f>(Porovnavanie!J57*0.99-1.9)*Porovnavanie!I57</f>
        <v>536.16032640000003</v>
      </c>
    </row>
    <row r="56" spans="1:19" ht="15.75" thickBot="1">
      <c r="A56" s="100">
        <f t="shared" si="4"/>
        <v>45691</v>
      </c>
      <c r="B56" s="24" t="s">
        <v>22</v>
      </c>
      <c r="C56" s="54">
        <f>'DHS2021'!C55</f>
        <v>16839</v>
      </c>
      <c r="D56" s="55">
        <f>'DHS2022'!C55</f>
        <v>14566</v>
      </c>
      <c r="E56" s="55">
        <f>'DHS2023'!C55</f>
        <v>16160</v>
      </c>
      <c r="F56" s="55">
        <f>'DHS2024'!C55</f>
        <v>11867</v>
      </c>
      <c r="G56" s="56">
        <f t="shared" si="0"/>
        <v>14858</v>
      </c>
      <c r="H56" s="75">
        <f t="shared" si="1"/>
        <v>3.7145000000000001</v>
      </c>
      <c r="I56" s="76">
        <v>1</v>
      </c>
      <c r="J56" s="75">
        <f t="shared" si="2"/>
        <v>4.7145000000000001</v>
      </c>
      <c r="K56" s="81">
        <f t="shared" si="3"/>
        <v>5</v>
      </c>
      <c r="L56" s="11"/>
      <c r="M56" s="11"/>
      <c r="N56" s="11"/>
      <c r="O56" s="28">
        <f>'DHS2025'!C55</f>
        <v>16195</v>
      </c>
      <c r="P56" s="29">
        <f>'DHS2025'!D55</f>
        <v>97</v>
      </c>
      <c r="Q56" s="29">
        <f>'DHS2025'!E55</f>
        <v>5053</v>
      </c>
      <c r="R56" s="62">
        <v>127.77</v>
      </c>
      <c r="S56" s="61">
        <f>(Porovnavanie!J58*0.99-1.9)*Porovnavanie!I58</f>
        <v>629.56489190000002</v>
      </c>
    </row>
    <row r="57" spans="1:19" ht="15.75" thickBot="1">
      <c r="A57" s="100">
        <f t="shared" si="4"/>
        <v>45691</v>
      </c>
      <c r="B57" s="24" t="s">
        <v>23</v>
      </c>
      <c r="C57" s="54">
        <f>'DHS2021'!C56</f>
        <v>20404</v>
      </c>
      <c r="D57" s="55">
        <f>'DHS2022'!C56</f>
        <v>14579</v>
      </c>
      <c r="E57" s="55">
        <f>'DHS2023'!C56</f>
        <v>15665</v>
      </c>
      <c r="F57" s="55">
        <f>'DHS2024'!C56</f>
        <v>12619</v>
      </c>
      <c r="G57" s="56">
        <f t="shared" si="0"/>
        <v>15816.75</v>
      </c>
      <c r="H57" s="75">
        <f t="shared" si="1"/>
        <v>3.9541875000000002</v>
      </c>
      <c r="I57" s="76">
        <v>1</v>
      </c>
      <c r="J57" s="75">
        <f t="shared" si="2"/>
        <v>4.9541874999999997</v>
      </c>
      <c r="K57" s="81">
        <f t="shared" si="3"/>
        <v>5</v>
      </c>
      <c r="L57" s="11"/>
      <c r="M57" s="11"/>
      <c r="N57" s="11"/>
      <c r="O57" s="28">
        <f>'DHS2025'!C56</f>
        <v>20023</v>
      </c>
      <c r="P57" s="29">
        <f>'DHS2025'!D56</f>
        <v>139</v>
      </c>
      <c r="Q57" s="29">
        <f>'DHS2025'!E56</f>
        <v>6480</v>
      </c>
      <c r="R57" s="62">
        <v>159.18</v>
      </c>
      <c r="S57" s="61">
        <f>(Porovnavanie!J59*0.99-1.9)*Porovnavanie!I59</f>
        <v>1008.859536</v>
      </c>
    </row>
    <row r="58" spans="1:19" ht="15.75" thickBot="1">
      <c r="A58" s="100">
        <f t="shared" si="4"/>
        <v>45691</v>
      </c>
      <c r="B58" s="24" t="s">
        <v>24</v>
      </c>
      <c r="C58" s="54">
        <f>'DHS2021'!C57</f>
        <v>17358</v>
      </c>
      <c r="D58" s="55">
        <f>'DHS2022'!C57</f>
        <v>14456</v>
      </c>
      <c r="E58" s="55">
        <f>'DHS2023'!C57</f>
        <v>15523</v>
      </c>
      <c r="F58" s="55">
        <f>'DHS2024'!C57</f>
        <v>13045</v>
      </c>
      <c r="G58" s="56">
        <f t="shared" si="0"/>
        <v>15095.5</v>
      </c>
      <c r="H58" s="75">
        <f t="shared" si="1"/>
        <v>3.7738749999999999</v>
      </c>
      <c r="I58" s="76">
        <v>1</v>
      </c>
      <c r="J58" s="75">
        <f t="shared" si="2"/>
        <v>4.7738750000000003</v>
      </c>
      <c r="K58" s="81">
        <f t="shared" si="3"/>
        <v>5</v>
      </c>
      <c r="L58" s="11"/>
      <c r="M58" s="11"/>
      <c r="N58" s="11"/>
      <c r="O58" s="28">
        <f>'DHS2025'!C57</f>
        <v>18251</v>
      </c>
      <c r="P58" s="29">
        <f>'DHS2025'!D57</f>
        <v>5857</v>
      </c>
      <c r="Q58" s="29">
        <f>'DHS2025'!E57</f>
        <v>8055</v>
      </c>
      <c r="R58" s="62">
        <v>207.88</v>
      </c>
      <c r="S58" s="61">
        <f>(Porovnavanie!J60*0.99-1.9)*Porovnavanie!I60</f>
        <v>1642.4241659999998</v>
      </c>
    </row>
    <row r="59" spans="1:19" ht="15.75" thickBot="1">
      <c r="A59" s="100">
        <f t="shared" si="4"/>
        <v>45691</v>
      </c>
      <c r="B59" s="24" t="s">
        <v>25</v>
      </c>
      <c r="C59" s="54">
        <f>'DHS2021'!C58</f>
        <v>17210</v>
      </c>
      <c r="D59" s="55">
        <f>'DHS2022'!C58</f>
        <v>12348</v>
      </c>
      <c r="E59" s="55">
        <f>'DHS2023'!C58</f>
        <v>18022</v>
      </c>
      <c r="F59" s="55">
        <f>'DHS2024'!C58</f>
        <v>15002</v>
      </c>
      <c r="G59" s="56">
        <f t="shared" si="0"/>
        <v>15645.5</v>
      </c>
      <c r="H59" s="75">
        <f t="shared" si="1"/>
        <v>3.911375</v>
      </c>
      <c r="I59" s="76">
        <v>1</v>
      </c>
      <c r="J59" s="75">
        <f t="shared" si="2"/>
        <v>4.9113749999999996</v>
      </c>
      <c r="K59" s="81">
        <f t="shared" si="3"/>
        <v>5</v>
      </c>
      <c r="L59" s="11"/>
      <c r="M59" s="11"/>
      <c r="N59" s="11"/>
      <c r="O59" s="28">
        <f>'DHS2025'!C58</f>
        <v>15792</v>
      </c>
      <c r="P59" s="29">
        <f>'DHS2025'!D58</f>
        <v>7895</v>
      </c>
      <c r="Q59" s="29">
        <f>'DHS2025'!E58</f>
        <v>8055</v>
      </c>
      <c r="R59" s="62">
        <v>243.23</v>
      </c>
      <c r="S59" s="61">
        <f>(Porovnavanie!J61*0.99-1.9)*Porovnavanie!I61</f>
        <v>1924.3209734999998</v>
      </c>
    </row>
    <row r="60" spans="1:19" ht="15.75" thickBot="1">
      <c r="A60" s="100">
        <f t="shared" si="4"/>
        <v>45691</v>
      </c>
      <c r="B60" s="24" t="s">
        <v>26</v>
      </c>
      <c r="C60" s="54">
        <f>'DHS2021'!C59</f>
        <v>17614</v>
      </c>
      <c r="D60" s="55">
        <f>'DHS2022'!C59</f>
        <v>11438</v>
      </c>
      <c r="E60" s="55">
        <f>'DHS2023'!C59</f>
        <v>17194</v>
      </c>
      <c r="F60" s="55">
        <f>'DHS2024'!C59</f>
        <v>16471</v>
      </c>
      <c r="G60" s="56">
        <f t="shared" si="0"/>
        <v>15679.25</v>
      </c>
      <c r="H60" s="75">
        <f t="shared" si="1"/>
        <v>3.9198124999999999</v>
      </c>
      <c r="I60" s="76">
        <v>1</v>
      </c>
      <c r="J60" s="75">
        <f t="shared" si="2"/>
        <v>4.9198124999999999</v>
      </c>
      <c r="K60" s="81">
        <f t="shared" si="3"/>
        <v>5</v>
      </c>
      <c r="L60" s="11"/>
      <c r="M60" s="11"/>
      <c r="N60" s="11"/>
      <c r="O60" s="28">
        <f>'DHS2025'!C59</f>
        <v>16164</v>
      </c>
      <c r="P60" s="29">
        <f>'DHS2025'!D59</f>
        <v>8282</v>
      </c>
      <c r="Q60" s="29">
        <f>'DHS2025'!E59</f>
        <v>8056</v>
      </c>
      <c r="R60" s="62">
        <v>178.04</v>
      </c>
      <c r="S60" s="61">
        <f>(Porovnavanie!J62*0.99-1.9)*Porovnavanie!I62</f>
        <v>1404.6409375999997</v>
      </c>
    </row>
    <row r="61" spans="1:19" ht="15.75" thickBot="1">
      <c r="A61" s="100">
        <f t="shared" si="4"/>
        <v>45691</v>
      </c>
      <c r="B61" s="24" t="s">
        <v>27</v>
      </c>
      <c r="C61" s="54">
        <f>'DHS2021'!C60</f>
        <v>17062</v>
      </c>
      <c r="D61" s="55">
        <f>'DHS2022'!C60</f>
        <v>11286</v>
      </c>
      <c r="E61" s="55">
        <f>'DHS2023'!C60</f>
        <v>15035</v>
      </c>
      <c r="F61" s="55">
        <f>'DHS2024'!C60</f>
        <v>14915</v>
      </c>
      <c r="G61" s="56">
        <f t="shared" si="0"/>
        <v>14574.5</v>
      </c>
      <c r="H61" s="75">
        <f t="shared" si="1"/>
        <v>3.6436250000000001</v>
      </c>
      <c r="I61" s="76">
        <v>1</v>
      </c>
      <c r="J61" s="75">
        <f t="shared" si="2"/>
        <v>4.6436250000000001</v>
      </c>
      <c r="K61" s="81">
        <f t="shared" si="3"/>
        <v>5</v>
      </c>
      <c r="L61" s="11"/>
      <c r="M61" s="11"/>
      <c r="N61" s="11"/>
      <c r="O61" s="28">
        <f>'DHS2025'!C60</f>
        <v>15067</v>
      </c>
      <c r="P61" s="29">
        <f>'DHS2025'!D60</f>
        <v>8795</v>
      </c>
      <c r="Q61" s="29">
        <f>'DHS2025'!E60</f>
        <v>8073</v>
      </c>
      <c r="R61" s="62">
        <v>149.94999999999999</v>
      </c>
      <c r="S61" s="61">
        <f>(Porovnavanie!J63*0.99-1.9)*Porovnavanie!I63</f>
        <v>1183.1021864999998</v>
      </c>
    </row>
    <row r="62" spans="1:19" ht="15.75" thickBot="1">
      <c r="A62" s="100">
        <f t="shared" si="4"/>
        <v>45691</v>
      </c>
      <c r="B62" s="24" t="s">
        <v>28</v>
      </c>
      <c r="C62" s="54">
        <f>'DHS2021'!C61</f>
        <v>16301</v>
      </c>
      <c r="D62" s="55">
        <f>'DHS2022'!C61</f>
        <v>10713</v>
      </c>
      <c r="E62" s="55">
        <f>'DHS2023'!C61</f>
        <v>14137</v>
      </c>
      <c r="F62" s="55">
        <f>'DHS2024'!C61</f>
        <v>15713</v>
      </c>
      <c r="G62" s="56">
        <f t="shared" si="0"/>
        <v>14216</v>
      </c>
      <c r="H62" s="75">
        <f t="shared" si="1"/>
        <v>3.5539999999999998</v>
      </c>
      <c r="I62" s="76">
        <v>1</v>
      </c>
      <c r="J62" s="75">
        <f t="shared" si="2"/>
        <v>4.5540000000000003</v>
      </c>
      <c r="K62" s="81">
        <f t="shared" si="3"/>
        <v>5</v>
      </c>
      <c r="L62" s="11"/>
      <c r="M62" s="11"/>
      <c r="N62" s="11"/>
      <c r="O62" s="28">
        <f>'DHS2025'!C61</f>
        <v>14682</v>
      </c>
      <c r="P62" s="29">
        <f>'DHS2025'!D61</f>
        <v>9019</v>
      </c>
      <c r="Q62" s="29">
        <f>'DHS2025'!E61</f>
        <v>8053</v>
      </c>
      <c r="R62" s="62">
        <v>126.18</v>
      </c>
      <c r="S62" s="61">
        <f>(Porovnavanie!J64*0.99-1.9)*Porovnavanie!I64</f>
        <v>990.66556460000004</v>
      </c>
    </row>
    <row r="63" spans="1:19" ht="15.75" thickBot="1">
      <c r="A63" s="100">
        <f t="shared" si="4"/>
        <v>45691</v>
      </c>
      <c r="B63" s="24" t="s">
        <v>29</v>
      </c>
      <c r="C63" s="54">
        <f>'DHS2021'!C62</f>
        <v>15124</v>
      </c>
      <c r="D63" s="55">
        <f>'DHS2022'!C62</f>
        <v>10209</v>
      </c>
      <c r="E63" s="55">
        <f>'DHS2023'!C62</f>
        <v>14195</v>
      </c>
      <c r="F63" s="55">
        <f>'DHS2024'!C62</f>
        <v>15607</v>
      </c>
      <c r="G63" s="56">
        <f t="shared" si="0"/>
        <v>13783.75</v>
      </c>
      <c r="H63" s="75">
        <f t="shared" si="1"/>
        <v>3.4459374999999999</v>
      </c>
      <c r="I63" s="76">
        <v>1</v>
      </c>
      <c r="J63" s="75">
        <f t="shared" si="2"/>
        <v>4.4459374999999994</v>
      </c>
      <c r="K63" s="81">
        <f t="shared" si="3"/>
        <v>5</v>
      </c>
      <c r="L63" s="11"/>
      <c r="M63" s="11"/>
      <c r="N63" s="11"/>
      <c r="O63" s="28">
        <f>'DHS2025'!C62</f>
        <v>15141</v>
      </c>
      <c r="P63" s="29">
        <f>'DHS2025'!D62</f>
        <v>1848</v>
      </c>
      <c r="Q63" s="29">
        <f>'DHS2025'!E62</f>
        <v>5341</v>
      </c>
      <c r="R63" s="62">
        <v>117.27</v>
      </c>
      <c r="S63" s="61">
        <f>(Porovnavanie!J65*0.99-1.9)*Porovnavanie!I65</f>
        <v>609.92777929999988</v>
      </c>
    </row>
    <row r="64" spans="1:19" ht="15.75" thickBot="1">
      <c r="A64" s="100">
        <f t="shared" si="4"/>
        <v>45691</v>
      </c>
      <c r="B64" s="24" t="s">
        <v>30</v>
      </c>
      <c r="C64" s="54">
        <f>'DHS2021'!C63</f>
        <v>17023</v>
      </c>
      <c r="D64" s="55">
        <f>'DHS2022'!C63</f>
        <v>10466</v>
      </c>
      <c r="E64" s="55">
        <f>'DHS2023'!C63</f>
        <v>15081</v>
      </c>
      <c r="F64" s="55">
        <f>'DHS2024'!C63</f>
        <v>14106</v>
      </c>
      <c r="G64" s="56">
        <f t="shared" si="0"/>
        <v>14169</v>
      </c>
      <c r="H64" s="75">
        <f t="shared" si="1"/>
        <v>3.5422500000000001</v>
      </c>
      <c r="I64" s="76">
        <v>1</v>
      </c>
      <c r="J64" s="75">
        <f t="shared" si="2"/>
        <v>4.5422500000000001</v>
      </c>
      <c r="K64" s="81">
        <f t="shared" si="3"/>
        <v>5</v>
      </c>
      <c r="L64" s="11"/>
      <c r="M64" s="11"/>
      <c r="N64" s="11"/>
      <c r="O64" s="28">
        <f>'DHS2025'!C63</f>
        <v>13783</v>
      </c>
      <c r="P64" s="29">
        <f>'DHS2025'!D63</f>
        <v>1533</v>
      </c>
      <c r="Q64" s="29">
        <f>'DHS2025'!E63</f>
        <v>5034</v>
      </c>
      <c r="R64" s="62">
        <v>115.69</v>
      </c>
      <c r="S64" s="61">
        <f>(Porovnavanie!J66*0.99-1.9)*Porovnavanie!I66</f>
        <v>566.99502539999992</v>
      </c>
    </row>
    <row r="65" spans="1:19" ht="15.75" thickBot="1">
      <c r="A65" s="100">
        <f t="shared" si="4"/>
        <v>45691</v>
      </c>
      <c r="B65" s="24" t="s">
        <v>31</v>
      </c>
      <c r="C65" s="54">
        <f>'DHS2021'!C64</f>
        <v>16123</v>
      </c>
      <c r="D65" s="55">
        <f>'DHS2022'!C64</f>
        <v>10518</v>
      </c>
      <c r="E65" s="55">
        <f>'DHS2023'!C64</f>
        <v>15388</v>
      </c>
      <c r="F65" s="55">
        <f>'DHS2024'!C64</f>
        <v>14254</v>
      </c>
      <c r="G65" s="56">
        <f t="shared" si="0"/>
        <v>14070.75</v>
      </c>
      <c r="H65" s="75">
        <f t="shared" si="1"/>
        <v>3.5176875000000001</v>
      </c>
      <c r="I65" s="76">
        <v>1</v>
      </c>
      <c r="J65" s="75">
        <f t="shared" si="2"/>
        <v>4.5176875000000001</v>
      </c>
      <c r="K65" s="81">
        <f t="shared" si="3"/>
        <v>5</v>
      </c>
      <c r="L65" s="11"/>
      <c r="M65" s="11"/>
      <c r="N65" s="11"/>
      <c r="O65" s="28">
        <f>'DHS2025'!C64</f>
        <v>14772</v>
      </c>
      <c r="P65" s="29">
        <f>'DHS2025'!D64</f>
        <v>7485</v>
      </c>
      <c r="Q65" s="29">
        <f>'DHS2025'!E64</f>
        <v>7835</v>
      </c>
      <c r="R65" s="62">
        <v>124.53</v>
      </c>
      <c r="S65" s="61">
        <f>(Porovnavanie!J67*0.99-1.9)*Porovnavanie!I67</f>
        <v>951.04912449999995</v>
      </c>
    </row>
    <row r="66" spans="1:19" ht="15.75" thickBot="1">
      <c r="A66" s="100">
        <f t="shared" si="4"/>
        <v>45691</v>
      </c>
      <c r="B66" s="24" t="s">
        <v>32</v>
      </c>
      <c r="C66" s="54">
        <f>'DHS2021'!C65</f>
        <v>17210</v>
      </c>
      <c r="D66" s="55">
        <f>'DHS2022'!C65</f>
        <v>11629</v>
      </c>
      <c r="E66" s="55">
        <f>'DHS2023'!C65</f>
        <v>15908</v>
      </c>
      <c r="F66" s="55">
        <f>'DHS2024'!C65</f>
        <v>14551</v>
      </c>
      <c r="G66" s="56">
        <f t="shared" si="0"/>
        <v>14824.5</v>
      </c>
      <c r="H66" s="75">
        <f t="shared" si="1"/>
        <v>3.7061250000000001</v>
      </c>
      <c r="I66" s="76">
        <v>1</v>
      </c>
      <c r="J66" s="75">
        <f t="shared" si="2"/>
        <v>4.7061250000000001</v>
      </c>
      <c r="K66" s="81">
        <f t="shared" si="3"/>
        <v>5</v>
      </c>
      <c r="L66" s="11"/>
      <c r="M66" s="11"/>
      <c r="N66" s="11"/>
      <c r="O66" s="28">
        <f>'DHS2025'!C65</f>
        <v>15557</v>
      </c>
      <c r="P66" s="29">
        <f>'DHS2025'!D65</f>
        <v>9495</v>
      </c>
      <c r="Q66" s="29">
        <f>'DHS2025'!E65</f>
        <v>8028</v>
      </c>
      <c r="R66" s="62">
        <v>148.1</v>
      </c>
      <c r="S66" s="61">
        <f>(Porovnavanie!J68*0.99-1.9)*Porovnavanie!I68</f>
        <v>1161.804132</v>
      </c>
    </row>
    <row r="67" spans="1:19" ht="15.75" thickBot="1">
      <c r="A67" s="100">
        <f t="shared" si="4"/>
        <v>45691</v>
      </c>
      <c r="B67" s="24" t="s">
        <v>33</v>
      </c>
      <c r="C67" s="54">
        <f>'DHS2021'!C66</f>
        <v>17306</v>
      </c>
      <c r="D67" s="55">
        <f>'DHS2022'!C66</f>
        <v>11962</v>
      </c>
      <c r="E67" s="55">
        <f>'DHS2023'!C66</f>
        <v>15103</v>
      </c>
      <c r="F67" s="55">
        <f>'DHS2024'!C66</f>
        <v>13779</v>
      </c>
      <c r="G67" s="56">
        <f t="shared" si="0"/>
        <v>14537.5</v>
      </c>
      <c r="H67" s="75">
        <f t="shared" si="1"/>
        <v>3.6343749999999999</v>
      </c>
      <c r="I67" s="76">
        <v>1</v>
      </c>
      <c r="J67" s="75">
        <f t="shared" si="2"/>
        <v>4.6343750000000004</v>
      </c>
      <c r="K67" s="81">
        <f t="shared" si="3"/>
        <v>5</v>
      </c>
      <c r="L67" s="11"/>
      <c r="M67" s="11"/>
      <c r="N67" s="11"/>
      <c r="O67" s="28">
        <f>'DHS2025'!C66</f>
        <v>15540</v>
      </c>
      <c r="P67" s="29">
        <f>'DHS2025'!D66</f>
        <v>8310</v>
      </c>
      <c r="Q67" s="29">
        <f>'DHS2025'!E66</f>
        <v>8068</v>
      </c>
      <c r="R67" s="62">
        <v>168.42</v>
      </c>
      <c r="S67" s="61">
        <f>(Porovnavanie!J69*0.99-1.9)*Porovnavanie!I69</f>
        <v>1329.8952343999997</v>
      </c>
    </row>
    <row r="68" spans="1:19" ht="15.75" thickBot="1">
      <c r="A68" s="100">
        <f t="shared" si="4"/>
        <v>45691</v>
      </c>
      <c r="B68" s="24" t="s">
        <v>34</v>
      </c>
      <c r="C68" s="54">
        <f>'DHS2021'!C67</f>
        <v>17094</v>
      </c>
      <c r="D68" s="55">
        <f>'DHS2022'!C67</f>
        <v>12402</v>
      </c>
      <c r="E68" s="55">
        <f>'DHS2023'!C67</f>
        <v>15773</v>
      </c>
      <c r="F68" s="55">
        <f>'DHS2024'!C67</f>
        <v>15159</v>
      </c>
      <c r="G68" s="56">
        <f t="shared" ref="G68:G131" si="5">AVERAGE(C68:F68)</f>
        <v>15107</v>
      </c>
      <c r="H68" s="75">
        <f t="shared" ref="H68:H131" si="6">G68/$M$2/1000</f>
        <v>3.7767499999999998</v>
      </c>
      <c r="I68" s="76">
        <v>1</v>
      </c>
      <c r="J68" s="75">
        <f t="shared" ref="J68:J131" si="7">H68+I68</f>
        <v>4.7767499999999998</v>
      </c>
      <c r="K68" s="81">
        <f t="shared" ref="K68:K131" si="8">ROUNDUP(J68,0)</f>
        <v>5</v>
      </c>
      <c r="L68" s="11"/>
      <c r="M68" s="11"/>
      <c r="N68" s="11"/>
      <c r="O68" s="28">
        <f>'DHS2025'!C67</f>
        <v>15642</v>
      </c>
      <c r="P68" s="29">
        <f>'DHS2025'!D67</f>
        <v>9165</v>
      </c>
      <c r="Q68" s="29">
        <f>'DHS2025'!E67</f>
        <v>8058</v>
      </c>
      <c r="R68" s="62">
        <v>213.2</v>
      </c>
      <c r="S68" s="61">
        <f>(Porovnavanie!J70*0.99-1.9)*Porovnavanie!I70</f>
        <v>1685.4757439999998</v>
      </c>
    </row>
    <row r="69" spans="1:19" ht="15.75" thickBot="1">
      <c r="A69" s="100">
        <f t="shared" ref="A69:A132" si="9">$A$3+INT((ROW()-3)/24)</f>
        <v>45691</v>
      </c>
      <c r="B69" s="24" t="s">
        <v>35</v>
      </c>
      <c r="C69" s="54">
        <f>'DHS2021'!C68</f>
        <v>17448</v>
      </c>
      <c r="D69" s="55">
        <f>'DHS2022'!C68</f>
        <v>12399</v>
      </c>
      <c r="E69" s="55">
        <f>'DHS2023'!C68</f>
        <v>15734</v>
      </c>
      <c r="F69" s="55">
        <f>'DHS2024'!C68</f>
        <v>15029</v>
      </c>
      <c r="G69" s="56">
        <f t="shared" si="5"/>
        <v>15152.5</v>
      </c>
      <c r="H69" s="75">
        <f t="shared" si="6"/>
        <v>3.788125</v>
      </c>
      <c r="I69" s="76">
        <v>1</v>
      </c>
      <c r="J69" s="75">
        <f t="shared" si="7"/>
        <v>4.788125</v>
      </c>
      <c r="K69" s="81">
        <f t="shared" si="8"/>
        <v>5</v>
      </c>
      <c r="L69" s="11"/>
      <c r="M69" s="11"/>
      <c r="N69" s="11"/>
      <c r="O69" s="28">
        <f>'DHS2025'!C68</f>
        <v>15447</v>
      </c>
      <c r="P69" s="29">
        <f>'DHS2025'!D68</f>
        <v>8203</v>
      </c>
      <c r="Q69" s="29">
        <f>'DHS2025'!E68</f>
        <v>8056</v>
      </c>
      <c r="R69" s="62">
        <v>200.73</v>
      </c>
      <c r="S69" s="61">
        <f>(Porovnavanie!J71*0.99-1.9)*Porovnavanie!I71</f>
        <v>1585.6036711999996</v>
      </c>
    </row>
    <row r="70" spans="1:19" ht="15.75" thickBot="1">
      <c r="A70" s="100">
        <f t="shared" si="9"/>
        <v>45691</v>
      </c>
      <c r="B70" s="24" t="s">
        <v>36</v>
      </c>
      <c r="C70" s="54">
        <f>'DHS2021'!C69</f>
        <v>16936</v>
      </c>
      <c r="D70" s="55">
        <f>'DHS2022'!C69</f>
        <v>12607</v>
      </c>
      <c r="E70" s="55">
        <f>'DHS2023'!C69</f>
        <v>15855</v>
      </c>
      <c r="F70" s="55">
        <f>'DHS2024'!C69</f>
        <v>15089</v>
      </c>
      <c r="G70" s="56">
        <f t="shared" si="5"/>
        <v>15121.75</v>
      </c>
      <c r="H70" s="75">
        <f t="shared" si="6"/>
        <v>3.7804375000000001</v>
      </c>
      <c r="I70" s="76">
        <v>1</v>
      </c>
      <c r="J70" s="75">
        <f t="shared" si="7"/>
        <v>4.7804374999999997</v>
      </c>
      <c r="K70" s="81">
        <f t="shared" si="8"/>
        <v>5</v>
      </c>
      <c r="L70" s="11"/>
      <c r="M70" s="11"/>
      <c r="N70" s="11"/>
      <c r="O70" s="28">
        <f>'DHS2025'!C69</f>
        <v>16587</v>
      </c>
      <c r="P70" s="29">
        <f>'DHS2025'!D69</f>
        <v>7155</v>
      </c>
      <c r="Q70" s="29">
        <f>'DHS2025'!E69</f>
        <v>8060</v>
      </c>
      <c r="R70" s="62">
        <v>201.1</v>
      </c>
      <c r="S70" s="61">
        <f>(Porovnavanie!J72*0.99-1.9)*Porovnavanie!I72</f>
        <v>1589.3433400000001</v>
      </c>
    </row>
    <row r="71" spans="1:19" ht="15.75" thickBot="1">
      <c r="A71" s="100">
        <f t="shared" si="9"/>
        <v>45691</v>
      </c>
      <c r="B71" s="24" t="s">
        <v>37</v>
      </c>
      <c r="C71" s="54">
        <f>'DHS2021'!C70</f>
        <v>17586</v>
      </c>
      <c r="D71" s="55">
        <f>'DHS2022'!C70</f>
        <v>12565</v>
      </c>
      <c r="E71" s="55">
        <f>'DHS2023'!C70</f>
        <v>13495</v>
      </c>
      <c r="F71" s="55">
        <f>'DHS2024'!C70</f>
        <v>15620</v>
      </c>
      <c r="G71" s="56">
        <f t="shared" si="5"/>
        <v>14816.5</v>
      </c>
      <c r="H71" s="75">
        <f t="shared" si="6"/>
        <v>3.7041249999999999</v>
      </c>
      <c r="I71" s="76">
        <v>1</v>
      </c>
      <c r="J71" s="75">
        <f t="shared" si="7"/>
        <v>4.7041249999999994</v>
      </c>
      <c r="K71" s="81">
        <f t="shared" si="8"/>
        <v>5</v>
      </c>
      <c r="L71" s="11"/>
      <c r="M71" s="11"/>
      <c r="N71" s="11"/>
      <c r="O71" s="28">
        <f>'DHS2025'!C70</f>
        <v>17250</v>
      </c>
      <c r="P71" s="29">
        <f>'DHS2025'!D70</f>
        <v>7685</v>
      </c>
      <c r="Q71" s="29">
        <f>'DHS2025'!E70</f>
        <v>8056</v>
      </c>
      <c r="R71" s="62">
        <v>167.74</v>
      </c>
      <c r="S71" s="61">
        <f>(Porovnavanie!J73*0.99-1.9)*Porovnavanie!I73</f>
        <v>1322.4939055999998</v>
      </c>
    </row>
    <row r="72" spans="1:19" ht="15.75" thickBot="1">
      <c r="A72" s="100">
        <f t="shared" si="9"/>
        <v>45691</v>
      </c>
      <c r="B72" s="24" t="s">
        <v>38</v>
      </c>
      <c r="C72" s="54">
        <f>'DHS2021'!C71</f>
        <v>17411</v>
      </c>
      <c r="D72" s="55">
        <f>'DHS2022'!C71</f>
        <v>13242</v>
      </c>
      <c r="E72" s="55">
        <f>'DHS2023'!C71</f>
        <v>14791</v>
      </c>
      <c r="F72" s="55">
        <f>'DHS2024'!C71</f>
        <v>14769</v>
      </c>
      <c r="G72" s="56">
        <f t="shared" si="5"/>
        <v>15053.25</v>
      </c>
      <c r="H72" s="75">
        <f t="shared" si="6"/>
        <v>3.7633125000000001</v>
      </c>
      <c r="I72" s="76">
        <v>1</v>
      </c>
      <c r="J72" s="75">
        <f t="shared" si="7"/>
        <v>4.7633124999999996</v>
      </c>
      <c r="K72" s="81">
        <f t="shared" si="8"/>
        <v>5</v>
      </c>
      <c r="L72" s="11"/>
      <c r="M72" s="11"/>
      <c r="N72" s="11"/>
      <c r="O72" s="28">
        <f>'DHS2025'!C71</f>
        <v>17913</v>
      </c>
      <c r="P72" s="29">
        <f>'DHS2025'!D71</f>
        <v>6366</v>
      </c>
      <c r="Q72" s="29">
        <f>'DHS2025'!E71</f>
        <v>8067</v>
      </c>
      <c r="R72" s="62">
        <v>153</v>
      </c>
      <c r="S72" s="61">
        <f>(Porovnavanie!J74*0.99-1.9)*Porovnavanie!I74</f>
        <v>1206.5811899999999</v>
      </c>
    </row>
    <row r="73" spans="1:19" ht="15.75" thickBot="1">
      <c r="A73" s="100">
        <f t="shared" si="9"/>
        <v>45691</v>
      </c>
      <c r="B73" s="24" t="s">
        <v>39</v>
      </c>
      <c r="C73" s="54">
        <f>'DHS2021'!C72</f>
        <v>15273</v>
      </c>
      <c r="D73" s="55">
        <f>'DHS2022'!C72</f>
        <v>11542</v>
      </c>
      <c r="E73" s="55">
        <f>'DHS2023'!C72</f>
        <v>14192</v>
      </c>
      <c r="F73" s="55">
        <f>'DHS2024'!C72</f>
        <v>12589</v>
      </c>
      <c r="G73" s="56">
        <f t="shared" si="5"/>
        <v>13399</v>
      </c>
      <c r="H73" s="75">
        <f t="shared" si="6"/>
        <v>3.3497499999999998</v>
      </c>
      <c r="I73" s="76">
        <v>1</v>
      </c>
      <c r="J73" s="75">
        <f t="shared" si="7"/>
        <v>4.3497500000000002</v>
      </c>
      <c r="K73" s="81">
        <f t="shared" si="8"/>
        <v>5</v>
      </c>
      <c r="L73" s="11"/>
      <c r="M73" s="11"/>
      <c r="N73" s="11"/>
      <c r="O73" s="28">
        <f>'DHS2025'!C72</f>
        <v>15360</v>
      </c>
      <c r="P73" s="29">
        <f>'DHS2025'!D72</f>
        <v>3728</v>
      </c>
      <c r="Q73" s="29">
        <f>'DHS2025'!E72</f>
        <v>6304</v>
      </c>
      <c r="R73" s="62">
        <v>144.19999999999999</v>
      </c>
      <c r="S73" s="61">
        <f>(Porovnavanie!J75*0.99-1.9)*Porovnavanie!I75</f>
        <v>887.96883199999991</v>
      </c>
    </row>
    <row r="74" spans="1:19" ht="15.75" thickBot="1">
      <c r="A74" s="100">
        <f t="shared" si="9"/>
        <v>45691</v>
      </c>
      <c r="B74" s="24" t="s">
        <v>40</v>
      </c>
      <c r="C74" s="54">
        <f>'DHS2021'!C73</f>
        <v>7737</v>
      </c>
      <c r="D74" s="55">
        <f>'DHS2022'!C73</f>
        <v>7225</v>
      </c>
      <c r="E74" s="55">
        <f>'DHS2023'!C73</f>
        <v>6283</v>
      </c>
      <c r="F74" s="55">
        <f>'DHS2024'!C73</f>
        <v>6987</v>
      </c>
      <c r="G74" s="56">
        <f t="shared" si="5"/>
        <v>7058</v>
      </c>
      <c r="H74" s="75">
        <f t="shared" si="6"/>
        <v>1.7645</v>
      </c>
      <c r="I74" s="76">
        <v>1</v>
      </c>
      <c r="J74" s="75">
        <f t="shared" si="7"/>
        <v>2.7645</v>
      </c>
      <c r="K74" s="81">
        <f t="shared" si="8"/>
        <v>3</v>
      </c>
      <c r="L74" s="11"/>
      <c r="M74" s="11"/>
      <c r="N74" s="11"/>
      <c r="O74" s="28">
        <f>'DHS2025'!C73</f>
        <v>11481</v>
      </c>
      <c r="P74" s="29">
        <f>'DHS2025'!D73</f>
        <v>1416</v>
      </c>
      <c r="Q74" s="29">
        <f>'DHS2025'!E73</f>
        <v>4110</v>
      </c>
      <c r="R74" s="62">
        <v>135.81</v>
      </c>
      <c r="S74" s="61">
        <f>(Porovnavanie!J76*0.99-1.9)*Porovnavanie!I76</f>
        <v>544.78830900000003</v>
      </c>
    </row>
    <row r="75" spans="1:19" ht="15.75" thickBot="1">
      <c r="A75" s="101">
        <f t="shared" si="9"/>
        <v>45692</v>
      </c>
      <c r="B75" s="25" t="s">
        <v>17</v>
      </c>
      <c r="C75" s="54">
        <f>'DHS2021'!C74</f>
        <v>6664</v>
      </c>
      <c r="D75" s="55">
        <f>'DHS2022'!C74</f>
        <v>7487</v>
      </c>
      <c r="E75" s="55">
        <f>'DHS2023'!C74</f>
        <v>6729</v>
      </c>
      <c r="F75" s="55">
        <f>'DHS2024'!C74</f>
        <v>7329</v>
      </c>
      <c r="G75" s="56">
        <f t="shared" si="5"/>
        <v>7052.25</v>
      </c>
      <c r="H75" s="75">
        <f t="shared" si="6"/>
        <v>1.7630625</v>
      </c>
      <c r="I75" s="76">
        <v>1</v>
      </c>
      <c r="J75" s="75">
        <f t="shared" si="7"/>
        <v>2.7630625000000002</v>
      </c>
      <c r="K75" s="81">
        <f t="shared" si="8"/>
        <v>3</v>
      </c>
      <c r="L75" s="11"/>
      <c r="M75" s="11"/>
      <c r="N75" s="11"/>
      <c r="O75" s="28">
        <f>'DHS2025'!C74</f>
        <v>8992</v>
      </c>
      <c r="P75" s="29">
        <f>'DHS2025'!D74</f>
        <v>4626</v>
      </c>
      <c r="Q75" s="29">
        <f>'DHS2025'!E74</f>
        <v>4056</v>
      </c>
      <c r="R75" s="62">
        <v>132.4</v>
      </c>
      <c r="S75" s="61">
        <f>(Porovnavanie!J77*0.99-1.9)*Porovnavanie!I77</f>
        <v>523.93785600000001</v>
      </c>
    </row>
    <row r="76" spans="1:19" ht="15.75" thickBot="1">
      <c r="A76" s="101">
        <f t="shared" si="9"/>
        <v>45692</v>
      </c>
      <c r="B76" s="25" t="s">
        <v>18</v>
      </c>
      <c r="C76" s="54">
        <f>'DHS2021'!C75</f>
        <v>7371</v>
      </c>
      <c r="D76" s="55">
        <f>'DHS2022'!C75</f>
        <v>7476</v>
      </c>
      <c r="E76" s="55">
        <f>'DHS2023'!C75</f>
        <v>9229</v>
      </c>
      <c r="F76" s="55">
        <f>'DHS2024'!C75</f>
        <v>10978</v>
      </c>
      <c r="G76" s="56">
        <f t="shared" si="5"/>
        <v>8763.5</v>
      </c>
      <c r="H76" s="75">
        <f t="shared" si="6"/>
        <v>2.1908750000000001</v>
      </c>
      <c r="I76" s="76">
        <v>1</v>
      </c>
      <c r="J76" s="75">
        <f t="shared" si="7"/>
        <v>3.1908750000000001</v>
      </c>
      <c r="K76" s="81">
        <f t="shared" si="8"/>
        <v>4</v>
      </c>
      <c r="L76" s="11"/>
      <c r="M76" s="11"/>
      <c r="N76" s="11"/>
      <c r="O76" s="28">
        <f>'DHS2025'!C75</f>
        <v>10479</v>
      </c>
      <c r="P76" s="29">
        <f>'DHS2025'!D75</f>
        <v>3274</v>
      </c>
      <c r="Q76" s="29">
        <f>'DHS2025'!E75</f>
        <v>4045</v>
      </c>
      <c r="R76" s="62">
        <v>125.54</v>
      </c>
      <c r="S76" s="61">
        <f>(Porovnavanie!J78*0.99-1.9)*Porovnavanie!I78</f>
        <v>495.04570699999999</v>
      </c>
    </row>
    <row r="77" spans="1:19" ht="15.75" thickBot="1">
      <c r="A77" s="101">
        <f t="shared" si="9"/>
        <v>45692</v>
      </c>
      <c r="B77" s="25" t="s">
        <v>19</v>
      </c>
      <c r="C77" s="54">
        <f>'DHS2021'!C76</f>
        <v>9699</v>
      </c>
      <c r="D77" s="55">
        <f>'DHS2022'!C76</f>
        <v>7232</v>
      </c>
      <c r="E77" s="55">
        <f>'DHS2023'!C76</f>
        <v>8660</v>
      </c>
      <c r="F77" s="55">
        <f>'DHS2024'!C76</f>
        <v>12383</v>
      </c>
      <c r="G77" s="56">
        <f t="shared" si="5"/>
        <v>9493.5</v>
      </c>
      <c r="H77" s="75">
        <f t="shared" si="6"/>
        <v>2.3733749999999998</v>
      </c>
      <c r="I77" s="76">
        <v>1</v>
      </c>
      <c r="J77" s="75">
        <f t="shared" si="7"/>
        <v>3.3733749999999998</v>
      </c>
      <c r="K77" s="81">
        <f t="shared" si="8"/>
        <v>4</v>
      </c>
      <c r="L77" s="11"/>
      <c r="M77" s="11"/>
      <c r="N77" s="11"/>
      <c r="O77" s="28">
        <f>'DHS2025'!C76</f>
        <v>11063</v>
      </c>
      <c r="P77" s="29">
        <f>'DHS2025'!D76</f>
        <v>2397</v>
      </c>
      <c r="Q77" s="29">
        <f>'DHS2025'!E76</f>
        <v>4092</v>
      </c>
      <c r="R77" s="62">
        <v>123.18</v>
      </c>
      <c r="S77" s="61">
        <f>(Porovnavanie!J79*0.99-1.9)*Porovnavanie!I79</f>
        <v>491.23723439999992</v>
      </c>
    </row>
    <row r="78" spans="1:19" ht="15.75" thickBot="1">
      <c r="A78" s="101">
        <f t="shared" si="9"/>
        <v>45692</v>
      </c>
      <c r="B78" s="25" t="s">
        <v>20</v>
      </c>
      <c r="C78" s="54">
        <f>'DHS2021'!C77</f>
        <v>10310</v>
      </c>
      <c r="D78" s="55">
        <f>'DHS2022'!C77</f>
        <v>8214</v>
      </c>
      <c r="E78" s="55">
        <f>'DHS2023'!C77</f>
        <v>10490</v>
      </c>
      <c r="F78" s="55">
        <f>'DHS2024'!C77</f>
        <v>10665</v>
      </c>
      <c r="G78" s="56">
        <f t="shared" si="5"/>
        <v>9919.75</v>
      </c>
      <c r="H78" s="75">
        <f t="shared" si="6"/>
        <v>2.4799375000000001</v>
      </c>
      <c r="I78" s="76">
        <v>1</v>
      </c>
      <c r="J78" s="75">
        <f t="shared" si="7"/>
        <v>3.4799375000000001</v>
      </c>
      <c r="K78" s="81">
        <f t="shared" si="8"/>
        <v>4</v>
      </c>
      <c r="L78" s="11"/>
      <c r="M78" s="11"/>
      <c r="N78" s="11"/>
      <c r="O78" s="28">
        <f>'DHS2025'!C77</f>
        <v>13418</v>
      </c>
      <c r="P78" s="29">
        <f>'DHS2025'!D77</f>
        <v>21</v>
      </c>
      <c r="Q78" s="29">
        <f>'DHS2025'!E77</f>
        <v>4046</v>
      </c>
      <c r="R78" s="62">
        <v>123.99</v>
      </c>
      <c r="S78" s="61">
        <f>(Porovnavanie!J80*0.99-1.9)*Porovnavanie!I80</f>
        <v>488.95950459999995</v>
      </c>
    </row>
    <row r="79" spans="1:19" ht="15.75" thickBot="1">
      <c r="A79" s="101">
        <f t="shared" si="9"/>
        <v>45692</v>
      </c>
      <c r="B79" s="25" t="s">
        <v>21</v>
      </c>
      <c r="C79" s="54">
        <f>'DHS2021'!C78</f>
        <v>21231</v>
      </c>
      <c r="D79" s="55">
        <f>'DHS2022'!C78</f>
        <v>12184</v>
      </c>
      <c r="E79" s="55">
        <f>'DHS2023'!C78</f>
        <v>14961</v>
      </c>
      <c r="F79" s="55">
        <f>'DHS2024'!C78</f>
        <v>14056</v>
      </c>
      <c r="G79" s="56">
        <f t="shared" si="5"/>
        <v>15608</v>
      </c>
      <c r="H79" s="75">
        <f t="shared" si="6"/>
        <v>3.9020000000000001</v>
      </c>
      <c r="I79" s="76">
        <v>1</v>
      </c>
      <c r="J79" s="75">
        <f t="shared" si="7"/>
        <v>4.9020000000000001</v>
      </c>
      <c r="K79" s="81">
        <f t="shared" si="8"/>
        <v>5</v>
      </c>
      <c r="L79" s="11"/>
      <c r="M79" s="11"/>
      <c r="N79" s="11"/>
      <c r="O79" s="28">
        <f>'DHS2025'!C78</f>
        <v>14931</v>
      </c>
      <c r="P79" s="29">
        <f>'DHS2025'!D78</f>
        <v>86</v>
      </c>
      <c r="Q79" s="29">
        <f>'DHS2025'!E78</f>
        <v>4967</v>
      </c>
      <c r="R79" s="62">
        <v>123.25</v>
      </c>
      <c r="S79" s="61">
        <f>(Porovnavanie!J81*0.99-1.9)*Porovnavanie!I81</f>
        <v>596.6236224999999</v>
      </c>
    </row>
    <row r="80" spans="1:19" ht="15.75" thickBot="1">
      <c r="A80" s="101">
        <f t="shared" si="9"/>
        <v>45692</v>
      </c>
      <c r="B80" s="25" t="s">
        <v>22</v>
      </c>
      <c r="C80" s="54">
        <f>'DHS2021'!C79</f>
        <v>19376</v>
      </c>
      <c r="D80" s="55">
        <f>'DHS2022'!C79</f>
        <v>14362</v>
      </c>
      <c r="E80" s="55">
        <f>'DHS2023'!C79</f>
        <v>18456</v>
      </c>
      <c r="F80" s="55">
        <f>'DHS2024'!C79</f>
        <v>12460</v>
      </c>
      <c r="G80" s="56">
        <f t="shared" si="5"/>
        <v>16163.5</v>
      </c>
      <c r="H80" s="75">
        <f t="shared" si="6"/>
        <v>4.0408749999999998</v>
      </c>
      <c r="I80" s="76">
        <v>1</v>
      </c>
      <c r="J80" s="75">
        <f t="shared" si="7"/>
        <v>5.0408749999999998</v>
      </c>
      <c r="K80" s="81">
        <f t="shared" si="8"/>
        <v>6</v>
      </c>
      <c r="L80" s="11"/>
      <c r="M80" s="11"/>
      <c r="N80" s="11"/>
      <c r="O80" s="28">
        <f>'DHS2025'!C79</f>
        <v>20918</v>
      </c>
      <c r="P80" s="29">
        <f>'DHS2025'!D79</f>
        <v>127</v>
      </c>
      <c r="Q80" s="29">
        <f>'DHS2025'!E79</f>
        <v>6550</v>
      </c>
      <c r="R80" s="62">
        <v>127.63</v>
      </c>
      <c r="S80" s="61">
        <f>(Porovnavanie!J82*0.99-1.9)*Porovnavanie!I82</f>
        <v>815.1717349999999</v>
      </c>
    </row>
    <row r="81" spans="1:19" ht="15.75" thickBot="1">
      <c r="A81" s="101">
        <f t="shared" si="9"/>
        <v>45692</v>
      </c>
      <c r="B81" s="25" t="s">
        <v>23</v>
      </c>
      <c r="C81" s="54">
        <f>'DHS2021'!C80</f>
        <v>18529</v>
      </c>
      <c r="D81" s="55">
        <f>'DHS2022'!C80</f>
        <v>14122</v>
      </c>
      <c r="E81" s="55">
        <f>'DHS2023'!C80</f>
        <v>17972</v>
      </c>
      <c r="F81" s="55">
        <f>'DHS2024'!C80</f>
        <v>12674</v>
      </c>
      <c r="G81" s="56">
        <f t="shared" si="5"/>
        <v>15824.25</v>
      </c>
      <c r="H81" s="75">
        <f t="shared" si="6"/>
        <v>3.9560624999999998</v>
      </c>
      <c r="I81" s="76">
        <v>1</v>
      </c>
      <c r="J81" s="75">
        <f t="shared" si="7"/>
        <v>4.9560624999999998</v>
      </c>
      <c r="K81" s="81">
        <f t="shared" si="8"/>
        <v>5</v>
      </c>
      <c r="L81" s="11"/>
      <c r="M81" s="11"/>
      <c r="N81" s="11"/>
      <c r="O81" s="28">
        <f>'DHS2025'!C80</f>
        <v>23528</v>
      </c>
      <c r="P81" s="29">
        <f>'DHS2025'!D80</f>
        <v>1409</v>
      </c>
      <c r="Q81" s="29">
        <f>'DHS2025'!E80</f>
        <v>8074</v>
      </c>
      <c r="R81" s="62">
        <v>155.27000000000001</v>
      </c>
      <c r="S81" s="61">
        <f>(Porovnavanie!J83*0.99-1.9)*Porovnavanie!I83</f>
        <v>1225.7728802000001</v>
      </c>
    </row>
    <row r="82" spans="1:19" ht="15.75" thickBot="1">
      <c r="A82" s="101">
        <f t="shared" si="9"/>
        <v>45692</v>
      </c>
      <c r="B82" s="25" t="s">
        <v>24</v>
      </c>
      <c r="C82" s="54">
        <f>'DHS2021'!C81</f>
        <v>16000</v>
      </c>
      <c r="D82" s="55">
        <f>'DHS2022'!C81</f>
        <v>13131</v>
      </c>
      <c r="E82" s="55">
        <f>'DHS2023'!C81</f>
        <v>13779</v>
      </c>
      <c r="F82" s="55">
        <f>'DHS2024'!C81</f>
        <v>11256</v>
      </c>
      <c r="G82" s="56">
        <f t="shared" si="5"/>
        <v>13541.5</v>
      </c>
      <c r="H82" s="75">
        <f t="shared" si="6"/>
        <v>3.3853749999999998</v>
      </c>
      <c r="I82" s="76">
        <v>1</v>
      </c>
      <c r="J82" s="75">
        <f t="shared" si="7"/>
        <v>4.3853749999999998</v>
      </c>
      <c r="K82" s="81">
        <f t="shared" si="8"/>
        <v>5</v>
      </c>
      <c r="L82" s="11"/>
      <c r="M82" s="11"/>
      <c r="N82" s="11"/>
      <c r="O82" s="28">
        <f>'DHS2025'!C81</f>
        <v>17819</v>
      </c>
      <c r="P82" s="29">
        <f>'DHS2025'!D81</f>
        <v>7011</v>
      </c>
      <c r="Q82" s="29">
        <f>'DHS2025'!E81</f>
        <v>8075</v>
      </c>
      <c r="R82" s="62">
        <v>190.93</v>
      </c>
      <c r="S82" s="61">
        <f>(Porovnavanie!J84*0.99-1.9)*Porovnavanie!I84</f>
        <v>1510.9996524999999</v>
      </c>
    </row>
    <row r="83" spans="1:19" ht="15.75" thickBot="1">
      <c r="A83" s="101">
        <f t="shared" si="9"/>
        <v>45692</v>
      </c>
      <c r="B83" s="25" t="s">
        <v>25</v>
      </c>
      <c r="C83" s="54">
        <f>'DHS2021'!C82</f>
        <v>16836</v>
      </c>
      <c r="D83" s="55">
        <f>'DHS2022'!C82</f>
        <v>12787</v>
      </c>
      <c r="E83" s="55">
        <f>'DHS2023'!C82</f>
        <v>13935</v>
      </c>
      <c r="F83" s="55">
        <f>'DHS2024'!C82</f>
        <v>13459</v>
      </c>
      <c r="G83" s="56">
        <f t="shared" si="5"/>
        <v>14254.25</v>
      </c>
      <c r="H83" s="75">
        <f t="shared" si="6"/>
        <v>3.5635625000000002</v>
      </c>
      <c r="I83" s="76">
        <v>1</v>
      </c>
      <c r="J83" s="75">
        <f t="shared" si="7"/>
        <v>4.5635624999999997</v>
      </c>
      <c r="K83" s="81">
        <f t="shared" si="8"/>
        <v>5</v>
      </c>
      <c r="L83" s="11"/>
      <c r="M83" s="11"/>
      <c r="N83" s="11"/>
      <c r="O83" s="28">
        <f>'DHS2025'!C82</f>
        <v>16675</v>
      </c>
      <c r="P83" s="29">
        <f>'DHS2025'!D82</f>
        <v>7898</v>
      </c>
      <c r="Q83" s="29">
        <f>'DHS2025'!E82</f>
        <v>8091</v>
      </c>
      <c r="R83" s="62">
        <v>211.99</v>
      </c>
      <c r="S83" s="61">
        <f>(Porovnavanie!J85*0.99-1.9)*Porovnavanie!I85</f>
        <v>1682.6860790999999</v>
      </c>
    </row>
    <row r="84" spans="1:19" ht="15.75" thickBot="1">
      <c r="A84" s="101">
        <f t="shared" si="9"/>
        <v>45692</v>
      </c>
      <c r="B84" s="25" t="s">
        <v>26</v>
      </c>
      <c r="C84" s="54">
        <f>'DHS2021'!C83</f>
        <v>15936</v>
      </c>
      <c r="D84" s="55">
        <f>'DHS2022'!C83</f>
        <v>12903</v>
      </c>
      <c r="E84" s="55">
        <f>'DHS2023'!C83</f>
        <v>14730</v>
      </c>
      <c r="F84" s="55">
        <f>'DHS2024'!C83</f>
        <v>14410</v>
      </c>
      <c r="G84" s="56">
        <f t="shared" si="5"/>
        <v>14494.75</v>
      </c>
      <c r="H84" s="75">
        <f t="shared" si="6"/>
        <v>3.6236875</v>
      </c>
      <c r="I84" s="76">
        <v>1</v>
      </c>
      <c r="J84" s="75">
        <f t="shared" si="7"/>
        <v>4.6236875</v>
      </c>
      <c r="K84" s="81">
        <f t="shared" si="8"/>
        <v>5</v>
      </c>
      <c r="L84" s="11"/>
      <c r="M84" s="11"/>
      <c r="N84" s="11"/>
      <c r="O84" s="28">
        <f>'DHS2025'!C83</f>
        <v>17304</v>
      </c>
      <c r="P84" s="29">
        <f>'DHS2025'!D83</f>
        <v>6816</v>
      </c>
      <c r="Q84" s="29">
        <f>'DHS2025'!E83</f>
        <v>8057</v>
      </c>
      <c r="R84" s="62">
        <v>163.31</v>
      </c>
      <c r="S84" s="61">
        <f>(Porovnavanie!J86*0.99-1.9)*Porovnavanie!I86</f>
        <v>1287.3224832999999</v>
      </c>
    </row>
    <row r="85" spans="1:19" ht="15.75" thickBot="1">
      <c r="A85" s="101">
        <f t="shared" si="9"/>
        <v>45692</v>
      </c>
      <c r="B85" s="25" t="s">
        <v>27</v>
      </c>
      <c r="C85" s="54">
        <f>'DHS2021'!C84</f>
        <v>15885</v>
      </c>
      <c r="D85" s="55">
        <f>'DHS2022'!C84</f>
        <v>13108</v>
      </c>
      <c r="E85" s="55">
        <f>'DHS2023'!C84</f>
        <v>15488</v>
      </c>
      <c r="F85" s="55">
        <f>'DHS2024'!C84</f>
        <v>14181</v>
      </c>
      <c r="G85" s="56">
        <f t="shared" si="5"/>
        <v>14665.5</v>
      </c>
      <c r="H85" s="75">
        <f t="shared" si="6"/>
        <v>3.6663749999999999</v>
      </c>
      <c r="I85" s="76">
        <v>1</v>
      </c>
      <c r="J85" s="75">
        <f t="shared" si="7"/>
        <v>4.6663750000000004</v>
      </c>
      <c r="K85" s="81">
        <f t="shared" si="8"/>
        <v>5</v>
      </c>
      <c r="L85" s="11"/>
      <c r="M85" s="11"/>
      <c r="N85" s="11"/>
      <c r="O85" s="28">
        <f>'DHS2025'!C84</f>
        <v>16158</v>
      </c>
      <c r="P85" s="29">
        <f>'DHS2025'!D84</f>
        <v>8240</v>
      </c>
      <c r="Q85" s="29">
        <f>'DHS2025'!E84</f>
        <v>8044</v>
      </c>
      <c r="R85" s="62">
        <v>136.53</v>
      </c>
      <c r="S85" s="61">
        <f>(Porovnavanie!J87*0.99-1.9)*Porovnavanie!I87</f>
        <v>1071.9812468</v>
      </c>
    </row>
    <row r="86" spans="1:19" ht="15.75" thickBot="1">
      <c r="A86" s="101">
        <f t="shared" si="9"/>
        <v>45692</v>
      </c>
      <c r="B86" s="25" t="s">
        <v>28</v>
      </c>
      <c r="C86" s="54">
        <f>'DHS2021'!C85</f>
        <v>14015</v>
      </c>
      <c r="D86" s="55">
        <f>'DHS2022'!C85</f>
        <v>12478</v>
      </c>
      <c r="E86" s="55">
        <f>'DHS2023'!C85</f>
        <v>15697</v>
      </c>
      <c r="F86" s="55">
        <f>'DHS2024'!C85</f>
        <v>13319</v>
      </c>
      <c r="G86" s="56">
        <f t="shared" si="5"/>
        <v>13877.25</v>
      </c>
      <c r="H86" s="75">
        <f t="shared" si="6"/>
        <v>3.4693125</v>
      </c>
      <c r="I86" s="76">
        <v>1</v>
      </c>
      <c r="J86" s="75">
        <f t="shared" si="7"/>
        <v>4.4693125</v>
      </c>
      <c r="K86" s="81">
        <f t="shared" si="8"/>
        <v>5</v>
      </c>
      <c r="L86" s="11"/>
      <c r="M86" s="11"/>
      <c r="N86" s="11"/>
      <c r="O86" s="28">
        <f>'DHS2025'!C85</f>
        <v>12111</v>
      </c>
      <c r="P86" s="29">
        <f>'DHS2025'!D85</f>
        <v>8555</v>
      </c>
      <c r="Q86" s="29">
        <f>'DHS2025'!E85</f>
        <v>6934</v>
      </c>
      <c r="R86" s="62">
        <v>126.74</v>
      </c>
      <c r="S86" s="61">
        <f>(Porovnavanie!J88*0.99-1.9)*Porovnavanie!I88</f>
        <v>856.85240839999994</v>
      </c>
    </row>
    <row r="87" spans="1:19" ht="15.75" thickBot="1">
      <c r="A87" s="101">
        <f t="shared" si="9"/>
        <v>45692</v>
      </c>
      <c r="B87" s="25" t="s">
        <v>29</v>
      </c>
      <c r="C87" s="54">
        <f>'DHS2021'!C86</f>
        <v>12870</v>
      </c>
      <c r="D87" s="55">
        <f>'DHS2022'!C86</f>
        <v>12065</v>
      </c>
      <c r="E87" s="55">
        <f>'DHS2023'!C86</f>
        <v>15655</v>
      </c>
      <c r="F87" s="55">
        <f>'DHS2024'!C86</f>
        <v>12679</v>
      </c>
      <c r="G87" s="56">
        <f t="shared" si="5"/>
        <v>13317.25</v>
      </c>
      <c r="H87" s="75">
        <f t="shared" si="6"/>
        <v>3.3293124999999999</v>
      </c>
      <c r="I87" s="76">
        <v>1</v>
      </c>
      <c r="J87" s="75">
        <f t="shared" si="7"/>
        <v>4.3293125000000003</v>
      </c>
      <c r="K87" s="81">
        <f t="shared" si="8"/>
        <v>5</v>
      </c>
      <c r="L87" s="11"/>
      <c r="M87" s="11"/>
      <c r="N87" s="11"/>
      <c r="O87" s="28">
        <f>'DHS2025'!C86</f>
        <v>13435</v>
      </c>
      <c r="P87" s="29">
        <f>'DHS2025'!D86</f>
        <v>3116</v>
      </c>
      <c r="Q87" s="29">
        <f>'DHS2025'!E86</f>
        <v>5064</v>
      </c>
      <c r="R87" s="62">
        <v>117.72</v>
      </c>
      <c r="S87" s="61">
        <f>(Porovnavanie!J89*0.99-1.9)*Porovnavanie!I89</f>
        <v>580.55113919999997</v>
      </c>
    </row>
    <row r="88" spans="1:19" ht="15.75" thickBot="1">
      <c r="A88" s="101">
        <f t="shared" si="9"/>
        <v>45692</v>
      </c>
      <c r="B88" s="25" t="s">
        <v>30</v>
      </c>
      <c r="C88" s="54">
        <f>'DHS2021'!C87</f>
        <v>13305</v>
      </c>
      <c r="D88" s="55">
        <f>'DHS2022'!C87</f>
        <v>14307</v>
      </c>
      <c r="E88" s="55">
        <f>'DHS2023'!C87</f>
        <v>18128</v>
      </c>
      <c r="F88" s="55">
        <f>'DHS2024'!C87</f>
        <v>11194</v>
      </c>
      <c r="G88" s="56">
        <f t="shared" si="5"/>
        <v>14233.5</v>
      </c>
      <c r="H88" s="75">
        <f t="shared" si="6"/>
        <v>3.5583749999999998</v>
      </c>
      <c r="I88" s="76">
        <v>1</v>
      </c>
      <c r="J88" s="75">
        <f t="shared" si="7"/>
        <v>4.5583749999999998</v>
      </c>
      <c r="K88" s="81">
        <f t="shared" si="8"/>
        <v>5</v>
      </c>
      <c r="L88" s="11"/>
      <c r="M88" s="11"/>
      <c r="N88" s="11"/>
      <c r="O88" s="28">
        <f>'DHS2025'!C87</f>
        <v>13351</v>
      </c>
      <c r="P88" s="29">
        <f>'DHS2025'!D87</f>
        <v>3875</v>
      </c>
      <c r="Q88" s="29">
        <f>'DHS2025'!E87</f>
        <v>5856</v>
      </c>
      <c r="R88" s="62">
        <v>113.18</v>
      </c>
      <c r="S88" s="61">
        <f>(Porovnavanie!J90*0.99-1.9)*Porovnavanie!I90</f>
        <v>645.02785919999997</v>
      </c>
    </row>
    <row r="89" spans="1:19" ht="15.75" thickBot="1">
      <c r="A89" s="101">
        <f t="shared" si="9"/>
        <v>45692</v>
      </c>
      <c r="B89" s="25" t="s">
        <v>31</v>
      </c>
      <c r="C89" s="54">
        <f>'DHS2021'!C88</f>
        <v>14193</v>
      </c>
      <c r="D89" s="55">
        <f>'DHS2022'!C88</f>
        <v>12426</v>
      </c>
      <c r="E89" s="55">
        <f>'DHS2023'!C88</f>
        <v>18419</v>
      </c>
      <c r="F89" s="55">
        <f>'DHS2024'!C88</f>
        <v>10811</v>
      </c>
      <c r="G89" s="56">
        <f t="shared" si="5"/>
        <v>13962.25</v>
      </c>
      <c r="H89" s="75">
        <f t="shared" si="6"/>
        <v>3.4905624999999998</v>
      </c>
      <c r="I89" s="76">
        <v>1</v>
      </c>
      <c r="J89" s="75">
        <f t="shared" si="7"/>
        <v>4.4905624999999993</v>
      </c>
      <c r="K89" s="81">
        <f t="shared" si="8"/>
        <v>5</v>
      </c>
      <c r="L89" s="11"/>
      <c r="M89" s="11"/>
      <c r="N89" s="11"/>
      <c r="O89" s="28">
        <f>'DHS2025'!C88</f>
        <v>13399</v>
      </c>
      <c r="P89" s="29">
        <f>'DHS2025'!D88</f>
        <v>10495</v>
      </c>
      <c r="Q89" s="29">
        <f>'DHS2025'!E88</f>
        <v>8061</v>
      </c>
      <c r="R89" s="62">
        <v>120.09</v>
      </c>
      <c r="S89" s="61">
        <f>(Porovnavanie!J91*0.99-1.9)*Porovnavanie!I91</f>
        <v>943.04913509999994</v>
      </c>
    </row>
    <row r="90" spans="1:19" ht="15.75" thickBot="1">
      <c r="A90" s="101">
        <f t="shared" si="9"/>
        <v>45692</v>
      </c>
      <c r="B90" s="25" t="s">
        <v>32</v>
      </c>
      <c r="C90" s="54">
        <f>'DHS2021'!C89</f>
        <v>14559</v>
      </c>
      <c r="D90" s="55">
        <f>'DHS2022'!C89</f>
        <v>12977</v>
      </c>
      <c r="E90" s="55">
        <f>'DHS2023'!C89</f>
        <v>15653</v>
      </c>
      <c r="F90" s="55">
        <f>'DHS2024'!C89</f>
        <v>10812</v>
      </c>
      <c r="G90" s="56">
        <f t="shared" si="5"/>
        <v>13500.25</v>
      </c>
      <c r="H90" s="75">
        <f t="shared" si="6"/>
        <v>3.3750624999999999</v>
      </c>
      <c r="I90" s="76">
        <v>1</v>
      </c>
      <c r="J90" s="75">
        <f t="shared" si="7"/>
        <v>4.3750625000000003</v>
      </c>
      <c r="K90" s="81">
        <f t="shared" si="8"/>
        <v>5</v>
      </c>
      <c r="L90" s="11"/>
      <c r="M90" s="11"/>
      <c r="N90" s="11"/>
      <c r="O90" s="28">
        <f>'DHS2025'!C89</f>
        <v>14251</v>
      </c>
      <c r="P90" s="29">
        <f>'DHS2025'!D89</f>
        <v>9987</v>
      </c>
      <c r="Q90" s="29">
        <f>'DHS2025'!E89</f>
        <v>8056</v>
      </c>
      <c r="R90" s="62">
        <v>142.77000000000001</v>
      </c>
      <c r="S90" s="61">
        <f>(Porovnavanie!J92*0.99-1.9)*Porovnavanie!I92</f>
        <v>1123.3471688</v>
      </c>
    </row>
    <row r="91" spans="1:19" ht="15.75" thickBot="1">
      <c r="A91" s="101">
        <f t="shared" si="9"/>
        <v>45692</v>
      </c>
      <c r="B91" s="25" t="s">
        <v>33</v>
      </c>
      <c r="C91" s="54">
        <f>'DHS2021'!C90</f>
        <v>14180</v>
      </c>
      <c r="D91" s="55">
        <f>'DHS2022'!C90</f>
        <v>13406</v>
      </c>
      <c r="E91" s="55">
        <f>'DHS2023'!C90</f>
        <v>15858</v>
      </c>
      <c r="F91" s="55">
        <f>'DHS2024'!C90</f>
        <v>10957</v>
      </c>
      <c r="G91" s="56">
        <f t="shared" si="5"/>
        <v>13600.25</v>
      </c>
      <c r="H91" s="75">
        <f t="shared" si="6"/>
        <v>3.4000625000000002</v>
      </c>
      <c r="I91" s="76">
        <v>1</v>
      </c>
      <c r="J91" s="75">
        <f t="shared" si="7"/>
        <v>4.4000625000000007</v>
      </c>
      <c r="K91" s="81">
        <f t="shared" si="8"/>
        <v>5</v>
      </c>
      <c r="L91" s="11"/>
      <c r="M91" s="11"/>
      <c r="N91" s="11"/>
      <c r="O91" s="28">
        <f>'DHS2025'!C90</f>
        <v>14146</v>
      </c>
      <c r="P91" s="29">
        <f>'DHS2025'!D90</f>
        <v>10209</v>
      </c>
      <c r="Q91" s="29">
        <f>'DHS2025'!E90</f>
        <v>8059</v>
      </c>
      <c r="R91" s="62">
        <v>172.44</v>
      </c>
      <c r="S91" s="61">
        <f>(Porovnavanie!J93*0.99-1.9)*Porovnavanie!I93</f>
        <v>1360.4849203999997</v>
      </c>
    </row>
    <row r="92" spans="1:19" ht="15.75" thickBot="1">
      <c r="A92" s="101">
        <f t="shared" si="9"/>
        <v>45692</v>
      </c>
      <c r="B92" s="25" t="s">
        <v>34</v>
      </c>
      <c r="C92" s="54">
        <f>'DHS2021'!C91</f>
        <v>14827</v>
      </c>
      <c r="D92" s="55">
        <f>'DHS2022'!C91</f>
        <v>13538</v>
      </c>
      <c r="E92" s="55">
        <f>'DHS2023'!C91</f>
        <v>16264</v>
      </c>
      <c r="F92" s="55">
        <f>'DHS2024'!C91</f>
        <v>11783</v>
      </c>
      <c r="G92" s="56">
        <f t="shared" si="5"/>
        <v>14103</v>
      </c>
      <c r="H92" s="75">
        <f t="shared" si="6"/>
        <v>3.5257499999999999</v>
      </c>
      <c r="I92" s="76">
        <v>1</v>
      </c>
      <c r="J92" s="75">
        <f t="shared" si="7"/>
        <v>4.5257500000000004</v>
      </c>
      <c r="K92" s="81">
        <f t="shared" si="8"/>
        <v>5</v>
      </c>
      <c r="L92" s="11"/>
      <c r="M92" s="11"/>
      <c r="N92" s="11"/>
      <c r="O92" s="28">
        <f>'DHS2025'!C91</f>
        <v>15090</v>
      </c>
      <c r="P92" s="29">
        <f>'DHS2025'!D91</f>
        <v>8625</v>
      </c>
      <c r="Q92" s="29">
        <f>'DHS2025'!E91</f>
        <v>8088</v>
      </c>
      <c r="R92" s="62">
        <v>181.87</v>
      </c>
      <c r="S92" s="61">
        <f>(Porovnavanie!J94*0.99-1.9)*Porovnavanie!I94</f>
        <v>1440.8877143999998</v>
      </c>
    </row>
    <row r="93" spans="1:19" ht="15.75" thickBot="1">
      <c r="A93" s="101">
        <f t="shared" si="9"/>
        <v>45692</v>
      </c>
      <c r="B93" s="25" t="s">
        <v>35</v>
      </c>
      <c r="C93" s="54">
        <f>'DHS2021'!C92</f>
        <v>15620</v>
      </c>
      <c r="D93" s="55">
        <f>'DHS2022'!C92</f>
        <v>13491</v>
      </c>
      <c r="E93" s="55">
        <f>'DHS2023'!C92</f>
        <v>16511</v>
      </c>
      <c r="F93" s="55">
        <f>'DHS2024'!C92</f>
        <v>13114</v>
      </c>
      <c r="G93" s="56">
        <f t="shared" si="5"/>
        <v>14684</v>
      </c>
      <c r="H93" s="75">
        <f t="shared" si="6"/>
        <v>3.6709999999999998</v>
      </c>
      <c r="I93" s="76">
        <v>1</v>
      </c>
      <c r="J93" s="75">
        <f t="shared" si="7"/>
        <v>4.6709999999999994</v>
      </c>
      <c r="K93" s="81">
        <f t="shared" si="8"/>
        <v>5</v>
      </c>
      <c r="L93" s="11"/>
      <c r="M93" s="11"/>
      <c r="N93" s="11"/>
      <c r="O93" s="28">
        <f>'DHS2025'!C92</f>
        <v>16699</v>
      </c>
      <c r="P93" s="29">
        <f>'DHS2025'!D92</f>
        <v>7349</v>
      </c>
      <c r="Q93" s="29">
        <f>'DHS2025'!E92</f>
        <v>7950</v>
      </c>
      <c r="R93" s="62">
        <v>175</v>
      </c>
      <c r="S93" s="61">
        <f>(Porovnavanie!J95*0.99-1.9)*Porovnavanie!I95</f>
        <v>1362.2325000000001</v>
      </c>
    </row>
    <row r="94" spans="1:19" ht="15.75" thickBot="1">
      <c r="A94" s="101">
        <f t="shared" si="9"/>
        <v>45692</v>
      </c>
      <c r="B94" s="25" t="s">
        <v>36</v>
      </c>
      <c r="C94" s="54">
        <f>'DHS2021'!C93</f>
        <v>16128</v>
      </c>
      <c r="D94" s="55">
        <f>'DHS2022'!C93</f>
        <v>13305</v>
      </c>
      <c r="E94" s="55">
        <f>'DHS2023'!C93</f>
        <v>18619</v>
      </c>
      <c r="F94" s="55">
        <f>'DHS2024'!C93</f>
        <v>13359</v>
      </c>
      <c r="G94" s="56">
        <f t="shared" si="5"/>
        <v>15352.75</v>
      </c>
      <c r="H94" s="75">
        <f t="shared" si="6"/>
        <v>3.8381875000000001</v>
      </c>
      <c r="I94" s="76">
        <v>1</v>
      </c>
      <c r="J94" s="75">
        <f t="shared" si="7"/>
        <v>4.8381875000000001</v>
      </c>
      <c r="K94" s="81">
        <f t="shared" si="8"/>
        <v>5</v>
      </c>
      <c r="L94" s="11"/>
      <c r="M94" s="11"/>
      <c r="N94" s="11"/>
      <c r="O94" s="28">
        <f>'DHS2025'!C93</f>
        <v>17116</v>
      </c>
      <c r="P94" s="29">
        <f>'DHS2025'!D93</f>
        <v>7534</v>
      </c>
      <c r="Q94" s="29">
        <f>'DHS2025'!E93</f>
        <v>8056</v>
      </c>
      <c r="R94" s="62">
        <v>174.53</v>
      </c>
      <c r="S94" s="61">
        <f>(Porovnavanie!J96*0.99-1.9)*Porovnavanie!I96</f>
        <v>1376.6471431999996</v>
      </c>
    </row>
    <row r="95" spans="1:19" ht="15.75" thickBot="1">
      <c r="A95" s="101">
        <f t="shared" si="9"/>
        <v>45692</v>
      </c>
      <c r="B95" s="25" t="s">
        <v>37</v>
      </c>
      <c r="C95" s="54">
        <f>'DHS2021'!C94</f>
        <v>16245</v>
      </c>
      <c r="D95" s="55">
        <f>'DHS2022'!C94</f>
        <v>13565</v>
      </c>
      <c r="E95" s="55">
        <f>'DHS2023'!C94</f>
        <v>18524</v>
      </c>
      <c r="F95" s="55">
        <f>'DHS2024'!C94</f>
        <v>13589</v>
      </c>
      <c r="G95" s="56">
        <f t="shared" si="5"/>
        <v>15480.75</v>
      </c>
      <c r="H95" s="75">
        <f t="shared" si="6"/>
        <v>3.8701875000000001</v>
      </c>
      <c r="I95" s="76">
        <v>1</v>
      </c>
      <c r="J95" s="75">
        <f t="shared" si="7"/>
        <v>4.8701875000000001</v>
      </c>
      <c r="K95" s="81">
        <f t="shared" si="8"/>
        <v>5</v>
      </c>
      <c r="L95" s="11"/>
      <c r="M95" s="11"/>
      <c r="N95" s="11"/>
      <c r="O95" s="28">
        <f>'DHS2025'!C94</f>
        <v>18538</v>
      </c>
      <c r="P95" s="29">
        <f>'DHS2025'!D94</f>
        <v>6481</v>
      </c>
      <c r="Q95" s="29">
        <f>'DHS2025'!E94</f>
        <v>8057</v>
      </c>
      <c r="R95" s="62">
        <v>164.78</v>
      </c>
      <c r="S95" s="61">
        <f>(Porovnavanie!J97*0.99-1.9)*Porovnavanie!I97</f>
        <v>1299.0478354000002</v>
      </c>
    </row>
    <row r="96" spans="1:19" ht="15.75" thickBot="1">
      <c r="A96" s="101">
        <f t="shared" si="9"/>
        <v>45692</v>
      </c>
      <c r="B96" s="25" t="s">
        <v>38</v>
      </c>
      <c r="C96" s="54">
        <f>'DHS2021'!C95</f>
        <v>16207</v>
      </c>
      <c r="D96" s="55">
        <f>'DHS2022'!C95</f>
        <v>13758</v>
      </c>
      <c r="E96" s="55">
        <f>'DHS2023'!C95</f>
        <v>18465</v>
      </c>
      <c r="F96" s="55">
        <f>'DHS2024'!C95</f>
        <v>13749</v>
      </c>
      <c r="G96" s="56">
        <f t="shared" si="5"/>
        <v>15544.75</v>
      </c>
      <c r="H96" s="75">
        <f t="shared" si="6"/>
        <v>3.8861875000000001</v>
      </c>
      <c r="I96" s="76">
        <v>1</v>
      </c>
      <c r="J96" s="75">
        <f t="shared" si="7"/>
        <v>4.8861875000000001</v>
      </c>
      <c r="K96" s="81">
        <f t="shared" si="8"/>
        <v>5</v>
      </c>
      <c r="L96" s="11"/>
      <c r="M96" s="11"/>
      <c r="N96" s="11"/>
      <c r="O96" s="28">
        <f>'DHS2025'!C95</f>
        <v>18766</v>
      </c>
      <c r="P96" s="29">
        <f>'DHS2025'!D95</f>
        <v>5932</v>
      </c>
      <c r="Q96" s="29">
        <f>'DHS2025'!E95</f>
        <v>8057</v>
      </c>
      <c r="R96" s="62">
        <v>139.07</v>
      </c>
      <c r="S96" s="61">
        <f>(Porovnavanie!J98*0.99-1.9)*Porovnavanie!I98</f>
        <v>1093.9738200999998</v>
      </c>
    </row>
    <row r="97" spans="1:19" ht="15.75" thickBot="1">
      <c r="A97" s="101">
        <f t="shared" si="9"/>
        <v>45692</v>
      </c>
      <c r="B97" s="25" t="s">
        <v>39</v>
      </c>
      <c r="C97" s="54">
        <f>'DHS2021'!C96</f>
        <v>14316</v>
      </c>
      <c r="D97" s="55">
        <f>'DHS2022'!C96</f>
        <v>12385</v>
      </c>
      <c r="E97" s="55">
        <f>'DHS2023'!C96</f>
        <v>15858</v>
      </c>
      <c r="F97" s="55">
        <f>'DHS2024'!C96</f>
        <v>9681</v>
      </c>
      <c r="G97" s="56">
        <f t="shared" si="5"/>
        <v>13060</v>
      </c>
      <c r="H97" s="75">
        <f t="shared" si="6"/>
        <v>3.2650000000000001</v>
      </c>
      <c r="I97" s="76">
        <v>1</v>
      </c>
      <c r="J97" s="75">
        <f t="shared" si="7"/>
        <v>4.2650000000000006</v>
      </c>
      <c r="K97" s="81">
        <f t="shared" si="8"/>
        <v>5</v>
      </c>
      <c r="L97" s="11"/>
      <c r="M97" s="11"/>
      <c r="N97" s="11"/>
      <c r="O97" s="28">
        <f>'DHS2025'!C96</f>
        <v>15901</v>
      </c>
      <c r="P97" s="29">
        <f>'DHS2025'!D96</f>
        <v>1888</v>
      </c>
      <c r="Q97" s="29">
        <f>'DHS2025'!E96</f>
        <v>5301</v>
      </c>
      <c r="R97" s="62">
        <v>131.07</v>
      </c>
      <c r="S97" s="61">
        <f>(Porovnavanie!J99*0.99-1.9)*Porovnavanie!I99</f>
        <v>677.78214930000001</v>
      </c>
    </row>
    <row r="98" spans="1:19" ht="15.75" thickBot="1">
      <c r="A98" s="101">
        <f t="shared" si="9"/>
        <v>45692</v>
      </c>
      <c r="B98" s="25" t="s">
        <v>40</v>
      </c>
      <c r="C98" s="54">
        <f>'DHS2021'!C97</f>
        <v>7728</v>
      </c>
      <c r="D98" s="55">
        <f>'DHS2022'!C97</f>
        <v>6436</v>
      </c>
      <c r="E98" s="55">
        <f>'DHS2023'!C97</f>
        <v>7784</v>
      </c>
      <c r="F98" s="55">
        <f>'DHS2024'!C97</f>
        <v>5787</v>
      </c>
      <c r="G98" s="56">
        <f t="shared" si="5"/>
        <v>6933.75</v>
      </c>
      <c r="H98" s="75">
        <f t="shared" si="6"/>
        <v>1.7334375</v>
      </c>
      <c r="I98" s="76">
        <v>1</v>
      </c>
      <c r="J98" s="75">
        <f t="shared" si="7"/>
        <v>2.7334375</v>
      </c>
      <c r="K98" s="81">
        <f t="shared" si="8"/>
        <v>3</v>
      </c>
      <c r="L98" s="11"/>
      <c r="M98" s="11"/>
      <c r="N98" s="11"/>
      <c r="O98" s="28">
        <f>'DHS2025'!C97</f>
        <v>9836</v>
      </c>
      <c r="P98" s="29">
        <f>'DHS2025'!D97</f>
        <v>2121</v>
      </c>
      <c r="Q98" s="29">
        <f>'DHS2025'!E97</f>
        <v>3967</v>
      </c>
      <c r="R98" s="62">
        <v>123.54</v>
      </c>
      <c r="S98" s="61">
        <f>(Porovnavanie!J100*0.99-1.9)*Porovnavanie!I100</f>
        <v>477.64504820000002</v>
      </c>
    </row>
    <row r="99" spans="1:19" ht="15.75" thickBot="1">
      <c r="A99" s="100">
        <f t="shared" si="9"/>
        <v>45693</v>
      </c>
      <c r="B99" s="24" t="s">
        <v>17</v>
      </c>
      <c r="C99" s="54">
        <f>'DHS2021'!C98</f>
        <v>7159</v>
      </c>
      <c r="D99" s="55">
        <f>'DHS2022'!C98</f>
        <v>7485</v>
      </c>
      <c r="E99" s="55">
        <f>'DHS2023'!C98</f>
        <v>8825</v>
      </c>
      <c r="F99" s="55">
        <f>'DHS2024'!C98</f>
        <v>5594</v>
      </c>
      <c r="G99" s="56">
        <f t="shared" si="5"/>
        <v>7265.75</v>
      </c>
      <c r="H99" s="75">
        <f t="shared" si="6"/>
        <v>1.8164374999999999</v>
      </c>
      <c r="I99" s="76">
        <v>1</v>
      </c>
      <c r="J99" s="75">
        <f t="shared" si="7"/>
        <v>2.8164375000000001</v>
      </c>
      <c r="K99" s="81">
        <f t="shared" si="8"/>
        <v>3</v>
      </c>
      <c r="L99" s="11"/>
      <c r="M99" s="11"/>
      <c r="N99" s="11"/>
      <c r="O99" s="28">
        <f>'DHS2025'!C98</f>
        <v>9301</v>
      </c>
      <c r="P99" s="29">
        <f>'DHS2025'!D98</f>
        <v>2032</v>
      </c>
      <c r="Q99" s="29">
        <f>'DHS2025'!E98</f>
        <v>3043</v>
      </c>
      <c r="R99" s="62">
        <v>115.63</v>
      </c>
      <c r="S99" s="61">
        <f>(Porovnavanie!J101*0.99-1.9)*Porovnavanie!I101</f>
        <v>342.56176909999999</v>
      </c>
    </row>
    <row r="100" spans="1:19" ht="15.75" thickBot="1">
      <c r="A100" s="100">
        <f t="shared" si="9"/>
        <v>45693</v>
      </c>
      <c r="B100" s="24" t="s">
        <v>18</v>
      </c>
      <c r="C100" s="54">
        <f>'DHS2021'!C99</f>
        <v>7924</v>
      </c>
      <c r="D100" s="55">
        <f>'DHS2022'!C99</f>
        <v>7050</v>
      </c>
      <c r="E100" s="55">
        <f>'DHS2023'!C99</f>
        <v>9398</v>
      </c>
      <c r="F100" s="55">
        <f>'DHS2024'!C99</f>
        <v>5781</v>
      </c>
      <c r="G100" s="56">
        <f t="shared" si="5"/>
        <v>7538.25</v>
      </c>
      <c r="H100" s="75">
        <f t="shared" si="6"/>
        <v>1.8845624999999999</v>
      </c>
      <c r="I100" s="76">
        <v>1</v>
      </c>
      <c r="J100" s="75">
        <f t="shared" si="7"/>
        <v>2.8845624999999999</v>
      </c>
      <c r="K100" s="81">
        <f t="shared" si="8"/>
        <v>3</v>
      </c>
      <c r="L100" s="11"/>
      <c r="M100" s="11"/>
      <c r="N100" s="11"/>
      <c r="O100" s="28">
        <f>'DHS2025'!C99</f>
        <v>10779</v>
      </c>
      <c r="P100" s="29">
        <f>'DHS2025'!D99</f>
        <v>88</v>
      </c>
      <c r="Q100" s="29">
        <f>'DHS2025'!E99</f>
        <v>3042</v>
      </c>
      <c r="R100" s="62">
        <v>111.13</v>
      </c>
      <c r="S100" s="61">
        <f>(Porovnavanie!J102*0.99-1.9)*Porovnavanie!I102</f>
        <v>328.89708539999992</v>
      </c>
    </row>
    <row r="101" spans="1:19" ht="15.75" thickBot="1">
      <c r="A101" s="100">
        <f t="shared" si="9"/>
        <v>45693</v>
      </c>
      <c r="B101" s="24" t="s">
        <v>19</v>
      </c>
      <c r="C101" s="54">
        <f>'DHS2021'!C100</f>
        <v>9731</v>
      </c>
      <c r="D101" s="55">
        <f>'DHS2022'!C100</f>
        <v>7278</v>
      </c>
      <c r="E101" s="55">
        <f>'DHS2023'!C100</f>
        <v>11589</v>
      </c>
      <c r="F101" s="55">
        <f>'DHS2024'!C100</f>
        <v>5315</v>
      </c>
      <c r="G101" s="56">
        <f t="shared" si="5"/>
        <v>8478.25</v>
      </c>
      <c r="H101" s="75">
        <f t="shared" si="6"/>
        <v>2.1195624999999998</v>
      </c>
      <c r="I101" s="76">
        <v>1</v>
      </c>
      <c r="J101" s="75">
        <f t="shared" si="7"/>
        <v>3.1195624999999998</v>
      </c>
      <c r="K101" s="81">
        <f t="shared" si="8"/>
        <v>4</v>
      </c>
      <c r="L101" s="11"/>
      <c r="M101" s="11"/>
      <c r="N101" s="11"/>
      <c r="O101" s="28">
        <f>'DHS2025'!C100</f>
        <v>11914</v>
      </c>
      <c r="P101" s="29">
        <f>'DHS2025'!D100</f>
        <v>2779</v>
      </c>
      <c r="Q101" s="29">
        <f>'DHS2025'!E100</f>
        <v>3979</v>
      </c>
      <c r="R101" s="62">
        <v>110.47</v>
      </c>
      <c r="S101" s="61">
        <f>(Porovnavanie!J103*0.99-1.9)*Porovnavanie!I103</f>
        <v>427.60442870000003</v>
      </c>
    </row>
    <row r="102" spans="1:19" ht="15.75" thickBot="1">
      <c r="A102" s="100">
        <f t="shared" si="9"/>
        <v>45693</v>
      </c>
      <c r="B102" s="24" t="s">
        <v>20</v>
      </c>
      <c r="C102" s="54">
        <f>'DHS2021'!C101</f>
        <v>10496</v>
      </c>
      <c r="D102" s="55">
        <f>'DHS2022'!C101</f>
        <v>8071</v>
      </c>
      <c r="E102" s="55">
        <f>'DHS2023'!C101</f>
        <v>11303</v>
      </c>
      <c r="F102" s="55">
        <f>'DHS2024'!C101</f>
        <v>8587</v>
      </c>
      <c r="G102" s="56">
        <f t="shared" si="5"/>
        <v>9614.25</v>
      </c>
      <c r="H102" s="75">
        <f t="shared" si="6"/>
        <v>2.4035625</v>
      </c>
      <c r="I102" s="76">
        <v>1</v>
      </c>
      <c r="J102" s="75">
        <f t="shared" si="7"/>
        <v>3.4035625</v>
      </c>
      <c r="K102" s="81">
        <f t="shared" si="8"/>
        <v>4</v>
      </c>
      <c r="L102" s="11"/>
      <c r="M102" s="11"/>
      <c r="N102" s="11"/>
      <c r="O102" s="28">
        <f>'DHS2025'!C101</f>
        <v>14098</v>
      </c>
      <c r="P102" s="29">
        <f>'DHS2025'!D101</f>
        <v>155</v>
      </c>
      <c r="Q102" s="29">
        <f>'DHS2025'!E101</f>
        <v>4048</v>
      </c>
      <c r="R102" s="62">
        <v>109.3</v>
      </c>
      <c r="S102" s="61">
        <f>(Porovnavanie!J104*0.99-1.9)*Porovnavanie!I104</f>
        <v>430.33073599999994</v>
      </c>
    </row>
    <row r="103" spans="1:19" ht="15.75" thickBot="1">
      <c r="A103" s="100">
        <f t="shared" si="9"/>
        <v>45693</v>
      </c>
      <c r="B103" s="24" t="s">
        <v>21</v>
      </c>
      <c r="C103" s="54">
        <f>'DHS2021'!C102</f>
        <v>21463</v>
      </c>
      <c r="D103" s="55">
        <f>'DHS2022'!C102</f>
        <v>13442</v>
      </c>
      <c r="E103" s="55">
        <f>'DHS2023'!C102</f>
        <v>17621</v>
      </c>
      <c r="F103" s="55">
        <f>'DHS2024'!C102</f>
        <v>12704</v>
      </c>
      <c r="G103" s="56">
        <f t="shared" si="5"/>
        <v>16307.5</v>
      </c>
      <c r="H103" s="75">
        <f t="shared" si="6"/>
        <v>4.0768750000000002</v>
      </c>
      <c r="I103" s="76">
        <v>1</v>
      </c>
      <c r="J103" s="75">
        <f t="shared" si="7"/>
        <v>5.0768750000000002</v>
      </c>
      <c r="K103" s="81">
        <f t="shared" si="8"/>
        <v>6</v>
      </c>
      <c r="L103" s="11"/>
      <c r="M103" s="11"/>
      <c r="N103" s="11"/>
      <c r="O103" s="28">
        <f>'DHS2025'!C102</f>
        <v>19460</v>
      </c>
      <c r="P103" s="29">
        <f>'DHS2025'!D102</f>
        <v>115</v>
      </c>
      <c r="Q103" s="29">
        <f>'DHS2025'!E102</f>
        <v>6060</v>
      </c>
      <c r="R103" s="62">
        <v>115.49</v>
      </c>
      <c r="S103" s="61">
        <f>(Porovnavanie!J105*0.99-1.9)*Porovnavanie!I105</f>
        <v>681.35670599999992</v>
      </c>
    </row>
    <row r="104" spans="1:19" ht="15.75" thickBot="1">
      <c r="A104" s="100">
        <f t="shared" si="9"/>
        <v>45693</v>
      </c>
      <c r="B104" s="24" t="s">
        <v>22</v>
      </c>
      <c r="C104" s="54">
        <f>'DHS2021'!C103</f>
        <v>19725</v>
      </c>
      <c r="D104" s="55">
        <f>'DHS2022'!C103</f>
        <v>13839</v>
      </c>
      <c r="E104" s="55">
        <f>'DHS2023'!C103</f>
        <v>19671</v>
      </c>
      <c r="F104" s="55">
        <f>'DHS2024'!C103</f>
        <v>12660</v>
      </c>
      <c r="G104" s="56">
        <f t="shared" si="5"/>
        <v>16473.75</v>
      </c>
      <c r="H104" s="75">
        <f t="shared" si="6"/>
        <v>4.1184374999999998</v>
      </c>
      <c r="I104" s="76">
        <v>1</v>
      </c>
      <c r="J104" s="75">
        <f t="shared" si="7"/>
        <v>5.1184374999999998</v>
      </c>
      <c r="K104" s="81">
        <f t="shared" si="8"/>
        <v>6</v>
      </c>
      <c r="L104" s="11"/>
      <c r="M104" s="11"/>
      <c r="N104" s="11"/>
      <c r="O104" s="28">
        <f>'DHS2025'!C103</f>
        <v>21568</v>
      </c>
      <c r="P104" s="29">
        <f>'DHS2025'!D103</f>
        <v>8986</v>
      </c>
      <c r="Q104" s="29">
        <f>'DHS2025'!E103</f>
        <v>8057</v>
      </c>
      <c r="R104" s="62">
        <v>122.51</v>
      </c>
      <c r="S104" s="61">
        <f>(Porovnavanie!J106*0.99-1.9)*Porovnavanie!I106</f>
        <v>961.88413930000002</v>
      </c>
    </row>
    <row r="105" spans="1:19" ht="15.75" thickBot="1">
      <c r="A105" s="100">
        <f t="shared" si="9"/>
        <v>45693</v>
      </c>
      <c r="B105" s="24" t="s">
        <v>23</v>
      </c>
      <c r="C105" s="54">
        <f>'DHS2021'!C104</f>
        <v>18738</v>
      </c>
      <c r="D105" s="55">
        <f>'DHS2022'!C104</f>
        <v>16227</v>
      </c>
      <c r="E105" s="55">
        <f>'DHS2023'!C104</f>
        <v>19658</v>
      </c>
      <c r="F105" s="55">
        <f>'DHS2024'!C104</f>
        <v>16239</v>
      </c>
      <c r="G105" s="56">
        <f t="shared" si="5"/>
        <v>17715.5</v>
      </c>
      <c r="H105" s="75">
        <f t="shared" si="6"/>
        <v>4.4288749999999997</v>
      </c>
      <c r="I105" s="76">
        <v>1</v>
      </c>
      <c r="J105" s="75">
        <f t="shared" si="7"/>
        <v>5.4288749999999997</v>
      </c>
      <c r="K105" s="81">
        <f t="shared" si="8"/>
        <v>6</v>
      </c>
      <c r="L105" s="11"/>
      <c r="M105" s="11"/>
      <c r="N105" s="11"/>
      <c r="O105" s="28">
        <f>'DHS2025'!C104</f>
        <v>19868</v>
      </c>
      <c r="P105" s="29">
        <f>'DHS2025'!D104</f>
        <v>4539</v>
      </c>
      <c r="Q105" s="29">
        <f>'DHS2025'!E104</f>
        <v>8045</v>
      </c>
      <c r="R105" s="62">
        <v>152.16999999999999</v>
      </c>
      <c r="S105" s="61">
        <f>(Porovnavanie!J107*0.99-1.9)*Porovnavanie!I107</f>
        <v>1196.6800734999997</v>
      </c>
    </row>
    <row r="106" spans="1:19" ht="15.75" thickBot="1">
      <c r="A106" s="100">
        <f t="shared" si="9"/>
        <v>45693</v>
      </c>
      <c r="B106" s="24" t="s">
        <v>24</v>
      </c>
      <c r="C106" s="54">
        <f>'DHS2021'!C105</f>
        <v>15836</v>
      </c>
      <c r="D106" s="55">
        <f>'DHS2022'!C105</f>
        <v>15462</v>
      </c>
      <c r="E106" s="55">
        <f>'DHS2023'!C105</f>
        <v>18156</v>
      </c>
      <c r="F106" s="55">
        <f>'DHS2024'!C105</f>
        <v>17092</v>
      </c>
      <c r="G106" s="56">
        <f t="shared" si="5"/>
        <v>16636.5</v>
      </c>
      <c r="H106" s="75">
        <f t="shared" si="6"/>
        <v>4.1591250000000004</v>
      </c>
      <c r="I106" s="76">
        <v>1</v>
      </c>
      <c r="J106" s="75">
        <f t="shared" si="7"/>
        <v>5.1591250000000004</v>
      </c>
      <c r="K106" s="81">
        <f t="shared" si="8"/>
        <v>6</v>
      </c>
      <c r="L106" s="11"/>
      <c r="M106" s="11"/>
      <c r="N106" s="11"/>
      <c r="O106" s="28">
        <f>'DHS2025'!C105</f>
        <v>18404</v>
      </c>
      <c r="P106" s="29">
        <f>'DHS2025'!D105</f>
        <v>6774</v>
      </c>
      <c r="Q106" s="29">
        <f>'DHS2025'!E105</f>
        <v>8087</v>
      </c>
      <c r="R106" s="62">
        <v>169.39</v>
      </c>
      <c r="S106" s="61">
        <f>(Porovnavanie!J108*0.99-1.9)*Porovnavanie!I108</f>
        <v>1340.7930606999996</v>
      </c>
    </row>
    <row r="107" spans="1:19" ht="15.75" thickBot="1">
      <c r="A107" s="100">
        <f t="shared" si="9"/>
        <v>45693</v>
      </c>
      <c r="B107" s="24" t="s">
        <v>25</v>
      </c>
      <c r="C107" s="54">
        <f>'DHS2021'!C106</f>
        <v>17057</v>
      </c>
      <c r="D107" s="55">
        <f>'DHS2022'!C106</f>
        <v>13633</v>
      </c>
      <c r="E107" s="55">
        <f>'DHS2023'!C106</f>
        <v>16206</v>
      </c>
      <c r="F107" s="55">
        <f>'DHS2024'!C106</f>
        <v>15933</v>
      </c>
      <c r="G107" s="56">
        <f t="shared" si="5"/>
        <v>15707.25</v>
      </c>
      <c r="H107" s="75">
        <f t="shared" si="6"/>
        <v>3.9268125</v>
      </c>
      <c r="I107" s="76">
        <v>1</v>
      </c>
      <c r="J107" s="75">
        <f t="shared" si="7"/>
        <v>4.9268125000000005</v>
      </c>
      <c r="K107" s="81">
        <f t="shared" si="8"/>
        <v>5</v>
      </c>
      <c r="L107" s="11"/>
      <c r="M107" s="11"/>
      <c r="N107" s="11"/>
      <c r="O107" s="28">
        <f>'DHS2025'!C106</f>
        <v>16678</v>
      </c>
      <c r="P107" s="29">
        <f>'DHS2025'!D106</f>
        <v>7939</v>
      </c>
      <c r="Q107" s="29">
        <f>'DHS2025'!E106</f>
        <v>8072</v>
      </c>
      <c r="R107" s="62">
        <v>180.81</v>
      </c>
      <c r="S107" s="61">
        <f>(Porovnavanie!J109*0.99-1.9)*Porovnavanie!I109</f>
        <v>1429.5665367999998</v>
      </c>
    </row>
    <row r="108" spans="1:19" ht="15.75" thickBot="1">
      <c r="A108" s="100">
        <f t="shared" si="9"/>
        <v>45693</v>
      </c>
      <c r="B108" s="24" t="s">
        <v>26</v>
      </c>
      <c r="C108" s="54">
        <f>'DHS2021'!C107</f>
        <v>17947</v>
      </c>
      <c r="D108" s="55">
        <f>'DHS2022'!C107</f>
        <v>12419</v>
      </c>
      <c r="E108" s="55">
        <f>'DHS2023'!C107</f>
        <v>18282</v>
      </c>
      <c r="F108" s="55">
        <f>'DHS2024'!C107</f>
        <v>14925</v>
      </c>
      <c r="G108" s="56">
        <f t="shared" si="5"/>
        <v>15893.25</v>
      </c>
      <c r="H108" s="75">
        <f t="shared" si="6"/>
        <v>3.9733125</v>
      </c>
      <c r="I108" s="76">
        <v>1</v>
      </c>
      <c r="J108" s="75">
        <f t="shared" si="7"/>
        <v>4.9733125000000005</v>
      </c>
      <c r="K108" s="81">
        <f t="shared" si="8"/>
        <v>5</v>
      </c>
      <c r="L108" s="11"/>
      <c r="M108" s="11"/>
      <c r="N108" s="11"/>
      <c r="O108" s="28">
        <f>'DHS2025'!C107</f>
        <v>16971</v>
      </c>
      <c r="P108" s="29">
        <f>'DHS2025'!D107</f>
        <v>6704</v>
      </c>
      <c r="Q108" s="29">
        <f>'DHS2025'!E107</f>
        <v>8060</v>
      </c>
      <c r="R108" s="62">
        <v>159.33000000000001</v>
      </c>
      <c r="S108" s="61">
        <f>(Porovnavanie!J110*0.99-1.9)*Porovnavanie!I110</f>
        <v>1256.0438020000001</v>
      </c>
    </row>
    <row r="109" spans="1:19" ht="15.75" thickBot="1">
      <c r="A109" s="100">
        <f t="shared" si="9"/>
        <v>45693</v>
      </c>
      <c r="B109" s="24" t="s">
        <v>27</v>
      </c>
      <c r="C109" s="54">
        <f>'DHS2021'!C108</f>
        <v>17053</v>
      </c>
      <c r="D109" s="55">
        <f>'DHS2022'!C108</f>
        <v>12802</v>
      </c>
      <c r="E109" s="55">
        <f>'DHS2023'!C108</f>
        <v>18339</v>
      </c>
      <c r="F109" s="55">
        <f>'DHS2024'!C108</f>
        <v>12307</v>
      </c>
      <c r="G109" s="56">
        <f t="shared" si="5"/>
        <v>15125.25</v>
      </c>
      <c r="H109" s="75">
        <f t="shared" si="6"/>
        <v>3.7813124999999999</v>
      </c>
      <c r="I109" s="76">
        <v>1</v>
      </c>
      <c r="J109" s="75">
        <f t="shared" si="7"/>
        <v>4.7813125000000003</v>
      </c>
      <c r="K109" s="81">
        <f t="shared" si="8"/>
        <v>5</v>
      </c>
      <c r="L109" s="11"/>
      <c r="M109" s="11"/>
      <c r="N109" s="11"/>
      <c r="O109" s="28">
        <f>'DHS2025'!C108</f>
        <v>15419</v>
      </c>
      <c r="P109" s="29">
        <f>'DHS2025'!D108</f>
        <v>8966</v>
      </c>
      <c r="Q109" s="29">
        <f>'DHS2025'!E108</f>
        <v>8052</v>
      </c>
      <c r="R109" s="62">
        <v>133.86000000000001</v>
      </c>
      <c r="S109" s="61">
        <f>(Porovnavanie!J111*0.99-1.9)*Porovnavanie!I111</f>
        <v>1051.7635127999999</v>
      </c>
    </row>
    <row r="110" spans="1:19" ht="15.75" thickBot="1">
      <c r="A110" s="100">
        <f t="shared" si="9"/>
        <v>45693</v>
      </c>
      <c r="B110" s="24" t="s">
        <v>28</v>
      </c>
      <c r="C110" s="54">
        <f>'DHS2021'!C109</f>
        <v>15727</v>
      </c>
      <c r="D110" s="55">
        <f>'DHS2022'!C109</f>
        <v>12597</v>
      </c>
      <c r="E110" s="55">
        <f>'DHS2023'!C109</f>
        <v>18246</v>
      </c>
      <c r="F110" s="55">
        <f>'DHS2024'!C109</f>
        <v>12221</v>
      </c>
      <c r="G110" s="56">
        <f t="shared" si="5"/>
        <v>14697.75</v>
      </c>
      <c r="H110" s="75">
        <f t="shared" si="6"/>
        <v>3.6744374999999998</v>
      </c>
      <c r="I110" s="76">
        <v>1</v>
      </c>
      <c r="J110" s="75">
        <f t="shared" si="7"/>
        <v>4.6744374999999998</v>
      </c>
      <c r="K110" s="81">
        <f t="shared" si="8"/>
        <v>5</v>
      </c>
      <c r="L110" s="11"/>
      <c r="M110" s="11"/>
      <c r="N110" s="11"/>
      <c r="O110" s="28">
        <f>'DHS2025'!C109</f>
        <v>15108</v>
      </c>
      <c r="P110" s="29">
        <f>'DHS2025'!D109</f>
        <v>5045</v>
      </c>
      <c r="Q110" s="29">
        <f>'DHS2025'!E109</f>
        <v>6420</v>
      </c>
      <c r="R110" s="62">
        <v>122.52</v>
      </c>
      <c r="S110" s="61">
        <f>(Porovnavanie!J112*0.99-1.9)*Porovnavanie!I112</f>
        <v>766.51461599999993</v>
      </c>
    </row>
    <row r="111" spans="1:19" ht="15.75" thickBot="1">
      <c r="A111" s="100">
        <f t="shared" si="9"/>
        <v>45693</v>
      </c>
      <c r="B111" s="24" t="s">
        <v>29</v>
      </c>
      <c r="C111" s="54">
        <f>'DHS2021'!C110</f>
        <v>15759</v>
      </c>
      <c r="D111" s="55">
        <f>'DHS2022'!C110</f>
        <v>11522</v>
      </c>
      <c r="E111" s="55">
        <f>'DHS2023'!C110</f>
        <v>18153</v>
      </c>
      <c r="F111" s="55">
        <f>'DHS2024'!C110</f>
        <v>12026</v>
      </c>
      <c r="G111" s="56">
        <f t="shared" si="5"/>
        <v>14365</v>
      </c>
      <c r="H111" s="75">
        <f t="shared" si="6"/>
        <v>3.5912500000000001</v>
      </c>
      <c r="I111" s="76">
        <v>1</v>
      </c>
      <c r="J111" s="75">
        <f t="shared" si="7"/>
        <v>4.5912500000000005</v>
      </c>
      <c r="K111" s="81">
        <f t="shared" si="8"/>
        <v>5</v>
      </c>
      <c r="L111" s="11"/>
      <c r="M111" s="11"/>
      <c r="N111" s="11"/>
      <c r="O111" s="28">
        <f>'DHS2025'!C110</f>
        <v>12888</v>
      </c>
      <c r="P111" s="29">
        <f>'DHS2025'!D110</f>
        <v>3110</v>
      </c>
      <c r="Q111" s="29">
        <f>'DHS2025'!E110</f>
        <v>5062</v>
      </c>
      <c r="R111" s="62">
        <v>117.45</v>
      </c>
      <c r="S111" s="61">
        <f>(Porovnavanie!J113*0.99-1.9)*Porovnavanie!I113</f>
        <v>578.96878100000004</v>
      </c>
    </row>
    <row r="112" spans="1:19" ht="15.75" thickBot="1">
      <c r="A112" s="100">
        <f t="shared" si="9"/>
        <v>45693</v>
      </c>
      <c r="B112" s="24" t="s">
        <v>30</v>
      </c>
      <c r="C112" s="54">
        <f>'DHS2021'!C111</f>
        <v>15676</v>
      </c>
      <c r="D112" s="55">
        <f>'DHS2022'!C111</f>
        <v>11340</v>
      </c>
      <c r="E112" s="55">
        <f>'DHS2023'!C111</f>
        <v>18255</v>
      </c>
      <c r="F112" s="55">
        <f>'DHS2024'!C111</f>
        <v>12804</v>
      </c>
      <c r="G112" s="56">
        <f t="shared" si="5"/>
        <v>14518.75</v>
      </c>
      <c r="H112" s="75">
        <f t="shared" si="6"/>
        <v>3.6296875000000002</v>
      </c>
      <c r="I112" s="76">
        <v>1</v>
      </c>
      <c r="J112" s="75">
        <f t="shared" si="7"/>
        <v>4.6296875000000002</v>
      </c>
      <c r="K112" s="81">
        <f t="shared" si="8"/>
        <v>5</v>
      </c>
      <c r="L112" s="11"/>
      <c r="M112" s="11"/>
      <c r="N112" s="11"/>
      <c r="O112" s="28">
        <f>'DHS2025'!C111</f>
        <v>12278</v>
      </c>
      <c r="P112" s="29">
        <f>'DHS2025'!D111</f>
        <v>3581</v>
      </c>
      <c r="Q112" s="29">
        <f>'DHS2025'!E111</f>
        <v>5054</v>
      </c>
      <c r="R112" s="62">
        <v>119.69</v>
      </c>
      <c r="S112" s="61">
        <f>(Porovnavanie!J114*0.99-1.9)*Porovnavanie!I114</f>
        <v>589.26152739999998</v>
      </c>
    </row>
    <row r="113" spans="1:19" ht="15.75" thickBot="1">
      <c r="A113" s="100">
        <f t="shared" si="9"/>
        <v>45693</v>
      </c>
      <c r="B113" s="24" t="s">
        <v>31</v>
      </c>
      <c r="C113" s="54">
        <f>'DHS2021'!C112</f>
        <v>16377</v>
      </c>
      <c r="D113" s="55">
        <f>'DHS2022'!C112</f>
        <v>11396</v>
      </c>
      <c r="E113" s="55">
        <f>'DHS2023'!C112</f>
        <v>18760</v>
      </c>
      <c r="F113" s="55">
        <f>'DHS2024'!C112</f>
        <v>10459</v>
      </c>
      <c r="G113" s="56">
        <f t="shared" si="5"/>
        <v>14248</v>
      </c>
      <c r="H113" s="75">
        <f t="shared" si="6"/>
        <v>3.5619999999999998</v>
      </c>
      <c r="I113" s="76">
        <v>1</v>
      </c>
      <c r="J113" s="75">
        <f t="shared" si="7"/>
        <v>4.5619999999999994</v>
      </c>
      <c r="K113" s="81">
        <f t="shared" si="8"/>
        <v>5</v>
      </c>
      <c r="L113" s="11"/>
      <c r="M113" s="11"/>
      <c r="N113" s="11"/>
      <c r="O113" s="28">
        <f>'DHS2025'!C112</f>
        <v>12193</v>
      </c>
      <c r="P113" s="29">
        <f>'DHS2025'!D112</f>
        <v>8327</v>
      </c>
      <c r="Q113" s="29">
        <f>'DHS2025'!E112</f>
        <v>6785</v>
      </c>
      <c r="R113" s="62">
        <v>128.85</v>
      </c>
      <c r="S113" s="61">
        <f>(Porovnavanie!J115*0.99-1.9)*Porovnavanie!I115</f>
        <v>852.61327749999998</v>
      </c>
    </row>
    <row r="114" spans="1:19" ht="15.75" thickBot="1">
      <c r="A114" s="100">
        <f t="shared" si="9"/>
        <v>45693</v>
      </c>
      <c r="B114" s="24" t="s">
        <v>32</v>
      </c>
      <c r="C114" s="54">
        <f>'DHS2021'!C113</f>
        <v>16508</v>
      </c>
      <c r="D114" s="55">
        <f>'DHS2022'!C113</f>
        <v>11358</v>
      </c>
      <c r="E114" s="55">
        <f>'DHS2023'!C113</f>
        <v>19356</v>
      </c>
      <c r="F114" s="55">
        <f>'DHS2024'!C113</f>
        <v>10318</v>
      </c>
      <c r="G114" s="56">
        <f t="shared" si="5"/>
        <v>14385</v>
      </c>
      <c r="H114" s="75">
        <f t="shared" si="6"/>
        <v>3.5962499999999999</v>
      </c>
      <c r="I114" s="76">
        <v>1</v>
      </c>
      <c r="J114" s="75">
        <f t="shared" si="7"/>
        <v>4.5962499999999995</v>
      </c>
      <c r="K114" s="81">
        <f t="shared" si="8"/>
        <v>5</v>
      </c>
      <c r="L114" s="11"/>
      <c r="M114" s="11"/>
      <c r="N114" s="11"/>
      <c r="O114" s="28">
        <f>'DHS2025'!C113</f>
        <v>13056</v>
      </c>
      <c r="P114" s="29">
        <f>'DHS2025'!D113</f>
        <v>11246</v>
      </c>
      <c r="Q114" s="29">
        <f>'DHS2025'!E113</f>
        <v>8067</v>
      </c>
      <c r="R114" s="62">
        <v>144.12</v>
      </c>
      <c r="S114" s="61">
        <f>(Porovnavanie!J116*0.99-1.9)*Porovnavanie!I116</f>
        <v>1135.6625795999998</v>
      </c>
    </row>
    <row r="115" spans="1:19" ht="15.75" thickBot="1">
      <c r="A115" s="100">
        <f t="shared" si="9"/>
        <v>45693</v>
      </c>
      <c r="B115" s="24" t="s">
        <v>33</v>
      </c>
      <c r="C115" s="54">
        <f>'DHS2021'!C114</f>
        <v>16289</v>
      </c>
      <c r="D115" s="55">
        <f>'DHS2022'!C114</f>
        <v>11165</v>
      </c>
      <c r="E115" s="55">
        <f>'DHS2023'!C114</f>
        <v>19119</v>
      </c>
      <c r="F115" s="55">
        <f>'DHS2024'!C114</f>
        <v>10573</v>
      </c>
      <c r="G115" s="56">
        <f t="shared" si="5"/>
        <v>14286.5</v>
      </c>
      <c r="H115" s="75">
        <f t="shared" si="6"/>
        <v>3.571625</v>
      </c>
      <c r="I115" s="76">
        <v>1</v>
      </c>
      <c r="J115" s="75">
        <f t="shared" si="7"/>
        <v>4.571625</v>
      </c>
      <c r="K115" s="81">
        <f t="shared" si="8"/>
        <v>5</v>
      </c>
      <c r="L115" s="11"/>
      <c r="M115" s="11"/>
      <c r="N115" s="11"/>
      <c r="O115" s="28">
        <f>'DHS2025'!C114</f>
        <v>13598</v>
      </c>
      <c r="P115" s="29">
        <f>'DHS2025'!D114</f>
        <v>10736</v>
      </c>
      <c r="Q115" s="29">
        <f>'DHS2025'!E114</f>
        <v>8045</v>
      </c>
      <c r="R115" s="62">
        <v>159.97</v>
      </c>
      <c r="S115" s="61">
        <f>(Porovnavanie!J117*0.99-1.9)*Porovnavanie!I117</f>
        <v>1258.8035634999999</v>
      </c>
    </row>
    <row r="116" spans="1:19" ht="15.75" thickBot="1">
      <c r="A116" s="100">
        <f t="shared" si="9"/>
        <v>45693</v>
      </c>
      <c r="B116" s="24" t="s">
        <v>34</v>
      </c>
      <c r="C116" s="54">
        <f>'DHS2021'!C115</f>
        <v>17444</v>
      </c>
      <c r="D116" s="55">
        <f>'DHS2022'!C115</f>
        <v>11879</v>
      </c>
      <c r="E116" s="55">
        <f>'DHS2023'!C115</f>
        <v>18552</v>
      </c>
      <c r="F116" s="55">
        <f>'DHS2024'!C115</f>
        <v>11655</v>
      </c>
      <c r="G116" s="56">
        <f t="shared" si="5"/>
        <v>14882.5</v>
      </c>
      <c r="H116" s="75">
        <f t="shared" si="6"/>
        <v>3.7206250000000001</v>
      </c>
      <c r="I116" s="76">
        <v>1</v>
      </c>
      <c r="J116" s="75">
        <f t="shared" si="7"/>
        <v>4.7206250000000001</v>
      </c>
      <c r="K116" s="81">
        <f t="shared" si="8"/>
        <v>5</v>
      </c>
      <c r="L116" s="11"/>
      <c r="M116" s="11"/>
      <c r="N116" s="11"/>
      <c r="O116" s="28">
        <f>'DHS2025'!C115</f>
        <v>14829</v>
      </c>
      <c r="P116" s="29">
        <f>'DHS2025'!D115</f>
        <v>8793</v>
      </c>
      <c r="Q116" s="29">
        <f>'DHS2025'!E115</f>
        <v>8058</v>
      </c>
      <c r="R116" s="62">
        <v>177.15</v>
      </c>
      <c r="S116" s="61">
        <f>(Porovnavanie!J118*0.99-1.9)*Porovnavanie!I118</f>
        <v>1397.8897529999999</v>
      </c>
    </row>
    <row r="117" spans="1:19" ht="15.75" thickBot="1">
      <c r="A117" s="100">
        <f t="shared" si="9"/>
        <v>45693</v>
      </c>
      <c r="B117" s="24" t="s">
        <v>35</v>
      </c>
      <c r="C117" s="54">
        <f>'DHS2021'!C116</f>
        <v>16826</v>
      </c>
      <c r="D117" s="55">
        <f>'DHS2022'!C116</f>
        <v>13980</v>
      </c>
      <c r="E117" s="55">
        <f>'DHS2023'!C116</f>
        <v>18761</v>
      </c>
      <c r="F117" s="55">
        <f>'DHS2024'!C116</f>
        <v>11050</v>
      </c>
      <c r="G117" s="56">
        <f t="shared" si="5"/>
        <v>15154.25</v>
      </c>
      <c r="H117" s="75">
        <f t="shared" si="6"/>
        <v>3.7885624999999998</v>
      </c>
      <c r="I117" s="76">
        <v>1</v>
      </c>
      <c r="J117" s="75">
        <f t="shared" si="7"/>
        <v>4.7885624999999994</v>
      </c>
      <c r="K117" s="81">
        <f t="shared" si="8"/>
        <v>5</v>
      </c>
      <c r="L117" s="11"/>
      <c r="M117" s="11"/>
      <c r="N117" s="11"/>
      <c r="O117" s="28">
        <f>'DHS2025'!C116</f>
        <v>16830</v>
      </c>
      <c r="P117" s="29">
        <f>'DHS2025'!D116</f>
        <v>7150</v>
      </c>
      <c r="Q117" s="29">
        <f>'DHS2025'!E116</f>
        <v>8059</v>
      </c>
      <c r="R117" s="62">
        <v>189.9</v>
      </c>
      <c r="S117" s="61">
        <f>(Porovnavanie!J119*0.99-1.9)*Porovnavanie!I119</f>
        <v>1499.7879589999998</v>
      </c>
    </row>
    <row r="118" spans="1:19" ht="15.75" thickBot="1">
      <c r="A118" s="100">
        <f t="shared" si="9"/>
        <v>45693</v>
      </c>
      <c r="B118" s="24" t="s">
        <v>36</v>
      </c>
      <c r="C118" s="54">
        <f>'DHS2021'!C117</f>
        <v>17295</v>
      </c>
      <c r="D118" s="55">
        <f>'DHS2022'!C117</f>
        <v>13613</v>
      </c>
      <c r="E118" s="55">
        <f>'DHS2023'!C117</f>
        <v>19052</v>
      </c>
      <c r="F118" s="55">
        <f>'DHS2024'!C117</f>
        <v>11616</v>
      </c>
      <c r="G118" s="56">
        <f t="shared" si="5"/>
        <v>15394</v>
      </c>
      <c r="H118" s="75">
        <f t="shared" si="6"/>
        <v>3.8485</v>
      </c>
      <c r="I118" s="76">
        <v>1</v>
      </c>
      <c r="J118" s="75">
        <f t="shared" si="7"/>
        <v>4.8484999999999996</v>
      </c>
      <c r="K118" s="81">
        <f t="shared" si="8"/>
        <v>5</v>
      </c>
      <c r="L118" s="11"/>
      <c r="M118" s="11"/>
      <c r="N118" s="11"/>
      <c r="O118" s="28">
        <f>'DHS2025'!C117</f>
        <v>17185</v>
      </c>
      <c r="P118" s="29">
        <f>'DHS2025'!D117</f>
        <v>7038</v>
      </c>
      <c r="Q118" s="29">
        <f>'DHS2025'!E117</f>
        <v>8056</v>
      </c>
      <c r="R118" s="62">
        <v>189.63</v>
      </c>
      <c r="S118" s="61">
        <f>(Porovnavanie!J120*0.99-1.9)*Porovnavanie!I120</f>
        <v>1497.0762871999998</v>
      </c>
    </row>
    <row r="119" spans="1:19" ht="15.75" thickBot="1">
      <c r="A119" s="100">
        <f t="shared" si="9"/>
        <v>45693</v>
      </c>
      <c r="B119" s="24" t="s">
        <v>37</v>
      </c>
      <c r="C119" s="54">
        <f>'DHS2021'!C118</f>
        <v>17084</v>
      </c>
      <c r="D119" s="55">
        <f>'DHS2022'!C118</f>
        <v>13417</v>
      </c>
      <c r="E119" s="55">
        <f>'DHS2023'!C118</f>
        <v>18235</v>
      </c>
      <c r="F119" s="55">
        <f>'DHS2024'!C118</f>
        <v>11897</v>
      </c>
      <c r="G119" s="56">
        <f t="shared" si="5"/>
        <v>15158.25</v>
      </c>
      <c r="H119" s="75">
        <f t="shared" si="6"/>
        <v>3.7895625000000002</v>
      </c>
      <c r="I119" s="76">
        <v>1</v>
      </c>
      <c r="J119" s="75">
        <f t="shared" si="7"/>
        <v>4.7895625000000006</v>
      </c>
      <c r="K119" s="81">
        <f t="shared" si="8"/>
        <v>5</v>
      </c>
      <c r="L119" s="11"/>
      <c r="M119" s="11"/>
      <c r="N119" s="11"/>
      <c r="O119" s="28">
        <f>'DHS2025'!C118</f>
        <v>18107</v>
      </c>
      <c r="P119" s="29">
        <f>'DHS2025'!D118</f>
        <v>7013</v>
      </c>
      <c r="Q119" s="29">
        <f>'DHS2025'!E118</f>
        <v>8060</v>
      </c>
      <c r="R119" s="62">
        <v>170</v>
      </c>
      <c r="S119" s="61">
        <f>(Porovnavanie!J121*0.99-1.9)*Porovnavanie!I121</f>
        <v>1341.1840000000002</v>
      </c>
    </row>
    <row r="120" spans="1:19" ht="15.75" thickBot="1">
      <c r="A120" s="100">
        <f t="shared" si="9"/>
        <v>45693</v>
      </c>
      <c r="B120" s="24" t="s">
        <v>38</v>
      </c>
      <c r="C120" s="54">
        <f>'DHS2021'!C119</f>
        <v>18084</v>
      </c>
      <c r="D120" s="55">
        <f>'DHS2022'!C119</f>
        <v>13588</v>
      </c>
      <c r="E120" s="55">
        <f>'DHS2023'!C119</f>
        <v>18684</v>
      </c>
      <c r="F120" s="55">
        <f>'DHS2024'!C119</f>
        <v>11864</v>
      </c>
      <c r="G120" s="56">
        <f t="shared" si="5"/>
        <v>15555</v>
      </c>
      <c r="H120" s="75">
        <f t="shared" si="6"/>
        <v>3.8887499999999999</v>
      </c>
      <c r="I120" s="76">
        <v>1</v>
      </c>
      <c r="J120" s="75">
        <f t="shared" si="7"/>
        <v>4.8887499999999999</v>
      </c>
      <c r="K120" s="81">
        <f t="shared" si="8"/>
        <v>5</v>
      </c>
      <c r="L120" s="11"/>
      <c r="M120" s="11"/>
      <c r="N120" s="11"/>
      <c r="O120" s="28">
        <f>'DHS2025'!C119</f>
        <v>17087</v>
      </c>
      <c r="P120" s="29">
        <f>'DHS2025'!D119</f>
        <v>5632</v>
      </c>
      <c r="Q120" s="29">
        <f>'DHS2025'!E119</f>
        <v>8054</v>
      </c>
      <c r="R120" s="62">
        <v>155.41999999999999</v>
      </c>
      <c r="S120" s="61">
        <f>(Porovnavanie!J122*0.99-1.9)*Porovnavanie!I122</f>
        <v>1223.9325531999998</v>
      </c>
    </row>
    <row r="121" spans="1:19" ht="15.75" thickBot="1">
      <c r="A121" s="100">
        <f t="shared" si="9"/>
        <v>45693</v>
      </c>
      <c r="B121" s="24" t="s">
        <v>39</v>
      </c>
      <c r="C121" s="54">
        <f>'DHS2021'!C120</f>
        <v>15679</v>
      </c>
      <c r="D121" s="55">
        <f>'DHS2022'!C120</f>
        <v>12917</v>
      </c>
      <c r="E121" s="55">
        <f>'DHS2023'!C120</f>
        <v>15983</v>
      </c>
      <c r="F121" s="55">
        <f>'DHS2024'!C120</f>
        <v>9062</v>
      </c>
      <c r="G121" s="56">
        <f t="shared" si="5"/>
        <v>13410.25</v>
      </c>
      <c r="H121" s="75">
        <f t="shared" si="6"/>
        <v>3.3525624999999999</v>
      </c>
      <c r="I121" s="76">
        <v>1</v>
      </c>
      <c r="J121" s="75">
        <f t="shared" si="7"/>
        <v>4.3525624999999994</v>
      </c>
      <c r="K121" s="81">
        <f t="shared" si="8"/>
        <v>5</v>
      </c>
      <c r="L121" s="11"/>
      <c r="M121" s="11"/>
      <c r="N121" s="11"/>
      <c r="O121" s="28">
        <f>'DHS2025'!C120</f>
        <v>13764</v>
      </c>
      <c r="P121" s="29">
        <f>'DHS2025'!D120</f>
        <v>6930</v>
      </c>
      <c r="Q121" s="29">
        <f>'DHS2025'!E120</f>
        <v>7039</v>
      </c>
      <c r="R121" s="62">
        <v>143.69999999999999</v>
      </c>
      <c r="S121" s="61">
        <f>(Porovnavanie!J123*0.99-1.9)*Porovnavanie!I123</f>
        <v>988.0151569999997</v>
      </c>
    </row>
    <row r="122" spans="1:19" ht="15.75" thickBot="1">
      <c r="A122" s="100">
        <f t="shared" si="9"/>
        <v>45693</v>
      </c>
      <c r="B122" s="24" t="s">
        <v>40</v>
      </c>
      <c r="C122" s="54">
        <f>'DHS2021'!C121</f>
        <v>8003</v>
      </c>
      <c r="D122" s="55">
        <f>'DHS2022'!C121</f>
        <v>6648</v>
      </c>
      <c r="E122" s="55">
        <f>'DHS2023'!C121</f>
        <v>10704</v>
      </c>
      <c r="F122" s="55">
        <f>'DHS2024'!C121</f>
        <v>4724</v>
      </c>
      <c r="G122" s="56">
        <f t="shared" si="5"/>
        <v>7519.75</v>
      </c>
      <c r="H122" s="75">
        <f t="shared" si="6"/>
        <v>1.8799375</v>
      </c>
      <c r="I122" s="76">
        <v>1</v>
      </c>
      <c r="J122" s="75">
        <f t="shared" si="7"/>
        <v>2.8799375</v>
      </c>
      <c r="K122" s="81">
        <f t="shared" si="8"/>
        <v>3</v>
      </c>
      <c r="L122" s="11"/>
      <c r="M122" s="11"/>
      <c r="N122" s="11"/>
      <c r="O122" s="28">
        <f>'DHS2025'!C121</f>
        <v>7359</v>
      </c>
      <c r="P122" s="29">
        <f>'DHS2025'!D121</f>
        <v>5472</v>
      </c>
      <c r="Q122" s="29">
        <f>'DHS2025'!E121</f>
        <v>3893</v>
      </c>
      <c r="R122" s="62">
        <v>133.79</v>
      </c>
      <c r="S122" s="61">
        <f>(Porovnavanie!J124*0.99-1.9)*Porovnavanie!I124</f>
        <v>508.23932529999996</v>
      </c>
    </row>
    <row r="123" spans="1:19" ht="15.75" thickBot="1">
      <c r="A123" s="101">
        <f t="shared" si="9"/>
        <v>45694</v>
      </c>
      <c r="B123" s="25" t="s">
        <v>17</v>
      </c>
      <c r="C123" s="54">
        <f>'DHS2021'!C122</f>
        <v>7870</v>
      </c>
      <c r="D123" s="55">
        <f>'DHS2022'!C122</f>
        <v>7628</v>
      </c>
      <c r="E123" s="55">
        <f>'DHS2023'!C122</f>
        <v>9422</v>
      </c>
      <c r="F123" s="55">
        <f>'DHS2024'!C122</f>
        <v>6594</v>
      </c>
      <c r="G123" s="56">
        <f t="shared" si="5"/>
        <v>7878.5</v>
      </c>
      <c r="H123" s="75">
        <f t="shared" si="6"/>
        <v>1.969625</v>
      </c>
      <c r="I123" s="76">
        <v>1</v>
      </c>
      <c r="J123" s="75">
        <f t="shared" si="7"/>
        <v>2.9696249999999997</v>
      </c>
      <c r="K123" s="81">
        <f t="shared" si="8"/>
        <v>3</v>
      </c>
      <c r="L123" s="11"/>
      <c r="M123" s="11"/>
      <c r="N123" s="11"/>
      <c r="O123" s="28">
        <f>'DHS2025'!C122</f>
        <v>7063</v>
      </c>
      <c r="P123" s="29">
        <f>'DHS2025'!D122</f>
        <v>4007</v>
      </c>
      <c r="Q123" s="29">
        <f>'DHS2025'!E122</f>
        <v>3057</v>
      </c>
      <c r="R123" s="62">
        <v>133.66999999999999</v>
      </c>
      <c r="S123" s="61">
        <f>(Porovnavanie!J125*0.99-1.9)*Porovnavanie!I125</f>
        <v>398.73459809999991</v>
      </c>
    </row>
    <row r="124" spans="1:19" ht="15.75" thickBot="1">
      <c r="A124" s="101">
        <f t="shared" si="9"/>
        <v>45694</v>
      </c>
      <c r="B124" s="25" t="s">
        <v>18</v>
      </c>
      <c r="C124" s="54">
        <f>'DHS2021'!C123</f>
        <v>9139</v>
      </c>
      <c r="D124" s="55">
        <f>'DHS2022'!C123</f>
        <v>7087</v>
      </c>
      <c r="E124" s="55">
        <f>'DHS2023'!C123</f>
        <v>10510</v>
      </c>
      <c r="F124" s="55">
        <f>'DHS2024'!C123</f>
        <v>6428</v>
      </c>
      <c r="G124" s="56">
        <f t="shared" si="5"/>
        <v>8291</v>
      </c>
      <c r="H124" s="75">
        <f t="shared" si="6"/>
        <v>2.0727500000000001</v>
      </c>
      <c r="I124" s="76">
        <v>1</v>
      </c>
      <c r="J124" s="75">
        <f t="shared" si="7"/>
        <v>3.0727500000000001</v>
      </c>
      <c r="K124" s="81">
        <f t="shared" si="8"/>
        <v>4</v>
      </c>
      <c r="L124" s="11"/>
      <c r="M124" s="11"/>
      <c r="N124" s="11"/>
      <c r="O124" s="28">
        <f>'DHS2025'!C123</f>
        <v>11742</v>
      </c>
      <c r="P124" s="29">
        <f>'DHS2025'!D123</f>
        <v>22</v>
      </c>
      <c r="Q124" s="29">
        <f>'DHS2025'!E123</f>
        <v>3761</v>
      </c>
      <c r="R124" s="62">
        <v>129.86000000000001</v>
      </c>
      <c r="S124" s="61">
        <f>(Porovnavanie!J126*0.99-1.9)*Porovnavanie!I126</f>
        <v>476.37352540000006</v>
      </c>
    </row>
    <row r="125" spans="1:19" ht="15.75" thickBot="1">
      <c r="A125" s="101">
        <f t="shared" si="9"/>
        <v>45694</v>
      </c>
      <c r="B125" s="25" t="s">
        <v>19</v>
      </c>
      <c r="C125" s="54">
        <f>'DHS2021'!C124</f>
        <v>10523</v>
      </c>
      <c r="D125" s="55">
        <f>'DHS2022'!C124</f>
        <v>8071</v>
      </c>
      <c r="E125" s="55">
        <f>'DHS2023'!C124</f>
        <v>11499</v>
      </c>
      <c r="F125" s="55">
        <f>'DHS2024'!C124</f>
        <v>6109</v>
      </c>
      <c r="G125" s="56">
        <f t="shared" si="5"/>
        <v>9050.5</v>
      </c>
      <c r="H125" s="75">
        <f t="shared" si="6"/>
        <v>2.2626249999999999</v>
      </c>
      <c r="I125" s="76">
        <v>1</v>
      </c>
      <c r="J125" s="75">
        <f t="shared" si="7"/>
        <v>3.2626249999999999</v>
      </c>
      <c r="K125" s="81">
        <f t="shared" si="8"/>
        <v>4</v>
      </c>
      <c r="L125" s="11"/>
      <c r="M125" s="11"/>
      <c r="N125" s="11"/>
      <c r="O125" s="28">
        <f>'DHS2025'!C124</f>
        <v>9772</v>
      </c>
      <c r="P125" s="29">
        <f>'DHS2025'!D124</f>
        <v>3711</v>
      </c>
      <c r="Q125" s="29">
        <f>'DHS2025'!E124</f>
        <v>4020</v>
      </c>
      <c r="R125" s="62">
        <v>125.96</v>
      </c>
      <c r="S125" s="61">
        <f>(Porovnavanie!J127*0.99-1.9)*Porovnavanie!I127</f>
        <v>493.65760799999987</v>
      </c>
    </row>
    <row r="126" spans="1:19" ht="15.75" thickBot="1">
      <c r="A126" s="101">
        <f t="shared" si="9"/>
        <v>45694</v>
      </c>
      <c r="B126" s="25" t="s">
        <v>20</v>
      </c>
      <c r="C126" s="54">
        <f>'DHS2021'!C125</f>
        <v>11102</v>
      </c>
      <c r="D126" s="55">
        <f>'DHS2022'!C125</f>
        <v>8897</v>
      </c>
      <c r="E126" s="55">
        <f>'DHS2023'!C125</f>
        <v>13262</v>
      </c>
      <c r="F126" s="55">
        <f>'DHS2024'!C125</f>
        <v>8896</v>
      </c>
      <c r="G126" s="56">
        <f t="shared" si="5"/>
        <v>10539.25</v>
      </c>
      <c r="H126" s="75">
        <f t="shared" si="6"/>
        <v>2.6348124999999998</v>
      </c>
      <c r="I126" s="76">
        <v>1</v>
      </c>
      <c r="J126" s="75">
        <f t="shared" si="7"/>
        <v>3.6348124999999998</v>
      </c>
      <c r="K126" s="81">
        <f t="shared" si="8"/>
        <v>4</v>
      </c>
      <c r="L126" s="11"/>
      <c r="M126" s="11"/>
      <c r="N126" s="11"/>
      <c r="O126" s="28">
        <f>'DHS2025'!C125</f>
        <v>10193</v>
      </c>
      <c r="P126" s="29">
        <f>'DHS2025'!D125</f>
        <v>3773</v>
      </c>
      <c r="Q126" s="29">
        <f>'DHS2025'!E125</f>
        <v>4053</v>
      </c>
      <c r="R126" s="62">
        <v>125</v>
      </c>
      <c r="S126" s="61">
        <f>(Porovnavanie!J128*0.99-1.9)*Porovnavanie!I128</f>
        <v>493.85804999999999</v>
      </c>
    </row>
    <row r="127" spans="1:19" ht="15.75" thickBot="1">
      <c r="A127" s="101">
        <f t="shared" si="9"/>
        <v>45694</v>
      </c>
      <c r="B127" s="25" t="s">
        <v>21</v>
      </c>
      <c r="C127" s="54">
        <f>'DHS2021'!C126</f>
        <v>21873</v>
      </c>
      <c r="D127" s="55">
        <f>'DHS2022'!C126</f>
        <v>13846</v>
      </c>
      <c r="E127" s="55">
        <f>'DHS2023'!C126</f>
        <v>16001</v>
      </c>
      <c r="F127" s="55">
        <f>'DHS2024'!C126</f>
        <v>3539</v>
      </c>
      <c r="G127" s="56">
        <f t="shared" si="5"/>
        <v>13814.75</v>
      </c>
      <c r="H127" s="75">
        <f t="shared" si="6"/>
        <v>3.4536875</v>
      </c>
      <c r="I127" s="76">
        <v>1</v>
      </c>
      <c r="J127" s="75">
        <f t="shared" si="7"/>
        <v>4.4536875</v>
      </c>
      <c r="K127" s="81">
        <f t="shared" si="8"/>
        <v>5</v>
      </c>
      <c r="L127" s="11"/>
      <c r="M127" s="11"/>
      <c r="N127" s="11"/>
      <c r="O127" s="28">
        <f>'DHS2025'!C126</f>
        <v>15238</v>
      </c>
      <c r="P127" s="29">
        <f>'DHS2025'!D126</f>
        <v>126</v>
      </c>
      <c r="Q127" s="29">
        <f>'DHS2025'!E126</f>
        <v>5007</v>
      </c>
      <c r="R127" s="62">
        <v>125.01</v>
      </c>
      <c r="S127" s="61">
        <f>(Porovnavanie!J129*0.99-1.9)*Porovnavanie!I129</f>
        <v>610.15251929999999</v>
      </c>
    </row>
    <row r="128" spans="1:19" ht="15.75" thickBot="1">
      <c r="A128" s="101">
        <f t="shared" si="9"/>
        <v>45694</v>
      </c>
      <c r="B128" s="25" t="s">
        <v>22</v>
      </c>
      <c r="C128" s="54">
        <f>'DHS2021'!C127</f>
        <v>18628</v>
      </c>
      <c r="D128" s="55">
        <f>'DHS2022'!C127</f>
        <v>15315</v>
      </c>
      <c r="E128" s="55">
        <f>'DHS2023'!C127</f>
        <v>20881</v>
      </c>
      <c r="F128" s="55">
        <f>'DHS2024'!C127</f>
        <v>10468</v>
      </c>
      <c r="G128" s="56">
        <f t="shared" si="5"/>
        <v>16323</v>
      </c>
      <c r="H128" s="75">
        <f t="shared" si="6"/>
        <v>4.0807500000000001</v>
      </c>
      <c r="I128" s="76">
        <v>1</v>
      </c>
      <c r="J128" s="75">
        <f t="shared" si="7"/>
        <v>5.0807500000000001</v>
      </c>
      <c r="K128" s="81">
        <f t="shared" si="8"/>
        <v>6</v>
      </c>
      <c r="L128" s="11"/>
      <c r="M128" s="11"/>
      <c r="N128" s="11"/>
      <c r="O128" s="28">
        <f>'DHS2025'!C127</f>
        <v>21660</v>
      </c>
      <c r="P128" s="29">
        <f>'DHS2025'!D127</f>
        <v>74</v>
      </c>
      <c r="Q128" s="29">
        <f>'DHS2025'!E127</f>
        <v>7226</v>
      </c>
      <c r="R128" s="62">
        <v>134.36000000000001</v>
      </c>
      <c r="S128" s="61">
        <f>(Porovnavanie!J130*0.99-1.9)*Porovnavanie!I130</f>
        <v>947.44710639999994</v>
      </c>
    </row>
    <row r="129" spans="1:19" ht="15.75" thickBot="1">
      <c r="A129" s="101">
        <f t="shared" si="9"/>
        <v>45694</v>
      </c>
      <c r="B129" s="25" t="s">
        <v>23</v>
      </c>
      <c r="C129" s="54">
        <f>'DHS2021'!C128</f>
        <v>19194</v>
      </c>
      <c r="D129" s="55">
        <f>'DHS2022'!C128</f>
        <v>15940</v>
      </c>
      <c r="E129" s="55">
        <f>'DHS2023'!C128</f>
        <v>21678</v>
      </c>
      <c r="F129" s="55">
        <f>'DHS2024'!C128</f>
        <v>13079</v>
      </c>
      <c r="G129" s="56">
        <f t="shared" si="5"/>
        <v>17472.75</v>
      </c>
      <c r="H129" s="75">
        <f t="shared" si="6"/>
        <v>4.3681875000000003</v>
      </c>
      <c r="I129" s="76">
        <v>1</v>
      </c>
      <c r="J129" s="75">
        <f t="shared" si="7"/>
        <v>5.3681875000000003</v>
      </c>
      <c r="K129" s="81">
        <f t="shared" si="8"/>
        <v>6</v>
      </c>
      <c r="L129" s="11"/>
      <c r="M129" s="11"/>
      <c r="N129" s="11"/>
      <c r="O129" s="28">
        <f>'DHS2025'!C128</f>
        <v>22237</v>
      </c>
      <c r="P129" s="29">
        <f>'DHS2025'!D128</f>
        <v>2723</v>
      </c>
      <c r="Q129" s="29">
        <f>'DHS2025'!E128</f>
        <v>8045</v>
      </c>
      <c r="R129" s="62">
        <v>154.55000000000001</v>
      </c>
      <c r="S129" s="61">
        <f>(Porovnavanie!J131*0.99-1.9)*Porovnavanie!I131</f>
        <v>1215.6357025</v>
      </c>
    </row>
    <row r="130" spans="1:19" ht="15.75" thickBot="1">
      <c r="A130" s="101">
        <f t="shared" si="9"/>
        <v>45694</v>
      </c>
      <c r="B130" s="25" t="s">
        <v>24</v>
      </c>
      <c r="C130" s="54">
        <f>'DHS2021'!C129</f>
        <v>13345</v>
      </c>
      <c r="D130" s="55">
        <f>'DHS2022'!C129</f>
        <v>14942</v>
      </c>
      <c r="E130" s="55">
        <f>'DHS2023'!C129</f>
        <v>21999</v>
      </c>
      <c r="F130" s="55">
        <f>'DHS2024'!C129</f>
        <v>14286</v>
      </c>
      <c r="G130" s="56">
        <f t="shared" si="5"/>
        <v>16143</v>
      </c>
      <c r="H130" s="75">
        <f t="shared" si="6"/>
        <v>4.0357500000000002</v>
      </c>
      <c r="I130" s="76">
        <v>1</v>
      </c>
      <c r="J130" s="75">
        <f t="shared" si="7"/>
        <v>5.0357500000000002</v>
      </c>
      <c r="K130" s="81">
        <f t="shared" si="8"/>
        <v>6</v>
      </c>
      <c r="L130" s="11"/>
      <c r="M130" s="11"/>
      <c r="N130" s="11"/>
      <c r="O130" s="28">
        <f>'DHS2025'!C129</f>
        <v>16657</v>
      </c>
      <c r="P130" s="29">
        <f>'DHS2025'!D129</f>
        <v>7652</v>
      </c>
      <c r="Q130" s="29">
        <f>'DHS2025'!E129</f>
        <v>8066</v>
      </c>
      <c r="R130" s="62">
        <v>180.09</v>
      </c>
      <c r="S130" s="61">
        <f>(Porovnavanie!J132*0.99-1.9)*Porovnavanie!I132</f>
        <v>1422.7544806000001</v>
      </c>
    </row>
    <row r="131" spans="1:19" ht="15.75" thickBot="1">
      <c r="A131" s="101">
        <f t="shared" si="9"/>
        <v>45694</v>
      </c>
      <c r="B131" s="25" t="s">
        <v>25</v>
      </c>
      <c r="C131" s="54">
        <f>'DHS2021'!C130</f>
        <v>16969</v>
      </c>
      <c r="D131" s="55">
        <f>'DHS2022'!C130</f>
        <v>13279</v>
      </c>
      <c r="E131" s="55">
        <f>'DHS2023'!C130</f>
        <v>18590</v>
      </c>
      <c r="F131" s="55">
        <f>'DHS2024'!C130</f>
        <v>12532</v>
      </c>
      <c r="G131" s="56">
        <f t="shared" si="5"/>
        <v>15342.5</v>
      </c>
      <c r="H131" s="75">
        <f t="shared" si="6"/>
        <v>3.8356249999999998</v>
      </c>
      <c r="I131" s="76">
        <v>1</v>
      </c>
      <c r="J131" s="75">
        <f t="shared" si="7"/>
        <v>4.8356250000000003</v>
      </c>
      <c r="K131" s="81">
        <f t="shared" si="8"/>
        <v>5</v>
      </c>
      <c r="L131" s="11"/>
      <c r="M131" s="11"/>
      <c r="N131" s="11"/>
      <c r="O131" s="28">
        <f>'DHS2025'!C130</f>
        <v>15978</v>
      </c>
      <c r="P131" s="29">
        <f>'DHS2025'!D130</f>
        <v>7667</v>
      </c>
      <c r="Q131" s="29">
        <f>'DHS2025'!E130</f>
        <v>8065</v>
      </c>
      <c r="R131" s="62">
        <v>218.78</v>
      </c>
      <c r="S131" s="61">
        <f>(Porovnavanie!J133*0.99-1.9)*Porovnavanie!I133</f>
        <v>1731.4925929999997</v>
      </c>
    </row>
    <row r="132" spans="1:19" ht="15.75" thickBot="1">
      <c r="A132" s="101">
        <f t="shared" si="9"/>
        <v>45694</v>
      </c>
      <c r="B132" s="25" t="s">
        <v>26</v>
      </c>
      <c r="C132" s="54">
        <f>'DHS2021'!C131</f>
        <v>17137</v>
      </c>
      <c r="D132" s="55">
        <f>'DHS2022'!C131</f>
        <v>13284</v>
      </c>
      <c r="E132" s="55">
        <f>'DHS2023'!C131</f>
        <v>18651</v>
      </c>
      <c r="F132" s="55">
        <f>'DHS2024'!C131</f>
        <v>13792</v>
      </c>
      <c r="G132" s="56">
        <f t="shared" ref="G132:G195" si="10">AVERAGE(C132:F132)</f>
        <v>15716</v>
      </c>
      <c r="H132" s="75">
        <f t="shared" ref="H132:H195" si="11">G132/$M$2/1000</f>
        <v>3.9289999999999998</v>
      </c>
      <c r="I132" s="76">
        <v>1</v>
      </c>
      <c r="J132" s="75">
        <f t="shared" ref="J132:J195" si="12">H132+I132</f>
        <v>4.9290000000000003</v>
      </c>
      <c r="K132" s="81">
        <f t="shared" ref="K132:K195" si="13">ROUNDUP(J132,0)</f>
        <v>5</v>
      </c>
      <c r="L132" s="11"/>
      <c r="M132" s="11"/>
      <c r="N132" s="11"/>
      <c r="O132" s="28">
        <f>'DHS2025'!C131</f>
        <v>16718</v>
      </c>
      <c r="P132" s="29">
        <f>'DHS2025'!D131</f>
        <v>7582</v>
      </c>
      <c r="Q132" s="29">
        <f>'DHS2025'!E131</f>
        <v>8054</v>
      </c>
      <c r="R132" s="62">
        <v>178.9</v>
      </c>
      <c r="S132" s="61">
        <f>(Porovnavanie!J134*0.99-1.9)*Porovnavanie!I134</f>
        <v>1411.149394</v>
      </c>
    </row>
    <row r="133" spans="1:19" ht="15.75" thickBot="1">
      <c r="A133" s="101">
        <f t="shared" ref="A133:A196" si="14">$A$3+INT((ROW()-3)/24)</f>
        <v>45694</v>
      </c>
      <c r="B133" s="25" t="s">
        <v>27</v>
      </c>
      <c r="C133" s="54">
        <f>'DHS2021'!C132</f>
        <v>17739</v>
      </c>
      <c r="D133" s="55">
        <f>'DHS2022'!C132</f>
        <v>13645</v>
      </c>
      <c r="E133" s="55">
        <f>'DHS2023'!C132</f>
        <v>18395</v>
      </c>
      <c r="F133" s="55">
        <f>'DHS2024'!C132</f>
        <v>13675</v>
      </c>
      <c r="G133" s="56">
        <f t="shared" si="10"/>
        <v>15863.5</v>
      </c>
      <c r="H133" s="75">
        <f t="shared" si="11"/>
        <v>3.965875</v>
      </c>
      <c r="I133" s="76">
        <v>1</v>
      </c>
      <c r="J133" s="75">
        <f t="shared" si="12"/>
        <v>4.9658750000000005</v>
      </c>
      <c r="K133" s="81">
        <f t="shared" si="13"/>
        <v>5</v>
      </c>
      <c r="L133" s="11"/>
      <c r="M133" s="11"/>
      <c r="N133" s="11"/>
      <c r="O133" s="28">
        <f>'DHS2025'!C132</f>
        <v>14834</v>
      </c>
      <c r="P133" s="29">
        <f>'DHS2025'!D132</f>
        <v>9333</v>
      </c>
      <c r="Q133" s="29">
        <f>'DHS2025'!E132</f>
        <v>8068</v>
      </c>
      <c r="R133" s="62">
        <v>160.63</v>
      </c>
      <c r="S133" s="61">
        <f>(Porovnavanie!J135*0.99-1.9)*Porovnavanie!I135</f>
        <v>1267.6740115999999</v>
      </c>
    </row>
    <row r="134" spans="1:19" ht="15.75" thickBot="1">
      <c r="A134" s="101">
        <f t="shared" si="14"/>
        <v>45694</v>
      </c>
      <c r="B134" s="25" t="s">
        <v>28</v>
      </c>
      <c r="C134" s="54">
        <f>'DHS2021'!C133</f>
        <v>16850</v>
      </c>
      <c r="D134" s="55">
        <f>'DHS2022'!C133</f>
        <v>12955</v>
      </c>
      <c r="E134" s="55">
        <f>'DHS2023'!C133</f>
        <v>17426</v>
      </c>
      <c r="F134" s="55">
        <f>'DHS2024'!C133</f>
        <v>13199</v>
      </c>
      <c r="G134" s="56">
        <f t="shared" si="10"/>
        <v>15107.5</v>
      </c>
      <c r="H134" s="75">
        <f t="shared" si="11"/>
        <v>3.776875</v>
      </c>
      <c r="I134" s="76">
        <v>1</v>
      </c>
      <c r="J134" s="75">
        <f t="shared" si="12"/>
        <v>4.7768750000000004</v>
      </c>
      <c r="K134" s="81">
        <f t="shared" si="13"/>
        <v>5</v>
      </c>
      <c r="L134" s="11"/>
      <c r="M134" s="11"/>
      <c r="N134" s="11"/>
      <c r="O134" s="28">
        <f>'DHS2025'!C133</f>
        <v>15433</v>
      </c>
      <c r="P134" s="29">
        <f>'DHS2025'!D133</f>
        <v>8882</v>
      </c>
      <c r="Q134" s="29">
        <f>'DHS2025'!E133</f>
        <v>8054</v>
      </c>
      <c r="R134" s="62">
        <v>150.56</v>
      </c>
      <c r="S134" s="61">
        <f>(Porovnavanie!J136*0.99-1.9)*Porovnavanie!I136</f>
        <v>1185.1815376</v>
      </c>
    </row>
    <row r="135" spans="1:19" ht="15.75" thickBot="1">
      <c r="A135" s="101">
        <f t="shared" si="14"/>
        <v>45694</v>
      </c>
      <c r="B135" s="25" t="s">
        <v>29</v>
      </c>
      <c r="C135" s="54">
        <f>'DHS2021'!C134</f>
        <v>17376</v>
      </c>
      <c r="D135" s="55">
        <f>'DHS2022'!C134</f>
        <v>13429</v>
      </c>
      <c r="E135" s="55">
        <f>'DHS2023'!C134</f>
        <v>16585</v>
      </c>
      <c r="F135" s="55">
        <f>'DHS2024'!C134</f>
        <v>14278</v>
      </c>
      <c r="G135" s="56">
        <f t="shared" si="10"/>
        <v>15417</v>
      </c>
      <c r="H135" s="75">
        <f t="shared" si="11"/>
        <v>3.85425</v>
      </c>
      <c r="I135" s="76">
        <v>1</v>
      </c>
      <c r="J135" s="75">
        <f t="shared" si="12"/>
        <v>4.8542500000000004</v>
      </c>
      <c r="K135" s="81">
        <f t="shared" si="13"/>
        <v>5</v>
      </c>
      <c r="L135" s="11"/>
      <c r="M135" s="11"/>
      <c r="N135" s="11"/>
      <c r="O135" s="28">
        <f>'DHS2025'!C134</f>
        <v>15372</v>
      </c>
      <c r="P135" s="29">
        <f>'DHS2025'!D134</f>
        <v>8546</v>
      </c>
      <c r="Q135" s="29">
        <f>'DHS2025'!E134</f>
        <v>8062</v>
      </c>
      <c r="R135" s="62">
        <v>145.49</v>
      </c>
      <c r="S135" s="61">
        <f>(Porovnavanie!J137*0.99-1.9)*Porovnavanie!I137</f>
        <v>1145.8931762</v>
      </c>
    </row>
    <row r="136" spans="1:19" ht="15.75" thickBot="1">
      <c r="A136" s="101">
        <f t="shared" si="14"/>
        <v>45694</v>
      </c>
      <c r="B136" s="25" t="s">
        <v>30</v>
      </c>
      <c r="C136" s="54">
        <f>'DHS2021'!C135</f>
        <v>16848</v>
      </c>
      <c r="D136" s="55">
        <f>'DHS2022'!C135</f>
        <v>12804</v>
      </c>
      <c r="E136" s="55">
        <f>'DHS2023'!C135</f>
        <v>18095</v>
      </c>
      <c r="F136" s="55">
        <f>'DHS2024'!C135</f>
        <v>13121</v>
      </c>
      <c r="G136" s="56">
        <f t="shared" si="10"/>
        <v>15217</v>
      </c>
      <c r="H136" s="75">
        <f t="shared" si="11"/>
        <v>3.8042500000000001</v>
      </c>
      <c r="I136" s="76">
        <v>1</v>
      </c>
      <c r="J136" s="75">
        <f t="shared" si="12"/>
        <v>4.8042499999999997</v>
      </c>
      <c r="K136" s="81">
        <f t="shared" si="13"/>
        <v>5</v>
      </c>
      <c r="L136" s="11"/>
      <c r="M136" s="11"/>
      <c r="N136" s="11"/>
      <c r="O136" s="28">
        <f>'DHS2025'!C135</f>
        <v>15904</v>
      </c>
      <c r="P136" s="29">
        <f>'DHS2025'!D135</f>
        <v>8211</v>
      </c>
      <c r="Q136" s="29">
        <f>'DHS2025'!E135</f>
        <v>8053</v>
      </c>
      <c r="R136" s="62">
        <v>142.49</v>
      </c>
      <c r="S136" s="61">
        <f>(Porovnavanie!J138*0.99-1.9)*Porovnavanie!I138</f>
        <v>1120.6965503000001</v>
      </c>
    </row>
    <row r="137" spans="1:19" ht="15.75" thickBot="1">
      <c r="A137" s="101">
        <f t="shared" si="14"/>
        <v>45694</v>
      </c>
      <c r="B137" s="25" t="s">
        <v>31</v>
      </c>
      <c r="C137" s="54">
        <f>'DHS2021'!C136</f>
        <v>16792</v>
      </c>
      <c r="D137" s="55">
        <f>'DHS2022'!C136</f>
        <v>11862</v>
      </c>
      <c r="E137" s="55">
        <f>'DHS2023'!C136</f>
        <v>18813</v>
      </c>
      <c r="F137" s="55">
        <f>'DHS2024'!C136</f>
        <v>9756</v>
      </c>
      <c r="G137" s="56">
        <f t="shared" si="10"/>
        <v>14305.75</v>
      </c>
      <c r="H137" s="75">
        <f t="shared" si="11"/>
        <v>3.5764374999999999</v>
      </c>
      <c r="I137" s="76">
        <v>1</v>
      </c>
      <c r="J137" s="75">
        <f t="shared" si="12"/>
        <v>4.5764374999999999</v>
      </c>
      <c r="K137" s="81">
        <f t="shared" si="13"/>
        <v>5</v>
      </c>
      <c r="L137" s="11"/>
      <c r="M137" s="11"/>
      <c r="N137" s="11"/>
      <c r="O137" s="28">
        <f>'DHS2025'!C136</f>
        <v>15054</v>
      </c>
      <c r="P137" s="29">
        <f>'DHS2025'!D136</f>
        <v>8708</v>
      </c>
      <c r="Q137" s="29">
        <f>'DHS2025'!E136</f>
        <v>8062</v>
      </c>
      <c r="R137" s="62">
        <v>139.6</v>
      </c>
      <c r="S137" s="61">
        <f>(Porovnavanie!J139*0.99-1.9)*Porovnavanie!I139</f>
        <v>1098.8828479999997</v>
      </c>
    </row>
    <row r="138" spans="1:19" ht="15.75" thickBot="1">
      <c r="A138" s="101">
        <f t="shared" si="14"/>
        <v>45694</v>
      </c>
      <c r="B138" s="25" t="s">
        <v>32</v>
      </c>
      <c r="C138" s="54">
        <f>'DHS2021'!C137</f>
        <v>18583</v>
      </c>
      <c r="D138" s="55">
        <f>'DHS2022'!C137</f>
        <v>11548</v>
      </c>
      <c r="E138" s="55">
        <f>'DHS2023'!C137</f>
        <v>19488</v>
      </c>
      <c r="F138" s="55">
        <f>'DHS2024'!C137</f>
        <v>10136</v>
      </c>
      <c r="G138" s="56">
        <f t="shared" si="10"/>
        <v>14938.75</v>
      </c>
      <c r="H138" s="75">
        <f t="shared" si="11"/>
        <v>3.7346875000000002</v>
      </c>
      <c r="I138" s="76">
        <v>1</v>
      </c>
      <c r="J138" s="75">
        <f t="shared" si="12"/>
        <v>4.7346874999999997</v>
      </c>
      <c r="K138" s="81">
        <f t="shared" si="13"/>
        <v>5</v>
      </c>
      <c r="L138" s="11"/>
      <c r="M138" s="11"/>
      <c r="N138" s="11"/>
      <c r="O138" s="28">
        <f>'DHS2025'!C137</f>
        <v>15221</v>
      </c>
      <c r="P138" s="29">
        <f>'DHS2025'!D137</f>
        <v>9478</v>
      </c>
      <c r="Q138" s="29">
        <f>'DHS2025'!E137</f>
        <v>8048</v>
      </c>
      <c r="R138" s="62">
        <v>150.16999999999999</v>
      </c>
      <c r="S138" s="61">
        <f>(Porovnavanie!J140*0.99-1.9)*Porovnavanie!I140</f>
        <v>1181.1912783999999</v>
      </c>
    </row>
    <row r="139" spans="1:19" ht="15.75" thickBot="1">
      <c r="A139" s="101">
        <f t="shared" si="14"/>
        <v>45694</v>
      </c>
      <c r="B139" s="25" t="s">
        <v>33</v>
      </c>
      <c r="C139" s="54">
        <f>'DHS2021'!C138</f>
        <v>17712</v>
      </c>
      <c r="D139" s="55">
        <f>'DHS2022'!C138</f>
        <v>11849</v>
      </c>
      <c r="E139" s="55">
        <f>'DHS2023'!C138</f>
        <v>17991</v>
      </c>
      <c r="F139" s="55">
        <f>'DHS2024'!C138</f>
        <v>11171</v>
      </c>
      <c r="G139" s="56">
        <f t="shared" si="10"/>
        <v>14680.75</v>
      </c>
      <c r="H139" s="75">
        <f t="shared" si="11"/>
        <v>3.6701874999999999</v>
      </c>
      <c r="I139" s="76">
        <v>1</v>
      </c>
      <c r="J139" s="75">
        <f t="shared" si="12"/>
        <v>4.6701874999999999</v>
      </c>
      <c r="K139" s="81">
        <f t="shared" si="13"/>
        <v>5</v>
      </c>
      <c r="L139" s="11"/>
      <c r="M139" s="11"/>
      <c r="N139" s="11"/>
      <c r="O139" s="28">
        <f>'DHS2025'!C138</f>
        <v>15633</v>
      </c>
      <c r="P139" s="29">
        <f>'DHS2025'!D138</f>
        <v>8827</v>
      </c>
      <c r="Q139" s="29">
        <f>'DHS2025'!E138</f>
        <v>8052</v>
      </c>
      <c r="R139" s="62">
        <v>173.84</v>
      </c>
      <c r="S139" s="61">
        <f>(Porovnavanie!J141*0.99-1.9)*Porovnavanie!I141</f>
        <v>1370.4632831999998</v>
      </c>
    </row>
    <row r="140" spans="1:19" ht="15.75" thickBot="1">
      <c r="A140" s="101">
        <f t="shared" si="14"/>
        <v>45694</v>
      </c>
      <c r="B140" s="25" t="s">
        <v>34</v>
      </c>
      <c r="C140" s="54">
        <f>'DHS2021'!C139</f>
        <v>18182</v>
      </c>
      <c r="D140" s="55">
        <f>'DHS2022'!C139</f>
        <v>11922</v>
      </c>
      <c r="E140" s="55">
        <f>'DHS2023'!C139</f>
        <v>17237</v>
      </c>
      <c r="F140" s="55">
        <f>'DHS2024'!C139</f>
        <v>14168</v>
      </c>
      <c r="G140" s="56">
        <f t="shared" si="10"/>
        <v>15377.25</v>
      </c>
      <c r="H140" s="75">
        <f t="shared" si="11"/>
        <v>3.8443125</v>
      </c>
      <c r="I140" s="76">
        <v>1</v>
      </c>
      <c r="J140" s="75">
        <f t="shared" si="12"/>
        <v>4.8443125</v>
      </c>
      <c r="K140" s="81">
        <f t="shared" si="13"/>
        <v>5</v>
      </c>
      <c r="L140" s="11"/>
      <c r="M140" s="11"/>
      <c r="N140" s="11"/>
      <c r="O140" s="28">
        <f>'DHS2025'!C139</f>
        <v>15586</v>
      </c>
      <c r="P140" s="29">
        <f>'DHS2025'!D139</f>
        <v>8517</v>
      </c>
      <c r="Q140" s="29">
        <f>'DHS2025'!E139</f>
        <v>8053</v>
      </c>
      <c r="R140" s="62">
        <v>177.97</v>
      </c>
      <c r="S140" s="61">
        <f>(Porovnavanie!J142*0.99-1.9)*Porovnavanie!I142</f>
        <v>1403.5597859000002</v>
      </c>
    </row>
    <row r="141" spans="1:19" ht="15.75" thickBot="1">
      <c r="A141" s="101">
        <f t="shared" si="14"/>
        <v>45694</v>
      </c>
      <c r="B141" s="25" t="s">
        <v>35</v>
      </c>
      <c r="C141" s="54">
        <f>'DHS2021'!C140</f>
        <v>19119</v>
      </c>
      <c r="D141" s="55">
        <f>'DHS2022'!C140</f>
        <v>13076</v>
      </c>
      <c r="E141" s="55">
        <f>'DHS2023'!C140</f>
        <v>19074</v>
      </c>
      <c r="F141" s="55">
        <f>'DHS2024'!C140</f>
        <v>10606</v>
      </c>
      <c r="G141" s="56">
        <f t="shared" si="10"/>
        <v>15468.75</v>
      </c>
      <c r="H141" s="75">
        <f t="shared" si="11"/>
        <v>3.8671875</v>
      </c>
      <c r="I141" s="76">
        <v>1</v>
      </c>
      <c r="J141" s="75">
        <f t="shared" si="12"/>
        <v>4.8671875</v>
      </c>
      <c r="K141" s="81">
        <f t="shared" si="13"/>
        <v>5</v>
      </c>
      <c r="L141" s="11"/>
      <c r="M141" s="11"/>
      <c r="N141" s="11"/>
      <c r="O141" s="28">
        <f>'DHS2025'!C140</f>
        <v>15416</v>
      </c>
      <c r="P141" s="29">
        <f>'DHS2025'!D140</f>
        <v>8727</v>
      </c>
      <c r="Q141" s="29">
        <f>'DHS2025'!E140</f>
        <v>8059</v>
      </c>
      <c r="R141" s="62">
        <v>182.91</v>
      </c>
      <c r="S141" s="61">
        <f>(Porovnavanie!J143*0.99-1.9)*Porovnavanie!I143</f>
        <v>1444.0188730999996</v>
      </c>
    </row>
    <row r="142" spans="1:19" ht="15.75" thickBot="1">
      <c r="A142" s="101">
        <f t="shared" si="14"/>
        <v>45694</v>
      </c>
      <c r="B142" s="25" t="s">
        <v>36</v>
      </c>
      <c r="C142" s="54">
        <f>'DHS2021'!C141</f>
        <v>19119</v>
      </c>
      <c r="D142" s="55">
        <f>'DHS2022'!C141</f>
        <v>13402</v>
      </c>
      <c r="E142" s="55">
        <f>'DHS2023'!C141</f>
        <v>19579</v>
      </c>
      <c r="F142" s="55">
        <f>'DHS2024'!C141</f>
        <v>11588</v>
      </c>
      <c r="G142" s="56">
        <f t="shared" si="10"/>
        <v>15922</v>
      </c>
      <c r="H142" s="75">
        <f t="shared" si="11"/>
        <v>3.9805000000000001</v>
      </c>
      <c r="I142" s="76">
        <v>1</v>
      </c>
      <c r="J142" s="75">
        <f t="shared" si="12"/>
        <v>4.9805000000000001</v>
      </c>
      <c r="K142" s="81">
        <f t="shared" si="13"/>
        <v>5</v>
      </c>
      <c r="L142" s="11"/>
      <c r="M142" s="11"/>
      <c r="N142" s="11"/>
      <c r="O142" s="28">
        <f>'DHS2025'!C141</f>
        <v>15677</v>
      </c>
      <c r="P142" s="29">
        <f>'DHS2025'!D141</f>
        <v>8720</v>
      </c>
      <c r="Q142" s="29">
        <f>'DHS2025'!E141</f>
        <v>8044</v>
      </c>
      <c r="R142" s="62">
        <v>180.58</v>
      </c>
      <c r="S142" s="61">
        <f>(Porovnavanie!J144*0.99-1.9)*Porovnavanie!I144</f>
        <v>1422.7760648000001</v>
      </c>
    </row>
    <row r="143" spans="1:19" ht="15.75" thickBot="1">
      <c r="A143" s="101">
        <f t="shared" si="14"/>
        <v>45694</v>
      </c>
      <c r="B143" s="25" t="s">
        <v>37</v>
      </c>
      <c r="C143" s="54">
        <f>'DHS2021'!C142</f>
        <v>18967</v>
      </c>
      <c r="D143" s="55">
        <f>'DHS2022'!C142</f>
        <v>13329</v>
      </c>
      <c r="E143" s="55">
        <f>'DHS2023'!C142</f>
        <v>19017</v>
      </c>
      <c r="F143" s="55">
        <f>'DHS2024'!C142</f>
        <v>14562</v>
      </c>
      <c r="G143" s="56">
        <f t="shared" si="10"/>
        <v>16468.75</v>
      </c>
      <c r="H143" s="75">
        <f t="shared" si="11"/>
        <v>4.1171875</v>
      </c>
      <c r="I143" s="76">
        <v>1</v>
      </c>
      <c r="J143" s="75">
        <f t="shared" si="12"/>
        <v>5.1171875</v>
      </c>
      <c r="K143" s="81">
        <f t="shared" si="13"/>
        <v>6</v>
      </c>
      <c r="L143" s="11"/>
      <c r="M143" s="11"/>
      <c r="N143" s="11"/>
      <c r="O143" s="28">
        <f>'DHS2025'!C142</f>
        <v>16076</v>
      </c>
      <c r="P143" s="29">
        <f>'DHS2025'!D142</f>
        <v>8436</v>
      </c>
      <c r="Q143" s="29">
        <f>'DHS2025'!E142</f>
        <v>8061</v>
      </c>
      <c r="R143" s="62">
        <v>185.29</v>
      </c>
      <c r="S143" s="61">
        <f>(Porovnavanie!J145*0.99-1.9)*Porovnavanie!I145</f>
        <v>1463.3705630999998</v>
      </c>
    </row>
    <row r="144" spans="1:19" ht="15.75" thickBot="1">
      <c r="A144" s="101">
        <f t="shared" si="14"/>
        <v>45694</v>
      </c>
      <c r="B144" s="25" t="s">
        <v>38</v>
      </c>
      <c r="C144" s="54">
        <f>'DHS2021'!C143</f>
        <v>19204</v>
      </c>
      <c r="D144" s="55">
        <f>'DHS2022'!C143</f>
        <v>12867</v>
      </c>
      <c r="E144" s="55">
        <f>'DHS2023'!C143</f>
        <v>20776</v>
      </c>
      <c r="F144" s="55">
        <f>'DHS2024'!C143</f>
        <v>14072</v>
      </c>
      <c r="G144" s="56">
        <f t="shared" si="10"/>
        <v>16729.75</v>
      </c>
      <c r="H144" s="75">
        <f t="shared" si="11"/>
        <v>4.1824374999999998</v>
      </c>
      <c r="I144" s="76">
        <v>1</v>
      </c>
      <c r="J144" s="75">
        <f t="shared" si="12"/>
        <v>5.1824374999999998</v>
      </c>
      <c r="K144" s="81">
        <f t="shared" si="13"/>
        <v>6</v>
      </c>
      <c r="L144" s="11"/>
      <c r="M144" s="11"/>
      <c r="N144" s="11"/>
      <c r="O144" s="28">
        <f>'DHS2025'!C143</f>
        <v>16823</v>
      </c>
      <c r="P144" s="29">
        <f>'DHS2025'!D143</f>
        <v>7403</v>
      </c>
      <c r="Q144" s="29">
        <f>'DHS2025'!E143</f>
        <v>8040</v>
      </c>
      <c r="R144" s="62">
        <v>165.63</v>
      </c>
      <c r="S144" s="61">
        <f>(Porovnavanie!J146*0.99-1.9)*Porovnavanie!I146</f>
        <v>1303.0725479999999</v>
      </c>
    </row>
    <row r="145" spans="1:19" ht="15.75" thickBot="1">
      <c r="A145" s="101">
        <f t="shared" si="14"/>
        <v>45694</v>
      </c>
      <c r="B145" s="25" t="s">
        <v>39</v>
      </c>
      <c r="C145" s="54">
        <f>'DHS2021'!C144</f>
        <v>16086</v>
      </c>
      <c r="D145" s="55">
        <f>'DHS2022'!C144</f>
        <v>11572</v>
      </c>
      <c r="E145" s="55">
        <f>'DHS2023'!C144</f>
        <v>18577</v>
      </c>
      <c r="F145" s="55">
        <f>'DHS2024'!C144</f>
        <v>12002</v>
      </c>
      <c r="G145" s="56">
        <f t="shared" si="10"/>
        <v>14559.25</v>
      </c>
      <c r="H145" s="75">
        <f t="shared" si="11"/>
        <v>3.6398125000000001</v>
      </c>
      <c r="I145" s="76">
        <v>1</v>
      </c>
      <c r="J145" s="75">
        <f t="shared" si="12"/>
        <v>4.6398124999999997</v>
      </c>
      <c r="K145" s="81">
        <f t="shared" si="13"/>
        <v>5</v>
      </c>
      <c r="L145" s="11"/>
      <c r="M145" s="11"/>
      <c r="N145" s="11"/>
      <c r="O145" s="28">
        <f>'DHS2025'!C144</f>
        <v>12555</v>
      </c>
      <c r="P145" s="29">
        <f>'DHS2025'!D144</f>
        <v>8016</v>
      </c>
      <c r="Q145" s="29">
        <f>'DHS2025'!E144</f>
        <v>6979</v>
      </c>
      <c r="R145" s="62">
        <v>146.35</v>
      </c>
      <c r="S145" s="61">
        <f>(Porovnavanie!J147*0.99-1.9)*Porovnavanie!I147</f>
        <v>997.90278349999983</v>
      </c>
    </row>
    <row r="146" spans="1:19" ht="15.75" thickBot="1">
      <c r="A146" s="101">
        <f t="shared" si="14"/>
        <v>45694</v>
      </c>
      <c r="B146" s="25" t="s">
        <v>40</v>
      </c>
      <c r="C146" s="54">
        <f>'DHS2021'!C145</f>
        <v>8799</v>
      </c>
      <c r="D146" s="55">
        <f>'DHS2022'!C145</f>
        <v>6945</v>
      </c>
      <c r="E146" s="55">
        <f>'DHS2023'!C145</f>
        <v>11505</v>
      </c>
      <c r="F146" s="55">
        <f>'DHS2024'!C145</f>
        <v>7697</v>
      </c>
      <c r="G146" s="56">
        <f t="shared" si="10"/>
        <v>8736.5</v>
      </c>
      <c r="H146" s="75">
        <f t="shared" si="11"/>
        <v>2.1841249999999999</v>
      </c>
      <c r="I146" s="76">
        <v>1</v>
      </c>
      <c r="J146" s="75">
        <f t="shared" si="12"/>
        <v>3.1841249999999999</v>
      </c>
      <c r="K146" s="81">
        <f t="shared" si="13"/>
        <v>4</v>
      </c>
      <c r="L146" s="11"/>
      <c r="M146" s="11"/>
      <c r="N146" s="11"/>
      <c r="O146" s="28">
        <f>'DHS2025'!C145</f>
        <v>7122</v>
      </c>
      <c r="P146" s="29">
        <f>'DHS2025'!D145</f>
        <v>7643</v>
      </c>
      <c r="Q146" s="29">
        <f>'DHS2025'!E145</f>
        <v>4339</v>
      </c>
      <c r="R146" s="62">
        <v>121.95</v>
      </c>
      <c r="S146" s="61">
        <f>(Porovnavanie!J148*0.99-1.9)*Porovnavanie!I148</f>
        <v>515.60553950000008</v>
      </c>
    </row>
    <row r="147" spans="1:19" ht="15.75" thickBot="1">
      <c r="A147" s="100">
        <f t="shared" si="14"/>
        <v>45695</v>
      </c>
      <c r="B147" s="24" t="s">
        <v>17</v>
      </c>
      <c r="C147" s="54">
        <f>'DHS2021'!C146</f>
        <v>8870</v>
      </c>
      <c r="D147" s="55">
        <f>'DHS2022'!C146</f>
        <v>6458</v>
      </c>
      <c r="E147" s="55">
        <f>'DHS2023'!C146</f>
        <v>13481</v>
      </c>
      <c r="F147" s="55">
        <f>'DHS2024'!C146</f>
        <v>6065</v>
      </c>
      <c r="G147" s="56">
        <f t="shared" si="10"/>
        <v>8718.5</v>
      </c>
      <c r="H147" s="75">
        <f t="shared" si="11"/>
        <v>2.1796250000000001</v>
      </c>
      <c r="I147" s="76">
        <v>1</v>
      </c>
      <c r="J147" s="75">
        <f t="shared" si="12"/>
        <v>3.1796250000000001</v>
      </c>
      <c r="K147" s="81">
        <f t="shared" si="13"/>
        <v>4</v>
      </c>
      <c r="L147" s="11"/>
      <c r="M147" s="11"/>
      <c r="N147" s="11"/>
      <c r="O147" s="28">
        <f>'DHS2025'!C146</f>
        <v>7045</v>
      </c>
      <c r="P147" s="29">
        <f>'DHS2025'!D146</f>
        <v>6670</v>
      </c>
      <c r="Q147" s="29">
        <f>'DHS2025'!E146</f>
        <v>4056</v>
      </c>
      <c r="R147" s="62">
        <v>126.05</v>
      </c>
      <c r="S147" s="61">
        <f>(Porovnavanie!J149*0.99-1.9)*Porovnavanie!I149</f>
        <v>498.43981199999996</v>
      </c>
    </row>
    <row r="148" spans="1:19" ht="15.75" thickBot="1">
      <c r="A148" s="100">
        <f t="shared" si="14"/>
        <v>45695</v>
      </c>
      <c r="B148" s="24" t="s">
        <v>18</v>
      </c>
      <c r="C148" s="54">
        <f>'DHS2021'!C147</f>
        <v>11305</v>
      </c>
      <c r="D148" s="55">
        <f>'DHS2022'!C147</f>
        <v>6358</v>
      </c>
      <c r="E148" s="55">
        <f>'DHS2023'!C147</f>
        <v>14092</v>
      </c>
      <c r="F148" s="55">
        <f>'DHS2024'!C147</f>
        <v>10842</v>
      </c>
      <c r="G148" s="56">
        <f t="shared" si="10"/>
        <v>10649.25</v>
      </c>
      <c r="H148" s="75">
        <f t="shared" si="11"/>
        <v>2.6623125000000001</v>
      </c>
      <c r="I148" s="76">
        <v>1</v>
      </c>
      <c r="J148" s="75">
        <f t="shared" si="12"/>
        <v>3.6623125000000001</v>
      </c>
      <c r="K148" s="81">
        <f t="shared" si="13"/>
        <v>4</v>
      </c>
      <c r="L148" s="11"/>
      <c r="M148" s="11"/>
      <c r="N148" s="11"/>
      <c r="O148" s="28">
        <f>'DHS2025'!C147</f>
        <v>7654</v>
      </c>
      <c r="P148" s="29">
        <f>'DHS2025'!D147</f>
        <v>5644</v>
      </c>
      <c r="Q148" s="29">
        <f>'DHS2025'!E147</f>
        <v>4050</v>
      </c>
      <c r="R148" s="62">
        <v>112.7</v>
      </c>
      <c r="S148" s="61">
        <f>(Porovnavanie!J150*0.99-1.9)*Porovnavanie!I150</f>
        <v>444.17564999999996</v>
      </c>
    </row>
    <row r="149" spans="1:19" ht="15.75" thickBot="1">
      <c r="A149" s="100">
        <f t="shared" si="14"/>
        <v>45695</v>
      </c>
      <c r="B149" s="24" t="s">
        <v>19</v>
      </c>
      <c r="C149" s="54">
        <f>'DHS2021'!C148</f>
        <v>12599</v>
      </c>
      <c r="D149" s="55">
        <f>'DHS2022'!C148</f>
        <v>5750</v>
      </c>
      <c r="E149" s="55">
        <f>'DHS2023'!C148</f>
        <v>12782</v>
      </c>
      <c r="F149" s="55">
        <f>'DHS2024'!C148</f>
        <v>12877</v>
      </c>
      <c r="G149" s="56">
        <f t="shared" si="10"/>
        <v>11002</v>
      </c>
      <c r="H149" s="75">
        <f t="shared" si="11"/>
        <v>2.7505000000000002</v>
      </c>
      <c r="I149" s="76">
        <v>1</v>
      </c>
      <c r="J149" s="75">
        <f t="shared" si="12"/>
        <v>3.7505000000000002</v>
      </c>
      <c r="K149" s="81">
        <f t="shared" si="13"/>
        <v>4</v>
      </c>
      <c r="L149" s="11"/>
      <c r="M149" s="11"/>
      <c r="N149" s="11"/>
      <c r="O149" s="28">
        <f>'DHS2025'!C148</f>
        <v>9321</v>
      </c>
      <c r="P149" s="29">
        <f>'DHS2025'!D148</f>
        <v>4662</v>
      </c>
      <c r="Q149" s="29">
        <f>'DHS2025'!E148</f>
        <v>4059</v>
      </c>
      <c r="R149" s="62">
        <v>108.82</v>
      </c>
      <c r="S149" s="61">
        <f>(Porovnavanie!J151*0.99-1.9)*Porovnavanie!I151</f>
        <v>429.57127619999994</v>
      </c>
    </row>
    <row r="150" spans="1:19" ht="15.75" thickBot="1">
      <c r="A150" s="100">
        <f t="shared" si="14"/>
        <v>45695</v>
      </c>
      <c r="B150" s="24" t="s">
        <v>20</v>
      </c>
      <c r="C150" s="54">
        <f>'DHS2021'!C149</f>
        <v>12171</v>
      </c>
      <c r="D150" s="55">
        <f>'DHS2022'!C149</f>
        <v>7129</v>
      </c>
      <c r="E150" s="55">
        <f>'DHS2023'!C149</f>
        <v>16700</v>
      </c>
      <c r="F150" s="55">
        <f>'DHS2024'!C149</f>
        <v>13050</v>
      </c>
      <c r="G150" s="56">
        <f t="shared" si="10"/>
        <v>12262.5</v>
      </c>
      <c r="H150" s="75">
        <f t="shared" si="11"/>
        <v>3.0656249999999998</v>
      </c>
      <c r="I150" s="76">
        <v>1</v>
      </c>
      <c r="J150" s="75">
        <f t="shared" si="12"/>
        <v>4.0656249999999998</v>
      </c>
      <c r="K150" s="81">
        <f t="shared" si="13"/>
        <v>5</v>
      </c>
      <c r="L150" s="11"/>
      <c r="M150" s="11"/>
      <c r="N150" s="11"/>
      <c r="O150" s="28">
        <f>'DHS2025'!C149</f>
        <v>11201</v>
      </c>
      <c r="P150" s="29">
        <f>'DHS2025'!D149</f>
        <v>3493</v>
      </c>
      <c r="Q150" s="29">
        <f>'DHS2025'!E149</f>
        <v>4708</v>
      </c>
      <c r="R150" s="62">
        <v>105</v>
      </c>
      <c r="S150" s="61">
        <f>(Porovnavanie!J152*0.99-1.9)*Porovnavanie!I152</f>
        <v>480.45139999999998</v>
      </c>
    </row>
    <row r="151" spans="1:19" ht="15.75" thickBot="1">
      <c r="A151" s="100">
        <f t="shared" si="14"/>
        <v>45695</v>
      </c>
      <c r="B151" s="24" t="s">
        <v>21</v>
      </c>
      <c r="C151" s="54">
        <f>'DHS2021'!C150</f>
        <v>22931</v>
      </c>
      <c r="D151" s="55">
        <f>'DHS2022'!C150</f>
        <v>12436</v>
      </c>
      <c r="E151" s="55">
        <f>'DHS2023'!C150</f>
        <v>22120</v>
      </c>
      <c r="F151" s="55">
        <f>'DHS2024'!C150</f>
        <v>14341</v>
      </c>
      <c r="G151" s="56">
        <f t="shared" si="10"/>
        <v>17957</v>
      </c>
      <c r="H151" s="75">
        <f t="shared" si="11"/>
        <v>4.4892500000000002</v>
      </c>
      <c r="I151" s="76">
        <v>1</v>
      </c>
      <c r="J151" s="75">
        <f t="shared" si="12"/>
        <v>5.4892500000000002</v>
      </c>
      <c r="K151" s="81">
        <f t="shared" si="13"/>
        <v>6</v>
      </c>
      <c r="L151" s="11"/>
      <c r="M151" s="11"/>
      <c r="N151" s="11"/>
      <c r="O151" s="28">
        <f>'DHS2025'!C150</f>
        <v>16794</v>
      </c>
      <c r="P151" s="29">
        <f>'DHS2025'!D150</f>
        <v>133</v>
      </c>
      <c r="Q151" s="29">
        <f>'DHS2025'!E150</f>
        <v>5948</v>
      </c>
      <c r="R151" s="62">
        <v>110.39</v>
      </c>
      <c r="S151" s="61">
        <f>(Porovnavanie!J153*0.99-1.9)*Porovnavanie!I153</f>
        <v>638.73252280000008</v>
      </c>
    </row>
    <row r="152" spans="1:19" ht="15.75" thickBot="1">
      <c r="A152" s="100">
        <f t="shared" si="14"/>
        <v>45695</v>
      </c>
      <c r="B152" s="24" t="s">
        <v>22</v>
      </c>
      <c r="C152" s="54">
        <f>'DHS2021'!C151</f>
        <v>20608</v>
      </c>
      <c r="D152" s="55">
        <f>'DHS2022'!C151</f>
        <v>15603</v>
      </c>
      <c r="E152" s="55">
        <f>'DHS2023'!C151</f>
        <v>22032</v>
      </c>
      <c r="F152" s="55">
        <f>'DHS2024'!C151</f>
        <v>11106</v>
      </c>
      <c r="G152" s="56">
        <f t="shared" si="10"/>
        <v>17337.25</v>
      </c>
      <c r="H152" s="75">
        <f t="shared" si="11"/>
        <v>4.3343125000000002</v>
      </c>
      <c r="I152" s="76">
        <v>1</v>
      </c>
      <c r="J152" s="75">
        <f t="shared" si="12"/>
        <v>5.3343125000000002</v>
      </c>
      <c r="K152" s="81">
        <f t="shared" si="13"/>
        <v>6</v>
      </c>
      <c r="L152" s="11"/>
      <c r="M152" s="11"/>
      <c r="N152" s="11"/>
      <c r="O152" s="28">
        <f>'DHS2025'!C151</f>
        <v>20769</v>
      </c>
      <c r="P152" s="29">
        <f>'DHS2025'!D151</f>
        <v>3416</v>
      </c>
      <c r="Q152" s="29">
        <f>'DHS2025'!E151</f>
        <v>6982</v>
      </c>
      <c r="R152" s="62">
        <v>121.16</v>
      </c>
      <c r="S152" s="61">
        <f>(Porovnavanie!J154*0.99-1.9)*Porovnavanie!I154</f>
        <v>824.21392879999996</v>
      </c>
    </row>
    <row r="153" spans="1:19" ht="15.75" thickBot="1">
      <c r="A153" s="100">
        <f t="shared" si="14"/>
        <v>45695</v>
      </c>
      <c r="B153" s="24" t="s">
        <v>23</v>
      </c>
      <c r="C153" s="54">
        <f>'DHS2021'!C152</f>
        <v>21573</v>
      </c>
      <c r="D153" s="55">
        <f>'DHS2022'!C152</f>
        <v>16347</v>
      </c>
      <c r="E153" s="55">
        <f>'DHS2023'!C152</f>
        <v>21971</v>
      </c>
      <c r="F153" s="55">
        <f>'DHS2024'!C152</f>
        <v>11991</v>
      </c>
      <c r="G153" s="56">
        <f t="shared" si="10"/>
        <v>17970.5</v>
      </c>
      <c r="H153" s="75">
        <f t="shared" si="11"/>
        <v>4.4926250000000003</v>
      </c>
      <c r="I153" s="76">
        <v>1</v>
      </c>
      <c r="J153" s="75">
        <f t="shared" si="12"/>
        <v>5.4926250000000003</v>
      </c>
      <c r="K153" s="81">
        <f t="shared" si="13"/>
        <v>6</v>
      </c>
      <c r="L153" s="11"/>
      <c r="M153" s="11"/>
      <c r="N153" s="11"/>
      <c r="O153" s="28">
        <f>'DHS2025'!C152</f>
        <v>18275</v>
      </c>
      <c r="P153" s="29">
        <f>'DHS2025'!D152</f>
        <v>6666</v>
      </c>
      <c r="Q153" s="29">
        <f>'DHS2025'!E152</f>
        <v>8037</v>
      </c>
      <c r="R153" s="62">
        <v>166.2</v>
      </c>
      <c r="S153" s="61">
        <f>(Porovnavanie!J155*0.99-1.9)*Porovnavanie!I155</f>
        <v>1307.1216059999999</v>
      </c>
    </row>
    <row r="154" spans="1:19" ht="15.75" thickBot="1">
      <c r="A154" s="100">
        <f t="shared" si="14"/>
        <v>45695</v>
      </c>
      <c r="B154" s="24" t="s">
        <v>24</v>
      </c>
      <c r="C154" s="54">
        <f>'DHS2021'!C153</f>
        <v>17315</v>
      </c>
      <c r="D154" s="55">
        <f>'DHS2022'!C153</f>
        <v>15581</v>
      </c>
      <c r="E154" s="55">
        <f>'DHS2023'!C153</f>
        <v>22683</v>
      </c>
      <c r="F154" s="55">
        <f>'DHS2024'!C153</f>
        <v>12528</v>
      </c>
      <c r="G154" s="56">
        <f t="shared" si="10"/>
        <v>17026.75</v>
      </c>
      <c r="H154" s="75">
        <f t="shared" si="11"/>
        <v>4.2566875</v>
      </c>
      <c r="I154" s="76">
        <v>1</v>
      </c>
      <c r="J154" s="75">
        <f t="shared" si="12"/>
        <v>5.2566875</v>
      </c>
      <c r="K154" s="81">
        <f t="shared" si="13"/>
        <v>6</v>
      </c>
      <c r="L154" s="11"/>
      <c r="M154" s="11"/>
      <c r="N154" s="11"/>
      <c r="O154" s="28">
        <f>'DHS2025'!C153</f>
        <v>17646</v>
      </c>
      <c r="P154" s="29">
        <f>'DHS2025'!D153</f>
        <v>6409</v>
      </c>
      <c r="Q154" s="29">
        <f>'DHS2025'!E153</f>
        <v>8057</v>
      </c>
      <c r="R154" s="62">
        <v>178.66</v>
      </c>
      <c r="S154" s="61">
        <f>(Porovnavanie!J156*0.99-1.9)*Porovnavanie!I156</f>
        <v>1409.7606838000002</v>
      </c>
    </row>
    <row r="155" spans="1:19" ht="15.75" thickBot="1">
      <c r="A155" s="100">
        <f t="shared" si="14"/>
        <v>45695</v>
      </c>
      <c r="B155" s="24" t="s">
        <v>25</v>
      </c>
      <c r="C155" s="54">
        <f>'DHS2021'!C154</f>
        <v>19484</v>
      </c>
      <c r="D155" s="55">
        <f>'DHS2022'!C154</f>
        <v>14881</v>
      </c>
      <c r="E155" s="55">
        <f>'DHS2023'!C154</f>
        <v>19001</v>
      </c>
      <c r="F155" s="55">
        <f>'DHS2024'!C154</f>
        <v>14453</v>
      </c>
      <c r="G155" s="56">
        <f t="shared" si="10"/>
        <v>16954.75</v>
      </c>
      <c r="H155" s="75">
        <f t="shared" si="11"/>
        <v>4.2386875000000002</v>
      </c>
      <c r="I155" s="76">
        <v>1</v>
      </c>
      <c r="J155" s="75">
        <f t="shared" si="12"/>
        <v>5.2386875000000002</v>
      </c>
      <c r="K155" s="81">
        <f t="shared" si="13"/>
        <v>6</v>
      </c>
      <c r="L155" s="11"/>
      <c r="M155" s="11"/>
      <c r="N155" s="11"/>
      <c r="O155" s="28">
        <f>'DHS2025'!C154</f>
        <v>17578</v>
      </c>
      <c r="P155" s="29">
        <f>'DHS2025'!D154</f>
        <v>6881</v>
      </c>
      <c r="Q155" s="29">
        <f>'DHS2025'!E154</f>
        <v>8075</v>
      </c>
      <c r="R155" s="62">
        <v>165.32</v>
      </c>
      <c r="S155" s="61">
        <f>(Porovnavanie!J157*0.99-1.9)*Porovnavanie!I157</f>
        <v>1306.2669099999998</v>
      </c>
    </row>
    <row r="156" spans="1:19" ht="15.75" thickBot="1">
      <c r="A156" s="100">
        <f t="shared" si="14"/>
        <v>45695</v>
      </c>
      <c r="B156" s="24" t="s">
        <v>26</v>
      </c>
      <c r="C156" s="54">
        <f>'DHS2021'!C155</f>
        <v>20600</v>
      </c>
      <c r="D156" s="55">
        <f>'DHS2022'!C155</f>
        <v>13059</v>
      </c>
      <c r="E156" s="55">
        <f>'DHS2023'!C155</f>
        <v>18688</v>
      </c>
      <c r="F156" s="55">
        <f>'DHS2024'!C155</f>
        <v>14622</v>
      </c>
      <c r="G156" s="56">
        <f t="shared" si="10"/>
        <v>16742.25</v>
      </c>
      <c r="H156" s="75">
        <f t="shared" si="11"/>
        <v>4.1855624999999996</v>
      </c>
      <c r="I156" s="76">
        <v>1</v>
      </c>
      <c r="J156" s="75">
        <f t="shared" si="12"/>
        <v>5.1855624999999996</v>
      </c>
      <c r="K156" s="81">
        <f t="shared" si="13"/>
        <v>6</v>
      </c>
      <c r="L156" s="11"/>
      <c r="M156" s="11"/>
      <c r="N156" s="11"/>
      <c r="O156" s="28">
        <f>'DHS2025'!C155</f>
        <v>17076</v>
      </c>
      <c r="P156" s="29">
        <f>'DHS2025'!D155</f>
        <v>7009</v>
      </c>
      <c r="Q156" s="29">
        <f>'DHS2025'!E155</f>
        <v>8071</v>
      </c>
      <c r="R156" s="62">
        <v>150.51</v>
      </c>
      <c r="S156" s="61">
        <f>(Porovnavanie!J158*0.99-1.9)*Porovnavanie!I158</f>
        <v>1187.2836478999998</v>
      </c>
    </row>
    <row r="157" spans="1:19" ht="15.75" thickBot="1">
      <c r="A157" s="100">
        <f t="shared" si="14"/>
        <v>45695</v>
      </c>
      <c r="B157" s="24" t="s">
        <v>27</v>
      </c>
      <c r="C157" s="54">
        <f>'DHS2021'!C156</f>
        <v>21713</v>
      </c>
      <c r="D157" s="55">
        <f>'DHS2022'!C156</f>
        <v>12337</v>
      </c>
      <c r="E157" s="55">
        <f>'DHS2023'!C156</f>
        <v>18496</v>
      </c>
      <c r="F157" s="55">
        <f>'DHS2024'!C156</f>
        <v>14116</v>
      </c>
      <c r="G157" s="56">
        <f t="shared" si="10"/>
        <v>16665.5</v>
      </c>
      <c r="H157" s="75">
        <f t="shared" si="11"/>
        <v>4.1663750000000004</v>
      </c>
      <c r="I157" s="76">
        <v>1</v>
      </c>
      <c r="J157" s="75">
        <f t="shared" si="12"/>
        <v>5.1663750000000004</v>
      </c>
      <c r="K157" s="81">
        <f t="shared" si="13"/>
        <v>6</v>
      </c>
      <c r="L157" s="11"/>
      <c r="M157" s="11"/>
      <c r="N157" s="11"/>
      <c r="O157" s="28">
        <f>'DHS2025'!C156</f>
        <v>15086</v>
      </c>
      <c r="P157" s="29">
        <f>'DHS2025'!D156</f>
        <v>9297</v>
      </c>
      <c r="Q157" s="29">
        <f>'DHS2025'!E156</f>
        <v>8050</v>
      </c>
      <c r="R157" s="62">
        <v>134.58000000000001</v>
      </c>
      <c r="S157" s="61">
        <f>(Porovnavanie!J159*0.99-1.9)*Porovnavanie!I159</f>
        <v>1057.2403100000001</v>
      </c>
    </row>
    <row r="158" spans="1:19" ht="15.75" thickBot="1">
      <c r="A158" s="100">
        <f t="shared" si="14"/>
        <v>45695</v>
      </c>
      <c r="B158" s="24" t="s">
        <v>28</v>
      </c>
      <c r="C158" s="54">
        <f>'DHS2021'!C157</f>
        <v>19264</v>
      </c>
      <c r="D158" s="55">
        <f>'DHS2022'!C157</f>
        <v>12174</v>
      </c>
      <c r="E158" s="55">
        <f>'DHS2023'!C157</f>
        <v>12661</v>
      </c>
      <c r="F158" s="55">
        <f>'DHS2024'!C157</f>
        <v>14745</v>
      </c>
      <c r="G158" s="56">
        <f t="shared" si="10"/>
        <v>14711</v>
      </c>
      <c r="H158" s="75">
        <f t="shared" si="11"/>
        <v>3.6777500000000001</v>
      </c>
      <c r="I158" s="76">
        <v>1</v>
      </c>
      <c r="J158" s="75">
        <f t="shared" si="12"/>
        <v>4.6777499999999996</v>
      </c>
      <c r="K158" s="81">
        <f t="shared" si="13"/>
        <v>5</v>
      </c>
      <c r="L158" s="11"/>
      <c r="M158" s="11"/>
      <c r="N158" s="11"/>
      <c r="O158" s="28">
        <f>'DHS2025'!C157</f>
        <v>15908</v>
      </c>
      <c r="P158" s="29">
        <f>'DHS2025'!D157</f>
        <v>4095</v>
      </c>
      <c r="Q158" s="29">
        <f>'DHS2025'!E157</f>
        <v>6523</v>
      </c>
      <c r="R158" s="62">
        <v>117.52</v>
      </c>
      <c r="S158" s="61">
        <f>(Porovnavanie!J160*0.99-1.9)*Porovnavanie!I160</f>
        <v>746.52343039999982</v>
      </c>
    </row>
    <row r="159" spans="1:19" ht="15.75" thickBot="1">
      <c r="A159" s="100">
        <f t="shared" si="14"/>
        <v>45695</v>
      </c>
      <c r="B159" s="24" t="s">
        <v>29</v>
      </c>
      <c r="C159" s="54">
        <f>'DHS2021'!C158</f>
        <v>18771</v>
      </c>
      <c r="D159" s="55">
        <f>'DHS2022'!C158</f>
        <v>12173</v>
      </c>
      <c r="E159" s="55">
        <f>'DHS2023'!C158</f>
        <v>15640</v>
      </c>
      <c r="F159" s="55">
        <f>'DHS2024'!C158</f>
        <v>12479</v>
      </c>
      <c r="G159" s="56">
        <f t="shared" si="10"/>
        <v>14765.75</v>
      </c>
      <c r="H159" s="75">
        <f t="shared" si="11"/>
        <v>3.6914375000000001</v>
      </c>
      <c r="I159" s="76">
        <v>1</v>
      </c>
      <c r="J159" s="75">
        <f t="shared" si="12"/>
        <v>4.6914375000000001</v>
      </c>
      <c r="K159" s="81">
        <f t="shared" si="13"/>
        <v>5</v>
      </c>
      <c r="L159" s="11"/>
      <c r="M159" s="11"/>
      <c r="N159" s="11"/>
      <c r="O159" s="28">
        <f>'DHS2025'!C158</f>
        <v>14082</v>
      </c>
      <c r="P159" s="29">
        <f>'DHS2025'!D158</f>
        <v>2104</v>
      </c>
      <c r="Q159" s="29">
        <f>'DHS2025'!E158</f>
        <v>5065</v>
      </c>
      <c r="R159" s="62">
        <v>114.02</v>
      </c>
      <c r="S159" s="61">
        <f>(Porovnavanie!J161*0.99-1.9)*Porovnavanie!I161</f>
        <v>562.11268699999994</v>
      </c>
    </row>
    <row r="160" spans="1:19" ht="15.75" thickBot="1">
      <c r="A160" s="100">
        <f t="shared" si="14"/>
        <v>45695</v>
      </c>
      <c r="B160" s="24" t="s">
        <v>30</v>
      </c>
      <c r="C160" s="54">
        <f>'DHS2021'!C159</f>
        <v>19054</v>
      </c>
      <c r="D160" s="55">
        <f>'DHS2022'!C159</f>
        <v>12232</v>
      </c>
      <c r="E160" s="55">
        <f>'DHS2023'!C159</f>
        <v>18312</v>
      </c>
      <c r="F160" s="55">
        <f>'DHS2024'!C159</f>
        <v>10870</v>
      </c>
      <c r="G160" s="56">
        <f t="shared" si="10"/>
        <v>15117</v>
      </c>
      <c r="H160" s="75">
        <f t="shared" si="11"/>
        <v>3.7792500000000002</v>
      </c>
      <c r="I160" s="76">
        <v>1</v>
      </c>
      <c r="J160" s="75">
        <f t="shared" si="12"/>
        <v>4.7792500000000002</v>
      </c>
      <c r="K160" s="81">
        <f t="shared" si="13"/>
        <v>5</v>
      </c>
      <c r="L160" s="11"/>
      <c r="M160" s="11"/>
      <c r="N160" s="11"/>
      <c r="O160" s="28">
        <f>'DHS2025'!C159</f>
        <v>14323</v>
      </c>
      <c r="P160" s="29">
        <f>'DHS2025'!D159</f>
        <v>2112</v>
      </c>
      <c r="Q160" s="29">
        <f>'DHS2025'!E159</f>
        <v>5064</v>
      </c>
      <c r="R160" s="62">
        <v>114.83</v>
      </c>
      <c r="S160" s="61">
        <f>(Porovnavanie!J162*0.99-1.9)*Porovnavanie!I162</f>
        <v>566.06252879999988</v>
      </c>
    </row>
    <row r="161" spans="1:19" ht="15.75" thickBot="1">
      <c r="A161" s="100">
        <f t="shared" si="14"/>
        <v>45695</v>
      </c>
      <c r="B161" s="24" t="s">
        <v>31</v>
      </c>
      <c r="C161" s="54">
        <f>'DHS2021'!C160</f>
        <v>19728</v>
      </c>
      <c r="D161" s="55">
        <f>'DHS2022'!C160</f>
        <v>11839</v>
      </c>
      <c r="E161" s="55">
        <f>'DHS2023'!C160</f>
        <v>18748</v>
      </c>
      <c r="F161" s="55">
        <f>'DHS2024'!C160</f>
        <v>10772</v>
      </c>
      <c r="G161" s="56">
        <f t="shared" si="10"/>
        <v>15271.75</v>
      </c>
      <c r="H161" s="75">
        <f t="shared" si="11"/>
        <v>3.8179375000000002</v>
      </c>
      <c r="I161" s="76">
        <v>1</v>
      </c>
      <c r="J161" s="75">
        <f t="shared" si="12"/>
        <v>4.8179375000000002</v>
      </c>
      <c r="K161" s="81">
        <f t="shared" si="13"/>
        <v>5</v>
      </c>
      <c r="L161" s="11"/>
      <c r="M161" s="11"/>
      <c r="N161" s="11"/>
      <c r="O161" s="28">
        <f>'DHS2025'!C160</f>
        <v>16603</v>
      </c>
      <c r="P161" s="29">
        <f>'DHS2025'!D160</f>
        <v>7395</v>
      </c>
      <c r="Q161" s="29">
        <f>'DHS2025'!E160</f>
        <v>6752</v>
      </c>
      <c r="R161" s="62">
        <v>118.11</v>
      </c>
      <c r="S161" s="61">
        <f>(Porovnavanie!J163*0.99-1.9)*Porovnavanie!I163</f>
        <v>776.67513279999991</v>
      </c>
    </row>
    <row r="162" spans="1:19" ht="15.75" thickBot="1">
      <c r="A162" s="100">
        <f t="shared" si="14"/>
        <v>45695</v>
      </c>
      <c r="B162" s="24" t="s">
        <v>32</v>
      </c>
      <c r="C162" s="54">
        <f>'DHS2021'!C161</f>
        <v>18473</v>
      </c>
      <c r="D162" s="55">
        <f>'DHS2022'!C161</f>
        <v>11795</v>
      </c>
      <c r="E162" s="55">
        <f>'DHS2023'!C161</f>
        <v>17157</v>
      </c>
      <c r="F162" s="55">
        <f>'DHS2024'!C161</f>
        <v>11112</v>
      </c>
      <c r="G162" s="56">
        <f t="shared" si="10"/>
        <v>14634.25</v>
      </c>
      <c r="H162" s="75">
        <f t="shared" si="11"/>
        <v>3.6585624999999999</v>
      </c>
      <c r="I162" s="76">
        <v>1</v>
      </c>
      <c r="J162" s="75">
        <f t="shared" si="12"/>
        <v>4.6585625000000004</v>
      </c>
      <c r="K162" s="81">
        <f t="shared" si="13"/>
        <v>5</v>
      </c>
      <c r="L162" s="11"/>
      <c r="M162" s="11"/>
      <c r="N162" s="11"/>
      <c r="O162" s="28">
        <f>'DHS2025'!C161</f>
        <v>14534</v>
      </c>
      <c r="P162" s="29">
        <f>'DHS2025'!D161</f>
        <v>10402</v>
      </c>
      <c r="Q162" s="29">
        <f>'DHS2025'!E161</f>
        <v>8055</v>
      </c>
      <c r="R162" s="62">
        <v>135.93</v>
      </c>
      <c r="S162" s="61">
        <f>(Porovnavanie!J164*0.99-1.9)*Porovnavanie!I164</f>
        <v>1068.6624885000001</v>
      </c>
    </row>
    <row r="163" spans="1:19" ht="15.75" thickBot="1">
      <c r="A163" s="100">
        <f t="shared" si="14"/>
        <v>45695</v>
      </c>
      <c r="B163" s="24" t="s">
        <v>33</v>
      </c>
      <c r="C163" s="54">
        <f>'DHS2021'!C162</f>
        <v>18715</v>
      </c>
      <c r="D163" s="55">
        <f>'DHS2022'!C162</f>
        <v>12198</v>
      </c>
      <c r="E163" s="55">
        <f>'DHS2023'!C162</f>
        <v>17979</v>
      </c>
      <c r="F163" s="55">
        <f>'DHS2024'!C162</f>
        <v>11687</v>
      </c>
      <c r="G163" s="56">
        <f t="shared" si="10"/>
        <v>15144.75</v>
      </c>
      <c r="H163" s="75">
        <f t="shared" si="11"/>
        <v>3.7861875</v>
      </c>
      <c r="I163" s="76">
        <v>1</v>
      </c>
      <c r="J163" s="75">
        <f t="shared" si="12"/>
        <v>4.7861875000000005</v>
      </c>
      <c r="K163" s="81">
        <f t="shared" si="13"/>
        <v>5</v>
      </c>
      <c r="L163" s="11"/>
      <c r="M163" s="11"/>
      <c r="N163" s="11"/>
      <c r="O163" s="28">
        <f>'DHS2025'!C162</f>
        <v>15281</v>
      </c>
      <c r="P163" s="29">
        <f>'DHS2025'!D162</f>
        <v>8746</v>
      </c>
      <c r="Q163" s="29">
        <f>'DHS2025'!E162</f>
        <v>8048</v>
      </c>
      <c r="R163" s="62">
        <v>206.46</v>
      </c>
      <c r="S163" s="61">
        <f>(Porovnavanie!J165*0.99-1.9)*Porovnavanie!I165</f>
        <v>1629.6829791999999</v>
      </c>
    </row>
    <row r="164" spans="1:19" ht="15.75" thickBot="1">
      <c r="A164" s="100">
        <f t="shared" si="14"/>
        <v>45695</v>
      </c>
      <c r="B164" s="24" t="s">
        <v>34</v>
      </c>
      <c r="C164" s="54">
        <f>'DHS2021'!C163</f>
        <v>18937</v>
      </c>
      <c r="D164" s="55">
        <f>'DHS2022'!C163</f>
        <v>13341</v>
      </c>
      <c r="E164" s="55">
        <f>'DHS2023'!C163</f>
        <v>18990</v>
      </c>
      <c r="F164" s="55">
        <f>'DHS2024'!C163</f>
        <v>10565</v>
      </c>
      <c r="G164" s="56">
        <f t="shared" si="10"/>
        <v>15458.25</v>
      </c>
      <c r="H164" s="75">
        <f t="shared" si="11"/>
        <v>3.8645624999999999</v>
      </c>
      <c r="I164" s="76">
        <v>1</v>
      </c>
      <c r="J164" s="75">
        <f t="shared" si="12"/>
        <v>4.8645624999999999</v>
      </c>
      <c r="K164" s="81">
        <f t="shared" si="13"/>
        <v>5</v>
      </c>
      <c r="L164" s="11"/>
      <c r="M164" s="11"/>
      <c r="N164" s="11"/>
      <c r="O164" s="28">
        <f>'DHS2025'!C163</f>
        <v>14926</v>
      </c>
      <c r="P164" s="29">
        <f>'DHS2025'!D163</f>
        <v>8909</v>
      </c>
      <c r="Q164" s="29">
        <f>'DHS2025'!E163</f>
        <v>8079</v>
      </c>
      <c r="R164" s="62">
        <v>207.63</v>
      </c>
      <c r="S164" s="61">
        <f>(Porovnavanie!J166*0.99-1.9)*Porovnavanie!I166</f>
        <v>1645.3182423000001</v>
      </c>
    </row>
    <row r="165" spans="1:19" ht="15.75" thickBot="1">
      <c r="A165" s="100">
        <f t="shared" si="14"/>
        <v>45695</v>
      </c>
      <c r="B165" s="24" t="s">
        <v>35</v>
      </c>
      <c r="C165" s="54">
        <f>'DHS2021'!C164</f>
        <v>19593</v>
      </c>
      <c r="D165" s="55">
        <f>'DHS2022'!C164</f>
        <v>13345</v>
      </c>
      <c r="E165" s="55">
        <f>'DHS2023'!C164</f>
        <v>18012</v>
      </c>
      <c r="F165" s="55">
        <f>'DHS2024'!C164</f>
        <v>11121</v>
      </c>
      <c r="G165" s="56">
        <f t="shared" si="10"/>
        <v>15517.75</v>
      </c>
      <c r="H165" s="75">
        <f t="shared" si="11"/>
        <v>3.8794374999999999</v>
      </c>
      <c r="I165" s="76">
        <v>1</v>
      </c>
      <c r="J165" s="75">
        <f t="shared" si="12"/>
        <v>4.8794374999999999</v>
      </c>
      <c r="K165" s="81">
        <f t="shared" si="13"/>
        <v>5</v>
      </c>
      <c r="L165" s="11"/>
      <c r="M165" s="11"/>
      <c r="N165" s="11"/>
      <c r="O165" s="28">
        <f>'DHS2025'!C164</f>
        <v>14996</v>
      </c>
      <c r="P165" s="29">
        <f>'DHS2025'!D164</f>
        <v>9377</v>
      </c>
      <c r="Q165" s="29">
        <f>'DHS2025'!E164</f>
        <v>8050</v>
      </c>
      <c r="R165" s="62">
        <v>201.56</v>
      </c>
      <c r="S165" s="61">
        <f>(Porovnavanie!J167*0.99-1.9)*Porovnavanie!I167</f>
        <v>1591.0374200000001</v>
      </c>
    </row>
    <row r="166" spans="1:19" ht="15.75" thickBot="1">
      <c r="A166" s="100">
        <f t="shared" si="14"/>
        <v>45695</v>
      </c>
      <c r="B166" s="24" t="s">
        <v>36</v>
      </c>
      <c r="C166" s="54">
        <f>'DHS2021'!C165</f>
        <v>19359</v>
      </c>
      <c r="D166" s="55">
        <f>'DHS2022'!C165</f>
        <v>13231</v>
      </c>
      <c r="E166" s="55">
        <f>'DHS2023'!C165</f>
        <v>18185</v>
      </c>
      <c r="F166" s="55">
        <f>'DHS2024'!C165</f>
        <v>12457</v>
      </c>
      <c r="G166" s="56">
        <f t="shared" si="10"/>
        <v>15808</v>
      </c>
      <c r="H166" s="75">
        <f t="shared" si="11"/>
        <v>3.952</v>
      </c>
      <c r="I166" s="76">
        <v>1</v>
      </c>
      <c r="J166" s="75">
        <f t="shared" si="12"/>
        <v>4.952</v>
      </c>
      <c r="K166" s="81">
        <f t="shared" si="13"/>
        <v>5</v>
      </c>
      <c r="L166" s="11"/>
      <c r="M166" s="11"/>
      <c r="N166" s="11"/>
      <c r="O166" s="28">
        <f>'DHS2025'!C165</f>
        <v>16390</v>
      </c>
      <c r="P166" s="29">
        <f>'DHS2025'!D165</f>
        <v>8052</v>
      </c>
      <c r="Q166" s="29">
        <f>'DHS2025'!E165</f>
        <v>8059</v>
      </c>
      <c r="R166" s="62">
        <v>200.98</v>
      </c>
      <c r="S166" s="61">
        <f>(Porovnavanie!J168*0.99-1.9)*Porovnavanie!I168</f>
        <v>1588.1887417999997</v>
      </c>
    </row>
    <row r="167" spans="1:19" ht="15.75" thickBot="1">
      <c r="A167" s="100">
        <f t="shared" si="14"/>
        <v>45695</v>
      </c>
      <c r="B167" s="24" t="s">
        <v>37</v>
      </c>
      <c r="C167" s="54">
        <f>'DHS2021'!C166</f>
        <v>18889</v>
      </c>
      <c r="D167" s="55">
        <f>'DHS2022'!C166</f>
        <v>13346</v>
      </c>
      <c r="E167" s="55">
        <f>'DHS2023'!C166</f>
        <v>18649</v>
      </c>
      <c r="F167" s="55">
        <f>'DHS2024'!C166</f>
        <v>12906</v>
      </c>
      <c r="G167" s="56">
        <f t="shared" si="10"/>
        <v>15947.5</v>
      </c>
      <c r="H167" s="75">
        <f t="shared" si="11"/>
        <v>3.9868749999999999</v>
      </c>
      <c r="I167" s="76">
        <v>1</v>
      </c>
      <c r="J167" s="75">
        <f t="shared" si="12"/>
        <v>4.9868749999999995</v>
      </c>
      <c r="K167" s="81">
        <f t="shared" si="13"/>
        <v>5</v>
      </c>
      <c r="L167" s="11"/>
      <c r="M167" s="11"/>
      <c r="N167" s="11"/>
      <c r="O167" s="28">
        <f>'DHS2025'!C166</f>
        <v>16373</v>
      </c>
      <c r="P167" s="29">
        <f>'DHS2025'!D166</f>
        <v>8012</v>
      </c>
      <c r="Q167" s="29">
        <f>'DHS2025'!E166</f>
        <v>8060</v>
      </c>
      <c r="R167" s="62">
        <v>208.04</v>
      </c>
      <c r="S167" s="61">
        <f>(Porovnavanie!J169*0.99-1.9)*Porovnavanie!I169</f>
        <v>1644.720376</v>
      </c>
    </row>
    <row r="168" spans="1:19" ht="15.75" thickBot="1">
      <c r="A168" s="100">
        <f t="shared" si="14"/>
        <v>45695</v>
      </c>
      <c r="B168" s="24" t="s">
        <v>38</v>
      </c>
      <c r="C168" s="54">
        <f>'DHS2021'!C167</f>
        <v>19213</v>
      </c>
      <c r="D168" s="55">
        <f>'DHS2022'!C167</f>
        <v>12536</v>
      </c>
      <c r="E168" s="55">
        <f>'DHS2023'!C167</f>
        <v>16640</v>
      </c>
      <c r="F168" s="55">
        <f>'DHS2024'!C167</f>
        <v>13036</v>
      </c>
      <c r="G168" s="56">
        <f t="shared" si="10"/>
        <v>15356.25</v>
      </c>
      <c r="H168" s="75">
        <f t="shared" si="11"/>
        <v>3.8390624999999998</v>
      </c>
      <c r="I168" s="76">
        <v>1</v>
      </c>
      <c r="J168" s="75">
        <f t="shared" si="12"/>
        <v>4.8390624999999998</v>
      </c>
      <c r="K168" s="81">
        <f t="shared" si="13"/>
        <v>5</v>
      </c>
      <c r="L168" s="11"/>
      <c r="M168" s="11"/>
      <c r="N168" s="11"/>
      <c r="O168" s="28">
        <f>'DHS2025'!C167</f>
        <v>17498</v>
      </c>
      <c r="P168" s="29">
        <f>'DHS2025'!D167</f>
        <v>6568</v>
      </c>
      <c r="Q168" s="29">
        <f>'DHS2025'!E167</f>
        <v>8069</v>
      </c>
      <c r="R168" s="62">
        <v>181.96</v>
      </c>
      <c r="S168" s="61">
        <f>(Porovnavanie!J170*0.99-1.9)*Porovnavanie!I170</f>
        <v>1438.2217876000002</v>
      </c>
    </row>
    <row r="169" spans="1:19" ht="15.75" thickBot="1">
      <c r="A169" s="100">
        <f t="shared" si="14"/>
        <v>45695</v>
      </c>
      <c r="B169" s="24" t="s">
        <v>39</v>
      </c>
      <c r="C169" s="54">
        <f>'DHS2021'!C168</f>
        <v>16581</v>
      </c>
      <c r="D169" s="55">
        <f>'DHS2022'!C168</f>
        <v>11550</v>
      </c>
      <c r="E169" s="55">
        <f>'DHS2023'!C168</f>
        <v>13900</v>
      </c>
      <c r="F169" s="55">
        <f>'DHS2024'!C168</f>
        <v>10701</v>
      </c>
      <c r="G169" s="56">
        <f t="shared" si="10"/>
        <v>13183</v>
      </c>
      <c r="H169" s="75">
        <f t="shared" si="11"/>
        <v>3.29575</v>
      </c>
      <c r="I169" s="76">
        <v>1</v>
      </c>
      <c r="J169" s="75">
        <f t="shared" si="12"/>
        <v>4.29575</v>
      </c>
      <c r="K169" s="81">
        <f t="shared" si="13"/>
        <v>5</v>
      </c>
      <c r="L169" s="11"/>
      <c r="M169" s="11"/>
      <c r="N169" s="11"/>
      <c r="O169" s="28">
        <f>'DHS2025'!C168</f>
        <v>14334</v>
      </c>
      <c r="P169" s="29">
        <f>'DHS2025'!D168</f>
        <v>3920</v>
      </c>
      <c r="Q169" s="29">
        <f>'DHS2025'!E168</f>
        <v>6100</v>
      </c>
      <c r="R169" s="62">
        <v>128.37</v>
      </c>
      <c r="S169" s="61">
        <f>(Porovnavanie!J171*0.99-1.9)*Porovnavanie!I171</f>
        <v>763.63643000000002</v>
      </c>
    </row>
    <row r="170" spans="1:19" ht="15.75" thickBot="1">
      <c r="A170" s="100">
        <f t="shared" si="14"/>
        <v>45695</v>
      </c>
      <c r="B170" s="24" t="s">
        <v>40</v>
      </c>
      <c r="C170" s="54">
        <f>'DHS2021'!C169</f>
        <v>8735</v>
      </c>
      <c r="D170" s="55">
        <f>'DHS2022'!C169</f>
        <v>6755</v>
      </c>
      <c r="E170" s="55">
        <f>'DHS2023'!C169</f>
        <v>8008</v>
      </c>
      <c r="F170" s="55">
        <f>'DHS2024'!C169</f>
        <v>5989</v>
      </c>
      <c r="G170" s="56">
        <f t="shared" si="10"/>
        <v>7371.75</v>
      </c>
      <c r="H170" s="75">
        <f t="shared" si="11"/>
        <v>1.8429374999999999</v>
      </c>
      <c r="I170" s="76">
        <v>1</v>
      </c>
      <c r="J170" s="75">
        <f t="shared" si="12"/>
        <v>2.8429374999999997</v>
      </c>
      <c r="K170" s="81">
        <f t="shared" si="13"/>
        <v>3</v>
      </c>
      <c r="L170" s="11"/>
      <c r="M170" s="11"/>
      <c r="N170" s="11"/>
      <c r="O170" s="28">
        <f>'DHS2025'!C169</f>
        <v>8166</v>
      </c>
      <c r="P170" s="29">
        <f>'DHS2025'!D169</f>
        <v>3658</v>
      </c>
      <c r="Q170" s="29">
        <f>'DHS2025'!E169</f>
        <v>3691</v>
      </c>
      <c r="R170" s="62">
        <v>115.83</v>
      </c>
      <c r="S170" s="61">
        <f>(Porovnavanie!J172*0.99-1.9)*Porovnavanie!I172</f>
        <v>416.24034469999998</v>
      </c>
    </row>
    <row r="171" spans="1:19" ht="15.75" thickBot="1">
      <c r="A171" s="101">
        <f t="shared" si="14"/>
        <v>45696</v>
      </c>
      <c r="B171" s="25" t="s">
        <v>17</v>
      </c>
      <c r="C171" s="54">
        <f>'DHS2021'!C170</f>
        <v>9332</v>
      </c>
      <c r="D171" s="55">
        <f>'DHS2022'!C170</f>
        <v>6689</v>
      </c>
      <c r="E171" s="55">
        <f>'DHS2023'!C170</f>
        <v>8811</v>
      </c>
      <c r="F171" s="55">
        <f>'DHS2024'!C170</f>
        <v>6047</v>
      </c>
      <c r="G171" s="56">
        <f t="shared" si="10"/>
        <v>7719.75</v>
      </c>
      <c r="H171" s="75">
        <f t="shared" si="11"/>
        <v>1.9299375000000001</v>
      </c>
      <c r="I171" s="76">
        <v>1</v>
      </c>
      <c r="J171" s="75">
        <f t="shared" si="12"/>
        <v>2.9299375000000003</v>
      </c>
      <c r="K171" s="81">
        <f t="shared" si="13"/>
        <v>3</v>
      </c>
      <c r="L171" s="11"/>
      <c r="M171" s="11"/>
      <c r="N171" s="11"/>
      <c r="O171" s="28">
        <f>'DHS2025'!C170</f>
        <v>8533</v>
      </c>
      <c r="P171" s="29">
        <f>'DHS2025'!D170</f>
        <v>3240</v>
      </c>
      <c r="Q171" s="29">
        <f>'DHS2025'!E170</f>
        <v>3660</v>
      </c>
      <c r="R171" s="62">
        <v>92.29</v>
      </c>
      <c r="S171" s="61">
        <f>(Porovnavanie!J173*0.99-1.9)*Porovnavanie!I173</f>
        <v>327.44958600000001</v>
      </c>
    </row>
    <row r="172" spans="1:19" ht="15.75" thickBot="1">
      <c r="A172" s="101">
        <f t="shared" si="14"/>
        <v>45696</v>
      </c>
      <c r="B172" s="25" t="s">
        <v>18</v>
      </c>
      <c r="C172" s="54">
        <f>'DHS2021'!C171</f>
        <v>11081</v>
      </c>
      <c r="D172" s="55">
        <f>'DHS2022'!C171</f>
        <v>6546</v>
      </c>
      <c r="E172" s="55">
        <f>'DHS2023'!C171</f>
        <v>12378</v>
      </c>
      <c r="F172" s="55">
        <f>'DHS2024'!C171</f>
        <v>9517</v>
      </c>
      <c r="G172" s="56">
        <f t="shared" si="10"/>
        <v>9880.5</v>
      </c>
      <c r="H172" s="75">
        <f t="shared" si="11"/>
        <v>2.4701249999999999</v>
      </c>
      <c r="I172" s="76">
        <v>1</v>
      </c>
      <c r="J172" s="75">
        <f t="shared" si="12"/>
        <v>3.4701249999999999</v>
      </c>
      <c r="K172" s="81">
        <f t="shared" si="13"/>
        <v>4</v>
      </c>
      <c r="L172" s="11"/>
      <c r="M172" s="11"/>
      <c r="N172" s="11"/>
      <c r="O172" s="28">
        <f>'DHS2025'!C171</f>
        <v>9197</v>
      </c>
      <c r="P172" s="29">
        <f>'DHS2025'!D171</f>
        <v>3446</v>
      </c>
      <c r="Q172" s="29">
        <f>'DHS2025'!E171</f>
        <v>3481</v>
      </c>
      <c r="R172" s="62">
        <v>86.91</v>
      </c>
      <c r="S172" s="61">
        <f>(Porovnavanie!J174*0.99-1.9)*Porovnavanie!I174</f>
        <v>292.89447289999993</v>
      </c>
    </row>
    <row r="173" spans="1:19" ht="15.75" thickBot="1">
      <c r="A173" s="101">
        <f t="shared" si="14"/>
        <v>45696</v>
      </c>
      <c r="B173" s="25" t="s">
        <v>19</v>
      </c>
      <c r="C173" s="54">
        <f>'DHS2021'!C172</f>
        <v>12289</v>
      </c>
      <c r="D173" s="55">
        <f>'DHS2022'!C172</f>
        <v>6934</v>
      </c>
      <c r="E173" s="55">
        <f>'DHS2023'!C172</f>
        <v>13391</v>
      </c>
      <c r="F173" s="55">
        <f>'DHS2024'!C172</f>
        <v>10919</v>
      </c>
      <c r="G173" s="56">
        <f t="shared" si="10"/>
        <v>10883.25</v>
      </c>
      <c r="H173" s="75">
        <f t="shared" si="11"/>
        <v>2.7208125000000001</v>
      </c>
      <c r="I173" s="76">
        <v>1</v>
      </c>
      <c r="J173" s="75">
        <f t="shared" si="12"/>
        <v>3.7208125000000001</v>
      </c>
      <c r="K173" s="81">
        <f t="shared" si="13"/>
        <v>4</v>
      </c>
      <c r="L173" s="11"/>
      <c r="M173" s="11"/>
      <c r="N173" s="11"/>
      <c r="O173" s="28">
        <f>'DHS2025'!C172</f>
        <v>11158</v>
      </c>
      <c r="P173" s="29">
        <f>'DHS2025'!D172</f>
        <v>1233</v>
      </c>
      <c r="Q173" s="29">
        <f>'DHS2025'!E172</f>
        <v>3467</v>
      </c>
      <c r="R173" s="62">
        <v>86.5</v>
      </c>
      <c r="S173" s="61">
        <f>(Porovnavanie!J175*0.99-1.9)*Porovnavanie!I175</f>
        <v>290.30924500000003</v>
      </c>
    </row>
    <row r="174" spans="1:19" ht="15.75" thickBot="1">
      <c r="A174" s="101">
        <f t="shared" si="14"/>
        <v>45696</v>
      </c>
      <c r="B174" s="25" t="s">
        <v>20</v>
      </c>
      <c r="C174" s="54">
        <f>'DHS2021'!C173</f>
        <v>12312</v>
      </c>
      <c r="D174" s="55">
        <f>'DHS2022'!C173</f>
        <v>7884</v>
      </c>
      <c r="E174" s="55">
        <f>'DHS2023'!C173</f>
        <v>15518</v>
      </c>
      <c r="F174" s="55">
        <f>'DHS2024'!C173</f>
        <v>10046</v>
      </c>
      <c r="G174" s="56">
        <f t="shared" si="10"/>
        <v>11440</v>
      </c>
      <c r="H174" s="75">
        <f t="shared" si="11"/>
        <v>2.86</v>
      </c>
      <c r="I174" s="76">
        <v>1</v>
      </c>
      <c r="J174" s="75">
        <f t="shared" si="12"/>
        <v>3.86</v>
      </c>
      <c r="K174" s="81">
        <f t="shared" si="13"/>
        <v>4</v>
      </c>
      <c r="L174" s="11"/>
      <c r="M174" s="11"/>
      <c r="N174" s="11"/>
      <c r="O174" s="28">
        <f>'DHS2025'!C173</f>
        <v>12062</v>
      </c>
      <c r="P174" s="29">
        <f>'DHS2025'!D173</f>
        <v>2576</v>
      </c>
      <c r="Q174" s="29">
        <f>'DHS2025'!E173</f>
        <v>4046</v>
      </c>
      <c r="R174" s="62">
        <v>88.37</v>
      </c>
      <c r="S174" s="61">
        <f>(Porovnavanie!J176*0.99-1.9)*Porovnavanie!I176</f>
        <v>346.28216980000002</v>
      </c>
    </row>
    <row r="175" spans="1:19" ht="15.75" thickBot="1">
      <c r="A175" s="101">
        <f t="shared" si="14"/>
        <v>45696</v>
      </c>
      <c r="B175" s="25" t="s">
        <v>21</v>
      </c>
      <c r="C175" s="54">
        <f>'DHS2021'!C174</f>
        <v>22554</v>
      </c>
      <c r="D175" s="55">
        <f>'DHS2022'!C174</f>
        <v>13249</v>
      </c>
      <c r="E175" s="55">
        <f>'DHS2023'!C174</f>
        <v>15307</v>
      </c>
      <c r="F175" s="55">
        <f>'DHS2024'!C174</f>
        <v>13094</v>
      </c>
      <c r="G175" s="56">
        <f t="shared" si="10"/>
        <v>16051</v>
      </c>
      <c r="H175" s="75">
        <f t="shared" si="11"/>
        <v>4.0127499999999996</v>
      </c>
      <c r="I175" s="76">
        <v>1</v>
      </c>
      <c r="J175" s="75">
        <f t="shared" si="12"/>
        <v>5.0127499999999996</v>
      </c>
      <c r="K175" s="81">
        <f t="shared" si="13"/>
        <v>6</v>
      </c>
      <c r="L175" s="11"/>
      <c r="M175" s="11"/>
      <c r="N175" s="11"/>
      <c r="O175" s="28">
        <f>'DHS2025'!C174</f>
        <v>19094</v>
      </c>
      <c r="P175" s="29">
        <f>'DHS2025'!D174</f>
        <v>70</v>
      </c>
      <c r="Q175" s="29">
        <f>'DHS2025'!E174</f>
        <v>6029</v>
      </c>
      <c r="R175" s="62">
        <v>89.69</v>
      </c>
      <c r="S175" s="61">
        <f>(Porovnavanie!J177*0.99-1.9)*Porovnavanie!I177</f>
        <v>523.87849989999995</v>
      </c>
    </row>
    <row r="176" spans="1:19" ht="15.75" thickBot="1">
      <c r="A176" s="101">
        <f t="shared" si="14"/>
        <v>45696</v>
      </c>
      <c r="B176" s="25" t="s">
        <v>22</v>
      </c>
      <c r="C176" s="54">
        <f>'DHS2021'!C175</f>
        <v>21541</v>
      </c>
      <c r="D176" s="55">
        <f>'DHS2022'!C175</f>
        <v>15479</v>
      </c>
      <c r="E176" s="55">
        <f>'DHS2023'!C175</f>
        <v>17608</v>
      </c>
      <c r="F176" s="55">
        <f>'DHS2024'!C175</f>
        <v>14394</v>
      </c>
      <c r="G176" s="56">
        <f t="shared" si="10"/>
        <v>17255.5</v>
      </c>
      <c r="H176" s="75">
        <f t="shared" si="11"/>
        <v>4.3138750000000003</v>
      </c>
      <c r="I176" s="76">
        <v>1</v>
      </c>
      <c r="J176" s="75">
        <f t="shared" si="12"/>
        <v>5.3138750000000003</v>
      </c>
      <c r="K176" s="81">
        <f t="shared" si="13"/>
        <v>6</v>
      </c>
      <c r="L176" s="11"/>
      <c r="M176" s="11"/>
      <c r="N176" s="11"/>
      <c r="O176" s="28">
        <f>'DHS2025'!C175</f>
        <v>19520</v>
      </c>
      <c r="P176" s="29">
        <f>'DHS2025'!D175</f>
        <v>102</v>
      </c>
      <c r="Q176" s="29">
        <f>'DHS2025'!E175</f>
        <v>6057</v>
      </c>
      <c r="R176" s="62">
        <v>90.99</v>
      </c>
      <c r="S176" s="61">
        <f>(Porovnavanie!J178*0.99-1.9)*Porovnavanie!I178</f>
        <v>534.10686569999996</v>
      </c>
    </row>
    <row r="177" spans="1:19" ht="15.75" thickBot="1">
      <c r="A177" s="101">
        <f t="shared" si="14"/>
        <v>45696</v>
      </c>
      <c r="B177" s="25" t="s">
        <v>23</v>
      </c>
      <c r="C177" s="54">
        <f>'DHS2021'!C176</f>
        <v>20180</v>
      </c>
      <c r="D177" s="55">
        <f>'DHS2022'!C176</f>
        <v>14194</v>
      </c>
      <c r="E177" s="55">
        <f>'DHS2023'!C176</f>
        <v>18580</v>
      </c>
      <c r="F177" s="55">
        <f>'DHS2024'!C176</f>
        <v>14195</v>
      </c>
      <c r="G177" s="56">
        <f t="shared" si="10"/>
        <v>16787.25</v>
      </c>
      <c r="H177" s="75">
        <f t="shared" si="11"/>
        <v>4.1968125000000001</v>
      </c>
      <c r="I177" s="76">
        <v>1</v>
      </c>
      <c r="J177" s="75">
        <f t="shared" si="12"/>
        <v>5.1968125000000001</v>
      </c>
      <c r="K177" s="81">
        <f t="shared" si="13"/>
        <v>6</v>
      </c>
      <c r="L177" s="11"/>
      <c r="M177" s="11"/>
      <c r="N177" s="11"/>
      <c r="O177" s="28">
        <f>'DHS2025'!C176</f>
        <v>19441</v>
      </c>
      <c r="P177" s="29">
        <f>'DHS2025'!D176</f>
        <v>91</v>
      </c>
      <c r="Q177" s="29">
        <f>'DHS2025'!E176</f>
        <v>6060</v>
      </c>
      <c r="R177" s="62">
        <v>102.73</v>
      </c>
      <c r="S177" s="61">
        <f>(Porovnavanie!J179*0.99-1.9)*Porovnavanie!I179</f>
        <v>604.80436199999997</v>
      </c>
    </row>
    <row r="178" spans="1:19" ht="15.75" thickBot="1">
      <c r="A178" s="101">
        <f t="shared" si="14"/>
        <v>45696</v>
      </c>
      <c r="B178" s="25" t="s">
        <v>24</v>
      </c>
      <c r="C178" s="54">
        <f>'DHS2021'!C177</f>
        <v>17520</v>
      </c>
      <c r="D178" s="55">
        <f>'DHS2022'!C177</f>
        <v>13634</v>
      </c>
      <c r="E178" s="55">
        <f>'DHS2023'!C177</f>
        <v>18135</v>
      </c>
      <c r="F178" s="55">
        <f>'DHS2024'!C177</f>
        <v>14120</v>
      </c>
      <c r="G178" s="56">
        <f t="shared" si="10"/>
        <v>15852.25</v>
      </c>
      <c r="H178" s="75">
        <f t="shared" si="11"/>
        <v>3.9630624999999999</v>
      </c>
      <c r="I178" s="76">
        <v>1</v>
      </c>
      <c r="J178" s="75">
        <f t="shared" si="12"/>
        <v>4.9630624999999995</v>
      </c>
      <c r="K178" s="81">
        <f t="shared" si="13"/>
        <v>5</v>
      </c>
      <c r="L178" s="11"/>
      <c r="M178" s="11"/>
      <c r="N178" s="11"/>
      <c r="O178" s="28">
        <f>'DHS2025'!C177</f>
        <v>16624</v>
      </c>
      <c r="P178" s="29">
        <f>'DHS2025'!D177</f>
        <v>123</v>
      </c>
      <c r="Q178" s="29">
        <f>'DHS2025'!E177</f>
        <v>5074</v>
      </c>
      <c r="R178" s="62">
        <v>116.64</v>
      </c>
      <c r="S178" s="61">
        <f>(Porovnavanie!J180*0.99-1.9)*Porovnavanie!I180</f>
        <v>576.27244639999992</v>
      </c>
    </row>
    <row r="179" spans="1:19" ht="15.75" thickBot="1">
      <c r="A179" s="101">
        <f t="shared" si="14"/>
        <v>45696</v>
      </c>
      <c r="B179" s="25" t="s">
        <v>25</v>
      </c>
      <c r="C179" s="54">
        <f>'DHS2021'!C178</f>
        <v>19066</v>
      </c>
      <c r="D179" s="55">
        <f>'DHS2022'!C178</f>
        <v>13894</v>
      </c>
      <c r="E179" s="55">
        <f>'DHS2023'!C178</f>
        <v>18252</v>
      </c>
      <c r="F179" s="55">
        <f>'DHS2024'!C178</f>
        <v>13579</v>
      </c>
      <c r="G179" s="56">
        <f t="shared" si="10"/>
        <v>16197.75</v>
      </c>
      <c r="H179" s="75">
        <f t="shared" si="11"/>
        <v>4.0494374999999998</v>
      </c>
      <c r="I179" s="76">
        <v>1</v>
      </c>
      <c r="J179" s="75">
        <f t="shared" si="12"/>
        <v>5.0494374999999998</v>
      </c>
      <c r="K179" s="81">
        <f t="shared" si="13"/>
        <v>6</v>
      </c>
      <c r="L179" s="11"/>
      <c r="M179" s="11"/>
      <c r="N179" s="11"/>
      <c r="O179" s="28">
        <f>'DHS2025'!C178</f>
        <v>19086</v>
      </c>
      <c r="P179" s="29">
        <f>'DHS2025'!D178</f>
        <v>1321</v>
      </c>
      <c r="Q179" s="29">
        <f>'DHS2025'!E178</f>
        <v>6075</v>
      </c>
      <c r="R179" s="62">
        <v>112.5</v>
      </c>
      <c r="S179" s="61">
        <f>(Porovnavanie!J181*0.99-1.9)*Porovnavanie!I181</f>
        <v>665.06062499999996</v>
      </c>
    </row>
    <row r="180" spans="1:19" ht="15.75" thickBot="1">
      <c r="A180" s="101">
        <f t="shared" si="14"/>
        <v>45696</v>
      </c>
      <c r="B180" s="25" t="s">
        <v>26</v>
      </c>
      <c r="C180" s="54">
        <f>'DHS2021'!C179</f>
        <v>17283</v>
      </c>
      <c r="D180" s="55">
        <f>'DHS2022'!C179</f>
        <v>12645</v>
      </c>
      <c r="E180" s="55">
        <f>'DHS2023'!C179</f>
        <v>18075</v>
      </c>
      <c r="F180" s="55">
        <f>'DHS2024'!C179</f>
        <v>15304</v>
      </c>
      <c r="G180" s="56">
        <f t="shared" si="10"/>
        <v>15826.75</v>
      </c>
      <c r="H180" s="75">
        <f t="shared" si="11"/>
        <v>3.9566875000000001</v>
      </c>
      <c r="I180" s="76">
        <v>1</v>
      </c>
      <c r="J180" s="75">
        <f t="shared" si="12"/>
        <v>4.9566875000000001</v>
      </c>
      <c r="K180" s="81">
        <f t="shared" si="13"/>
        <v>5</v>
      </c>
      <c r="L180" s="11"/>
      <c r="M180" s="11"/>
      <c r="N180" s="11"/>
      <c r="O180" s="28">
        <f>'DHS2025'!C179</f>
        <v>14769</v>
      </c>
      <c r="P180" s="29">
        <f>'DHS2025'!D179</f>
        <v>1121</v>
      </c>
      <c r="Q180" s="29">
        <f>'DHS2025'!E179</f>
        <v>5105</v>
      </c>
      <c r="R180" s="62">
        <v>98.49</v>
      </c>
      <c r="S180" s="61">
        <f>(Porovnavanie!J182*0.99-1.9)*Porovnavanie!I182</f>
        <v>488.06403549999999</v>
      </c>
    </row>
    <row r="181" spans="1:19" ht="15.75" thickBot="1">
      <c r="A181" s="101">
        <f t="shared" si="14"/>
        <v>45696</v>
      </c>
      <c r="B181" s="25" t="s">
        <v>27</v>
      </c>
      <c r="C181" s="54">
        <f>'DHS2021'!C180</f>
        <v>17862</v>
      </c>
      <c r="D181" s="55">
        <f>'DHS2022'!C180</f>
        <v>12035</v>
      </c>
      <c r="E181" s="55">
        <f>'DHS2023'!C180</f>
        <v>16599</v>
      </c>
      <c r="F181" s="55">
        <f>'DHS2024'!C180</f>
        <v>14183</v>
      </c>
      <c r="G181" s="56">
        <f t="shared" si="10"/>
        <v>15169.75</v>
      </c>
      <c r="H181" s="75">
        <f t="shared" si="11"/>
        <v>3.7924375000000001</v>
      </c>
      <c r="I181" s="76">
        <v>1</v>
      </c>
      <c r="J181" s="75">
        <f t="shared" si="12"/>
        <v>4.7924375000000001</v>
      </c>
      <c r="K181" s="81">
        <f t="shared" si="13"/>
        <v>5</v>
      </c>
      <c r="L181" s="11"/>
      <c r="M181" s="11"/>
      <c r="N181" s="11"/>
      <c r="O181" s="28">
        <f>'DHS2025'!C180</f>
        <v>16128</v>
      </c>
      <c r="P181" s="29">
        <f>'DHS2025'!D180</f>
        <v>22</v>
      </c>
      <c r="Q181" s="29">
        <f>'DHS2025'!E180</f>
        <v>5046</v>
      </c>
      <c r="R181" s="62">
        <v>94.21</v>
      </c>
      <c r="S181" s="61">
        <f>(Porovnavanie!J183*0.99-1.9)*Porovnavanie!I183</f>
        <v>461.04242339999996</v>
      </c>
    </row>
    <row r="182" spans="1:19" ht="15.75" thickBot="1">
      <c r="A182" s="101">
        <f t="shared" si="14"/>
        <v>45696</v>
      </c>
      <c r="B182" s="25" t="s">
        <v>28</v>
      </c>
      <c r="C182" s="54">
        <f>'DHS2021'!C181</f>
        <v>17872</v>
      </c>
      <c r="D182" s="55">
        <f>'DHS2022'!C181</f>
        <v>11650</v>
      </c>
      <c r="E182" s="55">
        <f>'DHS2023'!C181</f>
        <v>15120</v>
      </c>
      <c r="F182" s="55">
        <f>'DHS2024'!C181</f>
        <v>15452</v>
      </c>
      <c r="G182" s="56">
        <f t="shared" si="10"/>
        <v>15023.5</v>
      </c>
      <c r="H182" s="75">
        <f t="shared" si="11"/>
        <v>3.7558750000000001</v>
      </c>
      <c r="I182" s="76">
        <v>1</v>
      </c>
      <c r="J182" s="75">
        <f t="shared" si="12"/>
        <v>4.7558749999999996</v>
      </c>
      <c r="K182" s="81">
        <f t="shared" si="13"/>
        <v>5</v>
      </c>
      <c r="L182" s="11"/>
      <c r="M182" s="11"/>
      <c r="N182" s="11"/>
      <c r="O182" s="28">
        <f>'DHS2025'!C181</f>
        <v>14303</v>
      </c>
      <c r="P182" s="29">
        <f>'DHS2025'!D181</f>
        <v>1928</v>
      </c>
      <c r="Q182" s="29">
        <f>'DHS2025'!E181</f>
        <v>5054</v>
      </c>
      <c r="R182" s="62">
        <v>86.42</v>
      </c>
      <c r="S182" s="61">
        <f>(Porovnavanie!J184*0.99-1.9)*Porovnavanie!I184</f>
        <v>422.79641320000002</v>
      </c>
    </row>
    <row r="183" spans="1:19" ht="15.75" thickBot="1">
      <c r="A183" s="101">
        <f t="shared" si="14"/>
        <v>45696</v>
      </c>
      <c r="B183" s="25" t="s">
        <v>29</v>
      </c>
      <c r="C183" s="54">
        <f>'DHS2021'!C182</f>
        <v>16757</v>
      </c>
      <c r="D183" s="55">
        <f>'DHS2022'!C182</f>
        <v>12220</v>
      </c>
      <c r="E183" s="55">
        <f>'DHS2023'!C182</f>
        <v>15547</v>
      </c>
      <c r="F183" s="55">
        <f>'DHS2024'!C182</f>
        <v>14447</v>
      </c>
      <c r="G183" s="56">
        <f t="shared" si="10"/>
        <v>14742.75</v>
      </c>
      <c r="H183" s="75">
        <f t="shared" si="11"/>
        <v>3.6856874999999998</v>
      </c>
      <c r="I183" s="76">
        <v>1</v>
      </c>
      <c r="J183" s="75">
        <f t="shared" si="12"/>
        <v>4.6856875000000002</v>
      </c>
      <c r="K183" s="81">
        <f t="shared" si="13"/>
        <v>5</v>
      </c>
      <c r="L183" s="11"/>
      <c r="M183" s="11"/>
      <c r="N183" s="11"/>
      <c r="O183" s="28">
        <f>'DHS2025'!C182</f>
        <v>13516</v>
      </c>
      <c r="P183" s="29">
        <f>'DHS2025'!D182</f>
        <v>2615</v>
      </c>
      <c r="Q183" s="29">
        <f>'DHS2025'!E182</f>
        <v>5020</v>
      </c>
      <c r="R183" s="62">
        <v>85.38</v>
      </c>
      <c r="S183" s="61">
        <f>(Porovnavanie!J185*0.99-1.9)*Porovnavanie!I185</f>
        <v>414.78352399999989</v>
      </c>
    </row>
    <row r="184" spans="1:19" ht="15.75" thickBot="1">
      <c r="A184" s="101">
        <f t="shared" si="14"/>
        <v>45696</v>
      </c>
      <c r="B184" s="25" t="s">
        <v>30</v>
      </c>
      <c r="C184" s="54">
        <f>'DHS2021'!C183</f>
        <v>14127</v>
      </c>
      <c r="D184" s="55">
        <f>'DHS2022'!C183</f>
        <v>11213</v>
      </c>
      <c r="E184" s="55">
        <f>'DHS2023'!C183</f>
        <v>16925</v>
      </c>
      <c r="F184" s="55">
        <f>'DHS2024'!C183</f>
        <v>13703</v>
      </c>
      <c r="G184" s="56">
        <f t="shared" si="10"/>
        <v>13992</v>
      </c>
      <c r="H184" s="75">
        <f t="shared" si="11"/>
        <v>3.4980000000000002</v>
      </c>
      <c r="I184" s="76">
        <v>1</v>
      </c>
      <c r="J184" s="75">
        <f t="shared" si="12"/>
        <v>4.4980000000000002</v>
      </c>
      <c r="K184" s="81">
        <f t="shared" si="13"/>
        <v>5</v>
      </c>
      <c r="L184" s="11"/>
      <c r="M184" s="11"/>
      <c r="N184" s="11"/>
      <c r="O184" s="28">
        <f>'DHS2025'!C183</f>
        <v>13149</v>
      </c>
      <c r="P184" s="29">
        <f>'DHS2025'!D183</f>
        <v>1793</v>
      </c>
      <c r="Q184" s="29">
        <f>'DHS2025'!E183</f>
        <v>5017</v>
      </c>
      <c r="R184" s="62">
        <v>88.06</v>
      </c>
      <c r="S184" s="61">
        <f>(Porovnavanie!J186*0.99-1.9)*Porovnavanie!I186</f>
        <v>427.8467498</v>
      </c>
    </row>
    <row r="185" spans="1:19" ht="15.75" thickBot="1">
      <c r="A185" s="101">
        <f t="shared" si="14"/>
        <v>45696</v>
      </c>
      <c r="B185" s="25" t="s">
        <v>31</v>
      </c>
      <c r="C185" s="54">
        <f>'DHS2021'!C184</f>
        <v>17339</v>
      </c>
      <c r="D185" s="55">
        <f>'DHS2022'!C184</f>
        <v>10650</v>
      </c>
      <c r="E185" s="55">
        <f>'DHS2023'!C184</f>
        <v>16193</v>
      </c>
      <c r="F185" s="55">
        <f>'DHS2024'!C184</f>
        <v>11372</v>
      </c>
      <c r="G185" s="56">
        <f t="shared" si="10"/>
        <v>13888.5</v>
      </c>
      <c r="H185" s="75">
        <f t="shared" si="11"/>
        <v>3.4721250000000001</v>
      </c>
      <c r="I185" s="76">
        <v>1</v>
      </c>
      <c r="J185" s="75">
        <f t="shared" si="12"/>
        <v>4.4721250000000001</v>
      </c>
      <c r="K185" s="81">
        <f t="shared" si="13"/>
        <v>5</v>
      </c>
      <c r="L185" s="11"/>
      <c r="M185" s="11"/>
      <c r="N185" s="11"/>
      <c r="O185" s="28">
        <f>'DHS2025'!C184</f>
        <v>13121</v>
      </c>
      <c r="P185" s="29">
        <f>'DHS2025'!D184</f>
        <v>3097</v>
      </c>
      <c r="Q185" s="29">
        <f>'DHS2025'!E184</f>
        <v>5061</v>
      </c>
      <c r="R185" s="62">
        <v>93.36</v>
      </c>
      <c r="S185" s="61">
        <f>(Porovnavanie!J187*0.99-1.9)*Porovnavanie!I187</f>
        <v>458.15411039999998</v>
      </c>
    </row>
    <row r="186" spans="1:19" ht="15.75" thickBot="1">
      <c r="A186" s="101">
        <f t="shared" si="14"/>
        <v>45696</v>
      </c>
      <c r="B186" s="25" t="s">
        <v>32</v>
      </c>
      <c r="C186" s="54">
        <f>'DHS2021'!C185</f>
        <v>17565</v>
      </c>
      <c r="D186" s="55">
        <f>'DHS2022'!C185</f>
        <v>11371</v>
      </c>
      <c r="E186" s="55">
        <f>'DHS2023'!C185</f>
        <v>13674</v>
      </c>
      <c r="F186" s="55">
        <f>'DHS2024'!C185</f>
        <v>13950</v>
      </c>
      <c r="G186" s="56">
        <f t="shared" si="10"/>
        <v>14140</v>
      </c>
      <c r="H186" s="75">
        <f t="shared" si="11"/>
        <v>3.5350000000000001</v>
      </c>
      <c r="I186" s="76">
        <v>1</v>
      </c>
      <c r="J186" s="75">
        <f t="shared" si="12"/>
        <v>4.5350000000000001</v>
      </c>
      <c r="K186" s="81">
        <f t="shared" si="13"/>
        <v>5</v>
      </c>
      <c r="L186" s="11"/>
      <c r="M186" s="11"/>
      <c r="N186" s="11"/>
      <c r="O186" s="28">
        <f>'DHS2025'!C185</f>
        <v>13516</v>
      </c>
      <c r="P186" s="29">
        <f>'DHS2025'!D185</f>
        <v>2720</v>
      </c>
      <c r="Q186" s="29">
        <f>'DHS2025'!E185</f>
        <v>5052</v>
      </c>
      <c r="R186" s="62">
        <v>118</v>
      </c>
      <c r="S186" s="61">
        <f>(Porovnavanie!J188*0.99-1.9)*Porovnavanie!I188</f>
        <v>580.57583999999986</v>
      </c>
    </row>
    <row r="187" spans="1:19" ht="15.75" thickBot="1">
      <c r="A187" s="101">
        <f t="shared" si="14"/>
        <v>45696</v>
      </c>
      <c r="B187" s="25" t="s">
        <v>33</v>
      </c>
      <c r="C187" s="54">
        <f>'DHS2021'!C186</f>
        <v>17582</v>
      </c>
      <c r="D187" s="55">
        <f>'DHS2022'!C186</f>
        <v>11613</v>
      </c>
      <c r="E187" s="55">
        <f>'DHS2023'!C186</f>
        <v>15174</v>
      </c>
      <c r="F187" s="55">
        <f>'DHS2024'!C186</f>
        <v>13352</v>
      </c>
      <c r="G187" s="56">
        <f t="shared" si="10"/>
        <v>14430.25</v>
      </c>
      <c r="H187" s="75">
        <f t="shared" si="11"/>
        <v>3.6075624999999998</v>
      </c>
      <c r="I187" s="76">
        <v>1</v>
      </c>
      <c r="J187" s="75">
        <f t="shared" si="12"/>
        <v>4.6075625000000002</v>
      </c>
      <c r="K187" s="81">
        <f t="shared" si="13"/>
        <v>5</v>
      </c>
      <c r="L187" s="11"/>
      <c r="M187" s="11"/>
      <c r="N187" s="11"/>
      <c r="O187" s="28">
        <f>'DHS2025'!C186</f>
        <v>14538</v>
      </c>
      <c r="P187" s="29">
        <f>'DHS2025'!D186</f>
        <v>6620</v>
      </c>
      <c r="Q187" s="29">
        <f>'DHS2025'!E186</f>
        <v>6929</v>
      </c>
      <c r="R187" s="62">
        <v>158.29</v>
      </c>
      <c r="S187" s="61">
        <f>(Porovnavanie!J189*0.99-1.9)*Porovnavanie!I189</f>
        <v>1072.6583959</v>
      </c>
    </row>
    <row r="188" spans="1:19" ht="15.75" thickBot="1">
      <c r="A188" s="101">
        <f t="shared" si="14"/>
        <v>45696</v>
      </c>
      <c r="B188" s="25" t="s">
        <v>34</v>
      </c>
      <c r="C188" s="54">
        <f>'DHS2021'!C187</f>
        <v>18180</v>
      </c>
      <c r="D188" s="55">
        <f>'DHS2022'!C187</f>
        <v>11755</v>
      </c>
      <c r="E188" s="55">
        <f>'DHS2023'!C187</f>
        <v>18250</v>
      </c>
      <c r="F188" s="55">
        <f>'DHS2024'!C187</f>
        <v>13307</v>
      </c>
      <c r="G188" s="56">
        <f t="shared" si="10"/>
        <v>15373</v>
      </c>
      <c r="H188" s="75">
        <f t="shared" si="11"/>
        <v>3.8432499999999998</v>
      </c>
      <c r="I188" s="76">
        <v>1</v>
      </c>
      <c r="J188" s="75">
        <f t="shared" si="12"/>
        <v>4.8432499999999994</v>
      </c>
      <c r="K188" s="81">
        <f t="shared" si="13"/>
        <v>5</v>
      </c>
      <c r="L188" s="11"/>
      <c r="M188" s="11"/>
      <c r="N188" s="11"/>
      <c r="O188" s="28">
        <f>'DHS2025'!C187</f>
        <v>15792</v>
      </c>
      <c r="P188" s="29">
        <f>'DHS2025'!D187</f>
        <v>8635</v>
      </c>
      <c r="Q188" s="29">
        <f>'DHS2025'!E187</f>
        <v>8049</v>
      </c>
      <c r="R188" s="62">
        <v>174.17</v>
      </c>
      <c r="S188" s="61">
        <f>(Porovnavanie!J190*0.99-1.9)*Porovnavanie!I190</f>
        <v>1372.5822866999997</v>
      </c>
    </row>
    <row r="189" spans="1:19" ht="15.75" thickBot="1">
      <c r="A189" s="101">
        <f t="shared" si="14"/>
        <v>45696</v>
      </c>
      <c r="B189" s="25" t="s">
        <v>35</v>
      </c>
      <c r="C189" s="54">
        <f>'DHS2021'!C188</f>
        <v>19582</v>
      </c>
      <c r="D189" s="55">
        <f>'DHS2022'!C188</f>
        <v>12222</v>
      </c>
      <c r="E189" s="55">
        <f>'DHS2023'!C188</f>
        <v>18732</v>
      </c>
      <c r="F189" s="55">
        <f>'DHS2024'!C188</f>
        <v>14553</v>
      </c>
      <c r="G189" s="56">
        <f t="shared" si="10"/>
        <v>16272.25</v>
      </c>
      <c r="H189" s="75">
        <f t="shared" si="11"/>
        <v>4.0680624999999999</v>
      </c>
      <c r="I189" s="76">
        <v>1</v>
      </c>
      <c r="J189" s="75">
        <f t="shared" si="12"/>
        <v>5.0680624999999999</v>
      </c>
      <c r="K189" s="81">
        <f t="shared" si="13"/>
        <v>6</v>
      </c>
      <c r="L189" s="11"/>
      <c r="M189" s="11"/>
      <c r="N189" s="11"/>
      <c r="O189" s="28">
        <f>'DHS2025'!C188</f>
        <v>17360</v>
      </c>
      <c r="P189" s="29">
        <f>'DHS2025'!D188</f>
        <v>7082</v>
      </c>
      <c r="Q189" s="29">
        <f>'DHS2025'!E188</f>
        <v>8056</v>
      </c>
      <c r="R189" s="62">
        <v>160.59</v>
      </c>
      <c r="S189" s="61">
        <f>(Porovnavanie!J191*0.99-1.9)*Porovnavanie!I191</f>
        <v>1265.4695095999998</v>
      </c>
    </row>
    <row r="190" spans="1:19" ht="15.75" thickBot="1">
      <c r="A190" s="101">
        <f t="shared" si="14"/>
        <v>45696</v>
      </c>
      <c r="B190" s="25" t="s">
        <v>36</v>
      </c>
      <c r="C190" s="54">
        <f>'DHS2021'!C189</f>
        <v>19057</v>
      </c>
      <c r="D190" s="55">
        <f>'DHS2022'!C189</f>
        <v>12281</v>
      </c>
      <c r="E190" s="55">
        <f>'DHS2023'!C189</f>
        <v>18974</v>
      </c>
      <c r="F190" s="55">
        <f>'DHS2024'!C189</f>
        <v>14432</v>
      </c>
      <c r="G190" s="56">
        <f t="shared" si="10"/>
        <v>16186</v>
      </c>
      <c r="H190" s="75">
        <f t="shared" si="11"/>
        <v>4.0465</v>
      </c>
      <c r="I190" s="76">
        <v>1</v>
      </c>
      <c r="J190" s="75">
        <f t="shared" si="12"/>
        <v>5.0465</v>
      </c>
      <c r="K190" s="81">
        <f t="shared" si="13"/>
        <v>6</v>
      </c>
      <c r="L190" s="11"/>
      <c r="M190" s="11"/>
      <c r="N190" s="11"/>
      <c r="O190" s="28">
        <f>'DHS2025'!C189</f>
        <v>17554</v>
      </c>
      <c r="P190" s="29">
        <f>'DHS2025'!D189</f>
        <v>6868</v>
      </c>
      <c r="Q190" s="29">
        <f>'DHS2025'!E189</f>
        <v>8056</v>
      </c>
      <c r="R190" s="62">
        <v>159.63999999999999</v>
      </c>
      <c r="S190" s="61">
        <f>(Porovnavanie!J192*0.99-1.9)*Porovnavanie!I192</f>
        <v>1257.8928415999999</v>
      </c>
    </row>
    <row r="191" spans="1:19" ht="15.75" thickBot="1">
      <c r="A191" s="101">
        <f t="shared" si="14"/>
        <v>45696</v>
      </c>
      <c r="B191" s="25" t="s">
        <v>37</v>
      </c>
      <c r="C191" s="54">
        <f>'DHS2021'!C190</f>
        <v>18756</v>
      </c>
      <c r="D191" s="55">
        <f>'DHS2022'!C190</f>
        <v>12193</v>
      </c>
      <c r="E191" s="55">
        <f>'DHS2023'!C190</f>
        <v>21189</v>
      </c>
      <c r="F191" s="55">
        <f>'DHS2024'!C190</f>
        <v>14261</v>
      </c>
      <c r="G191" s="56">
        <f t="shared" si="10"/>
        <v>16599.75</v>
      </c>
      <c r="H191" s="75">
        <f t="shared" si="11"/>
        <v>4.1499375000000001</v>
      </c>
      <c r="I191" s="76">
        <v>1</v>
      </c>
      <c r="J191" s="75">
        <f t="shared" si="12"/>
        <v>5.1499375000000001</v>
      </c>
      <c r="K191" s="81">
        <f t="shared" si="13"/>
        <v>6</v>
      </c>
      <c r="L191" s="11"/>
      <c r="M191" s="11"/>
      <c r="N191" s="11"/>
      <c r="O191" s="28">
        <f>'DHS2025'!C190</f>
        <v>18295</v>
      </c>
      <c r="P191" s="29">
        <f>'DHS2025'!D190</f>
        <v>6752</v>
      </c>
      <c r="Q191" s="29">
        <f>'DHS2025'!E190</f>
        <v>8081</v>
      </c>
      <c r="R191" s="62">
        <v>155.66999999999999</v>
      </c>
      <c r="S191" s="61">
        <f>(Porovnavanie!J193*0.99-1.9)*Porovnavanie!I193</f>
        <v>1230.0356772999996</v>
      </c>
    </row>
    <row r="192" spans="1:19" ht="15.75" thickBot="1">
      <c r="A192" s="101">
        <f t="shared" si="14"/>
        <v>45696</v>
      </c>
      <c r="B192" s="25" t="s">
        <v>38</v>
      </c>
      <c r="C192" s="54">
        <f>'DHS2021'!C191</f>
        <v>20163</v>
      </c>
      <c r="D192" s="55">
        <f>'DHS2022'!C191</f>
        <v>11573</v>
      </c>
      <c r="E192" s="55">
        <f>'DHS2023'!C191</f>
        <v>18773</v>
      </c>
      <c r="F192" s="55">
        <f>'DHS2024'!C191</f>
        <v>13977</v>
      </c>
      <c r="G192" s="56">
        <f t="shared" si="10"/>
        <v>16121.5</v>
      </c>
      <c r="H192" s="75">
        <f t="shared" si="11"/>
        <v>4.0303750000000003</v>
      </c>
      <c r="I192" s="76">
        <v>1</v>
      </c>
      <c r="J192" s="75">
        <f t="shared" si="12"/>
        <v>5.0303750000000003</v>
      </c>
      <c r="K192" s="81">
        <f t="shared" si="13"/>
        <v>6</v>
      </c>
      <c r="L192" s="11"/>
      <c r="M192" s="11"/>
      <c r="N192" s="11"/>
      <c r="O192" s="28">
        <f>'DHS2025'!C191</f>
        <v>18363</v>
      </c>
      <c r="P192" s="29">
        <f>'DHS2025'!D191</f>
        <v>2039</v>
      </c>
      <c r="Q192" s="29">
        <f>'DHS2025'!E191</f>
        <v>6633</v>
      </c>
      <c r="R192" s="62">
        <v>149</v>
      </c>
      <c r="S192" s="61">
        <f>(Porovnavanie!J194*0.99-1.9)*Porovnavanie!I194</f>
        <v>965.83112999999992</v>
      </c>
    </row>
    <row r="193" spans="1:19" ht="15.75" thickBot="1">
      <c r="A193" s="101">
        <f t="shared" si="14"/>
        <v>45696</v>
      </c>
      <c r="B193" s="25" t="s">
        <v>39</v>
      </c>
      <c r="C193" s="54">
        <f>'DHS2021'!C192</f>
        <v>15703</v>
      </c>
      <c r="D193" s="55">
        <f>'DHS2022'!C192</f>
        <v>11027</v>
      </c>
      <c r="E193" s="55">
        <f>'DHS2023'!C192</f>
        <v>18614</v>
      </c>
      <c r="F193" s="55">
        <f>'DHS2024'!C192</f>
        <v>11403</v>
      </c>
      <c r="G193" s="56">
        <f t="shared" si="10"/>
        <v>14186.75</v>
      </c>
      <c r="H193" s="75">
        <f t="shared" si="11"/>
        <v>3.5466875</v>
      </c>
      <c r="I193" s="76">
        <v>1</v>
      </c>
      <c r="J193" s="75">
        <f t="shared" si="12"/>
        <v>4.5466875</v>
      </c>
      <c r="K193" s="81">
        <f t="shared" si="13"/>
        <v>5</v>
      </c>
      <c r="L193" s="11"/>
      <c r="M193" s="11"/>
      <c r="N193" s="11"/>
      <c r="O193" s="28">
        <f>'DHS2025'!C192</f>
        <v>16559</v>
      </c>
      <c r="P193" s="29">
        <f>'DHS2025'!D192</f>
        <v>1828</v>
      </c>
      <c r="Q193" s="29">
        <f>'DHS2025'!E192</f>
        <v>5233</v>
      </c>
      <c r="R193" s="62">
        <v>142.91999999999999</v>
      </c>
      <c r="S193" s="61">
        <f>(Porovnavanie!J195*0.99-1.9)*Porovnavanie!I195</f>
        <v>730.47865639999986</v>
      </c>
    </row>
    <row r="194" spans="1:19" ht="15.75" thickBot="1">
      <c r="A194" s="101">
        <f t="shared" si="14"/>
        <v>45696</v>
      </c>
      <c r="B194" s="25" t="s">
        <v>40</v>
      </c>
      <c r="C194" s="54">
        <f>'DHS2021'!C193</f>
        <v>9276</v>
      </c>
      <c r="D194" s="55">
        <f>'DHS2022'!C193</f>
        <v>6739</v>
      </c>
      <c r="E194" s="55">
        <f>'DHS2023'!C193</f>
        <v>10158</v>
      </c>
      <c r="F194" s="55">
        <f>'DHS2024'!C193</f>
        <v>6199</v>
      </c>
      <c r="G194" s="56">
        <f t="shared" si="10"/>
        <v>8093</v>
      </c>
      <c r="H194" s="75">
        <f t="shared" si="11"/>
        <v>2.02325</v>
      </c>
      <c r="I194" s="76">
        <v>1</v>
      </c>
      <c r="J194" s="75">
        <f t="shared" si="12"/>
        <v>3.02325</v>
      </c>
      <c r="K194" s="81">
        <f t="shared" si="13"/>
        <v>4</v>
      </c>
      <c r="L194" s="11"/>
      <c r="M194" s="11"/>
      <c r="N194" s="11"/>
      <c r="O194" s="28">
        <f>'DHS2025'!C193</f>
        <v>10653</v>
      </c>
      <c r="P194" s="29">
        <f>'DHS2025'!D193</f>
        <v>2992</v>
      </c>
      <c r="Q194" s="29">
        <f>'DHS2025'!E193</f>
        <v>3141</v>
      </c>
      <c r="R194" s="62">
        <v>134.41</v>
      </c>
      <c r="S194" s="61">
        <f>(Porovnavanie!J196*0.99-1.9)*Porovnavanie!I196</f>
        <v>411.99209189999999</v>
      </c>
    </row>
    <row r="195" spans="1:19" ht="15.75" thickBot="1">
      <c r="A195" s="100">
        <f t="shared" si="14"/>
        <v>45697</v>
      </c>
      <c r="B195" s="24" t="s">
        <v>17</v>
      </c>
      <c r="C195" s="54">
        <f>'DHS2021'!C194</f>
        <v>9760</v>
      </c>
      <c r="D195" s="55">
        <f>'DHS2022'!C194</f>
        <v>6726</v>
      </c>
      <c r="E195" s="55">
        <f>'DHS2023'!C194</f>
        <v>11727</v>
      </c>
      <c r="F195" s="55">
        <f>'DHS2024'!C194</f>
        <v>6638</v>
      </c>
      <c r="G195" s="56">
        <f t="shared" si="10"/>
        <v>8712.75</v>
      </c>
      <c r="H195" s="75">
        <f t="shared" si="11"/>
        <v>2.1781874999999999</v>
      </c>
      <c r="I195" s="76">
        <v>1</v>
      </c>
      <c r="J195" s="75">
        <f t="shared" si="12"/>
        <v>3.1781874999999999</v>
      </c>
      <c r="K195" s="81">
        <f t="shared" si="13"/>
        <v>4</v>
      </c>
      <c r="L195" s="11"/>
      <c r="M195" s="11"/>
      <c r="N195" s="11"/>
      <c r="O195" s="28">
        <f>'DHS2025'!C194</f>
        <v>10470</v>
      </c>
      <c r="P195" s="29">
        <f>'DHS2025'!D194</f>
        <v>52</v>
      </c>
      <c r="Q195" s="29">
        <f>'DHS2025'!E194</f>
        <v>3435</v>
      </c>
      <c r="R195" s="62">
        <v>135</v>
      </c>
      <c r="S195" s="61">
        <f>(Porovnavanie!J197*0.99-1.9)*Porovnavanie!I197</f>
        <v>452.56125000000003</v>
      </c>
    </row>
    <row r="196" spans="1:19" ht="15.75" thickBot="1">
      <c r="A196" s="100">
        <f t="shared" si="14"/>
        <v>45697</v>
      </c>
      <c r="B196" s="24" t="s">
        <v>18</v>
      </c>
      <c r="C196" s="54">
        <f>'DHS2021'!C195</f>
        <v>11092</v>
      </c>
      <c r="D196" s="55">
        <f>'DHS2022'!C195</f>
        <v>6461</v>
      </c>
      <c r="E196" s="55">
        <f>'DHS2023'!C195</f>
        <v>14199</v>
      </c>
      <c r="F196" s="55">
        <f>'DHS2024'!C195</f>
        <v>9774</v>
      </c>
      <c r="G196" s="56">
        <f t="shared" ref="G196:G259" si="15">AVERAGE(C196:F196)</f>
        <v>10381.5</v>
      </c>
      <c r="H196" s="75">
        <f t="shared" ref="H196:H259" si="16">G196/$M$2/1000</f>
        <v>2.5953750000000002</v>
      </c>
      <c r="I196" s="76">
        <v>1</v>
      </c>
      <c r="J196" s="75">
        <f t="shared" ref="J196:J259" si="17">H196+I196</f>
        <v>3.5953750000000002</v>
      </c>
      <c r="K196" s="81">
        <f t="shared" ref="K196:K259" si="18">ROUNDUP(J196,0)</f>
        <v>4</v>
      </c>
      <c r="L196" s="11"/>
      <c r="M196" s="11"/>
      <c r="N196" s="11"/>
      <c r="O196" s="28">
        <f>'DHS2025'!C195</f>
        <v>10941</v>
      </c>
      <c r="P196" s="29">
        <f>'DHS2025'!D195</f>
        <v>2692</v>
      </c>
      <c r="Q196" s="29">
        <f>'DHS2025'!E195</f>
        <v>4057</v>
      </c>
      <c r="R196" s="62">
        <v>125.94</v>
      </c>
      <c r="S196" s="61">
        <f>(Porovnavanie!J198*0.99-1.9)*Porovnavanie!I198</f>
        <v>498.12089420000001</v>
      </c>
    </row>
    <row r="197" spans="1:19" ht="15.75" thickBot="1">
      <c r="A197" s="100">
        <f t="shared" ref="A197:A260" si="19">$A$3+INT((ROW()-3)/24)</f>
        <v>45697</v>
      </c>
      <c r="B197" s="24" t="s">
        <v>19</v>
      </c>
      <c r="C197" s="54">
        <f>'DHS2021'!C196</f>
        <v>12098</v>
      </c>
      <c r="D197" s="55">
        <f>'DHS2022'!C196</f>
        <v>6002</v>
      </c>
      <c r="E197" s="55">
        <f>'DHS2023'!C196</f>
        <v>13834</v>
      </c>
      <c r="F197" s="55">
        <f>'DHS2024'!C196</f>
        <v>10155</v>
      </c>
      <c r="G197" s="56">
        <f t="shared" si="15"/>
        <v>10522.25</v>
      </c>
      <c r="H197" s="75">
        <f t="shared" si="16"/>
        <v>2.6305624999999999</v>
      </c>
      <c r="I197" s="76">
        <v>1</v>
      </c>
      <c r="J197" s="75">
        <f t="shared" si="17"/>
        <v>3.6305624999999999</v>
      </c>
      <c r="K197" s="81">
        <f t="shared" si="18"/>
        <v>4</v>
      </c>
      <c r="L197" s="11"/>
      <c r="M197" s="11"/>
      <c r="N197" s="11"/>
      <c r="O197" s="28">
        <f>'DHS2025'!C196</f>
        <v>13866</v>
      </c>
      <c r="P197" s="29">
        <f>'DHS2025'!D196</f>
        <v>52</v>
      </c>
      <c r="Q197" s="29">
        <f>'DHS2025'!E196</f>
        <v>4057</v>
      </c>
      <c r="R197" s="62">
        <v>121.95</v>
      </c>
      <c r="S197" s="61">
        <f>(Porovnavanie!J199*0.99-1.9)*Porovnavanie!I199</f>
        <v>482.09533850000003</v>
      </c>
    </row>
    <row r="198" spans="1:19" ht="15.75" thickBot="1">
      <c r="A198" s="100">
        <f t="shared" si="19"/>
        <v>45697</v>
      </c>
      <c r="B198" s="24" t="s">
        <v>20</v>
      </c>
      <c r="C198" s="54">
        <f>'DHS2021'!C197</f>
        <v>13785</v>
      </c>
      <c r="D198" s="55">
        <f>'DHS2022'!C197</f>
        <v>6043</v>
      </c>
      <c r="E198" s="55">
        <f>'DHS2023'!C197</f>
        <v>13483</v>
      </c>
      <c r="F198" s="55">
        <f>'DHS2024'!C197</f>
        <v>11877</v>
      </c>
      <c r="G198" s="56">
        <f t="shared" si="15"/>
        <v>11297</v>
      </c>
      <c r="H198" s="75">
        <f t="shared" si="16"/>
        <v>2.8242500000000001</v>
      </c>
      <c r="I198" s="76">
        <v>1</v>
      </c>
      <c r="J198" s="75">
        <f t="shared" si="17"/>
        <v>3.8242500000000001</v>
      </c>
      <c r="K198" s="81">
        <f t="shared" si="18"/>
        <v>4</v>
      </c>
      <c r="L198" s="11"/>
      <c r="M198" s="11"/>
      <c r="N198" s="11"/>
      <c r="O198" s="28">
        <f>'DHS2025'!C197</f>
        <v>14857</v>
      </c>
      <c r="P198" s="29">
        <f>'DHS2025'!D197</f>
        <v>62</v>
      </c>
      <c r="Q198" s="29">
        <f>'DHS2025'!E197</f>
        <v>4066</v>
      </c>
      <c r="R198" s="62">
        <v>119.3</v>
      </c>
      <c r="S198" s="61">
        <f>(Porovnavanie!J200*0.99-1.9)*Porovnavanie!I200</f>
        <v>472.49766199999993</v>
      </c>
    </row>
    <row r="199" spans="1:19" ht="15.75" thickBot="1">
      <c r="A199" s="100">
        <f t="shared" si="19"/>
        <v>45697</v>
      </c>
      <c r="B199" s="24" t="s">
        <v>21</v>
      </c>
      <c r="C199" s="54">
        <f>'DHS2021'!C198</f>
        <v>23430</v>
      </c>
      <c r="D199" s="55">
        <f>'DHS2022'!C198</f>
        <v>11170</v>
      </c>
      <c r="E199" s="55">
        <f>'DHS2023'!C198</f>
        <v>18097</v>
      </c>
      <c r="F199" s="55">
        <f>'DHS2024'!C198</f>
        <v>12460</v>
      </c>
      <c r="G199" s="56">
        <f t="shared" si="15"/>
        <v>16289.25</v>
      </c>
      <c r="H199" s="75">
        <f t="shared" si="16"/>
        <v>4.0723124999999998</v>
      </c>
      <c r="I199" s="76">
        <v>1</v>
      </c>
      <c r="J199" s="75">
        <f t="shared" si="17"/>
        <v>5.0723124999999998</v>
      </c>
      <c r="K199" s="81">
        <f t="shared" si="18"/>
        <v>6</v>
      </c>
      <c r="L199" s="11"/>
      <c r="M199" s="11"/>
      <c r="N199" s="11"/>
      <c r="O199" s="28">
        <f>'DHS2025'!C198</f>
        <v>15180</v>
      </c>
      <c r="P199" s="29">
        <f>'DHS2025'!D198</f>
        <v>21</v>
      </c>
      <c r="Q199" s="29">
        <f>'DHS2025'!E198</f>
        <v>5413</v>
      </c>
      <c r="R199" s="62">
        <v>116.81</v>
      </c>
      <c r="S199" s="61">
        <f>(Porovnavanie!J201*0.99-1.9)*Porovnavanie!I201</f>
        <v>615.68490470000006</v>
      </c>
    </row>
    <row r="200" spans="1:19" ht="15.75" thickBot="1">
      <c r="A200" s="100">
        <f t="shared" si="19"/>
        <v>45697</v>
      </c>
      <c r="B200" s="24" t="s">
        <v>22</v>
      </c>
      <c r="C200" s="54">
        <f>'DHS2021'!C199</f>
        <v>23506</v>
      </c>
      <c r="D200" s="55">
        <f>'DHS2022'!C199</f>
        <v>13273</v>
      </c>
      <c r="E200" s="55">
        <f>'DHS2023'!C199</f>
        <v>20114</v>
      </c>
      <c r="F200" s="55">
        <f>'DHS2024'!C199</f>
        <v>14018</v>
      </c>
      <c r="G200" s="56">
        <f t="shared" si="15"/>
        <v>17727.75</v>
      </c>
      <c r="H200" s="75">
        <f t="shared" si="16"/>
        <v>4.4319375000000001</v>
      </c>
      <c r="I200" s="76">
        <v>1</v>
      </c>
      <c r="J200" s="75">
        <f t="shared" si="17"/>
        <v>5.4319375000000001</v>
      </c>
      <c r="K200" s="81">
        <f t="shared" si="18"/>
        <v>6</v>
      </c>
      <c r="L200" s="11"/>
      <c r="M200" s="11"/>
      <c r="N200" s="11"/>
      <c r="O200" s="28">
        <f>'DHS2025'!C199</f>
        <v>22700</v>
      </c>
      <c r="P200" s="29">
        <f>'DHS2025'!D199</f>
        <v>164</v>
      </c>
      <c r="Q200" s="29">
        <f>'DHS2025'!E199</f>
        <v>6054</v>
      </c>
      <c r="R200" s="62">
        <v>117</v>
      </c>
      <c r="S200" s="61">
        <f>(Porovnavanie!J202*0.99-1.9)*Porovnavanie!I202</f>
        <v>689.73221999999998</v>
      </c>
    </row>
    <row r="201" spans="1:19" ht="15.75" thickBot="1">
      <c r="A201" s="100">
        <f t="shared" si="19"/>
        <v>45697</v>
      </c>
      <c r="B201" s="24" t="s">
        <v>23</v>
      </c>
      <c r="C201" s="54">
        <f>'DHS2021'!C200</f>
        <v>23871</v>
      </c>
      <c r="D201" s="55">
        <f>'DHS2022'!C200</f>
        <v>13849</v>
      </c>
      <c r="E201" s="55">
        <f>'DHS2023'!C200</f>
        <v>23638</v>
      </c>
      <c r="F201" s="55">
        <f>'DHS2024'!C200</f>
        <v>14386</v>
      </c>
      <c r="G201" s="56">
        <f t="shared" si="15"/>
        <v>18936</v>
      </c>
      <c r="H201" s="75">
        <f t="shared" si="16"/>
        <v>4.734</v>
      </c>
      <c r="I201" s="76">
        <v>1</v>
      </c>
      <c r="J201" s="75">
        <f t="shared" si="17"/>
        <v>5.734</v>
      </c>
      <c r="K201" s="81">
        <f t="shared" si="18"/>
        <v>6</v>
      </c>
      <c r="L201" s="11"/>
      <c r="M201" s="11"/>
      <c r="N201" s="11"/>
      <c r="O201" s="28">
        <f>'DHS2025'!C200</f>
        <v>22142</v>
      </c>
      <c r="P201" s="29">
        <f>'DHS2025'!D200</f>
        <v>100</v>
      </c>
      <c r="Q201" s="29">
        <f>'DHS2025'!E200</f>
        <v>6058</v>
      </c>
      <c r="R201" s="62">
        <v>117</v>
      </c>
      <c r="S201" s="61">
        <f>(Porovnavanie!J203*0.99-1.9)*Porovnavanie!I203</f>
        <v>690.18793999999991</v>
      </c>
    </row>
    <row r="202" spans="1:19" ht="15.75" thickBot="1">
      <c r="A202" s="100">
        <f t="shared" si="19"/>
        <v>45697</v>
      </c>
      <c r="B202" s="24" t="s">
        <v>24</v>
      </c>
      <c r="C202" s="54">
        <f>'DHS2021'!C201</f>
        <v>21073</v>
      </c>
      <c r="D202" s="55">
        <f>'DHS2022'!C201</f>
        <v>13935</v>
      </c>
      <c r="E202" s="55">
        <f>'DHS2023'!C201</f>
        <v>23253</v>
      </c>
      <c r="F202" s="55">
        <f>'DHS2024'!C201</f>
        <v>12940</v>
      </c>
      <c r="G202" s="56">
        <f t="shared" si="15"/>
        <v>17800.25</v>
      </c>
      <c r="H202" s="75">
        <f t="shared" si="16"/>
        <v>4.4500624999999996</v>
      </c>
      <c r="I202" s="76">
        <v>1</v>
      </c>
      <c r="J202" s="75">
        <f t="shared" si="17"/>
        <v>5.4500624999999996</v>
      </c>
      <c r="K202" s="81">
        <f t="shared" si="18"/>
        <v>6</v>
      </c>
      <c r="L202" s="11"/>
      <c r="M202" s="11"/>
      <c r="N202" s="11"/>
      <c r="O202" s="28">
        <f>'DHS2025'!C201</f>
        <v>19989</v>
      </c>
      <c r="P202" s="29">
        <f>'DHS2025'!D201</f>
        <v>2766</v>
      </c>
      <c r="Q202" s="29">
        <f>'DHS2025'!E201</f>
        <v>6768</v>
      </c>
      <c r="R202" s="62">
        <v>133.43</v>
      </c>
      <c r="S202" s="61">
        <f>(Porovnavanie!J204*0.99-1.9)*Porovnavanie!I204</f>
        <v>881.16449759999989</v>
      </c>
    </row>
    <row r="203" spans="1:19" ht="15.75" thickBot="1">
      <c r="A203" s="100">
        <f t="shared" si="19"/>
        <v>45697</v>
      </c>
      <c r="B203" s="24" t="s">
        <v>25</v>
      </c>
      <c r="C203" s="54">
        <f>'DHS2021'!C202</f>
        <v>22312</v>
      </c>
      <c r="D203" s="55">
        <f>'DHS2022'!C202</f>
        <v>13130</v>
      </c>
      <c r="E203" s="55">
        <f>'DHS2023'!C202</f>
        <v>23330</v>
      </c>
      <c r="F203" s="55">
        <f>'DHS2024'!C202</f>
        <v>13662</v>
      </c>
      <c r="G203" s="56">
        <f t="shared" si="15"/>
        <v>18108.5</v>
      </c>
      <c r="H203" s="75">
        <f t="shared" si="16"/>
        <v>4.5271249999999998</v>
      </c>
      <c r="I203" s="76">
        <v>1</v>
      </c>
      <c r="J203" s="75">
        <f t="shared" si="17"/>
        <v>5.5271249999999998</v>
      </c>
      <c r="K203" s="81">
        <f t="shared" si="18"/>
        <v>6</v>
      </c>
      <c r="L203" s="11"/>
      <c r="M203" s="11"/>
      <c r="N203" s="11"/>
      <c r="O203" s="28">
        <f>'DHS2025'!C202</f>
        <v>18887</v>
      </c>
      <c r="P203" s="29">
        <f>'DHS2025'!D202</f>
        <v>6730</v>
      </c>
      <c r="Q203" s="29">
        <f>'DHS2025'!E202</f>
        <v>8070</v>
      </c>
      <c r="R203" s="62">
        <v>136.77000000000001</v>
      </c>
      <c r="S203" s="61">
        <f>(Porovnavanie!J205*0.99-1.9)*Porovnavanie!I205</f>
        <v>1077.3635609999999</v>
      </c>
    </row>
    <row r="204" spans="1:19" ht="15.75" thickBot="1">
      <c r="A204" s="100">
        <f t="shared" si="19"/>
        <v>45697</v>
      </c>
      <c r="B204" s="24" t="s">
        <v>26</v>
      </c>
      <c r="C204" s="54">
        <f>'DHS2021'!C203</f>
        <v>19134</v>
      </c>
      <c r="D204" s="55">
        <f>'DHS2022'!C203</f>
        <v>12162</v>
      </c>
      <c r="E204" s="55">
        <f>'DHS2023'!C203</f>
        <v>21820</v>
      </c>
      <c r="F204" s="55">
        <f>'DHS2024'!C203</f>
        <v>14179</v>
      </c>
      <c r="G204" s="56">
        <f t="shared" si="15"/>
        <v>16823.75</v>
      </c>
      <c r="H204" s="75">
        <f t="shared" si="16"/>
        <v>4.2059375000000001</v>
      </c>
      <c r="I204" s="76">
        <v>1</v>
      </c>
      <c r="J204" s="75">
        <f t="shared" si="17"/>
        <v>5.2059375000000001</v>
      </c>
      <c r="K204" s="81">
        <f t="shared" si="18"/>
        <v>6</v>
      </c>
      <c r="L204" s="11"/>
      <c r="M204" s="11"/>
      <c r="N204" s="11"/>
      <c r="O204" s="28">
        <f>'DHS2025'!C203</f>
        <v>17248</v>
      </c>
      <c r="P204" s="29">
        <f>'DHS2025'!D203</f>
        <v>6825</v>
      </c>
      <c r="Q204" s="29">
        <f>'DHS2025'!E203</f>
        <v>7325</v>
      </c>
      <c r="R204" s="62">
        <v>121.6</v>
      </c>
      <c r="S204" s="61">
        <f>(Porovnavanie!J206*0.99-1.9)*Porovnavanie!I206</f>
        <v>867.89530000000002</v>
      </c>
    </row>
    <row r="205" spans="1:19" ht="15.75" thickBot="1">
      <c r="A205" s="100">
        <f t="shared" si="19"/>
        <v>45697</v>
      </c>
      <c r="B205" s="24" t="s">
        <v>27</v>
      </c>
      <c r="C205" s="54">
        <f>'DHS2021'!C204</f>
        <v>18875</v>
      </c>
      <c r="D205" s="55">
        <f>'DHS2022'!C204</f>
        <v>11622</v>
      </c>
      <c r="E205" s="55">
        <f>'DHS2023'!C204</f>
        <v>20252</v>
      </c>
      <c r="F205" s="55">
        <f>'DHS2024'!C204</f>
        <v>14169</v>
      </c>
      <c r="G205" s="56">
        <f t="shared" si="15"/>
        <v>16229.5</v>
      </c>
      <c r="H205" s="75">
        <f t="shared" si="16"/>
        <v>4.0573750000000004</v>
      </c>
      <c r="I205" s="76">
        <v>1</v>
      </c>
      <c r="J205" s="75">
        <f t="shared" si="17"/>
        <v>5.0573750000000004</v>
      </c>
      <c r="K205" s="81">
        <f t="shared" si="18"/>
        <v>6</v>
      </c>
      <c r="L205" s="11"/>
      <c r="M205" s="11"/>
      <c r="N205" s="11"/>
      <c r="O205" s="28">
        <f>'DHS2025'!C204</f>
        <v>15616</v>
      </c>
      <c r="P205" s="29">
        <f>'DHS2025'!D204</f>
        <v>3878</v>
      </c>
      <c r="Q205" s="29">
        <f>'DHS2025'!E204</f>
        <v>6052</v>
      </c>
      <c r="R205" s="62">
        <v>113.4</v>
      </c>
      <c r="S205" s="61">
        <f>(Porovnavanie!J207*0.99-1.9)*Porovnavanie!I207</f>
        <v>667.93503199999998</v>
      </c>
    </row>
    <row r="206" spans="1:19" ht="15.75" thickBot="1">
      <c r="A206" s="100">
        <f t="shared" si="19"/>
        <v>45697</v>
      </c>
      <c r="B206" s="24" t="s">
        <v>28</v>
      </c>
      <c r="C206" s="54">
        <f>'DHS2021'!C205</f>
        <v>17855</v>
      </c>
      <c r="D206" s="55">
        <f>'DHS2022'!C205</f>
        <v>13527</v>
      </c>
      <c r="E206" s="55">
        <f>'DHS2023'!C205</f>
        <v>17749</v>
      </c>
      <c r="F206" s="55">
        <f>'DHS2024'!C205</f>
        <v>12413</v>
      </c>
      <c r="G206" s="56">
        <f t="shared" si="15"/>
        <v>15386</v>
      </c>
      <c r="H206" s="75">
        <f t="shared" si="16"/>
        <v>3.8464999999999998</v>
      </c>
      <c r="I206" s="76">
        <v>1</v>
      </c>
      <c r="J206" s="75">
        <f t="shared" si="17"/>
        <v>4.8464999999999998</v>
      </c>
      <c r="K206" s="81">
        <f t="shared" si="18"/>
        <v>5</v>
      </c>
      <c r="L206" s="11"/>
      <c r="M206" s="11"/>
      <c r="N206" s="11"/>
      <c r="O206" s="28">
        <f>'DHS2025'!C205</f>
        <v>13681</v>
      </c>
      <c r="P206" s="29">
        <f>'DHS2025'!D205</f>
        <v>5295</v>
      </c>
      <c r="Q206" s="29">
        <f>'DHS2025'!E205</f>
        <v>5585</v>
      </c>
      <c r="R206" s="62">
        <v>109.26</v>
      </c>
      <c r="S206" s="61">
        <f>(Porovnavanie!J208*0.99-1.9)*Porovnavanie!I208</f>
        <v>593.50342899999998</v>
      </c>
    </row>
    <row r="207" spans="1:19" ht="15.75" thickBot="1">
      <c r="A207" s="100">
        <f t="shared" si="19"/>
        <v>45697</v>
      </c>
      <c r="B207" s="24" t="s">
        <v>29</v>
      </c>
      <c r="C207" s="54">
        <f>'DHS2021'!C206</f>
        <v>19311</v>
      </c>
      <c r="D207" s="55">
        <f>'DHS2022'!C206</f>
        <v>11729</v>
      </c>
      <c r="E207" s="55">
        <f>'DHS2023'!C206</f>
        <v>17412</v>
      </c>
      <c r="F207" s="55">
        <f>'DHS2024'!C206</f>
        <v>11747</v>
      </c>
      <c r="G207" s="56">
        <f t="shared" si="15"/>
        <v>15049.75</v>
      </c>
      <c r="H207" s="75">
        <f t="shared" si="16"/>
        <v>3.7624374999999999</v>
      </c>
      <c r="I207" s="76">
        <v>1</v>
      </c>
      <c r="J207" s="75">
        <f t="shared" si="17"/>
        <v>4.7624374999999999</v>
      </c>
      <c r="K207" s="81">
        <f t="shared" si="18"/>
        <v>5</v>
      </c>
      <c r="L207" s="11"/>
      <c r="M207" s="11"/>
      <c r="N207" s="11"/>
      <c r="O207" s="28">
        <f>'DHS2025'!C206</f>
        <v>13404</v>
      </c>
      <c r="P207" s="29">
        <f>'DHS2025'!D206</f>
        <v>3208</v>
      </c>
      <c r="Q207" s="29">
        <f>'DHS2025'!E206</f>
        <v>5051</v>
      </c>
      <c r="R207" s="62">
        <v>92.69</v>
      </c>
      <c r="S207" s="61">
        <f>(Porovnavanie!J209*0.99-1.9)*Porovnavanie!I209</f>
        <v>453.89851809999993</v>
      </c>
    </row>
    <row r="208" spans="1:19" ht="15.75" thickBot="1">
      <c r="A208" s="100">
        <f t="shared" si="19"/>
        <v>45697</v>
      </c>
      <c r="B208" s="24" t="s">
        <v>30</v>
      </c>
      <c r="C208" s="54">
        <f>'DHS2021'!C207</f>
        <v>17816</v>
      </c>
      <c r="D208" s="55">
        <f>'DHS2022'!C207</f>
        <v>10772</v>
      </c>
      <c r="E208" s="55">
        <f>'DHS2023'!C207</f>
        <v>14127</v>
      </c>
      <c r="F208" s="55">
        <f>'DHS2024'!C207</f>
        <v>12053</v>
      </c>
      <c r="G208" s="56">
        <f t="shared" si="15"/>
        <v>13692</v>
      </c>
      <c r="H208" s="75">
        <f t="shared" si="16"/>
        <v>3.423</v>
      </c>
      <c r="I208" s="76">
        <v>1</v>
      </c>
      <c r="J208" s="75">
        <f t="shared" si="17"/>
        <v>4.423</v>
      </c>
      <c r="K208" s="81">
        <f t="shared" si="18"/>
        <v>5</v>
      </c>
      <c r="L208" s="11"/>
      <c r="M208" s="11"/>
      <c r="N208" s="11"/>
      <c r="O208" s="28">
        <f>'DHS2025'!C207</f>
        <v>12282</v>
      </c>
      <c r="P208" s="29">
        <f>'DHS2025'!D207</f>
        <v>3904</v>
      </c>
      <c r="Q208" s="29">
        <f>'DHS2025'!E207</f>
        <v>5073</v>
      </c>
      <c r="R208" s="62">
        <v>98.88</v>
      </c>
      <c r="S208" s="61">
        <f>(Porovnavanie!J210*0.99-1.9)*Porovnavanie!I210</f>
        <v>486.96335759999999</v>
      </c>
    </row>
    <row r="209" spans="1:19" ht="15.75" thickBot="1">
      <c r="A209" s="100">
        <f t="shared" si="19"/>
        <v>45697</v>
      </c>
      <c r="B209" s="24" t="s">
        <v>31</v>
      </c>
      <c r="C209" s="54">
        <f>'DHS2021'!C208</f>
        <v>17386</v>
      </c>
      <c r="D209" s="55">
        <f>'DHS2022'!C208</f>
        <v>9024</v>
      </c>
      <c r="E209" s="55">
        <f>'DHS2023'!C208</f>
        <v>15587</v>
      </c>
      <c r="F209" s="55">
        <f>'DHS2024'!C208</f>
        <v>11177</v>
      </c>
      <c r="G209" s="56">
        <f t="shared" si="15"/>
        <v>13293.5</v>
      </c>
      <c r="H209" s="75">
        <f t="shared" si="16"/>
        <v>3.323375</v>
      </c>
      <c r="I209" s="76">
        <v>1</v>
      </c>
      <c r="J209" s="75">
        <f t="shared" si="17"/>
        <v>4.3233750000000004</v>
      </c>
      <c r="K209" s="81">
        <f t="shared" si="18"/>
        <v>5</v>
      </c>
      <c r="L209" s="11"/>
      <c r="M209" s="11"/>
      <c r="N209" s="11"/>
      <c r="O209" s="28">
        <f>'DHS2025'!C208</f>
        <v>12395</v>
      </c>
      <c r="P209" s="29">
        <f>'DHS2025'!D208</f>
        <v>3622</v>
      </c>
      <c r="Q209" s="29">
        <f>'DHS2025'!E208</f>
        <v>5062</v>
      </c>
      <c r="R209" s="62">
        <v>109.9</v>
      </c>
      <c r="S209" s="61">
        <f>(Porovnavanie!J211*0.99-1.9)*Porovnavanie!I211</f>
        <v>541.13286200000005</v>
      </c>
    </row>
    <row r="210" spans="1:19" ht="15.75" thickBot="1">
      <c r="A210" s="100">
        <f t="shared" si="19"/>
        <v>45697</v>
      </c>
      <c r="B210" s="24" t="s">
        <v>32</v>
      </c>
      <c r="C210" s="54">
        <f>'DHS2021'!C209</f>
        <v>17662</v>
      </c>
      <c r="D210" s="55">
        <f>'DHS2022'!C209</f>
        <v>9903</v>
      </c>
      <c r="E210" s="55">
        <f>'DHS2023'!C209</f>
        <v>15230</v>
      </c>
      <c r="F210" s="55">
        <f>'DHS2024'!C209</f>
        <v>10715</v>
      </c>
      <c r="G210" s="56">
        <f t="shared" si="15"/>
        <v>13377.5</v>
      </c>
      <c r="H210" s="75">
        <f t="shared" si="16"/>
        <v>3.3443749999999999</v>
      </c>
      <c r="I210" s="76">
        <v>1</v>
      </c>
      <c r="J210" s="75">
        <f t="shared" si="17"/>
        <v>4.3443749999999994</v>
      </c>
      <c r="K210" s="81">
        <f t="shared" si="18"/>
        <v>5</v>
      </c>
      <c r="L210" s="11"/>
      <c r="M210" s="11"/>
      <c r="N210" s="11"/>
      <c r="O210" s="28">
        <f>'DHS2025'!C209</f>
        <v>12214</v>
      </c>
      <c r="P210" s="29">
        <f>'DHS2025'!D209</f>
        <v>3448</v>
      </c>
      <c r="Q210" s="29">
        <f>'DHS2025'!E209</f>
        <v>5052</v>
      </c>
      <c r="R210" s="62">
        <v>120.4</v>
      </c>
      <c r="S210" s="61">
        <f>(Porovnavanie!J212*0.99-1.9)*Porovnavanie!I212</f>
        <v>592.57939199999987</v>
      </c>
    </row>
    <row r="211" spans="1:19" ht="15.75" thickBot="1">
      <c r="A211" s="100">
        <f t="shared" si="19"/>
        <v>45697</v>
      </c>
      <c r="B211" s="24" t="s">
        <v>33</v>
      </c>
      <c r="C211" s="54">
        <f>'DHS2021'!C210</f>
        <v>17575</v>
      </c>
      <c r="D211" s="55">
        <f>'DHS2022'!C210</f>
        <v>10315</v>
      </c>
      <c r="E211" s="55">
        <f>'DHS2023'!C210</f>
        <v>16231</v>
      </c>
      <c r="F211" s="55">
        <f>'DHS2024'!C210</f>
        <v>11849</v>
      </c>
      <c r="G211" s="56">
        <f t="shared" si="15"/>
        <v>13992.5</v>
      </c>
      <c r="H211" s="75">
        <f t="shared" si="16"/>
        <v>3.4981249999999999</v>
      </c>
      <c r="I211" s="76">
        <v>1</v>
      </c>
      <c r="J211" s="75">
        <f t="shared" si="17"/>
        <v>4.4981249999999999</v>
      </c>
      <c r="K211" s="81">
        <f t="shared" si="18"/>
        <v>5</v>
      </c>
      <c r="L211" s="11"/>
      <c r="M211" s="11"/>
      <c r="N211" s="11"/>
      <c r="O211" s="28">
        <f>'DHS2025'!C210</f>
        <v>13107</v>
      </c>
      <c r="P211" s="29">
        <f>'DHS2025'!D210</f>
        <v>7997</v>
      </c>
      <c r="Q211" s="29">
        <f>'DHS2025'!E210</f>
        <v>7096</v>
      </c>
      <c r="R211" s="62">
        <v>159.74</v>
      </c>
      <c r="S211" s="61">
        <f>(Porovnavanie!J213*0.99-1.9)*Porovnavanie!I213</f>
        <v>1108.6974896000002</v>
      </c>
    </row>
    <row r="212" spans="1:19" ht="15.75" thickBot="1">
      <c r="A212" s="100">
        <f t="shared" si="19"/>
        <v>45697</v>
      </c>
      <c r="B212" s="24" t="s">
        <v>34</v>
      </c>
      <c r="C212" s="54">
        <f>'DHS2021'!C211</f>
        <v>18439</v>
      </c>
      <c r="D212" s="55">
        <f>'DHS2022'!C211</f>
        <v>11690</v>
      </c>
      <c r="E212" s="55">
        <f>'DHS2023'!C211</f>
        <v>18068</v>
      </c>
      <c r="F212" s="55">
        <f>'DHS2024'!C211</f>
        <v>12381</v>
      </c>
      <c r="G212" s="56">
        <f t="shared" si="15"/>
        <v>15144.5</v>
      </c>
      <c r="H212" s="75">
        <f t="shared" si="16"/>
        <v>3.7861250000000002</v>
      </c>
      <c r="I212" s="76">
        <v>1</v>
      </c>
      <c r="J212" s="75">
        <f t="shared" si="17"/>
        <v>4.7861250000000002</v>
      </c>
      <c r="K212" s="81">
        <f t="shared" si="18"/>
        <v>5</v>
      </c>
      <c r="L212" s="11"/>
      <c r="M212" s="11"/>
      <c r="N212" s="11"/>
      <c r="O212" s="28">
        <f>'DHS2025'!C211</f>
        <v>16335</v>
      </c>
      <c r="P212" s="29">
        <f>'DHS2025'!D211</f>
        <v>7909</v>
      </c>
      <c r="Q212" s="29">
        <f>'DHS2025'!E211</f>
        <v>8070</v>
      </c>
      <c r="R212" s="62">
        <v>173.82</v>
      </c>
      <c r="S212" s="61">
        <f>(Porovnavanie!J214*0.99-1.9)*Porovnavanie!I214</f>
        <v>1373.3671259999999</v>
      </c>
    </row>
    <row r="213" spans="1:19" ht="15.75" thickBot="1">
      <c r="A213" s="100">
        <f t="shared" si="19"/>
        <v>45697</v>
      </c>
      <c r="B213" s="24" t="s">
        <v>35</v>
      </c>
      <c r="C213" s="54">
        <f>'DHS2021'!C212</f>
        <v>18940</v>
      </c>
      <c r="D213" s="55">
        <f>'DHS2022'!C212</f>
        <v>13394</v>
      </c>
      <c r="E213" s="55">
        <f>'DHS2023'!C212</f>
        <v>18744</v>
      </c>
      <c r="F213" s="55">
        <f>'DHS2024'!C212</f>
        <v>11286</v>
      </c>
      <c r="G213" s="56">
        <f t="shared" si="15"/>
        <v>15591</v>
      </c>
      <c r="H213" s="75">
        <f t="shared" si="16"/>
        <v>3.8977499999999998</v>
      </c>
      <c r="I213" s="76">
        <v>1</v>
      </c>
      <c r="J213" s="75">
        <f t="shared" si="17"/>
        <v>4.8977500000000003</v>
      </c>
      <c r="K213" s="81">
        <f t="shared" si="18"/>
        <v>5</v>
      </c>
      <c r="L213" s="11"/>
      <c r="M213" s="11"/>
      <c r="N213" s="11"/>
      <c r="O213" s="28">
        <f>'DHS2025'!C212</f>
        <v>18086</v>
      </c>
      <c r="P213" s="29">
        <f>'DHS2025'!D212</f>
        <v>6159</v>
      </c>
      <c r="Q213" s="29">
        <f>'DHS2025'!E212</f>
        <v>8068</v>
      </c>
      <c r="R213" s="62">
        <v>188.73</v>
      </c>
      <c r="S213" s="61">
        <f>(Porovnavanie!J215*0.99-1.9)*Porovnavanie!I215</f>
        <v>1492.1177035999997</v>
      </c>
    </row>
    <row r="214" spans="1:19" ht="15.75" thickBot="1">
      <c r="A214" s="100">
        <f t="shared" si="19"/>
        <v>45697</v>
      </c>
      <c r="B214" s="24" t="s">
        <v>36</v>
      </c>
      <c r="C214" s="54">
        <f>'DHS2021'!C213</f>
        <v>18349</v>
      </c>
      <c r="D214" s="55">
        <f>'DHS2022'!C213</f>
        <v>13580</v>
      </c>
      <c r="E214" s="55">
        <f>'DHS2023'!C213</f>
        <v>20800</v>
      </c>
      <c r="F214" s="55">
        <f>'DHS2024'!C213</f>
        <v>10811</v>
      </c>
      <c r="G214" s="56">
        <f t="shared" si="15"/>
        <v>15885</v>
      </c>
      <c r="H214" s="75">
        <f t="shared" si="16"/>
        <v>3.9712499999999999</v>
      </c>
      <c r="I214" s="76">
        <v>1</v>
      </c>
      <c r="J214" s="75">
        <f t="shared" si="17"/>
        <v>4.9712499999999995</v>
      </c>
      <c r="K214" s="81">
        <f t="shared" si="18"/>
        <v>5</v>
      </c>
      <c r="L214" s="11"/>
      <c r="M214" s="11"/>
      <c r="N214" s="11"/>
      <c r="O214" s="28">
        <f>'DHS2025'!C213</f>
        <v>17063</v>
      </c>
      <c r="P214" s="29">
        <f>'DHS2025'!D213</f>
        <v>7647</v>
      </c>
      <c r="Q214" s="29">
        <f>'DHS2025'!E213</f>
        <v>8074</v>
      </c>
      <c r="R214" s="62">
        <v>190.22</v>
      </c>
      <c r="S214" s="61">
        <f>(Porovnavanie!J216*0.99-1.9)*Porovnavanie!I216</f>
        <v>1505.1373171999999</v>
      </c>
    </row>
    <row r="215" spans="1:19" ht="15.75" thickBot="1">
      <c r="A215" s="100">
        <f t="shared" si="19"/>
        <v>45697</v>
      </c>
      <c r="B215" s="24" t="s">
        <v>37</v>
      </c>
      <c r="C215" s="54">
        <f>'DHS2021'!C214</f>
        <v>17596</v>
      </c>
      <c r="D215" s="55">
        <f>'DHS2022'!C214</f>
        <v>14228</v>
      </c>
      <c r="E215" s="55">
        <f>'DHS2023'!C214</f>
        <v>20935</v>
      </c>
      <c r="F215" s="55">
        <f>'DHS2024'!C214</f>
        <v>11957</v>
      </c>
      <c r="G215" s="56">
        <f t="shared" si="15"/>
        <v>16179</v>
      </c>
      <c r="H215" s="75">
        <f t="shared" si="16"/>
        <v>4.0447499999999996</v>
      </c>
      <c r="I215" s="76">
        <v>1</v>
      </c>
      <c r="J215" s="75">
        <f t="shared" si="17"/>
        <v>5.0447499999999996</v>
      </c>
      <c r="K215" s="81">
        <f t="shared" si="18"/>
        <v>6</v>
      </c>
      <c r="L215" s="11"/>
      <c r="M215" s="11"/>
      <c r="N215" s="11"/>
      <c r="O215" s="28">
        <f>'DHS2025'!C214</f>
        <v>17547</v>
      </c>
      <c r="P215" s="29">
        <f>'DHS2025'!D214</f>
        <v>6433</v>
      </c>
      <c r="Q215" s="29">
        <f>'DHS2025'!E214</f>
        <v>8041</v>
      </c>
      <c r="R215" s="62">
        <v>180.12</v>
      </c>
      <c r="S215" s="61">
        <f>(Porovnavanie!J217*0.99-1.9)*Porovnavanie!I217</f>
        <v>1418.5835708000002</v>
      </c>
    </row>
    <row r="216" spans="1:19" ht="15.75" thickBot="1">
      <c r="A216" s="100">
        <f t="shared" si="19"/>
        <v>45697</v>
      </c>
      <c r="B216" s="24" t="s">
        <v>38</v>
      </c>
      <c r="C216" s="54">
        <f>'DHS2021'!C215</f>
        <v>18679</v>
      </c>
      <c r="D216" s="55">
        <f>'DHS2022'!C215</f>
        <v>15193</v>
      </c>
      <c r="E216" s="55">
        <f>'DHS2023'!C215</f>
        <v>18457</v>
      </c>
      <c r="F216" s="55">
        <f>'DHS2024'!C215</f>
        <v>11787</v>
      </c>
      <c r="G216" s="56">
        <f t="shared" si="15"/>
        <v>16029</v>
      </c>
      <c r="H216" s="75">
        <f t="shared" si="16"/>
        <v>4.00725</v>
      </c>
      <c r="I216" s="76">
        <v>1</v>
      </c>
      <c r="J216" s="75">
        <f t="shared" si="17"/>
        <v>5.00725</v>
      </c>
      <c r="K216" s="81">
        <f t="shared" si="18"/>
        <v>6</v>
      </c>
      <c r="L216" s="11"/>
      <c r="M216" s="11"/>
      <c r="N216" s="11"/>
      <c r="O216" s="28">
        <f>'DHS2025'!C215</f>
        <v>17553</v>
      </c>
      <c r="P216" s="29">
        <f>'DHS2025'!D215</f>
        <v>1658</v>
      </c>
      <c r="Q216" s="29">
        <f>'DHS2025'!E215</f>
        <v>6386</v>
      </c>
      <c r="R216" s="62">
        <v>146.31</v>
      </c>
      <c r="S216" s="61">
        <f>(Porovnavanie!J218*0.99-1.9)*Porovnavanie!I218</f>
        <v>912.85890340000003</v>
      </c>
    </row>
    <row r="217" spans="1:19" ht="15.75" thickBot="1">
      <c r="A217" s="100">
        <f t="shared" si="19"/>
        <v>45697</v>
      </c>
      <c r="B217" s="24" t="s">
        <v>39</v>
      </c>
      <c r="C217" s="54">
        <f>'DHS2021'!C216</f>
        <v>17074</v>
      </c>
      <c r="D217" s="55">
        <f>'DHS2022'!C216</f>
        <v>11328</v>
      </c>
      <c r="E217" s="55">
        <f>'DHS2023'!C216</f>
        <v>18806</v>
      </c>
      <c r="F217" s="55">
        <f>'DHS2024'!C216</f>
        <v>10007</v>
      </c>
      <c r="G217" s="56">
        <f t="shared" si="15"/>
        <v>14303.75</v>
      </c>
      <c r="H217" s="75">
        <f t="shared" si="16"/>
        <v>3.5759375000000002</v>
      </c>
      <c r="I217" s="76">
        <v>1</v>
      </c>
      <c r="J217" s="75">
        <f t="shared" si="17"/>
        <v>4.5759375000000002</v>
      </c>
      <c r="K217" s="81">
        <f t="shared" si="18"/>
        <v>5</v>
      </c>
      <c r="L217" s="11"/>
      <c r="M217" s="11"/>
      <c r="N217" s="11"/>
      <c r="O217" s="28">
        <f>'DHS2025'!C216</f>
        <v>14184</v>
      </c>
      <c r="P217" s="29">
        <f>'DHS2025'!D216</f>
        <v>1280</v>
      </c>
      <c r="Q217" s="29">
        <f>'DHS2025'!E216</f>
        <v>5069</v>
      </c>
      <c r="R217" s="62">
        <v>143</v>
      </c>
      <c r="S217" s="61">
        <f>(Porovnavanie!J219*0.99-1.9)*Porovnavanie!I219</f>
        <v>707.98722999999995</v>
      </c>
    </row>
    <row r="218" spans="1:19" ht="15.75" thickBot="1">
      <c r="A218" s="100">
        <f t="shared" si="19"/>
        <v>45697</v>
      </c>
      <c r="B218" s="24" t="s">
        <v>40</v>
      </c>
      <c r="C218" s="54">
        <f>'DHS2021'!C217</f>
        <v>8678</v>
      </c>
      <c r="D218" s="55">
        <f>'DHS2022'!C217</f>
        <v>7478</v>
      </c>
      <c r="E218" s="55">
        <f>'DHS2023'!C217</f>
        <v>10823</v>
      </c>
      <c r="F218" s="55">
        <f>'DHS2024'!C217</f>
        <v>4282</v>
      </c>
      <c r="G218" s="56">
        <f t="shared" si="15"/>
        <v>7815.25</v>
      </c>
      <c r="H218" s="75">
        <f t="shared" si="16"/>
        <v>1.9538125</v>
      </c>
      <c r="I218" s="76">
        <v>1</v>
      </c>
      <c r="J218" s="75">
        <f t="shared" si="17"/>
        <v>2.9538124999999997</v>
      </c>
      <c r="K218" s="81">
        <f t="shared" si="18"/>
        <v>3</v>
      </c>
      <c r="L218" s="11"/>
      <c r="M218" s="11"/>
      <c r="N218" s="11"/>
      <c r="O218" s="28">
        <f>'DHS2025'!C217</f>
        <v>8884</v>
      </c>
      <c r="P218" s="29">
        <f>'DHS2025'!D217</f>
        <v>5387</v>
      </c>
      <c r="Q218" s="29">
        <f>'DHS2025'!E217</f>
        <v>4035</v>
      </c>
      <c r="R218" s="62">
        <v>128.72</v>
      </c>
      <c r="S218" s="61">
        <f>(Porovnavanie!J220*0.99-1.9)*Porovnavanie!I220</f>
        <v>506.52484800000002</v>
      </c>
    </row>
    <row r="219" spans="1:19" ht="15.75" thickBot="1">
      <c r="A219" s="101">
        <f t="shared" si="19"/>
        <v>45698</v>
      </c>
      <c r="B219" s="25" t="s">
        <v>17</v>
      </c>
      <c r="C219" s="54">
        <f>'DHS2021'!C218</f>
        <v>9366</v>
      </c>
      <c r="D219" s="55">
        <f>'DHS2022'!C218</f>
        <v>5373</v>
      </c>
      <c r="E219" s="55">
        <f>'DHS2023'!C218</f>
        <v>10819</v>
      </c>
      <c r="F219" s="55">
        <f>'DHS2024'!C218</f>
        <v>4133</v>
      </c>
      <c r="G219" s="56">
        <f t="shared" si="15"/>
        <v>7422.75</v>
      </c>
      <c r="H219" s="75">
        <f t="shared" si="16"/>
        <v>1.8556874999999999</v>
      </c>
      <c r="I219" s="76">
        <v>1</v>
      </c>
      <c r="J219" s="75">
        <f t="shared" si="17"/>
        <v>2.8556875000000002</v>
      </c>
      <c r="K219" s="81">
        <f t="shared" si="18"/>
        <v>3</v>
      </c>
      <c r="L219" s="11"/>
      <c r="M219" s="11"/>
      <c r="N219" s="11"/>
      <c r="O219" s="28">
        <f>'DHS2025'!C218</f>
        <v>9213</v>
      </c>
      <c r="P219" s="29">
        <f>'DHS2025'!D218</f>
        <v>1856</v>
      </c>
      <c r="Q219" s="29">
        <f>'DHS2025'!E218</f>
        <v>3041</v>
      </c>
      <c r="R219" s="62">
        <v>119.74</v>
      </c>
      <c r="S219" s="61">
        <f>(Porovnavanie!J221*0.99-1.9)*Porovnavanie!I221</f>
        <v>354.71014659999997</v>
      </c>
    </row>
    <row r="220" spans="1:19" ht="15.75" thickBot="1">
      <c r="A220" s="101">
        <f t="shared" si="19"/>
        <v>45698</v>
      </c>
      <c r="B220" s="25" t="s">
        <v>18</v>
      </c>
      <c r="C220" s="54">
        <f>'DHS2021'!C219</f>
        <v>12754</v>
      </c>
      <c r="D220" s="55">
        <f>'DHS2022'!C219</f>
        <v>6079</v>
      </c>
      <c r="E220" s="55">
        <f>'DHS2023'!C219</f>
        <v>13808</v>
      </c>
      <c r="F220" s="55">
        <f>'DHS2024'!C219</f>
        <v>3344</v>
      </c>
      <c r="G220" s="56">
        <f t="shared" si="15"/>
        <v>8996.25</v>
      </c>
      <c r="H220" s="75">
        <f t="shared" si="16"/>
        <v>2.2490625</v>
      </c>
      <c r="I220" s="76">
        <v>1</v>
      </c>
      <c r="J220" s="75">
        <f t="shared" si="17"/>
        <v>3.2490625</v>
      </c>
      <c r="K220" s="81">
        <f t="shared" si="18"/>
        <v>4</v>
      </c>
      <c r="L220" s="11"/>
      <c r="M220" s="11"/>
      <c r="N220" s="11"/>
      <c r="O220" s="28">
        <f>'DHS2025'!C219</f>
        <v>10768</v>
      </c>
      <c r="P220" s="29">
        <f>'DHS2025'!D219</f>
        <v>2824</v>
      </c>
      <c r="Q220" s="29">
        <f>'DHS2025'!E219</f>
        <v>3919</v>
      </c>
      <c r="R220" s="62">
        <v>114.48</v>
      </c>
      <c r="S220" s="61">
        <f>(Porovnavanie!J222*0.99-1.9)*Porovnavanie!I222</f>
        <v>436.71454879999999</v>
      </c>
    </row>
    <row r="221" spans="1:19" ht="15.75" thickBot="1">
      <c r="A221" s="101">
        <f t="shared" si="19"/>
        <v>45698</v>
      </c>
      <c r="B221" s="25" t="s">
        <v>19</v>
      </c>
      <c r="C221" s="54">
        <f>'DHS2021'!C220</f>
        <v>13652</v>
      </c>
      <c r="D221" s="55">
        <f>'DHS2022'!C220</f>
        <v>5427</v>
      </c>
      <c r="E221" s="55">
        <f>'DHS2023'!C220</f>
        <v>13362</v>
      </c>
      <c r="F221" s="55">
        <f>'DHS2024'!C220</f>
        <v>2230</v>
      </c>
      <c r="G221" s="56">
        <f t="shared" si="15"/>
        <v>8667.75</v>
      </c>
      <c r="H221" s="75">
        <f t="shared" si="16"/>
        <v>2.1669375</v>
      </c>
      <c r="I221" s="76">
        <v>1</v>
      </c>
      <c r="J221" s="75">
        <f t="shared" si="17"/>
        <v>3.1669375</v>
      </c>
      <c r="K221" s="81">
        <f t="shared" si="18"/>
        <v>4</v>
      </c>
      <c r="L221" s="11"/>
      <c r="M221" s="11"/>
      <c r="N221" s="11"/>
      <c r="O221" s="28">
        <f>'DHS2025'!C220</f>
        <v>13963</v>
      </c>
      <c r="P221" s="29">
        <f>'DHS2025'!D220</f>
        <v>27</v>
      </c>
      <c r="Q221" s="29">
        <f>'DHS2025'!E220</f>
        <v>4042</v>
      </c>
      <c r="R221" s="62">
        <v>111.8</v>
      </c>
      <c r="S221" s="61">
        <f>(Porovnavanie!J223*0.99-1.9)*Porovnavanie!I223</f>
        <v>439.69684399999994</v>
      </c>
    </row>
    <row r="222" spans="1:19" ht="15.75" thickBot="1">
      <c r="A222" s="101">
        <f t="shared" si="19"/>
        <v>45698</v>
      </c>
      <c r="B222" s="25" t="s">
        <v>20</v>
      </c>
      <c r="C222" s="54">
        <f>'DHS2021'!C221</f>
        <v>13484</v>
      </c>
      <c r="D222" s="55">
        <f>'DHS2022'!C221</f>
        <v>7201</v>
      </c>
      <c r="E222" s="55">
        <f>'DHS2023'!C221</f>
        <v>16733</v>
      </c>
      <c r="F222" s="55">
        <f>'DHS2024'!C221</f>
        <v>3754</v>
      </c>
      <c r="G222" s="56">
        <f t="shared" si="15"/>
        <v>10293</v>
      </c>
      <c r="H222" s="75">
        <f t="shared" si="16"/>
        <v>2.5732499999999998</v>
      </c>
      <c r="I222" s="76">
        <v>1</v>
      </c>
      <c r="J222" s="75">
        <f t="shared" si="17"/>
        <v>3.5732499999999998</v>
      </c>
      <c r="K222" s="81">
        <f t="shared" si="18"/>
        <v>4</v>
      </c>
      <c r="L222" s="11"/>
      <c r="M222" s="11"/>
      <c r="N222" s="11"/>
      <c r="O222" s="28">
        <f>'DHS2025'!C221</f>
        <v>14175</v>
      </c>
      <c r="P222" s="29">
        <f>'DHS2025'!D221</f>
        <v>80</v>
      </c>
      <c r="Q222" s="29">
        <f>'DHS2025'!E221</f>
        <v>4055</v>
      </c>
      <c r="R222" s="62">
        <v>107.98</v>
      </c>
      <c r="S222" s="61">
        <f>(Porovnavanie!J224*0.99-1.9)*Porovnavanie!I224</f>
        <v>425.77581099999992</v>
      </c>
    </row>
    <row r="223" spans="1:19" ht="15.75" thickBot="1">
      <c r="A223" s="101">
        <f t="shared" si="19"/>
        <v>45698</v>
      </c>
      <c r="B223" s="25" t="s">
        <v>21</v>
      </c>
      <c r="C223" s="54">
        <f>'DHS2021'!C222</f>
        <v>23480</v>
      </c>
      <c r="D223" s="55">
        <f>'DHS2022'!C222</f>
        <v>14790</v>
      </c>
      <c r="E223" s="55">
        <f>'DHS2023'!C222</f>
        <v>18953</v>
      </c>
      <c r="F223" s="55">
        <f>'DHS2024'!C222</f>
        <v>10037</v>
      </c>
      <c r="G223" s="56">
        <f t="shared" si="15"/>
        <v>16815</v>
      </c>
      <c r="H223" s="75">
        <f t="shared" si="16"/>
        <v>4.2037500000000003</v>
      </c>
      <c r="I223" s="76">
        <v>1</v>
      </c>
      <c r="J223" s="75">
        <f t="shared" si="17"/>
        <v>5.2037500000000003</v>
      </c>
      <c r="K223" s="81">
        <f t="shared" si="18"/>
        <v>6</v>
      </c>
      <c r="L223" s="11"/>
      <c r="M223" s="11"/>
      <c r="N223" s="11"/>
      <c r="O223" s="28">
        <f>'DHS2025'!C222</f>
        <v>19980</v>
      </c>
      <c r="P223" s="29">
        <f>'DHS2025'!D222</f>
        <v>81</v>
      </c>
      <c r="Q223" s="29">
        <f>'DHS2025'!E222</f>
        <v>6077</v>
      </c>
      <c r="R223" s="62">
        <v>107.58</v>
      </c>
      <c r="S223" s="61">
        <f>(Porovnavanie!J225*0.99-1.9)*Porovnavanie!I225</f>
        <v>635.67972339999994</v>
      </c>
    </row>
    <row r="224" spans="1:19" ht="15.75" thickBot="1">
      <c r="A224" s="101">
        <f t="shared" si="19"/>
        <v>45698</v>
      </c>
      <c r="B224" s="25" t="s">
        <v>22</v>
      </c>
      <c r="C224" s="54">
        <f>'DHS2021'!C223</f>
        <v>23857</v>
      </c>
      <c r="D224" s="55">
        <f>'DHS2022'!C223</f>
        <v>17001</v>
      </c>
      <c r="E224" s="55">
        <f>'DHS2023'!C223</f>
        <v>21753</v>
      </c>
      <c r="F224" s="55">
        <f>'DHS2024'!C223</f>
        <v>10581</v>
      </c>
      <c r="G224" s="56">
        <f t="shared" si="15"/>
        <v>18298</v>
      </c>
      <c r="H224" s="75">
        <f t="shared" si="16"/>
        <v>4.5744999999999996</v>
      </c>
      <c r="I224" s="76">
        <v>1</v>
      </c>
      <c r="J224" s="75">
        <f t="shared" si="17"/>
        <v>5.5744999999999996</v>
      </c>
      <c r="K224" s="81">
        <f t="shared" si="18"/>
        <v>6</v>
      </c>
      <c r="L224" s="11"/>
      <c r="M224" s="11"/>
      <c r="N224" s="11"/>
      <c r="O224" s="28">
        <f>'DHS2025'!C223</f>
        <v>23596</v>
      </c>
      <c r="P224" s="29">
        <f>'DHS2025'!D223</f>
        <v>2526</v>
      </c>
      <c r="Q224" s="29">
        <f>'DHS2025'!E223</f>
        <v>8060</v>
      </c>
      <c r="R224" s="62">
        <v>116.54</v>
      </c>
      <c r="S224" s="61">
        <f>(Porovnavanie!J226*0.99-1.9)*Porovnavanie!I226</f>
        <v>914.605276</v>
      </c>
    </row>
    <row r="225" spans="1:19" ht="15.75" thickBot="1">
      <c r="A225" s="101">
        <f t="shared" si="19"/>
        <v>45698</v>
      </c>
      <c r="B225" s="25" t="s">
        <v>23</v>
      </c>
      <c r="C225" s="54">
        <f>'DHS2021'!C224</f>
        <v>23343</v>
      </c>
      <c r="D225" s="55">
        <f>'DHS2022'!C224</f>
        <v>16347</v>
      </c>
      <c r="E225" s="55">
        <f>'DHS2023'!C224</f>
        <v>21614</v>
      </c>
      <c r="F225" s="55">
        <f>'DHS2024'!C224</f>
        <v>12884</v>
      </c>
      <c r="G225" s="56">
        <f t="shared" si="15"/>
        <v>18547</v>
      </c>
      <c r="H225" s="75">
        <f t="shared" si="16"/>
        <v>4.6367500000000001</v>
      </c>
      <c r="I225" s="76">
        <v>1</v>
      </c>
      <c r="J225" s="75">
        <f t="shared" si="17"/>
        <v>5.6367500000000001</v>
      </c>
      <c r="K225" s="81">
        <f t="shared" si="18"/>
        <v>6</v>
      </c>
      <c r="L225" s="11"/>
      <c r="M225" s="11"/>
      <c r="N225" s="11"/>
      <c r="O225" s="28">
        <f>'DHS2025'!C224</f>
        <v>24743</v>
      </c>
      <c r="P225" s="29">
        <f>'DHS2025'!D224</f>
        <v>73</v>
      </c>
      <c r="Q225" s="29">
        <f>'DHS2025'!E224</f>
        <v>8039</v>
      </c>
      <c r="R225" s="62">
        <v>158.9</v>
      </c>
      <c r="S225" s="61">
        <f>(Porovnavanie!J227*0.99-1.9)*Porovnavanie!I227</f>
        <v>1249.349029</v>
      </c>
    </row>
    <row r="226" spans="1:19" ht="15.75" thickBot="1">
      <c r="A226" s="101">
        <f t="shared" si="19"/>
        <v>45698</v>
      </c>
      <c r="B226" s="25" t="s">
        <v>24</v>
      </c>
      <c r="C226" s="54">
        <f>'DHS2021'!C225</f>
        <v>20776</v>
      </c>
      <c r="D226" s="55">
        <f>'DHS2022'!C225</f>
        <v>17244</v>
      </c>
      <c r="E226" s="55">
        <f>'DHS2023'!C225</f>
        <v>20967</v>
      </c>
      <c r="F226" s="55">
        <f>'DHS2024'!C225</f>
        <v>8934</v>
      </c>
      <c r="G226" s="56">
        <f t="shared" si="15"/>
        <v>16980.25</v>
      </c>
      <c r="H226" s="75">
        <f t="shared" si="16"/>
        <v>4.2450625000000004</v>
      </c>
      <c r="I226" s="76">
        <v>1</v>
      </c>
      <c r="J226" s="75">
        <f t="shared" si="17"/>
        <v>5.2450625000000004</v>
      </c>
      <c r="K226" s="81">
        <f t="shared" si="18"/>
        <v>6</v>
      </c>
      <c r="L226" s="11"/>
      <c r="M226" s="11"/>
      <c r="N226" s="11"/>
      <c r="O226" s="28">
        <f>'DHS2025'!C225</f>
        <v>21035</v>
      </c>
      <c r="P226" s="29">
        <f>'DHS2025'!D225</f>
        <v>4579</v>
      </c>
      <c r="Q226" s="29">
        <f>'DHS2025'!E225</f>
        <v>8026</v>
      </c>
      <c r="R226" s="62">
        <v>178.21</v>
      </c>
      <c r="S226" s="61">
        <f>(Porovnavanie!J228*0.99-1.9)*Porovnavanie!I228</f>
        <v>1400.7609253999999</v>
      </c>
    </row>
    <row r="227" spans="1:19" ht="15.75" thickBot="1">
      <c r="A227" s="101">
        <f t="shared" si="19"/>
        <v>45698</v>
      </c>
      <c r="B227" s="25" t="s">
        <v>25</v>
      </c>
      <c r="C227" s="54">
        <f>'DHS2021'!C226</f>
        <v>22048</v>
      </c>
      <c r="D227" s="55">
        <f>'DHS2022'!C226</f>
        <v>15698</v>
      </c>
      <c r="E227" s="55">
        <f>'DHS2023'!C226</f>
        <v>21918</v>
      </c>
      <c r="F227" s="55">
        <f>'DHS2024'!C226</f>
        <v>9832</v>
      </c>
      <c r="G227" s="56">
        <f t="shared" si="15"/>
        <v>17374</v>
      </c>
      <c r="H227" s="75">
        <f t="shared" si="16"/>
        <v>4.3434999999999997</v>
      </c>
      <c r="I227" s="76">
        <v>1</v>
      </c>
      <c r="J227" s="75">
        <f t="shared" si="17"/>
        <v>5.3434999999999997</v>
      </c>
      <c r="K227" s="81">
        <f t="shared" si="18"/>
        <v>6</v>
      </c>
      <c r="L227" s="11"/>
      <c r="M227" s="11"/>
      <c r="N227" s="11"/>
      <c r="O227" s="28">
        <f>'DHS2025'!C226</f>
        <v>19236</v>
      </c>
      <c r="P227" s="29">
        <f>'DHS2025'!D226</f>
        <v>6265</v>
      </c>
      <c r="Q227" s="29">
        <f>'DHS2025'!E226</f>
        <v>8055</v>
      </c>
      <c r="R227" s="62">
        <v>181.36</v>
      </c>
      <c r="S227" s="61">
        <f>(Porovnavanie!J229*0.99-1.9)*Porovnavanie!I229</f>
        <v>1430.941752</v>
      </c>
    </row>
    <row r="228" spans="1:19" ht="15.75" thickBot="1">
      <c r="A228" s="101">
        <f t="shared" si="19"/>
        <v>45698</v>
      </c>
      <c r="B228" s="25" t="s">
        <v>26</v>
      </c>
      <c r="C228" s="54">
        <f>'DHS2021'!C227</f>
        <v>21548</v>
      </c>
      <c r="D228" s="55">
        <f>'DHS2022'!C227</f>
        <v>13303</v>
      </c>
      <c r="E228" s="55">
        <f>'DHS2023'!C227</f>
        <v>21755</v>
      </c>
      <c r="F228" s="55">
        <f>'DHS2024'!C227</f>
        <v>11293</v>
      </c>
      <c r="G228" s="56">
        <f t="shared" si="15"/>
        <v>16974.75</v>
      </c>
      <c r="H228" s="75">
        <f t="shared" si="16"/>
        <v>4.2436875000000001</v>
      </c>
      <c r="I228" s="76">
        <v>1</v>
      </c>
      <c r="J228" s="75">
        <f t="shared" si="17"/>
        <v>5.2436875000000001</v>
      </c>
      <c r="K228" s="81">
        <f t="shared" si="18"/>
        <v>6</v>
      </c>
      <c r="L228" s="11"/>
      <c r="M228" s="11"/>
      <c r="N228" s="11"/>
      <c r="O228" s="28">
        <f>'DHS2025'!C227</f>
        <v>16706</v>
      </c>
      <c r="P228" s="29">
        <f>'DHS2025'!D227</f>
        <v>7594</v>
      </c>
      <c r="Q228" s="29">
        <f>'DHS2025'!E227</f>
        <v>8075</v>
      </c>
      <c r="R228" s="62">
        <v>163.18</v>
      </c>
      <c r="S228" s="61">
        <f>(Porovnavanie!J230*0.99-1.9)*Porovnavanie!I230</f>
        <v>1289.1592149999999</v>
      </c>
    </row>
    <row r="229" spans="1:19" ht="15.75" thickBot="1">
      <c r="A229" s="101">
        <f t="shared" si="19"/>
        <v>45698</v>
      </c>
      <c r="B229" s="25" t="s">
        <v>27</v>
      </c>
      <c r="C229" s="54">
        <f>'DHS2021'!C228</f>
        <v>18392</v>
      </c>
      <c r="D229" s="55">
        <f>'DHS2022'!C228</f>
        <v>13127</v>
      </c>
      <c r="E229" s="55">
        <f>'DHS2023'!C228</f>
        <v>18544</v>
      </c>
      <c r="F229" s="55">
        <f>'DHS2024'!C228</f>
        <v>11303</v>
      </c>
      <c r="G229" s="56">
        <f t="shared" si="15"/>
        <v>15341.5</v>
      </c>
      <c r="H229" s="75">
        <f t="shared" si="16"/>
        <v>3.835375</v>
      </c>
      <c r="I229" s="76">
        <v>1</v>
      </c>
      <c r="J229" s="75">
        <f t="shared" si="17"/>
        <v>4.835375</v>
      </c>
      <c r="K229" s="81">
        <f t="shared" si="18"/>
        <v>5</v>
      </c>
      <c r="L229" s="11"/>
      <c r="M229" s="11"/>
      <c r="N229" s="11"/>
      <c r="O229" s="28">
        <f>'DHS2025'!C228</f>
        <v>14598</v>
      </c>
      <c r="P229" s="29">
        <f>'DHS2025'!D228</f>
        <v>7803</v>
      </c>
      <c r="Q229" s="29">
        <f>'DHS2025'!E228</f>
        <v>7519</v>
      </c>
      <c r="R229" s="62">
        <v>119.71</v>
      </c>
      <c r="S229" s="61">
        <f>(Porovnavanie!J231*0.99-1.9)*Porovnavanie!I231</f>
        <v>876.81239509999989</v>
      </c>
    </row>
    <row r="230" spans="1:19" ht="15.75" thickBot="1">
      <c r="A230" s="101">
        <f t="shared" si="19"/>
        <v>45698</v>
      </c>
      <c r="B230" s="25" t="s">
        <v>28</v>
      </c>
      <c r="C230" s="54">
        <f>'DHS2021'!C229</f>
        <v>17313</v>
      </c>
      <c r="D230" s="55">
        <f>'DHS2022'!C229</f>
        <v>12493</v>
      </c>
      <c r="E230" s="55">
        <f>'DHS2023'!C229</f>
        <v>18236</v>
      </c>
      <c r="F230" s="55">
        <f>'DHS2024'!C229</f>
        <v>11987</v>
      </c>
      <c r="G230" s="56">
        <f t="shared" si="15"/>
        <v>15007.25</v>
      </c>
      <c r="H230" s="75">
        <f t="shared" si="16"/>
        <v>3.7518125000000002</v>
      </c>
      <c r="I230" s="76">
        <v>1</v>
      </c>
      <c r="J230" s="75">
        <f t="shared" si="17"/>
        <v>4.7518124999999998</v>
      </c>
      <c r="K230" s="81">
        <f t="shared" si="18"/>
        <v>5</v>
      </c>
      <c r="L230" s="11"/>
      <c r="M230" s="11"/>
      <c r="N230" s="11"/>
      <c r="O230" s="28">
        <f>'DHS2025'!C229</f>
        <v>12209</v>
      </c>
      <c r="P230" s="29">
        <f>'DHS2025'!D229</f>
        <v>2677</v>
      </c>
      <c r="Q230" s="29">
        <f>'DHS2025'!E229</f>
        <v>5130</v>
      </c>
      <c r="R230" s="62">
        <v>97.28</v>
      </c>
      <c r="S230" s="61">
        <f>(Porovnavanie!J232*0.99-1.9)*Porovnavanie!I232</f>
        <v>484.30893599999996</v>
      </c>
    </row>
    <row r="231" spans="1:19" ht="15.75" thickBot="1">
      <c r="A231" s="101">
        <f t="shared" si="19"/>
        <v>45698</v>
      </c>
      <c r="B231" s="25" t="s">
        <v>29</v>
      </c>
      <c r="C231" s="54">
        <f>'DHS2021'!C230</f>
        <v>17504</v>
      </c>
      <c r="D231" s="55">
        <f>'DHS2022'!C230</f>
        <v>13121</v>
      </c>
      <c r="E231" s="55">
        <f>'DHS2023'!C230</f>
        <v>18343</v>
      </c>
      <c r="F231" s="55">
        <f>'DHS2024'!C230</f>
        <v>11176</v>
      </c>
      <c r="G231" s="56">
        <f t="shared" si="15"/>
        <v>15036</v>
      </c>
      <c r="H231" s="75">
        <f t="shared" si="16"/>
        <v>3.7589999999999999</v>
      </c>
      <c r="I231" s="76">
        <v>1</v>
      </c>
      <c r="J231" s="75">
        <f t="shared" si="17"/>
        <v>4.7590000000000003</v>
      </c>
      <c r="K231" s="81">
        <f t="shared" si="18"/>
        <v>5</v>
      </c>
      <c r="L231" s="11"/>
      <c r="M231" s="11"/>
      <c r="N231" s="11"/>
      <c r="O231" s="28">
        <f>'DHS2025'!C230</f>
        <v>12157</v>
      </c>
      <c r="P231" s="29">
        <f>'DHS2025'!D230</f>
        <v>3870</v>
      </c>
      <c r="Q231" s="29">
        <f>'DHS2025'!E230</f>
        <v>5061</v>
      </c>
      <c r="R231" s="62">
        <v>123.09</v>
      </c>
      <c r="S231" s="61">
        <f>(Porovnavanie!J233*0.99-1.9)*Porovnavanie!I233</f>
        <v>607.11300510000001</v>
      </c>
    </row>
    <row r="232" spans="1:19" ht="15.75" thickBot="1">
      <c r="A232" s="101">
        <f t="shared" si="19"/>
        <v>45698</v>
      </c>
      <c r="B232" s="25" t="s">
        <v>30</v>
      </c>
      <c r="C232" s="54">
        <f>'DHS2021'!C231</f>
        <v>17140</v>
      </c>
      <c r="D232" s="55">
        <f>'DHS2022'!C231</f>
        <v>13329</v>
      </c>
      <c r="E232" s="55">
        <f>'DHS2023'!C231</f>
        <v>16941</v>
      </c>
      <c r="F232" s="55">
        <f>'DHS2024'!C231</f>
        <v>9876</v>
      </c>
      <c r="G232" s="56">
        <f t="shared" si="15"/>
        <v>14321.5</v>
      </c>
      <c r="H232" s="75">
        <f t="shared" si="16"/>
        <v>3.5803750000000001</v>
      </c>
      <c r="I232" s="76">
        <v>1</v>
      </c>
      <c r="J232" s="75">
        <f t="shared" si="17"/>
        <v>4.5803750000000001</v>
      </c>
      <c r="K232" s="81">
        <f t="shared" si="18"/>
        <v>5</v>
      </c>
      <c r="L232" s="11"/>
      <c r="M232" s="11"/>
      <c r="N232" s="11"/>
      <c r="O232" s="28">
        <f>'DHS2025'!C231</f>
        <v>12517</v>
      </c>
      <c r="P232" s="29">
        <f>'DHS2025'!D231</f>
        <v>4408</v>
      </c>
      <c r="Q232" s="29">
        <f>'DHS2025'!E231</f>
        <v>5082</v>
      </c>
      <c r="R232" s="62">
        <v>123.02</v>
      </c>
      <c r="S232" s="61">
        <f>(Porovnavanie!J234*0.99-1.9)*Porovnavanie!I234</f>
        <v>609.27996359999997</v>
      </c>
    </row>
    <row r="233" spans="1:19" ht="15.75" thickBot="1">
      <c r="A233" s="101">
        <f t="shared" si="19"/>
        <v>45698</v>
      </c>
      <c r="B233" s="25" t="s">
        <v>31</v>
      </c>
      <c r="C233" s="54">
        <f>'DHS2021'!C232</f>
        <v>16387</v>
      </c>
      <c r="D233" s="55">
        <f>'DHS2022'!C232</f>
        <v>11978</v>
      </c>
      <c r="E233" s="55">
        <f>'DHS2023'!C232</f>
        <v>14321</v>
      </c>
      <c r="F233" s="55">
        <f>'DHS2024'!C232</f>
        <v>8991</v>
      </c>
      <c r="G233" s="56">
        <f t="shared" si="15"/>
        <v>12919.25</v>
      </c>
      <c r="H233" s="75">
        <f t="shared" si="16"/>
        <v>3.2298125</v>
      </c>
      <c r="I233" s="76">
        <v>1</v>
      </c>
      <c r="J233" s="75">
        <f t="shared" si="17"/>
        <v>4.2298124999999995</v>
      </c>
      <c r="K233" s="81">
        <f t="shared" si="18"/>
        <v>5</v>
      </c>
      <c r="L233" s="11"/>
      <c r="M233" s="11"/>
      <c r="N233" s="11"/>
      <c r="O233" s="28">
        <f>'DHS2025'!C232</f>
        <v>12706</v>
      </c>
      <c r="P233" s="29">
        <f>'DHS2025'!D232</f>
        <v>8276</v>
      </c>
      <c r="Q233" s="29">
        <f>'DHS2025'!E232</f>
        <v>6826</v>
      </c>
      <c r="R233" s="62">
        <v>133.97</v>
      </c>
      <c r="S233" s="61">
        <f>(Porovnavanie!J235*0.99-1.9)*Porovnavanie!I235</f>
        <v>892.36502779999989</v>
      </c>
    </row>
    <row r="234" spans="1:19" ht="15.75" thickBot="1">
      <c r="A234" s="101">
        <f t="shared" si="19"/>
        <v>45698</v>
      </c>
      <c r="B234" s="25" t="s">
        <v>32</v>
      </c>
      <c r="C234" s="54">
        <f>'DHS2021'!C233</f>
        <v>17654</v>
      </c>
      <c r="D234" s="55">
        <f>'DHS2022'!C233</f>
        <v>12829</v>
      </c>
      <c r="E234" s="55">
        <f>'DHS2023'!C233</f>
        <v>14212</v>
      </c>
      <c r="F234" s="55">
        <f>'DHS2024'!C233</f>
        <v>9583</v>
      </c>
      <c r="G234" s="56">
        <f t="shared" si="15"/>
        <v>13569.5</v>
      </c>
      <c r="H234" s="75">
        <f t="shared" si="16"/>
        <v>3.3923749999999999</v>
      </c>
      <c r="I234" s="76">
        <v>1</v>
      </c>
      <c r="J234" s="75">
        <f t="shared" si="17"/>
        <v>4.3923749999999995</v>
      </c>
      <c r="K234" s="81">
        <f t="shared" si="18"/>
        <v>5</v>
      </c>
      <c r="L234" s="11"/>
      <c r="M234" s="11"/>
      <c r="N234" s="11"/>
      <c r="O234" s="28">
        <f>'DHS2025'!C233</f>
        <v>13755</v>
      </c>
      <c r="P234" s="29">
        <f>'DHS2025'!D233</f>
        <v>9570</v>
      </c>
      <c r="Q234" s="29">
        <f>'DHS2025'!E233</f>
        <v>8069</v>
      </c>
      <c r="R234" s="62">
        <v>169.36</v>
      </c>
      <c r="S234" s="61">
        <f>(Porovnavanie!J236*0.99-1.9)*Porovnavanie!I236</f>
        <v>1337.5690816000001</v>
      </c>
    </row>
    <row r="235" spans="1:19" ht="15.75" thickBot="1">
      <c r="A235" s="101">
        <f t="shared" si="19"/>
        <v>45698</v>
      </c>
      <c r="B235" s="25" t="s">
        <v>33</v>
      </c>
      <c r="C235" s="54">
        <f>'DHS2021'!C234</f>
        <v>17385</v>
      </c>
      <c r="D235" s="55">
        <f>'DHS2022'!C234</f>
        <v>12941</v>
      </c>
      <c r="E235" s="55">
        <f>'DHS2023'!C234</f>
        <v>16061</v>
      </c>
      <c r="F235" s="55">
        <f>'DHS2024'!C234</f>
        <v>10003</v>
      </c>
      <c r="G235" s="56">
        <f t="shared" si="15"/>
        <v>14097.5</v>
      </c>
      <c r="H235" s="75">
        <f t="shared" si="16"/>
        <v>3.524375</v>
      </c>
      <c r="I235" s="76">
        <v>1</v>
      </c>
      <c r="J235" s="75">
        <f t="shared" si="17"/>
        <v>4.524375</v>
      </c>
      <c r="K235" s="81">
        <f t="shared" si="18"/>
        <v>5</v>
      </c>
      <c r="L235" s="11"/>
      <c r="M235" s="11"/>
      <c r="N235" s="11"/>
      <c r="O235" s="28">
        <f>'DHS2025'!C234</f>
        <v>14254</v>
      </c>
      <c r="P235" s="29">
        <f>'DHS2025'!D234</f>
        <v>10021</v>
      </c>
      <c r="Q235" s="29">
        <f>'DHS2025'!E234</f>
        <v>8057</v>
      </c>
      <c r="R235" s="62">
        <v>204.38</v>
      </c>
      <c r="S235" s="61">
        <f>(Porovnavanie!J237*0.99-1.9)*Porovnavanie!I237</f>
        <v>1614.9144633999999</v>
      </c>
    </row>
    <row r="236" spans="1:19" ht="15.75" thickBot="1">
      <c r="A236" s="101">
        <f t="shared" si="19"/>
        <v>45698</v>
      </c>
      <c r="B236" s="25" t="s">
        <v>34</v>
      </c>
      <c r="C236" s="54">
        <f>'DHS2021'!C235</f>
        <v>18772</v>
      </c>
      <c r="D236" s="55">
        <f>'DHS2022'!C235</f>
        <v>13583</v>
      </c>
      <c r="E236" s="55">
        <f>'DHS2023'!C235</f>
        <v>18581</v>
      </c>
      <c r="F236" s="55">
        <f>'DHS2024'!C235</f>
        <v>10364</v>
      </c>
      <c r="G236" s="56">
        <f t="shared" si="15"/>
        <v>15325</v>
      </c>
      <c r="H236" s="75">
        <f t="shared" si="16"/>
        <v>3.8312499999999998</v>
      </c>
      <c r="I236" s="76">
        <v>1</v>
      </c>
      <c r="J236" s="75">
        <f t="shared" si="17"/>
        <v>4.8312499999999998</v>
      </c>
      <c r="K236" s="81">
        <f t="shared" si="18"/>
        <v>5</v>
      </c>
      <c r="L236" s="11"/>
      <c r="M236" s="11"/>
      <c r="N236" s="11"/>
      <c r="O236" s="28">
        <f>'DHS2025'!C235</f>
        <v>15901</v>
      </c>
      <c r="P236" s="29">
        <f>'DHS2025'!D235</f>
        <v>8707</v>
      </c>
      <c r="Q236" s="29">
        <f>'DHS2025'!E235</f>
        <v>8053</v>
      </c>
      <c r="R236" s="62">
        <v>250.74</v>
      </c>
      <c r="S236" s="61">
        <f>(Porovnavanie!J238*0.99-1.9)*Porovnavanie!I238</f>
        <v>1983.7164278000002</v>
      </c>
    </row>
    <row r="237" spans="1:19" ht="15.75" thickBot="1">
      <c r="A237" s="101">
        <f t="shared" si="19"/>
        <v>45698</v>
      </c>
      <c r="B237" s="25" t="s">
        <v>35</v>
      </c>
      <c r="C237" s="54">
        <f>'DHS2021'!C236</f>
        <v>18809</v>
      </c>
      <c r="D237" s="55">
        <f>'DHS2022'!C236</f>
        <v>13978</v>
      </c>
      <c r="E237" s="55">
        <f>'DHS2023'!C236</f>
        <v>18653</v>
      </c>
      <c r="F237" s="55">
        <f>'DHS2024'!C236</f>
        <v>11992</v>
      </c>
      <c r="G237" s="56">
        <f t="shared" si="15"/>
        <v>15858</v>
      </c>
      <c r="H237" s="75">
        <f t="shared" si="16"/>
        <v>3.9645000000000001</v>
      </c>
      <c r="I237" s="76">
        <v>1</v>
      </c>
      <c r="J237" s="75">
        <f t="shared" si="17"/>
        <v>4.9645000000000001</v>
      </c>
      <c r="K237" s="81">
        <f t="shared" si="18"/>
        <v>5</v>
      </c>
      <c r="L237" s="11"/>
      <c r="M237" s="11"/>
      <c r="N237" s="11"/>
      <c r="O237" s="28">
        <f>'DHS2025'!C236</f>
        <v>17644</v>
      </c>
      <c r="P237" s="29">
        <f>'DHS2025'!D236</f>
        <v>7359</v>
      </c>
      <c r="Q237" s="29">
        <f>'DHS2025'!E236</f>
        <v>8065</v>
      </c>
      <c r="R237" s="62">
        <v>261.22000000000003</v>
      </c>
      <c r="S237" s="61">
        <f>(Porovnavanie!J239*0.99-1.9)*Porovnavanie!I239</f>
        <v>2070.348407</v>
      </c>
    </row>
    <row r="238" spans="1:19" ht="15.75" thickBot="1">
      <c r="A238" s="101">
        <f t="shared" si="19"/>
        <v>45698</v>
      </c>
      <c r="B238" s="25" t="s">
        <v>36</v>
      </c>
      <c r="C238" s="54">
        <f>'DHS2021'!C237</f>
        <v>19430</v>
      </c>
      <c r="D238" s="55">
        <f>'DHS2022'!C237</f>
        <v>13368</v>
      </c>
      <c r="E238" s="55">
        <f>'DHS2023'!C237</f>
        <v>19000</v>
      </c>
      <c r="F238" s="55">
        <f>'DHS2024'!C237</f>
        <v>12007</v>
      </c>
      <c r="G238" s="56">
        <f t="shared" si="15"/>
        <v>15951.25</v>
      </c>
      <c r="H238" s="75">
        <f t="shared" si="16"/>
        <v>3.9878125</v>
      </c>
      <c r="I238" s="76">
        <v>1</v>
      </c>
      <c r="J238" s="75">
        <f t="shared" si="17"/>
        <v>4.9878125000000004</v>
      </c>
      <c r="K238" s="81">
        <f t="shared" si="18"/>
        <v>5</v>
      </c>
      <c r="L238" s="11"/>
      <c r="M238" s="11"/>
      <c r="N238" s="11"/>
      <c r="O238" s="28">
        <f>'DHS2025'!C237</f>
        <v>19295</v>
      </c>
      <c r="P238" s="29">
        <f>'DHS2025'!D237</f>
        <v>5115</v>
      </c>
      <c r="Q238" s="29">
        <f>'DHS2025'!E237</f>
        <v>8060</v>
      </c>
      <c r="R238" s="62">
        <v>235.65</v>
      </c>
      <c r="S238" s="61">
        <f>(Porovnavanie!J240*0.99-1.9)*Porovnavanie!I240</f>
        <v>1865.03161</v>
      </c>
    </row>
    <row r="239" spans="1:19" ht="15.75" thickBot="1">
      <c r="A239" s="101">
        <f t="shared" si="19"/>
        <v>45698</v>
      </c>
      <c r="B239" s="25" t="s">
        <v>37</v>
      </c>
      <c r="C239" s="54">
        <f>'DHS2021'!C238</f>
        <v>19355</v>
      </c>
      <c r="D239" s="55">
        <f>'DHS2022'!C238</f>
        <v>13548</v>
      </c>
      <c r="E239" s="55">
        <f>'DHS2023'!C238</f>
        <v>18505</v>
      </c>
      <c r="F239" s="55">
        <f>'DHS2024'!C238</f>
        <v>12209</v>
      </c>
      <c r="G239" s="56">
        <f t="shared" si="15"/>
        <v>15904.25</v>
      </c>
      <c r="H239" s="75">
        <f t="shared" si="16"/>
        <v>3.9760624999999998</v>
      </c>
      <c r="I239" s="76">
        <v>1</v>
      </c>
      <c r="J239" s="75">
        <f t="shared" si="17"/>
        <v>4.9760624999999994</v>
      </c>
      <c r="K239" s="81">
        <f t="shared" si="18"/>
        <v>5</v>
      </c>
      <c r="L239" s="11"/>
      <c r="M239" s="11"/>
      <c r="N239" s="11"/>
      <c r="O239" s="28">
        <f>'DHS2025'!C238</f>
        <v>19214</v>
      </c>
      <c r="P239" s="29">
        <f>'DHS2025'!D238</f>
        <v>5191</v>
      </c>
      <c r="Q239" s="29">
        <f>'DHS2025'!E238</f>
        <v>8062</v>
      </c>
      <c r="R239" s="62">
        <v>249.32</v>
      </c>
      <c r="S239" s="61">
        <f>(Porovnavanie!J241*0.99-1.9)*Porovnavanie!I241</f>
        <v>1974.5998615999997</v>
      </c>
    </row>
    <row r="240" spans="1:19" ht="15.75" thickBot="1">
      <c r="A240" s="101">
        <f t="shared" si="19"/>
        <v>45698</v>
      </c>
      <c r="B240" s="25" t="s">
        <v>38</v>
      </c>
      <c r="C240" s="54">
        <f>'DHS2021'!C239</f>
        <v>19252</v>
      </c>
      <c r="D240" s="55">
        <f>'DHS2022'!C239</f>
        <v>13948</v>
      </c>
      <c r="E240" s="55">
        <f>'DHS2023'!C239</f>
        <v>18712</v>
      </c>
      <c r="F240" s="55">
        <f>'DHS2024'!C239</f>
        <v>11372</v>
      </c>
      <c r="G240" s="56">
        <f t="shared" si="15"/>
        <v>15821</v>
      </c>
      <c r="H240" s="75">
        <f t="shared" si="16"/>
        <v>3.9552499999999999</v>
      </c>
      <c r="I240" s="76">
        <v>1</v>
      </c>
      <c r="J240" s="75">
        <f t="shared" si="17"/>
        <v>4.9552499999999995</v>
      </c>
      <c r="K240" s="81">
        <f t="shared" si="18"/>
        <v>5</v>
      </c>
      <c r="L240" s="11"/>
      <c r="M240" s="11"/>
      <c r="N240" s="11"/>
      <c r="O240" s="28">
        <f>'DHS2025'!C239</f>
        <v>20039</v>
      </c>
      <c r="P240" s="29">
        <f>'DHS2025'!D239</f>
        <v>4170</v>
      </c>
      <c r="Q240" s="29">
        <f>'DHS2025'!E239</f>
        <v>8050</v>
      </c>
      <c r="R240" s="62">
        <v>215.12</v>
      </c>
      <c r="S240" s="61">
        <f>(Porovnavanie!J242*0.99-1.9)*Porovnavanie!I242</f>
        <v>1699.1038400000002</v>
      </c>
    </row>
    <row r="241" spans="1:19" ht="15.75" thickBot="1">
      <c r="A241" s="101">
        <f t="shared" si="19"/>
        <v>45698</v>
      </c>
      <c r="B241" s="25" t="s">
        <v>39</v>
      </c>
      <c r="C241" s="54">
        <f>'DHS2021'!C240</f>
        <v>16879</v>
      </c>
      <c r="D241" s="55">
        <f>'DHS2022'!C240</f>
        <v>11512</v>
      </c>
      <c r="E241" s="55">
        <f>'DHS2023'!C240</f>
        <v>18459</v>
      </c>
      <c r="F241" s="55">
        <f>'DHS2024'!C240</f>
        <v>9756</v>
      </c>
      <c r="G241" s="56">
        <f t="shared" si="15"/>
        <v>14151.5</v>
      </c>
      <c r="H241" s="75">
        <f t="shared" si="16"/>
        <v>3.5378750000000001</v>
      </c>
      <c r="I241" s="76">
        <v>1</v>
      </c>
      <c r="J241" s="75">
        <f t="shared" si="17"/>
        <v>4.5378749999999997</v>
      </c>
      <c r="K241" s="81">
        <f t="shared" si="18"/>
        <v>5</v>
      </c>
      <c r="L241" s="11"/>
      <c r="M241" s="11"/>
      <c r="N241" s="11"/>
      <c r="O241" s="28">
        <f>'DHS2025'!C240</f>
        <v>16796</v>
      </c>
      <c r="P241" s="29">
        <f>'DHS2025'!D240</f>
        <v>4866</v>
      </c>
      <c r="Q241" s="29">
        <f>'DHS2025'!E240</f>
        <v>7279</v>
      </c>
      <c r="R241" s="62">
        <v>196.86</v>
      </c>
      <c r="S241" s="61">
        <f>(Porovnavanie!J243*0.99-1.9)*Porovnavanie!I243</f>
        <v>1404.7844006</v>
      </c>
    </row>
    <row r="242" spans="1:19" ht="15.75" thickBot="1">
      <c r="A242" s="101">
        <f t="shared" si="19"/>
        <v>45698</v>
      </c>
      <c r="B242" s="25" t="s">
        <v>40</v>
      </c>
      <c r="C242" s="54">
        <f>'DHS2021'!C241</f>
        <v>10976</v>
      </c>
      <c r="D242" s="55">
        <f>'DHS2022'!C241</f>
        <v>7333</v>
      </c>
      <c r="E242" s="55">
        <f>'DHS2023'!C241</f>
        <v>13458</v>
      </c>
      <c r="F242" s="55">
        <f>'DHS2024'!C241</f>
        <v>4611</v>
      </c>
      <c r="G242" s="56">
        <f t="shared" si="15"/>
        <v>9094.5</v>
      </c>
      <c r="H242" s="75">
        <f t="shared" si="16"/>
        <v>2.273625</v>
      </c>
      <c r="I242" s="76">
        <v>1</v>
      </c>
      <c r="J242" s="75">
        <f t="shared" si="17"/>
        <v>3.273625</v>
      </c>
      <c r="K242" s="81">
        <f t="shared" si="18"/>
        <v>4</v>
      </c>
      <c r="L242" s="11"/>
      <c r="M242" s="11"/>
      <c r="N242" s="11"/>
      <c r="O242" s="28">
        <f>'DHS2025'!C241</f>
        <v>10370</v>
      </c>
      <c r="P242" s="29">
        <f>'DHS2025'!D241</f>
        <v>5183</v>
      </c>
      <c r="Q242" s="29">
        <f>'DHS2025'!E241</f>
        <v>4952</v>
      </c>
      <c r="R242" s="62">
        <v>162.96</v>
      </c>
      <c r="S242" s="61">
        <f>(Porovnavanie!J244*0.99-1.9)*Porovnavanie!I244</f>
        <v>789.49934079999991</v>
      </c>
    </row>
    <row r="243" spans="1:19" ht="15.75" thickBot="1">
      <c r="A243" s="100">
        <f t="shared" si="19"/>
        <v>45699</v>
      </c>
      <c r="B243" s="24" t="s">
        <v>17</v>
      </c>
      <c r="C243" s="54">
        <f>'DHS2021'!C242</f>
        <v>10188</v>
      </c>
      <c r="D243" s="55">
        <f>'DHS2022'!C242</f>
        <v>6123</v>
      </c>
      <c r="E243" s="55">
        <f>'DHS2023'!C242</f>
        <v>11708</v>
      </c>
      <c r="F243" s="55">
        <f>'DHS2024'!C242</f>
        <v>5913</v>
      </c>
      <c r="G243" s="56">
        <f t="shared" si="15"/>
        <v>8483</v>
      </c>
      <c r="H243" s="75">
        <f t="shared" si="16"/>
        <v>2.1207500000000001</v>
      </c>
      <c r="I243" s="76">
        <v>1</v>
      </c>
      <c r="J243" s="75">
        <f t="shared" si="17"/>
        <v>3.1207500000000001</v>
      </c>
      <c r="K243" s="81">
        <f t="shared" si="18"/>
        <v>4</v>
      </c>
      <c r="L243" s="11"/>
      <c r="M243" s="11"/>
      <c r="N243" s="11"/>
      <c r="O243" s="28">
        <f>'DHS2025'!C242</f>
        <v>12898</v>
      </c>
      <c r="P243" s="29">
        <f>'DHS2025'!D242</f>
        <v>1339</v>
      </c>
      <c r="Q243" s="29">
        <f>'DHS2025'!E242</f>
        <v>4053</v>
      </c>
      <c r="R243" s="62">
        <v>180.33</v>
      </c>
      <c r="S243" s="61">
        <f>(Porovnavanie!J245*0.99-1.9)*Porovnavanie!I245</f>
        <v>715.86801509999998</v>
      </c>
    </row>
    <row r="244" spans="1:19" ht="15.75" thickBot="1">
      <c r="A244" s="100">
        <f t="shared" si="19"/>
        <v>45699</v>
      </c>
      <c r="B244" s="24" t="s">
        <v>18</v>
      </c>
      <c r="C244" s="54">
        <f>'DHS2021'!C243</f>
        <v>12328</v>
      </c>
      <c r="D244" s="55">
        <f>'DHS2022'!C243</f>
        <v>6057</v>
      </c>
      <c r="E244" s="55">
        <f>'DHS2023'!C243</f>
        <v>11994</v>
      </c>
      <c r="F244" s="55">
        <f>'DHS2024'!C243</f>
        <v>3078</v>
      </c>
      <c r="G244" s="56">
        <f t="shared" si="15"/>
        <v>8364.25</v>
      </c>
      <c r="H244" s="75">
        <f t="shared" si="16"/>
        <v>2.0910625</v>
      </c>
      <c r="I244" s="76">
        <v>1</v>
      </c>
      <c r="J244" s="75">
        <f t="shared" si="17"/>
        <v>3.0910625</v>
      </c>
      <c r="K244" s="81">
        <f t="shared" si="18"/>
        <v>4</v>
      </c>
      <c r="L244" s="11"/>
      <c r="M244" s="11"/>
      <c r="N244" s="11"/>
      <c r="O244" s="28">
        <f>'DHS2025'!C243</f>
        <v>14543</v>
      </c>
      <c r="P244" s="29">
        <f>'DHS2025'!D243</f>
        <v>79</v>
      </c>
      <c r="Q244" s="29">
        <f>'DHS2025'!E243</f>
        <v>4051</v>
      </c>
      <c r="R244" s="62">
        <v>158.19</v>
      </c>
      <c r="S244" s="61">
        <f>(Porovnavanie!J246*0.99-1.9)*Porovnavanie!I246</f>
        <v>626.72251310000001</v>
      </c>
    </row>
    <row r="245" spans="1:19" ht="15.75" thickBot="1">
      <c r="A245" s="100">
        <f t="shared" si="19"/>
        <v>45699</v>
      </c>
      <c r="B245" s="24" t="s">
        <v>19</v>
      </c>
      <c r="C245" s="54">
        <f>'DHS2021'!C244</f>
        <v>13677</v>
      </c>
      <c r="D245" s="55">
        <f>'DHS2022'!C244</f>
        <v>5301</v>
      </c>
      <c r="E245" s="55">
        <f>'DHS2023'!C244</f>
        <v>15491</v>
      </c>
      <c r="F245" s="55">
        <f>'DHS2024'!C244</f>
        <v>2422</v>
      </c>
      <c r="G245" s="56">
        <f t="shared" si="15"/>
        <v>9222.75</v>
      </c>
      <c r="H245" s="75">
        <f t="shared" si="16"/>
        <v>2.3056874999999999</v>
      </c>
      <c r="I245" s="76">
        <v>1</v>
      </c>
      <c r="J245" s="75">
        <f t="shared" si="17"/>
        <v>3.3056874999999999</v>
      </c>
      <c r="K245" s="81">
        <f t="shared" si="18"/>
        <v>4</v>
      </c>
      <c r="L245" s="11"/>
      <c r="M245" s="11"/>
      <c r="N245" s="11"/>
      <c r="O245" s="28">
        <f>'DHS2025'!C244</f>
        <v>14609</v>
      </c>
      <c r="P245" s="29">
        <f>'DHS2025'!D244</f>
        <v>80</v>
      </c>
      <c r="Q245" s="29">
        <f>'DHS2025'!E244</f>
        <v>4057</v>
      </c>
      <c r="R245" s="62">
        <v>134.56</v>
      </c>
      <c r="S245" s="61">
        <f>(Porovnavanie!J247*0.99-1.9)*Porovnavanie!I247</f>
        <v>532.74252080000008</v>
      </c>
    </row>
    <row r="246" spans="1:19" ht="15.75" thickBot="1">
      <c r="A246" s="100">
        <f t="shared" si="19"/>
        <v>45699</v>
      </c>
      <c r="B246" s="24" t="s">
        <v>20</v>
      </c>
      <c r="C246" s="54">
        <f>'DHS2021'!C245</f>
        <v>15089</v>
      </c>
      <c r="D246" s="55">
        <f>'DHS2022'!C245</f>
        <v>8438</v>
      </c>
      <c r="E246" s="55">
        <f>'DHS2023'!C245</f>
        <v>15767</v>
      </c>
      <c r="F246" s="55">
        <f>'DHS2024'!C245</f>
        <v>3307</v>
      </c>
      <c r="G246" s="56">
        <f t="shared" si="15"/>
        <v>10650.25</v>
      </c>
      <c r="H246" s="75">
        <f t="shared" si="16"/>
        <v>2.6625624999999999</v>
      </c>
      <c r="I246" s="76">
        <v>1</v>
      </c>
      <c r="J246" s="75">
        <f t="shared" si="17"/>
        <v>3.6625624999999999</v>
      </c>
      <c r="K246" s="81">
        <f t="shared" si="18"/>
        <v>4</v>
      </c>
      <c r="L246" s="11"/>
      <c r="M246" s="11"/>
      <c r="N246" s="11"/>
      <c r="O246" s="28">
        <f>'DHS2025'!C245</f>
        <v>14448</v>
      </c>
      <c r="P246" s="29">
        <f>'DHS2025'!D245</f>
        <v>82</v>
      </c>
      <c r="Q246" s="29">
        <f>'DHS2025'!E245</f>
        <v>4073</v>
      </c>
      <c r="R246" s="62">
        <v>139.61000000000001</v>
      </c>
      <c r="S246" s="61">
        <f>(Porovnavanie!J248*0.99-1.9)*Porovnavanie!I248</f>
        <v>555.20651470000018</v>
      </c>
    </row>
    <row r="247" spans="1:19" ht="15.75" thickBot="1">
      <c r="A247" s="100">
        <f t="shared" si="19"/>
        <v>45699</v>
      </c>
      <c r="B247" s="24" t="s">
        <v>21</v>
      </c>
      <c r="C247" s="54">
        <f>'DHS2021'!C246</f>
        <v>23332</v>
      </c>
      <c r="D247" s="55">
        <f>'DHS2022'!C246</f>
        <v>17083</v>
      </c>
      <c r="E247" s="55">
        <f>'DHS2023'!C246</f>
        <v>22090</v>
      </c>
      <c r="F247" s="55">
        <f>'DHS2024'!C246</f>
        <v>6504</v>
      </c>
      <c r="G247" s="56">
        <f t="shared" si="15"/>
        <v>17252.25</v>
      </c>
      <c r="H247" s="75">
        <f t="shared" si="16"/>
        <v>4.3130625</v>
      </c>
      <c r="I247" s="76">
        <v>1</v>
      </c>
      <c r="J247" s="75">
        <f t="shared" si="17"/>
        <v>5.3130625</v>
      </c>
      <c r="K247" s="81">
        <f t="shared" si="18"/>
        <v>6</v>
      </c>
      <c r="L247" s="11"/>
      <c r="M247" s="11"/>
      <c r="N247" s="11"/>
      <c r="O247" s="28">
        <f>'DHS2025'!C246</f>
        <v>16723</v>
      </c>
      <c r="P247" s="29">
        <f>'DHS2025'!D246</f>
        <v>105</v>
      </c>
      <c r="Q247" s="29">
        <f>'DHS2025'!E246</f>
        <v>5554</v>
      </c>
      <c r="R247" s="62">
        <v>161.36000000000001</v>
      </c>
      <c r="S247" s="61">
        <f>(Porovnavanie!J249*0.99-1.9)*Porovnavanie!I249</f>
        <v>876.67890560000012</v>
      </c>
    </row>
    <row r="248" spans="1:19" ht="15.75" thickBot="1">
      <c r="A248" s="100">
        <f t="shared" si="19"/>
        <v>45699</v>
      </c>
      <c r="B248" s="24" t="s">
        <v>22</v>
      </c>
      <c r="C248" s="54">
        <f>'DHS2021'!C247</f>
        <v>24022</v>
      </c>
      <c r="D248" s="55">
        <f>'DHS2022'!C247</f>
        <v>14810</v>
      </c>
      <c r="E248" s="55">
        <f>'DHS2023'!C247</f>
        <v>20690</v>
      </c>
      <c r="F248" s="55">
        <f>'DHS2024'!C247</f>
        <v>9667</v>
      </c>
      <c r="G248" s="56">
        <f t="shared" si="15"/>
        <v>17297.25</v>
      </c>
      <c r="H248" s="75">
        <f t="shared" si="16"/>
        <v>4.3243124999999996</v>
      </c>
      <c r="I248" s="76">
        <v>1</v>
      </c>
      <c r="J248" s="75">
        <f t="shared" si="17"/>
        <v>5.3243124999999996</v>
      </c>
      <c r="K248" s="81">
        <f t="shared" si="18"/>
        <v>6</v>
      </c>
      <c r="L248" s="11"/>
      <c r="M248" s="11"/>
      <c r="N248" s="11"/>
      <c r="O248" s="28">
        <f>'DHS2025'!C247</f>
        <v>21536</v>
      </c>
      <c r="P248" s="29">
        <f>'DHS2025'!D247</f>
        <v>145</v>
      </c>
      <c r="Q248" s="29">
        <f>'DHS2025'!E247</f>
        <v>7053</v>
      </c>
      <c r="R248" s="62">
        <v>224.52</v>
      </c>
      <c r="S248" s="61">
        <f>(Porovnavanie!J250*0.99-1.9)*Porovnavanie!I250</f>
        <v>1554.3034643999999</v>
      </c>
    </row>
    <row r="249" spans="1:19" ht="15.75" thickBot="1">
      <c r="A249" s="100">
        <f t="shared" si="19"/>
        <v>45699</v>
      </c>
      <c r="B249" s="24" t="s">
        <v>23</v>
      </c>
      <c r="C249" s="54">
        <f>'DHS2021'!C248</f>
        <v>23719</v>
      </c>
      <c r="D249" s="55">
        <f>'DHS2022'!C248</f>
        <v>15640</v>
      </c>
      <c r="E249" s="55">
        <f>'DHS2023'!C248</f>
        <v>20159</v>
      </c>
      <c r="F249" s="55">
        <f>'DHS2024'!C248</f>
        <v>11078</v>
      </c>
      <c r="G249" s="56">
        <f t="shared" si="15"/>
        <v>17649</v>
      </c>
      <c r="H249" s="75">
        <f t="shared" si="16"/>
        <v>4.4122500000000002</v>
      </c>
      <c r="I249" s="76">
        <v>1</v>
      </c>
      <c r="J249" s="75">
        <f t="shared" si="17"/>
        <v>5.4122500000000002</v>
      </c>
      <c r="K249" s="81">
        <f t="shared" si="18"/>
        <v>6</v>
      </c>
      <c r="L249" s="11"/>
      <c r="M249" s="11"/>
      <c r="N249" s="11"/>
      <c r="O249" s="28">
        <f>'DHS2025'!C248</f>
        <v>22139</v>
      </c>
      <c r="P249" s="29">
        <f>'DHS2025'!D248</f>
        <v>2682</v>
      </c>
      <c r="Q249" s="29">
        <f>'DHS2025'!E248</f>
        <v>8037</v>
      </c>
      <c r="R249" s="62">
        <v>194.95</v>
      </c>
      <c r="S249" s="61">
        <f>(Porovnavanie!J251*0.99-1.9)*Porovnavanie!I251</f>
        <v>1535.8747185</v>
      </c>
    </row>
    <row r="250" spans="1:19" ht="15.75" thickBot="1">
      <c r="A250" s="100">
        <f t="shared" si="19"/>
        <v>45699</v>
      </c>
      <c r="B250" s="24" t="s">
        <v>24</v>
      </c>
      <c r="C250" s="54">
        <f>'DHS2021'!C249</f>
        <v>21481</v>
      </c>
      <c r="D250" s="55">
        <f>'DHS2022'!C249</f>
        <v>14143</v>
      </c>
      <c r="E250" s="55">
        <f>'DHS2023'!C249</f>
        <v>21417</v>
      </c>
      <c r="F250" s="55">
        <f>'DHS2024'!C249</f>
        <v>9661</v>
      </c>
      <c r="G250" s="56">
        <f t="shared" si="15"/>
        <v>16675.5</v>
      </c>
      <c r="H250" s="75">
        <f t="shared" si="16"/>
        <v>4.1688749999999999</v>
      </c>
      <c r="I250" s="76">
        <v>1</v>
      </c>
      <c r="J250" s="75">
        <f t="shared" si="17"/>
        <v>5.1688749999999999</v>
      </c>
      <c r="K250" s="81">
        <f t="shared" si="18"/>
        <v>6</v>
      </c>
      <c r="L250" s="11"/>
      <c r="M250" s="11"/>
      <c r="N250" s="11"/>
      <c r="O250" s="28">
        <f>'DHS2025'!C249</f>
        <v>20739</v>
      </c>
      <c r="P250" s="29">
        <f>'DHS2025'!D249</f>
        <v>3917</v>
      </c>
      <c r="Q250" s="29">
        <f>'DHS2025'!E249</f>
        <v>8050</v>
      </c>
      <c r="R250" s="62">
        <v>253.14</v>
      </c>
      <c r="S250" s="61">
        <f>(Porovnavanie!J252*0.99-1.9)*Porovnavanie!I252</f>
        <v>2002.1042300000001</v>
      </c>
    </row>
    <row r="251" spans="1:19" ht="15.75" thickBot="1">
      <c r="A251" s="100">
        <f t="shared" si="19"/>
        <v>45699</v>
      </c>
      <c r="B251" s="24" t="s">
        <v>25</v>
      </c>
      <c r="C251" s="54">
        <f>'DHS2021'!C250</f>
        <v>22947</v>
      </c>
      <c r="D251" s="55">
        <f>'DHS2022'!C250</f>
        <v>14709</v>
      </c>
      <c r="E251" s="55">
        <f>'DHS2023'!C250</f>
        <v>19637</v>
      </c>
      <c r="F251" s="55">
        <f>'DHS2024'!C250</f>
        <v>11431</v>
      </c>
      <c r="G251" s="56">
        <f t="shared" si="15"/>
        <v>17181</v>
      </c>
      <c r="H251" s="75">
        <f t="shared" si="16"/>
        <v>4.2952500000000002</v>
      </c>
      <c r="I251" s="76">
        <v>1</v>
      </c>
      <c r="J251" s="75">
        <f t="shared" si="17"/>
        <v>5.2952500000000002</v>
      </c>
      <c r="K251" s="81">
        <f t="shared" si="18"/>
        <v>6</v>
      </c>
      <c r="L251" s="11"/>
      <c r="M251" s="11"/>
      <c r="N251" s="11"/>
      <c r="O251" s="28">
        <f>'DHS2025'!C250</f>
        <v>19688</v>
      </c>
      <c r="P251" s="29">
        <f>'DHS2025'!D250</f>
        <v>4898</v>
      </c>
      <c r="Q251" s="29">
        <f>'DHS2025'!E250</f>
        <v>8042</v>
      </c>
      <c r="R251" s="62">
        <v>180.01</v>
      </c>
      <c r="S251" s="61">
        <f>(Porovnavanie!J253*0.99-1.9)*Porovnavanie!I253</f>
        <v>1417.8842157999998</v>
      </c>
    </row>
    <row r="252" spans="1:19" ht="15.75" thickBot="1">
      <c r="A252" s="100">
        <f t="shared" si="19"/>
        <v>45699</v>
      </c>
      <c r="B252" s="24" t="s">
        <v>26</v>
      </c>
      <c r="C252" s="54">
        <f>'DHS2021'!C251</f>
        <v>22591</v>
      </c>
      <c r="D252" s="55">
        <f>'DHS2022'!C251</f>
        <v>13664</v>
      </c>
      <c r="E252" s="55">
        <f>'DHS2023'!C251</f>
        <v>19380</v>
      </c>
      <c r="F252" s="55">
        <f>'DHS2024'!C251</f>
        <v>11964</v>
      </c>
      <c r="G252" s="56">
        <f t="shared" si="15"/>
        <v>16899.75</v>
      </c>
      <c r="H252" s="75">
        <f t="shared" si="16"/>
        <v>4.2249375000000002</v>
      </c>
      <c r="I252" s="76">
        <v>1</v>
      </c>
      <c r="J252" s="75">
        <f t="shared" si="17"/>
        <v>5.2249375000000002</v>
      </c>
      <c r="K252" s="81">
        <f t="shared" si="18"/>
        <v>6</v>
      </c>
      <c r="L252" s="11"/>
      <c r="M252" s="11"/>
      <c r="N252" s="11"/>
      <c r="O252" s="28">
        <f>'DHS2025'!C251</f>
        <v>17432</v>
      </c>
      <c r="P252" s="29">
        <f>'DHS2025'!D251</f>
        <v>6526</v>
      </c>
      <c r="Q252" s="29">
        <f>'DHS2025'!E251</f>
        <v>8058</v>
      </c>
      <c r="R252" s="62">
        <v>144.07</v>
      </c>
      <c r="S252" s="61">
        <f>(Porovnavanie!J254*0.99-1.9)*Porovnavanie!I254</f>
        <v>1133.9966993999999</v>
      </c>
    </row>
    <row r="253" spans="1:19" ht="15.75" thickBot="1">
      <c r="A253" s="100">
        <f t="shared" si="19"/>
        <v>45699</v>
      </c>
      <c r="B253" s="24" t="s">
        <v>27</v>
      </c>
      <c r="C253" s="54">
        <f>'DHS2021'!C252</f>
        <v>22043</v>
      </c>
      <c r="D253" s="55">
        <f>'DHS2022'!C252</f>
        <v>14672</v>
      </c>
      <c r="E253" s="55">
        <f>'DHS2023'!C252</f>
        <v>18791</v>
      </c>
      <c r="F253" s="55">
        <f>'DHS2024'!C252</f>
        <v>11642</v>
      </c>
      <c r="G253" s="56">
        <f t="shared" si="15"/>
        <v>16787</v>
      </c>
      <c r="H253" s="75">
        <f t="shared" si="16"/>
        <v>4.1967499999999998</v>
      </c>
      <c r="I253" s="76">
        <v>1</v>
      </c>
      <c r="J253" s="75">
        <f t="shared" si="17"/>
        <v>5.1967499999999998</v>
      </c>
      <c r="K253" s="81">
        <f t="shared" si="18"/>
        <v>6</v>
      </c>
      <c r="L253" s="11"/>
      <c r="M253" s="11"/>
      <c r="N253" s="11"/>
      <c r="O253" s="28">
        <f>'DHS2025'!C252</f>
        <v>14897</v>
      </c>
      <c r="P253" s="29">
        <f>'DHS2025'!D252</f>
        <v>6210</v>
      </c>
      <c r="Q253" s="29">
        <f>'DHS2025'!E252</f>
        <v>7040</v>
      </c>
      <c r="R253" s="62">
        <v>113.33</v>
      </c>
      <c r="S253" s="61">
        <f>(Porovnavanie!J255*0.99-1.9)*Porovnavanie!I255</f>
        <v>776.48876799999994</v>
      </c>
    </row>
    <row r="254" spans="1:19" ht="15.75" thickBot="1">
      <c r="A254" s="100">
        <f t="shared" si="19"/>
        <v>45699</v>
      </c>
      <c r="B254" s="24" t="s">
        <v>28</v>
      </c>
      <c r="C254" s="54">
        <f>'DHS2021'!C253</f>
        <v>21323</v>
      </c>
      <c r="D254" s="55">
        <f>'DHS2022'!C253</f>
        <v>15599</v>
      </c>
      <c r="E254" s="55">
        <f>'DHS2023'!C253</f>
        <v>19127</v>
      </c>
      <c r="F254" s="55">
        <f>'DHS2024'!C253</f>
        <v>11517</v>
      </c>
      <c r="G254" s="56">
        <f t="shared" si="15"/>
        <v>16891.5</v>
      </c>
      <c r="H254" s="75">
        <f t="shared" si="16"/>
        <v>4.2228750000000002</v>
      </c>
      <c r="I254" s="76">
        <v>1</v>
      </c>
      <c r="J254" s="75">
        <f t="shared" si="17"/>
        <v>5.2228750000000002</v>
      </c>
      <c r="K254" s="81">
        <f t="shared" si="18"/>
        <v>6</v>
      </c>
      <c r="L254" s="11"/>
      <c r="M254" s="11"/>
      <c r="N254" s="11"/>
      <c r="O254" s="28">
        <f>'DHS2025'!C253</f>
        <v>15707</v>
      </c>
      <c r="P254" s="29">
        <f>'DHS2025'!D253</f>
        <v>2954</v>
      </c>
      <c r="Q254" s="29">
        <f>'DHS2025'!E253</f>
        <v>6054</v>
      </c>
      <c r="R254" s="62">
        <v>93.36</v>
      </c>
      <c r="S254" s="61">
        <f>(Porovnavanie!J256*0.99-1.9)*Porovnavanie!I256</f>
        <v>548.04682560000003</v>
      </c>
    </row>
    <row r="255" spans="1:19" ht="15.75" thickBot="1">
      <c r="A255" s="100">
        <f t="shared" si="19"/>
        <v>45699</v>
      </c>
      <c r="B255" s="24" t="s">
        <v>29</v>
      </c>
      <c r="C255" s="54">
        <f>'DHS2021'!C254</f>
        <v>21468</v>
      </c>
      <c r="D255" s="55">
        <f>'DHS2022'!C254</f>
        <v>16355</v>
      </c>
      <c r="E255" s="55">
        <f>'DHS2023'!C254</f>
        <v>16807</v>
      </c>
      <c r="F255" s="55">
        <f>'DHS2024'!C254</f>
        <v>10634</v>
      </c>
      <c r="G255" s="56">
        <f t="shared" si="15"/>
        <v>16316</v>
      </c>
      <c r="H255" s="75">
        <f t="shared" si="16"/>
        <v>4.0789999999999997</v>
      </c>
      <c r="I255" s="76">
        <v>1</v>
      </c>
      <c r="J255" s="75">
        <f t="shared" si="17"/>
        <v>5.0789999999999997</v>
      </c>
      <c r="K255" s="81">
        <f t="shared" si="18"/>
        <v>6</v>
      </c>
      <c r="L255" s="11"/>
      <c r="M255" s="11"/>
      <c r="N255" s="11"/>
      <c r="O255" s="28">
        <f>'DHS2025'!C254</f>
        <v>13700</v>
      </c>
      <c r="P255" s="29">
        <f>'DHS2025'!D254</f>
        <v>5159</v>
      </c>
      <c r="Q255" s="29">
        <f>'DHS2025'!E254</f>
        <v>6056</v>
      </c>
      <c r="R255" s="62">
        <v>96.44</v>
      </c>
      <c r="S255" s="61">
        <f>(Porovnavanie!J257*0.99-1.9)*Porovnavanie!I257</f>
        <v>566.69383359999995</v>
      </c>
    </row>
    <row r="256" spans="1:19" ht="15.75" thickBot="1">
      <c r="A256" s="100">
        <f t="shared" si="19"/>
        <v>45699</v>
      </c>
      <c r="B256" s="24" t="s">
        <v>30</v>
      </c>
      <c r="C256" s="54">
        <f>'DHS2021'!C255</f>
        <v>22066</v>
      </c>
      <c r="D256" s="55">
        <f>'DHS2022'!C255</f>
        <v>16673</v>
      </c>
      <c r="E256" s="55">
        <f>'DHS2023'!C255</f>
        <v>14764</v>
      </c>
      <c r="F256" s="55">
        <f>'DHS2024'!C255</f>
        <v>10544</v>
      </c>
      <c r="G256" s="56">
        <f t="shared" si="15"/>
        <v>16011.75</v>
      </c>
      <c r="H256" s="75">
        <f t="shared" si="16"/>
        <v>4.0029374999999998</v>
      </c>
      <c r="I256" s="76">
        <v>1</v>
      </c>
      <c r="J256" s="75">
        <f t="shared" si="17"/>
        <v>5.0029374999999998</v>
      </c>
      <c r="K256" s="81">
        <f t="shared" si="18"/>
        <v>6</v>
      </c>
      <c r="L256" s="11"/>
      <c r="M256" s="11"/>
      <c r="N256" s="11"/>
      <c r="O256" s="28">
        <f>'DHS2025'!C255</f>
        <v>12848</v>
      </c>
      <c r="P256" s="29">
        <f>'DHS2025'!D255</f>
        <v>8633</v>
      </c>
      <c r="Q256" s="29">
        <f>'DHS2025'!E255</f>
        <v>6991</v>
      </c>
      <c r="R256" s="62">
        <v>117.52</v>
      </c>
      <c r="S256" s="61">
        <f>(Porovnavanie!J258*0.99-1.9)*Porovnavanie!I258</f>
        <v>800.0835967999999</v>
      </c>
    </row>
    <row r="257" spans="1:19" ht="15.75" thickBot="1">
      <c r="A257" s="100">
        <f t="shared" si="19"/>
        <v>45699</v>
      </c>
      <c r="B257" s="24" t="s">
        <v>31</v>
      </c>
      <c r="C257" s="54">
        <f>'DHS2021'!C256</f>
        <v>23163</v>
      </c>
      <c r="D257" s="55">
        <f>'DHS2022'!C256</f>
        <v>16910</v>
      </c>
      <c r="E257" s="55">
        <f>'DHS2023'!C256</f>
        <v>15342</v>
      </c>
      <c r="F257" s="55">
        <f>'DHS2024'!C256</f>
        <v>9839</v>
      </c>
      <c r="G257" s="56">
        <f t="shared" si="15"/>
        <v>16313.5</v>
      </c>
      <c r="H257" s="75">
        <f t="shared" si="16"/>
        <v>4.0783750000000003</v>
      </c>
      <c r="I257" s="76">
        <v>1</v>
      </c>
      <c r="J257" s="75">
        <f t="shared" si="17"/>
        <v>5.0783750000000003</v>
      </c>
      <c r="K257" s="81">
        <f t="shared" si="18"/>
        <v>6</v>
      </c>
      <c r="L257" s="11"/>
      <c r="M257" s="11"/>
      <c r="N257" s="11"/>
      <c r="O257" s="28">
        <f>'DHS2025'!C256</f>
        <v>13653</v>
      </c>
      <c r="P257" s="29">
        <f>'DHS2025'!D256</f>
        <v>9839</v>
      </c>
      <c r="Q257" s="29">
        <f>'DHS2025'!E256</f>
        <v>8037</v>
      </c>
      <c r="R257" s="62">
        <v>129.72999999999999</v>
      </c>
      <c r="S257" s="61">
        <f>(Porovnavanie!J259*0.99-1.9)*Porovnavanie!I259</f>
        <v>1016.9433098999999</v>
      </c>
    </row>
    <row r="258" spans="1:19" ht="15.75" thickBot="1">
      <c r="A258" s="100">
        <f t="shared" si="19"/>
        <v>45699</v>
      </c>
      <c r="B258" s="24" t="s">
        <v>32</v>
      </c>
      <c r="C258" s="54">
        <f>'DHS2021'!C257</f>
        <v>19126</v>
      </c>
      <c r="D258" s="55">
        <f>'DHS2022'!C257</f>
        <v>13173</v>
      </c>
      <c r="E258" s="55">
        <f>'DHS2023'!C257</f>
        <v>15819</v>
      </c>
      <c r="F258" s="55">
        <f>'DHS2024'!C257</f>
        <v>10346</v>
      </c>
      <c r="G258" s="56">
        <f t="shared" si="15"/>
        <v>14616</v>
      </c>
      <c r="H258" s="75">
        <f t="shared" si="16"/>
        <v>3.6539999999999999</v>
      </c>
      <c r="I258" s="76">
        <v>1</v>
      </c>
      <c r="J258" s="75">
        <f t="shared" si="17"/>
        <v>4.6539999999999999</v>
      </c>
      <c r="K258" s="81">
        <f t="shared" si="18"/>
        <v>5</v>
      </c>
      <c r="L258" s="11"/>
      <c r="M258" s="11"/>
      <c r="N258" s="11"/>
      <c r="O258" s="28">
        <f>'DHS2025'!C257</f>
        <v>13637</v>
      </c>
      <c r="P258" s="29">
        <f>'DHS2025'!D257</f>
        <v>10501</v>
      </c>
      <c r="Q258" s="29">
        <f>'DHS2025'!E257</f>
        <v>8047</v>
      </c>
      <c r="R258" s="62">
        <v>177.31</v>
      </c>
      <c r="S258" s="61">
        <f>(Porovnavanie!J260*0.99-1.9)*Porovnavanie!I260</f>
        <v>1397.2561343</v>
      </c>
    </row>
    <row r="259" spans="1:19" ht="15.75" thickBot="1">
      <c r="A259" s="100">
        <f t="shared" si="19"/>
        <v>45699</v>
      </c>
      <c r="B259" s="24" t="s">
        <v>33</v>
      </c>
      <c r="C259" s="54">
        <f>'DHS2021'!C258</f>
        <v>20991</v>
      </c>
      <c r="D259" s="55">
        <f>'DHS2022'!C258</f>
        <v>12840</v>
      </c>
      <c r="E259" s="55">
        <f>'DHS2023'!C258</f>
        <v>16601</v>
      </c>
      <c r="F259" s="55">
        <f>'DHS2024'!C258</f>
        <v>10417</v>
      </c>
      <c r="G259" s="56">
        <f t="shared" si="15"/>
        <v>15212.25</v>
      </c>
      <c r="H259" s="75">
        <f t="shared" si="16"/>
        <v>3.8030624999999998</v>
      </c>
      <c r="I259" s="76">
        <v>1</v>
      </c>
      <c r="J259" s="75">
        <f t="shared" si="17"/>
        <v>4.8030624999999993</v>
      </c>
      <c r="K259" s="81">
        <f t="shared" si="18"/>
        <v>5</v>
      </c>
      <c r="L259" s="11"/>
      <c r="M259" s="11"/>
      <c r="N259" s="11"/>
      <c r="O259" s="28">
        <f>'DHS2025'!C258</f>
        <v>13908</v>
      </c>
      <c r="P259" s="29">
        <f>'DHS2025'!D258</f>
        <v>10051</v>
      </c>
      <c r="Q259" s="29">
        <f>'DHS2025'!E258</f>
        <v>8055</v>
      </c>
      <c r="R259" s="62">
        <v>209.08</v>
      </c>
      <c r="S259" s="61">
        <f>(Porovnavanie!J261*0.99-1.9)*Porovnavanie!I261</f>
        <v>1651.993506</v>
      </c>
    </row>
    <row r="260" spans="1:19" ht="15.75" thickBot="1">
      <c r="A260" s="100">
        <f t="shared" si="19"/>
        <v>45699</v>
      </c>
      <c r="B260" s="24" t="s">
        <v>34</v>
      </c>
      <c r="C260" s="54">
        <f>'DHS2021'!C259</f>
        <v>22096</v>
      </c>
      <c r="D260" s="55">
        <f>'DHS2022'!C259</f>
        <v>15581</v>
      </c>
      <c r="E260" s="55">
        <f>'DHS2023'!C259</f>
        <v>17793</v>
      </c>
      <c r="F260" s="55">
        <f>'DHS2024'!C259</f>
        <v>10265</v>
      </c>
      <c r="G260" s="56">
        <f t="shared" ref="G260:G323" si="20">AVERAGE(C260:F260)</f>
        <v>16433.75</v>
      </c>
      <c r="H260" s="75">
        <f t="shared" ref="H260:H323" si="21">G260/$M$2/1000</f>
        <v>4.1084375</v>
      </c>
      <c r="I260" s="76">
        <v>1</v>
      </c>
      <c r="J260" s="75">
        <f t="shared" ref="J260:J323" si="22">H260+I260</f>
        <v>5.1084375</v>
      </c>
      <c r="K260" s="81">
        <f t="shared" ref="K260:K323" si="23">ROUNDUP(J260,0)</f>
        <v>6</v>
      </c>
      <c r="L260" s="11"/>
      <c r="M260" s="11"/>
      <c r="N260" s="11"/>
      <c r="O260" s="28">
        <f>'DHS2025'!C259</f>
        <v>15987</v>
      </c>
      <c r="P260" s="29">
        <f>'DHS2025'!D259</f>
        <v>8947</v>
      </c>
      <c r="Q260" s="29">
        <f>'DHS2025'!E259</f>
        <v>8068</v>
      </c>
      <c r="R260" s="62">
        <v>227.51</v>
      </c>
      <c r="S260" s="61">
        <f>(Porovnavanie!J262*0.99-1.9)*Porovnavanie!I262</f>
        <v>1801.8659731999996</v>
      </c>
    </row>
    <row r="261" spans="1:19" ht="15.75" thickBot="1">
      <c r="A261" s="100">
        <f t="shared" ref="A261:A324" si="24">$A$3+INT((ROW()-3)/24)</f>
        <v>45699</v>
      </c>
      <c r="B261" s="24" t="s">
        <v>35</v>
      </c>
      <c r="C261" s="54">
        <f>'DHS2021'!C260</f>
        <v>20670</v>
      </c>
      <c r="D261" s="55">
        <f>'DHS2022'!C260</f>
        <v>14998</v>
      </c>
      <c r="E261" s="55">
        <f>'DHS2023'!C260</f>
        <v>19529</v>
      </c>
      <c r="F261" s="55">
        <f>'DHS2024'!C260</f>
        <v>10703</v>
      </c>
      <c r="G261" s="56">
        <f t="shared" si="20"/>
        <v>16475</v>
      </c>
      <c r="H261" s="75">
        <f t="shared" si="21"/>
        <v>4.1187500000000004</v>
      </c>
      <c r="I261" s="76">
        <v>1</v>
      </c>
      <c r="J261" s="75">
        <f t="shared" si="22"/>
        <v>5.1187500000000004</v>
      </c>
      <c r="K261" s="81">
        <f t="shared" si="23"/>
        <v>6</v>
      </c>
      <c r="L261" s="11"/>
      <c r="M261" s="11"/>
      <c r="N261" s="11"/>
      <c r="O261" s="28">
        <f>'DHS2025'!C260</f>
        <v>18178</v>
      </c>
      <c r="P261" s="29">
        <f>'DHS2025'!D260</f>
        <v>6197</v>
      </c>
      <c r="Q261" s="29">
        <f>'DHS2025'!E260</f>
        <v>8041</v>
      </c>
      <c r="R261" s="62">
        <v>248.24</v>
      </c>
      <c r="S261" s="61">
        <f>(Porovnavanie!J263*0.99-1.9)*Porovnavanie!I263</f>
        <v>1960.8589615999999</v>
      </c>
    </row>
    <row r="262" spans="1:19" ht="15.75" thickBot="1">
      <c r="A262" s="100">
        <f t="shared" si="24"/>
        <v>45699</v>
      </c>
      <c r="B262" s="24" t="s">
        <v>36</v>
      </c>
      <c r="C262" s="54">
        <f>'DHS2021'!C261</f>
        <v>21806</v>
      </c>
      <c r="D262" s="55">
        <f>'DHS2022'!C261</f>
        <v>15399</v>
      </c>
      <c r="E262" s="55">
        <f>'DHS2023'!C261</f>
        <v>18735</v>
      </c>
      <c r="F262" s="55">
        <f>'DHS2024'!C261</f>
        <v>12297</v>
      </c>
      <c r="G262" s="56">
        <f t="shared" si="20"/>
        <v>17059.25</v>
      </c>
      <c r="H262" s="75">
        <f t="shared" si="21"/>
        <v>4.2648124999999997</v>
      </c>
      <c r="I262" s="76">
        <v>1</v>
      </c>
      <c r="J262" s="75">
        <f t="shared" si="22"/>
        <v>5.2648124999999997</v>
      </c>
      <c r="K262" s="81">
        <f t="shared" si="23"/>
        <v>6</v>
      </c>
      <c r="L262" s="11"/>
      <c r="M262" s="11"/>
      <c r="N262" s="11"/>
      <c r="O262" s="28">
        <f>'DHS2025'!C261</f>
        <v>20043</v>
      </c>
      <c r="P262" s="29">
        <f>'DHS2025'!D261</f>
        <v>3909</v>
      </c>
      <c r="Q262" s="29">
        <f>'DHS2025'!E261</f>
        <v>8048</v>
      </c>
      <c r="R262" s="62">
        <v>230.02</v>
      </c>
      <c r="S262" s="61">
        <f>(Porovnavanie!J264*0.99-1.9)*Porovnavanie!I264</f>
        <v>1817.3977504000002</v>
      </c>
    </row>
    <row r="263" spans="1:19" ht="15.75" thickBot="1">
      <c r="A263" s="100">
        <f t="shared" si="24"/>
        <v>45699</v>
      </c>
      <c r="B263" s="24" t="s">
        <v>37</v>
      </c>
      <c r="C263" s="54">
        <f>'DHS2021'!C262</f>
        <v>23330</v>
      </c>
      <c r="D263" s="55">
        <f>'DHS2022'!C262</f>
        <v>16070</v>
      </c>
      <c r="E263" s="55">
        <f>'DHS2023'!C262</f>
        <v>17904</v>
      </c>
      <c r="F263" s="55">
        <f>'DHS2024'!C262</f>
        <v>11936</v>
      </c>
      <c r="G263" s="56">
        <f t="shared" si="20"/>
        <v>17310</v>
      </c>
      <c r="H263" s="75">
        <f t="shared" si="21"/>
        <v>4.3274999999999997</v>
      </c>
      <c r="I263" s="76">
        <v>1</v>
      </c>
      <c r="J263" s="75">
        <f t="shared" si="22"/>
        <v>5.3274999999999997</v>
      </c>
      <c r="K263" s="81">
        <f t="shared" si="23"/>
        <v>6</v>
      </c>
      <c r="L263" s="11"/>
      <c r="M263" s="11"/>
      <c r="N263" s="11"/>
      <c r="O263" s="28">
        <f>'DHS2025'!C262</f>
        <v>19790</v>
      </c>
      <c r="P263" s="29">
        <f>'DHS2025'!D262</f>
        <v>4816</v>
      </c>
      <c r="Q263" s="29">
        <f>'DHS2025'!E262</f>
        <v>8061</v>
      </c>
      <c r="R263" s="62">
        <v>195.55</v>
      </c>
      <c r="S263" s="61">
        <f>(Porovnavanie!J265*0.99-1.9)*Porovnavanie!I265</f>
        <v>1545.2493645</v>
      </c>
    </row>
    <row r="264" spans="1:19" ht="15.75" thickBot="1">
      <c r="A264" s="100">
        <f t="shared" si="24"/>
        <v>45699</v>
      </c>
      <c r="B264" s="24" t="s">
        <v>38</v>
      </c>
      <c r="C264" s="54">
        <f>'DHS2021'!C263</f>
        <v>23401</v>
      </c>
      <c r="D264" s="55">
        <f>'DHS2022'!C263</f>
        <v>15008</v>
      </c>
      <c r="E264" s="55">
        <f>'DHS2023'!C263</f>
        <v>17568</v>
      </c>
      <c r="F264" s="55">
        <f>'DHS2024'!C263</f>
        <v>12881</v>
      </c>
      <c r="G264" s="56">
        <f t="shared" si="20"/>
        <v>17214.5</v>
      </c>
      <c r="H264" s="75">
        <f t="shared" si="21"/>
        <v>4.3036250000000003</v>
      </c>
      <c r="I264" s="76">
        <v>1</v>
      </c>
      <c r="J264" s="75">
        <f t="shared" si="22"/>
        <v>5.3036250000000003</v>
      </c>
      <c r="K264" s="81">
        <f t="shared" si="23"/>
        <v>6</v>
      </c>
      <c r="L264" s="11"/>
      <c r="M264" s="11"/>
      <c r="N264" s="11"/>
      <c r="O264" s="28">
        <f>'DHS2025'!C263</f>
        <v>20205</v>
      </c>
      <c r="P264" s="29">
        <f>'DHS2025'!D263</f>
        <v>4627</v>
      </c>
      <c r="Q264" s="29">
        <f>'DHS2025'!E263</f>
        <v>8070</v>
      </c>
      <c r="R264" s="62">
        <v>197.78</v>
      </c>
      <c r="S264" s="61">
        <f>(Porovnavanie!J266*0.99-1.9)*Porovnavanie!I266</f>
        <v>1564.7907540000001</v>
      </c>
    </row>
    <row r="265" spans="1:19" ht="15.75" thickBot="1">
      <c r="A265" s="100">
        <f t="shared" si="24"/>
        <v>45699</v>
      </c>
      <c r="B265" s="24" t="s">
        <v>39</v>
      </c>
      <c r="C265" s="54">
        <f>'DHS2021'!C264</f>
        <v>22881</v>
      </c>
      <c r="D265" s="55">
        <f>'DHS2022'!C264</f>
        <v>12907</v>
      </c>
      <c r="E265" s="55">
        <f>'DHS2023'!C264</f>
        <v>14743</v>
      </c>
      <c r="F265" s="55">
        <f>'DHS2024'!C264</f>
        <v>10136</v>
      </c>
      <c r="G265" s="56">
        <f t="shared" si="20"/>
        <v>15166.75</v>
      </c>
      <c r="H265" s="75">
        <f t="shared" si="21"/>
        <v>3.7916875000000001</v>
      </c>
      <c r="I265" s="76">
        <v>1</v>
      </c>
      <c r="J265" s="75">
        <f t="shared" si="22"/>
        <v>4.7916875000000001</v>
      </c>
      <c r="K265" s="81">
        <f t="shared" si="23"/>
        <v>5</v>
      </c>
      <c r="L265" s="11"/>
      <c r="M265" s="11"/>
      <c r="N265" s="11"/>
      <c r="O265" s="28">
        <f>'DHS2025'!C264</f>
        <v>16476</v>
      </c>
      <c r="P265" s="29">
        <f>'DHS2025'!D264</f>
        <v>3856</v>
      </c>
      <c r="Q265" s="29">
        <f>'DHS2025'!E264</f>
        <v>6646</v>
      </c>
      <c r="R265" s="62">
        <v>176.92</v>
      </c>
      <c r="S265" s="61">
        <f>(Porovnavanie!J267*0.99-1.9)*Porovnavanie!I267</f>
        <v>1151.4248167999997</v>
      </c>
    </row>
    <row r="266" spans="1:19" ht="15.75" thickBot="1">
      <c r="A266" s="100">
        <f t="shared" si="24"/>
        <v>45699</v>
      </c>
      <c r="B266" s="24" t="s">
        <v>40</v>
      </c>
      <c r="C266" s="54">
        <f>'DHS2021'!C265</f>
        <v>17503</v>
      </c>
      <c r="D266" s="55">
        <f>'DHS2022'!C265</f>
        <v>8997</v>
      </c>
      <c r="E266" s="55">
        <f>'DHS2023'!C265</f>
        <v>7604</v>
      </c>
      <c r="F266" s="55">
        <f>'DHS2024'!C265</f>
        <v>5145</v>
      </c>
      <c r="G266" s="56">
        <f t="shared" si="20"/>
        <v>9812.25</v>
      </c>
      <c r="H266" s="75">
        <f t="shared" si="21"/>
        <v>2.4530625000000001</v>
      </c>
      <c r="I266" s="76">
        <v>1</v>
      </c>
      <c r="J266" s="75">
        <f t="shared" si="22"/>
        <v>3.4530625000000001</v>
      </c>
      <c r="K266" s="81">
        <f t="shared" si="23"/>
        <v>4</v>
      </c>
      <c r="L266" s="11"/>
      <c r="M266" s="11"/>
      <c r="N266" s="11"/>
      <c r="O266" s="28">
        <f>'DHS2025'!C265</f>
        <v>10284</v>
      </c>
      <c r="P266" s="29">
        <f>'DHS2025'!D265</f>
        <v>2904</v>
      </c>
      <c r="Q266" s="29">
        <f>'DHS2025'!E265</f>
        <v>4074</v>
      </c>
      <c r="R266" s="62">
        <v>136.08000000000001</v>
      </c>
      <c r="S266" s="61">
        <f>(Porovnavanie!J268*0.99-1.9)*Porovnavanie!I268</f>
        <v>541.10542079999993</v>
      </c>
    </row>
    <row r="267" spans="1:19" ht="15.75" thickBot="1">
      <c r="A267" s="101">
        <f t="shared" si="24"/>
        <v>45700</v>
      </c>
      <c r="B267" s="25" t="s">
        <v>17</v>
      </c>
      <c r="C267" s="54">
        <f>'DHS2021'!C266</f>
        <v>17136</v>
      </c>
      <c r="D267" s="55">
        <f>'DHS2022'!C266</f>
        <v>7849</v>
      </c>
      <c r="E267" s="55">
        <f>'DHS2023'!C266</f>
        <v>8047</v>
      </c>
      <c r="F267" s="55">
        <f>'DHS2024'!C266</f>
        <v>2548</v>
      </c>
      <c r="G267" s="56">
        <f t="shared" si="20"/>
        <v>8895</v>
      </c>
      <c r="H267" s="75">
        <f t="shared" si="21"/>
        <v>2.2237499999999999</v>
      </c>
      <c r="I267" s="76">
        <v>1</v>
      </c>
      <c r="J267" s="75">
        <f t="shared" si="22"/>
        <v>3.2237499999999999</v>
      </c>
      <c r="K267" s="81">
        <f t="shared" si="23"/>
        <v>4</v>
      </c>
      <c r="L267" s="11"/>
      <c r="M267" s="11"/>
      <c r="N267" s="11"/>
      <c r="O267" s="28">
        <f>'DHS2025'!C266</f>
        <v>11504</v>
      </c>
      <c r="P267" s="29">
        <f>'DHS2025'!D266</f>
        <v>3332</v>
      </c>
      <c r="Q267" s="29">
        <f>'DHS2025'!E266</f>
        <v>4064</v>
      </c>
      <c r="R267" s="62">
        <v>129.38</v>
      </c>
      <c r="S267" s="61">
        <f>(Porovnavanie!J269*0.99-1.9)*Porovnavanie!I269</f>
        <v>512.8207167999999</v>
      </c>
    </row>
    <row r="268" spans="1:19" ht="15.75" thickBot="1">
      <c r="A268" s="101">
        <f t="shared" si="24"/>
        <v>45700</v>
      </c>
      <c r="B268" s="25" t="s">
        <v>18</v>
      </c>
      <c r="C268" s="54">
        <f>'DHS2021'!C267</f>
        <v>18778</v>
      </c>
      <c r="D268" s="55">
        <f>'DHS2022'!C267</f>
        <v>7410</v>
      </c>
      <c r="E268" s="55">
        <f>'DHS2023'!C267</f>
        <v>10003</v>
      </c>
      <c r="F268" s="55">
        <f>'DHS2024'!C267</f>
        <v>4520</v>
      </c>
      <c r="G268" s="56">
        <f t="shared" si="20"/>
        <v>10177.75</v>
      </c>
      <c r="H268" s="75">
        <f t="shared" si="21"/>
        <v>2.5444374999999999</v>
      </c>
      <c r="I268" s="76">
        <v>1</v>
      </c>
      <c r="J268" s="75">
        <f t="shared" si="22"/>
        <v>3.5444374999999999</v>
      </c>
      <c r="K268" s="81">
        <f t="shared" si="23"/>
        <v>4</v>
      </c>
      <c r="L268" s="11"/>
      <c r="M268" s="11"/>
      <c r="N268" s="11"/>
      <c r="O268" s="28">
        <f>'DHS2025'!C267</f>
        <v>12943</v>
      </c>
      <c r="P268" s="29">
        <f>'DHS2025'!D267</f>
        <v>1049</v>
      </c>
      <c r="Q268" s="29">
        <f>'DHS2025'!E267</f>
        <v>4042</v>
      </c>
      <c r="R268" s="62">
        <v>127.88</v>
      </c>
      <c r="S268" s="61">
        <f>(Porovnavanie!J270*0.99-1.9)*Porovnavanie!I270</f>
        <v>504.04225039999994</v>
      </c>
    </row>
    <row r="269" spans="1:19" ht="15.75" thickBot="1">
      <c r="A269" s="101">
        <f t="shared" si="24"/>
        <v>45700</v>
      </c>
      <c r="B269" s="25" t="s">
        <v>19</v>
      </c>
      <c r="C269" s="54">
        <f>'DHS2021'!C268</f>
        <v>18788</v>
      </c>
      <c r="D269" s="55">
        <f>'DHS2022'!C268</f>
        <v>7868</v>
      </c>
      <c r="E269" s="55">
        <f>'DHS2023'!C268</f>
        <v>10775</v>
      </c>
      <c r="F269" s="55">
        <f>'DHS2024'!C268</f>
        <v>2957</v>
      </c>
      <c r="G269" s="56">
        <f t="shared" si="20"/>
        <v>10097</v>
      </c>
      <c r="H269" s="75">
        <f t="shared" si="21"/>
        <v>2.5242499999999999</v>
      </c>
      <c r="I269" s="76">
        <v>1</v>
      </c>
      <c r="J269" s="75">
        <f t="shared" si="22"/>
        <v>3.5242499999999999</v>
      </c>
      <c r="K269" s="81">
        <f t="shared" si="23"/>
        <v>4</v>
      </c>
      <c r="L269" s="11"/>
      <c r="M269" s="11"/>
      <c r="N269" s="11"/>
      <c r="O269" s="28">
        <f>'DHS2025'!C268</f>
        <v>14145</v>
      </c>
      <c r="P269" s="29">
        <f>'DHS2025'!D268</f>
        <v>113</v>
      </c>
      <c r="Q269" s="29">
        <f>'DHS2025'!E268</f>
        <v>4055</v>
      </c>
      <c r="R269" s="62">
        <v>126.82</v>
      </c>
      <c r="S269" s="61">
        <f>(Porovnavanie!J271*0.99-1.9)*Porovnavanie!I271</f>
        <v>501.40804899999989</v>
      </c>
    </row>
    <row r="270" spans="1:19" ht="15.75" thickBot="1">
      <c r="A270" s="101">
        <f t="shared" si="24"/>
        <v>45700</v>
      </c>
      <c r="B270" s="25" t="s">
        <v>20</v>
      </c>
      <c r="C270" s="54">
        <f>'DHS2021'!C269</f>
        <v>19078</v>
      </c>
      <c r="D270" s="55">
        <f>'DHS2022'!C269</f>
        <v>9038</v>
      </c>
      <c r="E270" s="55">
        <f>'DHS2023'!C269</f>
        <v>10163</v>
      </c>
      <c r="F270" s="55">
        <f>'DHS2024'!C269</f>
        <v>4998</v>
      </c>
      <c r="G270" s="56">
        <f t="shared" si="20"/>
        <v>10819.25</v>
      </c>
      <c r="H270" s="75">
        <f t="shared" si="21"/>
        <v>2.7048125000000001</v>
      </c>
      <c r="I270" s="76">
        <v>1</v>
      </c>
      <c r="J270" s="75">
        <f t="shared" si="22"/>
        <v>3.7048125000000001</v>
      </c>
      <c r="K270" s="81">
        <f t="shared" si="23"/>
        <v>4</v>
      </c>
      <c r="L270" s="11"/>
      <c r="M270" s="11"/>
      <c r="N270" s="11"/>
      <c r="O270" s="28">
        <f>'DHS2025'!C269</f>
        <v>13846</v>
      </c>
      <c r="P270" s="29">
        <f>'DHS2025'!D269</f>
        <v>110</v>
      </c>
      <c r="Q270" s="29">
        <f>'DHS2025'!E269</f>
        <v>4049</v>
      </c>
      <c r="R270" s="62">
        <v>126.59</v>
      </c>
      <c r="S270" s="61">
        <f>(Porovnavanie!J272*0.99-1.9)*Porovnavanie!I272</f>
        <v>499.7441809</v>
      </c>
    </row>
    <row r="271" spans="1:19" ht="15.75" thickBot="1">
      <c r="A271" s="101">
        <f t="shared" si="24"/>
        <v>45700</v>
      </c>
      <c r="B271" s="25" t="s">
        <v>21</v>
      </c>
      <c r="C271" s="54">
        <f>'DHS2021'!C270</f>
        <v>22830</v>
      </c>
      <c r="D271" s="55">
        <f>'DHS2022'!C270</f>
        <v>18099</v>
      </c>
      <c r="E271" s="55">
        <f>'DHS2023'!C270</f>
        <v>12756</v>
      </c>
      <c r="F271" s="55">
        <f>'DHS2024'!C270</f>
        <v>8779</v>
      </c>
      <c r="G271" s="56">
        <f t="shared" si="20"/>
        <v>15616</v>
      </c>
      <c r="H271" s="75">
        <f t="shared" si="21"/>
        <v>3.9039999999999999</v>
      </c>
      <c r="I271" s="76">
        <v>1</v>
      </c>
      <c r="J271" s="75">
        <f t="shared" si="22"/>
        <v>4.9039999999999999</v>
      </c>
      <c r="K271" s="81">
        <f t="shared" si="23"/>
        <v>5</v>
      </c>
      <c r="L271" s="11"/>
      <c r="M271" s="11"/>
      <c r="N271" s="11"/>
      <c r="O271" s="28">
        <f>'DHS2025'!C270</f>
        <v>17421</v>
      </c>
      <c r="P271" s="29">
        <f>'DHS2025'!D270</f>
        <v>2293</v>
      </c>
      <c r="Q271" s="29">
        <f>'DHS2025'!E270</f>
        <v>5134</v>
      </c>
      <c r="R271" s="62">
        <v>128.74</v>
      </c>
      <c r="S271" s="61">
        <f>(Porovnavanie!J273*0.99-1.9)*Porovnavanie!I273</f>
        <v>644.58704840000007</v>
      </c>
    </row>
    <row r="272" spans="1:19" ht="15.75" thickBot="1">
      <c r="A272" s="101">
        <f t="shared" si="24"/>
        <v>45700</v>
      </c>
      <c r="B272" s="25" t="s">
        <v>22</v>
      </c>
      <c r="C272" s="54">
        <f>'DHS2021'!C271</f>
        <v>23865</v>
      </c>
      <c r="D272" s="55">
        <f>'DHS2022'!C271</f>
        <v>18796</v>
      </c>
      <c r="E272" s="55">
        <f>'DHS2023'!C271</f>
        <v>21687</v>
      </c>
      <c r="F272" s="55">
        <f>'DHS2024'!C271</f>
        <v>11400</v>
      </c>
      <c r="G272" s="56">
        <f t="shared" si="20"/>
        <v>18937</v>
      </c>
      <c r="H272" s="75">
        <f t="shared" si="21"/>
        <v>4.7342500000000003</v>
      </c>
      <c r="I272" s="76">
        <v>1</v>
      </c>
      <c r="J272" s="75">
        <f t="shared" si="22"/>
        <v>5.7342500000000003</v>
      </c>
      <c r="K272" s="81">
        <f t="shared" si="23"/>
        <v>6</v>
      </c>
      <c r="L272" s="11"/>
      <c r="M272" s="11"/>
      <c r="N272" s="11"/>
      <c r="O272" s="28">
        <f>'DHS2025'!C271</f>
        <v>22952</v>
      </c>
      <c r="P272" s="29">
        <f>'DHS2025'!D271</f>
        <v>2308</v>
      </c>
      <c r="Q272" s="29">
        <f>'DHS2025'!E271</f>
        <v>6078</v>
      </c>
      <c r="R272" s="62">
        <v>141.47999999999999</v>
      </c>
      <c r="S272" s="61">
        <f>(Porovnavanie!J274*0.99-1.9)*Porovnavanie!I274</f>
        <v>839.76808559999984</v>
      </c>
    </row>
    <row r="273" spans="1:19" ht="15.75" thickBot="1">
      <c r="A273" s="101">
        <f t="shared" si="24"/>
        <v>45700</v>
      </c>
      <c r="B273" s="25" t="s">
        <v>23</v>
      </c>
      <c r="C273" s="54">
        <f>'DHS2021'!C272</f>
        <v>23866</v>
      </c>
      <c r="D273" s="55">
        <f>'DHS2022'!C272</f>
        <v>15927</v>
      </c>
      <c r="E273" s="55">
        <f>'DHS2023'!C272</f>
        <v>17578</v>
      </c>
      <c r="F273" s="55">
        <f>'DHS2024'!C272</f>
        <v>12477</v>
      </c>
      <c r="G273" s="56">
        <f t="shared" si="20"/>
        <v>17462</v>
      </c>
      <c r="H273" s="75">
        <f t="shared" si="21"/>
        <v>4.3654999999999999</v>
      </c>
      <c r="I273" s="76">
        <v>1</v>
      </c>
      <c r="J273" s="75">
        <f t="shared" si="22"/>
        <v>5.3654999999999999</v>
      </c>
      <c r="K273" s="81">
        <f t="shared" si="23"/>
        <v>6</v>
      </c>
      <c r="L273" s="11"/>
      <c r="M273" s="11"/>
      <c r="N273" s="11"/>
      <c r="O273" s="28">
        <f>'DHS2025'!C272</f>
        <v>25883</v>
      </c>
      <c r="P273" s="29">
        <f>'DHS2025'!D272</f>
        <v>2876</v>
      </c>
      <c r="Q273" s="29">
        <f>'DHS2025'!E272</f>
        <v>8055</v>
      </c>
      <c r="R273" s="62">
        <v>195.08</v>
      </c>
      <c r="S273" s="61">
        <f>(Porovnavanie!J275*0.99-1.9)*Porovnavanie!I275</f>
        <v>1540.3512059999998</v>
      </c>
    </row>
    <row r="274" spans="1:19" ht="15.75" thickBot="1">
      <c r="A274" s="101">
        <f t="shared" si="24"/>
        <v>45700</v>
      </c>
      <c r="B274" s="25" t="s">
        <v>24</v>
      </c>
      <c r="C274" s="54">
        <f>'DHS2021'!C273</f>
        <v>23994</v>
      </c>
      <c r="D274" s="55">
        <f>'DHS2022'!C273</f>
        <v>14761</v>
      </c>
      <c r="E274" s="55">
        <f>'DHS2023'!C273</f>
        <v>15870</v>
      </c>
      <c r="F274" s="55">
        <f>'DHS2024'!C273</f>
        <v>12815</v>
      </c>
      <c r="G274" s="56">
        <f t="shared" si="20"/>
        <v>16860</v>
      </c>
      <c r="H274" s="75">
        <f t="shared" si="21"/>
        <v>4.2149999999999999</v>
      </c>
      <c r="I274" s="76">
        <v>1</v>
      </c>
      <c r="J274" s="75">
        <f t="shared" si="22"/>
        <v>5.2149999999999999</v>
      </c>
      <c r="K274" s="81">
        <f t="shared" si="23"/>
        <v>6</v>
      </c>
      <c r="L274" s="11"/>
      <c r="M274" s="11"/>
      <c r="N274" s="11"/>
      <c r="O274" s="28">
        <f>'DHS2025'!C273</f>
        <v>22192</v>
      </c>
      <c r="P274" s="29">
        <f>'DHS2025'!D273</f>
        <v>2295</v>
      </c>
      <c r="Q274" s="29">
        <f>'DHS2025'!E273</f>
        <v>8008</v>
      </c>
      <c r="R274" s="62">
        <v>184.23</v>
      </c>
      <c r="S274" s="61">
        <f>(Porovnavanie!J276*0.99-1.9)*Porovnavanie!I276</f>
        <v>1445.3455015999998</v>
      </c>
    </row>
    <row r="275" spans="1:19" ht="15.75" thickBot="1">
      <c r="A275" s="101">
        <f t="shared" si="24"/>
        <v>45700</v>
      </c>
      <c r="B275" s="25" t="s">
        <v>25</v>
      </c>
      <c r="C275" s="54">
        <f>'DHS2021'!C274</f>
        <v>23709</v>
      </c>
      <c r="D275" s="55">
        <f>'DHS2022'!C274</f>
        <v>15276</v>
      </c>
      <c r="E275" s="55">
        <f>'DHS2023'!C274</f>
        <v>15486</v>
      </c>
      <c r="F275" s="55">
        <f>'DHS2024'!C274</f>
        <v>12258</v>
      </c>
      <c r="G275" s="56">
        <f t="shared" si="20"/>
        <v>16682.25</v>
      </c>
      <c r="H275" s="75">
        <f t="shared" si="21"/>
        <v>4.1705625</v>
      </c>
      <c r="I275" s="76">
        <v>1</v>
      </c>
      <c r="J275" s="75">
        <f t="shared" si="22"/>
        <v>5.1705625</v>
      </c>
      <c r="K275" s="81">
        <f t="shared" si="23"/>
        <v>6</v>
      </c>
      <c r="L275" s="11"/>
      <c r="M275" s="11"/>
      <c r="N275" s="11"/>
      <c r="O275" s="28">
        <f>'DHS2025'!C274</f>
        <v>21698</v>
      </c>
      <c r="P275" s="29">
        <f>'DHS2025'!D274</f>
        <v>3056</v>
      </c>
      <c r="Q275" s="29">
        <f>'DHS2025'!E274</f>
        <v>8052</v>
      </c>
      <c r="R275" s="62">
        <v>180</v>
      </c>
      <c r="S275" s="61">
        <f>(Porovnavanie!J277*0.99-1.9)*Porovnavanie!I277</f>
        <v>1419.5675999999999</v>
      </c>
    </row>
    <row r="276" spans="1:19" ht="15.75" thickBot="1">
      <c r="A276" s="101">
        <f t="shared" si="24"/>
        <v>45700</v>
      </c>
      <c r="B276" s="25" t="s">
        <v>26</v>
      </c>
      <c r="C276" s="54">
        <f>'DHS2021'!C275</f>
        <v>23253</v>
      </c>
      <c r="D276" s="55">
        <f>'DHS2022'!C275</f>
        <v>14717</v>
      </c>
      <c r="E276" s="55">
        <f>'DHS2023'!C275</f>
        <v>15521</v>
      </c>
      <c r="F276" s="55">
        <f>'DHS2024'!C275</f>
        <v>12240</v>
      </c>
      <c r="G276" s="56">
        <f t="shared" si="20"/>
        <v>16432.75</v>
      </c>
      <c r="H276" s="75">
        <f t="shared" si="21"/>
        <v>4.1081874999999997</v>
      </c>
      <c r="I276" s="76">
        <v>1</v>
      </c>
      <c r="J276" s="75">
        <f t="shared" si="22"/>
        <v>5.1081874999999997</v>
      </c>
      <c r="K276" s="81">
        <f t="shared" si="23"/>
        <v>6</v>
      </c>
      <c r="L276" s="11"/>
      <c r="M276" s="11"/>
      <c r="N276" s="11"/>
      <c r="O276" s="28">
        <f>'DHS2025'!C275</f>
        <v>19626</v>
      </c>
      <c r="P276" s="29">
        <f>'DHS2025'!D275</f>
        <v>4444</v>
      </c>
      <c r="Q276" s="29">
        <f>'DHS2025'!E275</f>
        <v>8067</v>
      </c>
      <c r="R276" s="62">
        <v>174.92</v>
      </c>
      <c r="S276" s="61">
        <f>(Porovnavanie!J278*0.99-1.9)*Porovnavanie!I278</f>
        <v>1381.6415436</v>
      </c>
    </row>
    <row r="277" spans="1:19" ht="15.75" thickBot="1">
      <c r="A277" s="101">
        <f t="shared" si="24"/>
        <v>45700</v>
      </c>
      <c r="B277" s="25" t="s">
        <v>27</v>
      </c>
      <c r="C277" s="54">
        <f>'DHS2021'!C276</f>
        <v>22426</v>
      </c>
      <c r="D277" s="55">
        <f>'DHS2022'!C276</f>
        <v>16378</v>
      </c>
      <c r="E277" s="55">
        <f>'DHS2023'!C276</f>
        <v>15436</v>
      </c>
      <c r="F277" s="55">
        <f>'DHS2024'!C276</f>
        <v>12495</v>
      </c>
      <c r="G277" s="56">
        <f t="shared" si="20"/>
        <v>16683.75</v>
      </c>
      <c r="H277" s="75">
        <f t="shared" si="21"/>
        <v>4.1709375</v>
      </c>
      <c r="I277" s="76">
        <v>1</v>
      </c>
      <c r="J277" s="75">
        <f t="shared" si="22"/>
        <v>5.1709375</v>
      </c>
      <c r="K277" s="81">
        <f t="shared" si="23"/>
        <v>6</v>
      </c>
      <c r="L277" s="11"/>
      <c r="M277" s="11"/>
      <c r="N277" s="11"/>
      <c r="O277" s="28">
        <f>'DHS2025'!C276</f>
        <v>17674</v>
      </c>
      <c r="P277" s="29">
        <f>'DHS2025'!D276</f>
        <v>6635</v>
      </c>
      <c r="Q277" s="29">
        <f>'DHS2025'!E276</f>
        <v>8059</v>
      </c>
      <c r="R277" s="62">
        <v>167.45</v>
      </c>
      <c r="S277" s="61">
        <f>(Porovnavanie!J279*0.99-1.9)*Porovnavanie!I279</f>
        <v>1320.6726544999997</v>
      </c>
    </row>
    <row r="278" spans="1:19" ht="15.75" thickBot="1">
      <c r="A278" s="101">
        <f t="shared" si="24"/>
        <v>45700</v>
      </c>
      <c r="B278" s="25" t="s">
        <v>28</v>
      </c>
      <c r="C278" s="54">
        <f>'DHS2021'!C277</f>
        <v>23416</v>
      </c>
      <c r="D278" s="55">
        <f>'DHS2022'!C277</f>
        <v>15348</v>
      </c>
      <c r="E278" s="55">
        <f>'DHS2023'!C277</f>
        <v>15251</v>
      </c>
      <c r="F278" s="55">
        <f>'DHS2024'!C277</f>
        <v>11344</v>
      </c>
      <c r="G278" s="56">
        <f t="shared" si="20"/>
        <v>16339.75</v>
      </c>
      <c r="H278" s="75">
        <f t="shared" si="21"/>
        <v>4.0849374999999997</v>
      </c>
      <c r="I278" s="76">
        <v>1</v>
      </c>
      <c r="J278" s="75">
        <f t="shared" si="22"/>
        <v>5.0849374999999997</v>
      </c>
      <c r="K278" s="81">
        <f t="shared" si="23"/>
        <v>6</v>
      </c>
      <c r="L278" s="11"/>
      <c r="M278" s="11"/>
      <c r="N278" s="11"/>
      <c r="O278" s="28">
        <f>'DHS2025'!C277</f>
        <v>13967</v>
      </c>
      <c r="P278" s="29">
        <f>'DHS2025'!D277</f>
        <v>10467</v>
      </c>
      <c r="Q278" s="29">
        <f>'DHS2025'!E277</f>
        <v>8037</v>
      </c>
      <c r="R278" s="62">
        <v>164.02</v>
      </c>
      <c r="S278" s="61">
        <f>(Porovnavanie!J280*0.99-1.9)*Porovnavanie!I280</f>
        <v>1289.7761526000002</v>
      </c>
    </row>
    <row r="279" spans="1:19" ht="15.75" thickBot="1">
      <c r="A279" s="101">
        <f t="shared" si="24"/>
        <v>45700</v>
      </c>
      <c r="B279" s="25" t="s">
        <v>29</v>
      </c>
      <c r="C279" s="54">
        <f>'DHS2021'!C278</f>
        <v>23506</v>
      </c>
      <c r="D279" s="55">
        <f>'DHS2022'!C278</f>
        <v>15239</v>
      </c>
      <c r="E279" s="55">
        <f>'DHS2023'!C278</f>
        <v>14253</v>
      </c>
      <c r="F279" s="55">
        <f>'DHS2024'!C278</f>
        <v>10192</v>
      </c>
      <c r="G279" s="56">
        <f t="shared" si="20"/>
        <v>15797.5</v>
      </c>
      <c r="H279" s="75">
        <f t="shared" si="21"/>
        <v>3.9493749999999999</v>
      </c>
      <c r="I279" s="76">
        <v>1</v>
      </c>
      <c r="J279" s="75">
        <f t="shared" si="22"/>
        <v>4.9493749999999999</v>
      </c>
      <c r="K279" s="81">
        <f t="shared" si="23"/>
        <v>5</v>
      </c>
      <c r="L279" s="11"/>
      <c r="M279" s="11"/>
      <c r="N279" s="11"/>
      <c r="O279" s="28">
        <f>'DHS2025'!C278</f>
        <v>12880</v>
      </c>
      <c r="P279" s="29">
        <f>'DHS2025'!D278</f>
        <v>11329</v>
      </c>
      <c r="Q279" s="29">
        <f>'DHS2025'!E278</f>
        <v>8059</v>
      </c>
      <c r="R279" s="62">
        <v>154.07</v>
      </c>
      <c r="S279" s="61">
        <f>(Porovnavanie!J281*0.99-1.9)*Porovnavanie!I281</f>
        <v>1213.9215286999997</v>
      </c>
    </row>
    <row r="280" spans="1:19" ht="15.75" thickBot="1">
      <c r="A280" s="101">
        <f t="shared" si="24"/>
        <v>45700</v>
      </c>
      <c r="B280" s="25" t="s">
        <v>30</v>
      </c>
      <c r="C280" s="54">
        <f>'DHS2021'!C279</f>
        <v>21504</v>
      </c>
      <c r="D280" s="55">
        <f>'DHS2022'!C279</f>
        <v>14589</v>
      </c>
      <c r="E280" s="55">
        <f>'DHS2023'!C279</f>
        <v>14450</v>
      </c>
      <c r="F280" s="55">
        <f>'DHS2024'!C279</f>
        <v>12000</v>
      </c>
      <c r="G280" s="56">
        <f t="shared" si="20"/>
        <v>15635.75</v>
      </c>
      <c r="H280" s="75">
        <f t="shared" si="21"/>
        <v>3.9089375</v>
      </c>
      <c r="I280" s="76">
        <v>1</v>
      </c>
      <c r="J280" s="75">
        <f t="shared" si="22"/>
        <v>4.9089375000000004</v>
      </c>
      <c r="K280" s="81">
        <f t="shared" si="23"/>
        <v>5</v>
      </c>
      <c r="L280" s="11"/>
      <c r="M280" s="11"/>
      <c r="N280" s="11"/>
      <c r="O280" s="28">
        <f>'DHS2025'!C279</f>
        <v>14416</v>
      </c>
      <c r="P280" s="29">
        <f>'DHS2025'!D279</f>
        <v>9555</v>
      </c>
      <c r="Q280" s="29">
        <f>'DHS2025'!E279</f>
        <v>8059</v>
      </c>
      <c r="R280" s="62">
        <v>155.99</v>
      </c>
      <c r="S280" s="61">
        <f>(Porovnavanie!J282*0.99-1.9)*Porovnavanie!I282</f>
        <v>1229.2400759</v>
      </c>
    </row>
    <row r="281" spans="1:19" ht="15.75" thickBot="1">
      <c r="A281" s="101">
        <f t="shared" si="24"/>
        <v>45700</v>
      </c>
      <c r="B281" s="25" t="s">
        <v>31</v>
      </c>
      <c r="C281" s="54">
        <f>'DHS2021'!C280</f>
        <v>22272</v>
      </c>
      <c r="D281" s="55">
        <f>'DHS2022'!C280</f>
        <v>14283</v>
      </c>
      <c r="E281" s="55">
        <f>'DHS2023'!C280</f>
        <v>14748</v>
      </c>
      <c r="F281" s="55">
        <f>'DHS2024'!C280</f>
        <v>12335</v>
      </c>
      <c r="G281" s="56">
        <f t="shared" si="20"/>
        <v>15909.5</v>
      </c>
      <c r="H281" s="75">
        <f t="shared" si="21"/>
        <v>3.9773749999999999</v>
      </c>
      <c r="I281" s="76">
        <v>1</v>
      </c>
      <c r="J281" s="75">
        <f t="shared" si="22"/>
        <v>4.9773750000000003</v>
      </c>
      <c r="K281" s="81">
        <f t="shared" si="23"/>
        <v>5</v>
      </c>
      <c r="L281" s="11"/>
      <c r="M281" s="11"/>
      <c r="N281" s="11"/>
      <c r="O281" s="28">
        <f>'DHS2025'!C280</f>
        <v>14909</v>
      </c>
      <c r="P281" s="29">
        <f>'DHS2025'!D280</f>
        <v>8890</v>
      </c>
      <c r="Q281" s="29">
        <f>'DHS2025'!E280</f>
        <v>8058</v>
      </c>
      <c r="R281" s="62">
        <v>185.34</v>
      </c>
      <c r="S281" s="61">
        <f>(Porovnavanie!J283*0.99-1.9)*Porovnavanie!I283</f>
        <v>1463.2248228000001</v>
      </c>
    </row>
    <row r="282" spans="1:19" ht="15.75" thickBot="1">
      <c r="A282" s="101">
        <f t="shared" si="24"/>
        <v>45700</v>
      </c>
      <c r="B282" s="25" t="s">
        <v>32</v>
      </c>
      <c r="C282" s="54">
        <f>'DHS2021'!C281</f>
        <v>22072</v>
      </c>
      <c r="D282" s="55">
        <f>'DHS2022'!C281</f>
        <v>14137</v>
      </c>
      <c r="E282" s="55">
        <f>'DHS2023'!C281</f>
        <v>14568</v>
      </c>
      <c r="F282" s="55">
        <f>'DHS2024'!C281</f>
        <v>12252</v>
      </c>
      <c r="G282" s="56">
        <f t="shared" si="20"/>
        <v>15757.25</v>
      </c>
      <c r="H282" s="75">
        <f t="shared" si="21"/>
        <v>3.9393125000000002</v>
      </c>
      <c r="I282" s="76">
        <v>1</v>
      </c>
      <c r="J282" s="75">
        <f t="shared" si="22"/>
        <v>4.9393124999999998</v>
      </c>
      <c r="K282" s="81">
        <f t="shared" si="23"/>
        <v>5</v>
      </c>
      <c r="L282" s="11"/>
      <c r="M282" s="11"/>
      <c r="N282" s="11"/>
      <c r="O282" s="28">
        <f>'DHS2025'!C281</f>
        <v>14813</v>
      </c>
      <c r="P282" s="29">
        <f>'DHS2025'!D281</f>
        <v>9563</v>
      </c>
      <c r="Q282" s="29">
        <f>'DHS2025'!E281</f>
        <v>8071</v>
      </c>
      <c r="R282" s="62">
        <v>202.61</v>
      </c>
      <c r="S282" s="61">
        <f>(Porovnavanie!J284*0.99-1.9)*Porovnavanie!I284</f>
        <v>1603.5777568999999</v>
      </c>
    </row>
    <row r="283" spans="1:19" ht="15.75" thickBot="1">
      <c r="A283" s="101">
        <f t="shared" si="24"/>
        <v>45700</v>
      </c>
      <c r="B283" s="25" t="s">
        <v>33</v>
      </c>
      <c r="C283" s="54">
        <f>'DHS2021'!C282</f>
        <v>21771</v>
      </c>
      <c r="D283" s="55">
        <f>'DHS2022'!C282</f>
        <v>14435</v>
      </c>
      <c r="E283" s="55">
        <f>'DHS2023'!C282</f>
        <v>12166</v>
      </c>
      <c r="F283" s="55">
        <f>'DHS2024'!C282</f>
        <v>10949</v>
      </c>
      <c r="G283" s="56">
        <f t="shared" si="20"/>
        <v>14830.25</v>
      </c>
      <c r="H283" s="75">
        <f t="shared" si="21"/>
        <v>3.7075624999999999</v>
      </c>
      <c r="I283" s="76">
        <v>1</v>
      </c>
      <c r="J283" s="75">
        <f t="shared" si="22"/>
        <v>4.7075624999999999</v>
      </c>
      <c r="K283" s="81">
        <f t="shared" si="23"/>
        <v>5</v>
      </c>
      <c r="L283" s="11"/>
      <c r="M283" s="11"/>
      <c r="N283" s="11"/>
      <c r="O283" s="28">
        <f>'DHS2025'!C282</f>
        <v>16288</v>
      </c>
      <c r="P283" s="29">
        <f>'DHS2025'!D282</f>
        <v>8580</v>
      </c>
      <c r="Q283" s="29">
        <f>'DHS2025'!E282</f>
        <v>8086</v>
      </c>
      <c r="R283" s="62">
        <v>230.23</v>
      </c>
      <c r="S283" s="61">
        <f>(Porovnavanie!J285*0.99-1.9)*Porovnavanie!I285</f>
        <v>1827.6599821999998</v>
      </c>
    </row>
    <row r="284" spans="1:19" ht="15.75" thickBot="1">
      <c r="A284" s="101">
        <f t="shared" si="24"/>
        <v>45700</v>
      </c>
      <c r="B284" s="25" t="s">
        <v>34</v>
      </c>
      <c r="C284" s="54">
        <f>'DHS2021'!C283</f>
        <v>23764</v>
      </c>
      <c r="D284" s="55">
        <f>'DHS2022'!C283</f>
        <v>15516</v>
      </c>
      <c r="E284" s="55">
        <f>'DHS2023'!C283</f>
        <v>15568</v>
      </c>
      <c r="F284" s="55">
        <f>'DHS2024'!C283</f>
        <v>11476</v>
      </c>
      <c r="G284" s="56">
        <f t="shared" si="20"/>
        <v>16581</v>
      </c>
      <c r="H284" s="75">
        <f t="shared" si="21"/>
        <v>4.1452499999999999</v>
      </c>
      <c r="I284" s="76">
        <v>1</v>
      </c>
      <c r="J284" s="75">
        <f t="shared" si="22"/>
        <v>5.1452499999999999</v>
      </c>
      <c r="K284" s="81">
        <f t="shared" si="23"/>
        <v>6</v>
      </c>
      <c r="L284" s="11"/>
      <c r="M284" s="11"/>
      <c r="N284" s="11"/>
      <c r="O284" s="28">
        <f>'DHS2025'!C283</f>
        <v>16316</v>
      </c>
      <c r="P284" s="29">
        <f>'DHS2025'!D283</f>
        <v>8244</v>
      </c>
      <c r="Q284" s="29">
        <f>'DHS2025'!E283</f>
        <v>8039</v>
      </c>
      <c r="R284" s="62">
        <v>109.33</v>
      </c>
      <c r="S284" s="61">
        <f>(Porovnavanie!J286*0.99-1.9)*Porovnavanie!I286</f>
        <v>854.8407312999999</v>
      </c>
    </row>
    <row r="285" spans="1:19" ht="15.75" thickBot="1">
      <c r="A285" s="101">
        <f t="shared" si="24"/>
        <v>45700</v>
      </c>
      <c r="B285" s="25" t="s">
        <v>35</v>
      </c>
      <c r="C285" s="54">
        <f>'DHS2021'!C284</f>
        <v>24422</v>
      </c>
      <c r="D285" s="55">
        <f>'DHS2022'!C284</f>
        <v>17879</v>
      </c>
      <c r="E285" s="55">
        <f>'DHS2023'!C284</f>
        <v>17296</v>
      </c>
      <c r="F285" s="55">
        <f>'DHS2024'!C284</f>
        <v>11808</v>
      </c>
      <c r="G285" s="56">
        <f t="shared" si="20"/>
        <v>17851.25</v>
      </c>
      <c r="H285" s="75">
        <f t="shared" si="21"/>
        <v>4.4628125000000001</v>
      </c>
      <c r="I285" s="76">
        <v>1</v>
      </c>
      <c r="J285" s="75">
        <f t="shared" si="22"/>
        <v>5.4628125000000001</v>
      </c>
      <c r="K285" s="81">
        <f t="shared" si="23"/>
        <v>6</v>
      </c>
      <c r="L285" s="11"/>
      <c r="M285" s="11"/>
      <c r="N285" s="11"/>
      <c r="O285" s="28">
        <f>'DHS2025'!C284</f>
        <v>17720</v>
      </c>
      <c r="P285" s="29">
        <f>'DHS2025'!D284</f>
        <v>6397</v>
      </c>
      <c r="Q285" s="29">
        <f>'DHS2025'!E284</f>
        <v>8080</v>
      </c>
      <c r="R285" s="62">
        <v>150</v>
      </c>
      <c r="S285" s="61">
        <f>(Porovnavanie!J287*0.99-1.9)*Porovnavanie!I287</f>
        <v>1184.528</v>
      </c>
    </row>
    <row r="286" spans="1:19" ht="15.75" thickBot="1">
      <c r="A286" s="101">
        <f t="shared" si="24"/>
        <v>45700</v>
      </c>
      <c r="B286" s="25" t="s">
        <v>36</v>
      </c>
      <c r="C286" s="54">
        <f>'DHS2021'!C285</f>
        <v>24221</v>
      </c>
      <c r="D286" s="55">
        <f>'DHS2022'!C285</f>
        <v>18237</v>
      </c>
      <c r="E286" s="55">
        <f>'DHS2023'!C285</f>
        <v>17404</v>
      </c>
      <c r="F286" s="55">
        <f>'DHS2024'!C285</f>
        <v>12474</v>
      </c>
      <c r="G286" s="56">
        <f t="shared" si="20"/>
        <v>18084</v>
      </c>
      <c r="H286" s="75">
        <f t="shared" si="21"/>
        <v>4.5209999999999999</v>
      </c>
      <c r="I286" s="76">
        <v>1</v>
      </c>
      <c r="J286" s="75">
        <f t="shared" si="22"/>
        <v>5.5209999999999999</v>
      </c>
      <c r="K286" s="81">
        <f t="shared" si="23"/>
        <v>6</v>
      </c>
      <c r="L286" s="11"/>
      <c r="M286" s="11"/>
      <c r="N286" s="11"/>
      <c r="O286" s="28">
        <f>'DHS2025'!C285</f>
        <v>18979</v>
      </c>
      <c r="P286" s="29">
        <f>'DHS2025'!D285</f>
        <v>6806</v>
      </c>
      <c r="Q286" s="29">
        <f>'DHS2025'!E285</f>
        <v>8066</v>
      </c>
      <c r="R286" s="62">
        <v>200</v>
      </c>
      <c r="S286" s="61">
        <f>(Porovnavanie!J288*0.99-1.9)*Porovnavanie!I288</f>
        <v>1581.7426</v>
      </c>
    </row>
    <row r="287" spans="1:19" ht="15.75" thickBot="1">
      <c r="A287" s="101">
        <f t="shared" si="24"/>
        <v>45700</v>
      </c>
      <c r="B287" s="25" t="s">
        <v>37</v>
      </c>
      <c r="C287" s="54">
        <f>'DHS2021'!C286</f>
        <v>23754</v>
      </c>
      <c r="D287" s="55">
        <f>'DHS2022'!C286</f>
        <v>17678</v>
      </c>
      <c r="E287" s="55">
        <f>'DHS2023'!C286</f>
        <v>18784</v>
      </c>
      <c r="F287" s="55">
        <f>'DHS2024'!C286</f>
        <v>12520</v>
      </c>
      <c r="G287" s="56">
        <f t="shared" si="20"/>
        <v>18184</v>
      </c>
      <c r="H287" s="75">
        <f t="shared" si="21"/>
        <v>4.5460000000000003</v>
      </c>
      <c r="I287" s="76">
        <v>1</v>
      </c>
      <c r="J287" s="75">
        <f t="shared" si="22"/>
        <v>5.5460000000000003</v>
      </c>
      <c r="K287" s="81">
        <f t="shared" si="23"/>
        <v>6</v>
      </c>
      <c r="L287" s="11"/>
      <c r="M287" s="11"/>
      <c r="N287" s="11"/>
      <c r="O287" s="28">
        <f>'DHS2025'!C286</f>
        <v>17776</v>
      </c>
      <c r="P287" s="29">
        <f>'DHS2025'!D286</f>
        <v>6898</v>
      </c>
      <c r="Q287" s="29">
        <f>'DHS2025'!E286</f>
        <v>8063</v>
      </c>
      <c r="R287" s="62">
        <v>271.45</v>
      </c>
      <c r="S287" s="61">
        <f>(Porovnavanie!J289*0.99-1.9)*Porovnavanie!I289</f>
        <v>2151.4946365000005</v>
      </c>
    </row>
    <row r="288" spans="1:19" ht="15.75" thickBot="1">
      <c r="A288" s="101">
        <f t="shared" si="24"/>
        <v>45700</v>
      </c>
      <c r="B288" s="25" t="s">
        <v>38</v>
      </c>
      <c r="C288" s="54">
        <f>'DHS2021'!C287</f>
        <v>24362</v>
      </c>
      <c r="D288" s="55">
        <f>'DHS2022'!C287</f>
        <v>17818</v>
      </c>
      <c r="E288" s="55">
        <f>'DHS2023'!C287</f>
        <v>19848</v>
      </c>
      <c r="F288" s="55">
        <f>'DHS2024'!C287</f>
        <v>12597</v>
      </c>
      <c r="G288" s="56">
        <f t="shared" si="20"/>
        <v>18656.25</v>
      </c>
      <c r="H288" s="75">
        <f t="shared" si="21"/>
        <v>4.6640625</v>
      </c>
      <c r="I288" s="76">
        <v>1</v>
      </c>
      <c r="J288" s="75">
        <f t="shared" si="22"/>
        <v>5.6640625</v>
      </c>
      <c r="K288" s="81">
        <f t="shared" si="23"/>
        <v>6</v>
      </c>
      <c r="L288" s="11"/>
      <c r="M288" s="11"/>
      <c r="N288" s="11"/>
      <c r="O288" s="28">
        <f>'DHS2025'!C287</f>
        <v>18897</v>
      </c>
      <c r="P288" s="29">
        <f>'DHS2025'!D287</f>
        <v>4516</v>
      </c>
      <c r="Q288" s="29">
        <f>'DHS2025'!E287</f>
        <v>8042</v>
      </c>
      <c r="R288" s="62">
        <v>202.17</v>
      </c>
      <c r="S288" s="61">
        <f>(Porovnavanie!J290*0.99-1.9)*Porovnavanie!I290</f>
        <v>1594.3128285999996</v>
      </c>
    </row>
    <row r="289" spans="1:19" ht="15.75" thickBot="1">
      <c r="A289" s="101">
        <f t="shared" si="24"/>
        <v>45700</v>
      </c>
      <c r="B289" s="25" t="s">
        <v>39</v>
      </c>
      <c r="C289" s="54">
        <f>'DHS2021'!C288</f>
        <v>22469</v>
      </c>
      <c r="D289" s="55">
        <f>'DHS2022'!C288</f>
        <v>16203</v>
      </c>
      <c r="E289" s="55">
        <f>'DHS2023'!C288</f>
        <v>12539</v>
      </c>
      <c r="F289" s="55">
        <f>'DHS2024'!C288</f>
        <v>9754</v>
      </c>
      <c r="G289" s="56">
        <f t="shared" si="20"/>
        <v>15241.25</v>
      </c>
      <c r="H289" s="75">
        <f t="shared" si="21"/>
        <v>3.8103125000000002</v>
      </c>
      <c r="I289" s="76">
        <v>1</v>
      </c>
      <c r="J289" s="75">
        <f t="shared" si="22"/>
        <v>4.8103125000000002</v>
      </c>
      <c r="K289" s="81">
        <f t="shared" si="23"/>
        <v>5</v>
      </c>
      <c r="L289" s="11"/>
      <c r="M289" s="11"/>
      <c r="N289" s="11"/>
      <c r="O289" s="28">
        <f>'DHS2025'!C288</f>
        <v>16338</v>
      </c>
      <c r="P289" s="29">
        <f>'DHS2025'!D288</f>
        <v>8997</v>
      </c>
      <c r="Q289" s="29">
        <f>'DHS2025'!E288</f>
        <v>8067</v>
      </c>
      <c r="R289" s="62">
        <v>196.54</v>
      </c>
      <c r="S289" s="61">
        <f>(Porovnavanie!J291*0.99-1.9)*Porovnavanie!I291</f>
        <v>1554.3059982</v>
      </c>
    </row>
    <row r="290" spans="1:19" ht="15.75" thickBot="1">
      <c r="A290" s="101">
        <f t="shared" si="24"/>
        <v>45700</v>
      </c>
      <c r="B290" s="25" t="s">
        <v>40</v>
      </c>
      <c r="C290" s="54">
        <f>'DHS2021'!C289</f>
        <v>9022</v>
      </c>
      <c r="D290" s="55">
        <f>'DHS2022'!C289</f>
        <v>11219</v>
      </c>
      <c r="E290" s="55">
        <f>'DHS2023'!C289</f>
        <v>12622</v>
      </c>
      <c r="F290" s="55">
        <f>'DHS2024'!C289</f>
        <v>5242</v>
      </c>
      <c r="G290" s="56">
        <f t="shared" si="20"/>
        <v>9526.25</v>
      </c>
      <c r="H290" s="75">
        <f t="shared" si="21"/>
        <v>2.3815624999999998</v>
      </c>
      <c r="I290" s="76">
        <v>1</v>
      </c>
      <c r="J290" s="75">
        <f t="shared" si="22"/>
        <v>3.3815624999999998</v>
      </c>
      <c r="K290" s="81">
        <f t="shared" si="23"/>
        <v>4</v>
      </c>
      <c r="L290" s="11"/>
      <c r="M290" s="11"/>
      <c r="N290" s="11"/>
      <c r="O290" s="28">
        <f>'DHS2025'!C289</f>
        <v>7432</v>
      </c>
      <c r="P290" s="29">
        <f>'DHS2025'!D289</f>
        <v>17289</v>
      </c>
      <c r="Q290" s="29">
        <f>'DHS2025'!E289</f>
        <v>8093</v>
      </c>
      <c r="R290" s="62">
        <v>179.61</v>
      </c>
      <c r="S290" s="61">
        <f>(Porovnavanie!J292*0.99-1.9)*Porovnavanie!I292</f>
        <v>1423.6711927000001</v>
      </c>
    </row>
    <row r="291" spans="1:19" ht="15.75" thickBot="1">
      <c r="A291" s="100">
        <f t="shared" si="24"/>
        <v>45701</v>
      </c>
      <c r="B291" s="24" t="s">
        <v>17</v>
      </c>
      <c r="C291" s="54">
        <f>'DHS2021'!C290</f>
        <v>14436</v>
      </c>
      <c r="D291" s="55">
        <f>'DHS2022'!C290</f>
        <v>14135</v>
      </c>
      <c r="E291" s="55">
        <f>'DHS2023'!C290</f>
        <v>12712</v>
      </c>
      <c r="F291" s="55">
        <f>'DHS2024'!C290</f>
        <v>2562</v>
      </c>
      <c r="G291" s="56">
        <f t="shared" si="20"/>
        <v>10961.25</v>
      </c>
      <c r="H291" s="75">
        <f t="shared" si="21"/>
        <v>2.7403124999999999</v>
      </c>
      <c r="I291" s="76">
        <v>1</v>
      </c>
      <c r="J291" s="75">
        <f t="shared" si="22"/>
        <v>3.7403124999999999</v>
      </c>
      <c r="K291" s="81">
        <f t="shared" si="23"/>
        <v>4</v>
      </c>
      <c r="L291" s="11"/>
      <c r="M291" s="11"/>
      <c r="N291" s="11"/>
      <c r="O291" s="28">
        <f>'DHS2025'!C290</f>
        <v>7147</v>
      </c>
      <c r="P291" s="29">
        <f>'DHS2025'!D290</f>
        <v>16472</v>
      </c>
      <c r="Q291" s="29">
        <f>'DHS2025'!E290</f>
        <v>8057</v>
      </c>
      <c r="R291" s="62">
        <v>178.86</v>
      </c>
      <c r="S291" s="61">
        <f>(Porovnavanie!J293*0.99-1.9)*Porovnavanie!I293</f>
        <v>1411.3559698000001</v>
      </c>
    </row>
    <row r="292" spans="1:19" ht="15.75" thickBot="1">
      <c r="A292" s="100">
        <f t="shared" si="24"/>
        <v>45701</v>
      </c>
      <c r="B292" s="24" t="s">
        <v>18</v>
      </c>
      <c r="C292" s="54">
        <f>'DHS2021'!C291</f>
        <v>16290</v>
      </c>
      <c r="D292" s="55">
        <f>'DHS2022'!C291</f>
        <v>12945</v>
      </c>
      <c r="E292" s="55">
        <f>'DHS2023'!C291</f>
        <v>13422</v>
      </c>
      <c r="F292" s="55">
        <f>'DHS2024'!C291</f>
        <v>3473</v>
      </c>
      <c r="G292" s="56">
        <f t="shared" si="20"/>
        <v>11532.5</v>
      </c>
      <c r="H292" s="75">
        <f t="shared" si="21"/>
        <v>2.8831250000000002</v>
      </c>
      <c r="I292" s="76">
        <v>1</v>
      </c>
      <c r="J292" s="75">
        <f t="shared" si="22"/>
        <v>3.8831250000000002</v>
      </c>
      <c r="K292" s="81">
        <f t="shared" si="23"/>
        <v>4</v>
      </c>
      <c r="L292" s="11"/>
      <c r="M292" s="11"/>
      <c r="N292" s="11"/>
      <c r="O292" s="28">
        <f>'DHS2025'!C291</f>
        <v>8310</v>
      </c>
      <c r="P292" s="29">
        <f>'DHS2025'!D291</f>
        <v>15745</v>
      </c>
      <c r="Q292" s="29">
        <f>'DHS2025'!E291</f>
        <v>8056</v>
      </c>
      <c r="R292" s="62">
        <v>157.82</v>
      </c>
      <c r="S292" s="61">
        <f>(Porovnavanie!J294*0.99-1.9)*Porovnavanie!I294</f>
        <v>1243.3775407999997</v>
      </c>
    </row>
    <row r="293" spans="1:19" ht="15.75" thickBot="1">
      <c r="A293" s="100">
        <f t="shared" si="24"/>
        <v>45701</v>
      </c>
      <c r="B293" s="24" t="s">
        <v>19</v>
      </c>
      <c r="C293" s="54">
        <f>'DHS2021'!C292</f>
        <v>16753</v>
      </c>
      <c r="D293" s="55">
        <f>'DHS2022'!C292</f>
        <v>13630</v>
      </c>
      <c r="E293" s="55">
        <f>'DHS2023'!C292</f>
        <v>13494</v>
      </c>
      <c r="F293" s="55">
        <f>'DHS2024'!C292</f>
        <v>3730</v>
      </c>
      <c r="G293" s="56">
        <f t="shared" si="20"/>
        <v>11901.75</v>
      </c>
      <c r="H293" s="75">
        <f t="shared" si="21"/>
        <v>2.9754375</v>
      </c>
      <c r="I293" s="76">
        <v>1</v>
      </c>
      <c r="J293" s="75">
        <f t="shared" si="22"/>
        <v>3.9754375</v>
      </c>
      <c r="K293" s="81">
        <f t="shared" si="23"/>
        <v>4</v>
      </c>
      <c r="L293" s="11"/>
      <c r="M293" s="11"/>
      <c r="N293" s="11"/>
      <c r="O293" s="28">
        <f>'DHS2025'!C292</f>
        <v>9613</v>
      </c>
      <c r="P293" s="29">
        <f>'DHS2025'!D292</f>
        <v>15587</v>
      </c>
      <c r="Q293" s="29">
        <f>'DHS2025'!E292</f>
        <v>8061</v>
      </c>
      <c r="R293" s="62">
        <v>149.08000000000001</v>
      </c>
      <c r="S293" s="61">
        <f>(Porovnavanie!J295*0.99-1.9)*Porovnavanie!I295</f>
        <v>1174.4006411999999</v>
      </c>
    </row>
    <row r="294" spans="1:19" ht="15.75" thickBot="1">
      <c r="A294" s="100">
        <f t="shared" si="24"/>
        <v>45701</v>
      </c>
      <c r="B294" s="24" t="s">
        <v>20</v>
      </c>
      <c r="C294" s="54">
        <f>'DHS2021'!C293</f>
        <v>18122</v>
      </c>
      <c r="D294" s="55">
        <f>'DHS2022'!C293</f>
        <v>12921</v>
      </c>
      <c r="E294" s="55">
        <f>'DHS2023'!C293</f>
        <v>15207</v>
      </c>
      <c r="F294" s="55">
        <f>'DHS2024'!C293</f>
        <v>3981</v>
      </c>
      <c r="G294" s="56">
        <f t="shared" si="20"/>
        <v>12557.75</v>
      </c>
      <c r="H294" s="75">
        <f t="shared" si="21"/>
        <v>3.1394375000000001</v>
      </c>
      <c r="I294" s="76">
        <v>1</v>
      </c>
      <c r="J294" s="75">
        <f t="shared" si="22"/>
        <v>4.1394374999999997</v>
      </c>
      <c r="K294" s="81">
        <f t="shared" si="23"/>
        <v>5</v>
      </c>
      <c r="L294" s="11"/>
      <c r="M294" s="11"/>
      <c r="N294" s="11"/>
      <c r="O294" s="28">
        <f>'DHS2025'!C293</f>
        <v>10553</v>
      </c>
      <c r="P294" s="29">
        <f>'DHS2025'!D293</f>
        <v>13883</v>
      </c>
      <c r="Q294" s="29">
        <f>'DHS2025'!E293</f>
        <v>8050</v>
      </c>
      <c r="R294" s="62">
        <v>143.37</v>
      </c>
      <c r="S294" s="61">
        <f>(Porovnavanie!J296*0.99-1.9)*Porovnavanie!I296</f>
        <v>1127.2922150000002</v>
      </c>
    </row>
    <row r="295" spans="1:19" ht="15.75" thickBot="1">
      <c r="A295" s="100">
        <f t="shared" si="24"/>
        <v>45701</v>
      </c>
      <c r="B295" s="24" t="s">
        <v>21</v>
      </c>
      <c r="C295" s="54">
        <f>'DHS2021'!C294</f>
        <v>24030</v>
      </c>
      <c r="D295" s="55">
        <f>'DHS2022'!C294</f>
        <v>19056</v>
      </c>
      <c r="E295" s="55">
        <f>'DHS2023'!C294</f>
        <v>18733</v>
      </c>
      <c r="F295" s="55">
        <f>'DHS2024'!C294</f>
        <v>8703</v>
      </c>
      <c r="G295" s="56">
        <f t="shared" si="20"/>
        <v>17630.5</v>
      </c>
      <c r="H295" s="75">
        <f t="shared" si="21"/>
        <v>4.4076250000000003</v>
      </c>
      <c r="I295" s="76">
        <v>1</v>
      </c>
      <c r="J295" s="75">
        <f t="shared" si="22"/>
        <v>5.4076250000000003</v>
      </c>
      <c r="K295" s="81">
        <f t="shared" si="23"/>
        <v>6</v>
      </c>
      <c r="L295" s="11"/>
      <c r="M295" s="11"/>
      <c r="N295" s="11"/>
      <c r="O295" s="28">
        <f>'DHS2025'!C294</f>
        <v>18189</v>
      </c>
      <c r="P295" s="29">
        <f>'DHS2025'!D294</f>
        <v>5732</v>
      </c>
      <c r="Q295" s="29">
        <f>'DHS2025'!E294</f>
        <v>8063</v>
      </c>
      <c r="R295" s="62">
        <v>149.18</v>
      </c>
      <c r="S295" s="61">
        <f>(Porovnavanie!J297*0.99-1.9)*Porovnavanie!I297</f>
        <v>1175.4902566000001</v>
      </c>
    </row>
    <row r="296" spans="1:19" ht="15.75" thickBot="1">
      <c r="A296" s="100">
        <f t="shared" si="24"/>
        <v>45701</v>
      </c>
      <c r="B296" s="24" t="s">
        <v>22</v>
      </c>
      <c r="C296" s="54">
        <f>'DHS2021'!C295</f>
        <v>23602</v>
      </c>
      <c r="D296" s="55">
        <f>'DHS2022'!C295</f>
        <v>18514</v>
      </c>
      <c r="E296" s="55">
        <f>'DHS2023'!C295</f>
        <v>19463</v>
      </c>
      <c r="F296" s="55">
        <f>'DHS2024'!C295</f>
        <v>11942</v>
      </c>
      <c r="G296" s="56">
        <f t="shared" si="20"/>
        <v>18380.25</v>
      </c>
      <c r="H296" s="75">
        <f t="shared" si="21"/>
        <v>4.5950625</v>
      </c>
      <c r="I296" s="76">
        <v>1</v>
      </c>
      <c r="J296" s="75">
        <f t="shared" si="22"/>
        <v>5.5950625</v>
      </c>
      <c r="K296" s="81">
        <f t="shared" si="23"/>
        <v>6</v>
      </c>
      <c r="L296" s="11"/>
      <c r="M296" s="11"/>
      <c r="N296" s="11"/>
      <c r="O296" s="28">
        <f>'DHS2025'!C295</f>
        <v>19413</v>
      </c>
      <c r="P296" s="29">
        <f>'DHS2025'!D295</f>
        <v>5502</v>
      </c>
      <c r="Q296" s="29">
        <f>'DHS2025'!E295</f>
        <v>8071</v>
      </c>
      <c r="R296" s="62">
        <v>185.26</v>
      </c>
      <c r="S296" s="61">
        <f>(Porovnavanie!J298*0.99-1.9)*Porovnavanie!I298</f>
        <v>1464.9462253999998</v>
      </c>
    </row>
    <row r="297" spans="1:19" ht="15.75" thickBot="1">
      <c r="A297" s="100">
        <f t="shared" si="24"/>
        <v>45701</v>
      </c>
      <c r="B297" s="24" t="s">
        <v>23</v>
      </c>
      <c r="C297" s="54">
        <f>'DHS2021'!C296</f>
        <v>24004</v>
      </c>
      <c r="D297" s="55">
        <f>'DHS2022'!C296</f>
        <v>19649</v>
      </c>
      <c r="E297" s="55">
        <f>'DHS2023'!C296</f>
        <v>14594</v>
      </c>
      <c r="F297" s="55">
        <f>'DHS2024'!C296</f>
        <v>13517</v>
      </c>
      <c r="G297" s="56">
        <f t="shared" si="20"/>
        <v>17941</v>
      </c>
      <c r="H297" s="75">
        <f t="shared" si="21"/>
        <v>4.4852499999999997</v>
      </c>
      <c r="I297" s="76">
        <v>1</v>
      </c>
      <c r="J297" s="75">
        <f t="shared" si="22"/>
        <v>5.4852499999999997</v>
      </c>
      <c r="K297" s="81">
        <f t="shared" si="23"/>
        <v>6</v>
      </c>
      <c r="L297" s="11"/>
      <c r="M297" s="11"/>
      <c r="N297" s="11"/>
      <c r="O297" s="28">
        <f>'DHS2025'!C296</f>
        <v>18280</v>
      </c>
      <c r="P297" s="29">
        <f>'DHS2025'!D296</f>
        <v>6554</v>
      </c>
      <c r="Q297" s="29">
        <f>'DHS2025'!E296</f>
        <v>8071</v>
      </c>
      <c r="R297" s="62">
        <v>265</v>
      </c>
      <c r="S297" s="61">
        <f>(Porovnavanie!J299*0.99-1.9)*Porovnavanie!I299</f>
        <v>2102.0919500000005</v>
      </c>
    </row>
    <row r="298" spans="1:19" ht="15.75" thickBot="1">
      <c r="A298" s="100">
        <f t="shared" si="24"/>
        <v>45701</v>
      </c>
      <c r="B298" s="24" t="s">
        <v>24</v>
      </c>
      <c r="C298" s="54">
        <f>'DHS2021'!C297</f>
        <v>24200</v>
      </c>
      <c r="D298" s="55">
        <f>'DHS2022'!C297</f>
        <v>17909</v>
      </c>
      <c r="E298" s="55">
        <f>'DHS2023'!C297</f>
        <v>15039</v>
      </c>
      <c r="F298" s="55">
        <f>'DHS2024'!C297</f>
        <v>13579</v>
      </c>
      <c r="G298" s="56">
        <f t="shared" si="20"/>
        <v>17681.75</v>
      </c>
      <c r="H298" s="75">
        <f t="shared" si="21"/>
        <v>4.4204375000000002</v>
      </c>
      <c r="I298" s="76">
        <v>1</v>
      </c>
      <c r="J298" s="75">
        <f t="shared" si="22"/>
        <v>5.4204375000000002</v>
      </c>
      <c r="K298" s="81">
        <f t="shared" si="23"/>
        <v>6</v>
      </c>
      <c r="L298" s="11"/>
      <c r="M298" s="11"/>
      <c r="N298" s="11"/>
      <c r="O298" s="28">
        <f>'DHS2025'!C297</f>
        <v>17427</v>
      </c>
      <c r="P298" s="29">
        <f>'DHS2025'!D297</f>
        <v>6832</v>
      </c>
      <c r="Q298" s="29">
        <f>'DHS2025'!E297</f>
        <v>8058</v>
      </c>
      <c r="R298" s="62">
        <v>324.08999999999997</v>
      </c>
      <c r="S298" s="61">
        <f>(Porovnavanie!J300*0.99-1.9)*Porovnavanie!I300</f>
        <v>2570.0918477999999</v>
      </c>
    </row>
    <row r="299" spans="1:19" ht="15.75" thickBot="1">
      <c r="A299" s="100">
        <f t="shared" si="24"/>
        <v>45701</v>
      </c>
      <c r="B299" s="24" t="s">
        <v>25</v>
      </c>
      <c r="C299" s="54">
        <f>'DHS2021'!C298</f>
        <v>22376</v>
      </c>
      <c r="D299" s="55">
        <f>'DHS2022'!C298</f>
        <v>19358</v>
      </c>
      <c r="E299" s="55">
        <f>'DHS2023'!C298</f>
        <v>17603</v>
      </c>
      <c r="F299" s="55">
        <f>'DHS2024'!C298</f>
        <v>13331</v>
      </c>
      <c r="G299" s="56">
        <f t="shared" si="20"/>
        <v>18167</v>
      </c>
      <c r="H299" s="75">
        <f t="shared" si="21"/>
        <v>4.5417500000000004</v>
      </c>
      <c r="I299" s="76">
        <v>1</v>
      </c>
      <c r="J299" s="75">
        <f t="shared" si="22"/>
        <v>5.5417500000000004</v>
      </c>
      <c r="K299" s="81">
        <f t="shared" si="23"/>
        <v>6</v>
      </c>
      <c r="L299" s="11"/>
      <c r="M299" s="11"/>
      <c r="N299" s="11"/>
      <c r="O299" s="28">
        <f>'DHS2025'!C298</f>
        <v>17542</v>
      </c>
      <c r="P299" s="29">
        <f>'DHS2025'!D298</f>
        <v>6337</v>
      </c>
      <c r="Q299" s="29">
        <f>'DHS2025'!E298</f>
        <v>8079</v>
      </c>
      <c r="R299" s="62">
        <v>320.70999999999998</v>
      </c>
      <c r="S299" s="61">
        <f>(Porovnavanie!J301*0.99-1.9)*Porovnavanie!I301</f>
        <v>2549.7558291</v>
      </c>
    </row>
    <row r="300" spans="1:19" ht="15.75" thickBot="1">
      <c r="A300" s="100">
        <f t="shared" si="24"/>
        <v>45701</v>
      </c>
      <c r="B300" s="24" t="s">
        <v>26</v>
      </c>
      <c r="C300" s="54">
        <f>'DHS2021'!C299</f>
        <v>23102</v>
      </c>
      <c r="D300" s="55">
        <f>'DHS2022'!C299</f>
        <v>18709</v>
      </c>
      <c r="E300" s="55">
        <f>'DHS2023'!C299</f>
        <v>15703</v>
      </c>
      <c r="F300" s="55">
        <f>'DHS2024'!C299</f>
        <v>13363</v>
      </c>
      <c r="G300" s="56">
        <f t="shared" si="20"/>
        <v>17719.25</v>
      </c>
      <c r="H300" s="75">
        <f t="shared" si="21"/>
        <v>4.4298124999999997</v>
      </c>
      <c r="I300" s="76">
        <v>1</v>
      </c>
      <c r="J300" s="75">
        <f t="shared" si="22"/>
        <v>5.4298124999999997</v>
      </c>
      <c r="K300" s="81">
        <f t="shared" si="23"/>
        <v>6</v>
      </c>
      <c r="L300" s="11"/>
      <c r="M300" s="11"/>
      <c r="N300" s="11"/>
      <c r="O300" s="28">
        <f>'DHS2025'!C299</f>
        <v>17067</v>
      </c>
      <c r="P300" s="29">
        <f>'DHS2025'!D299</f>
        <v>7017</v>
      </c>
      <c r="Q300" s="29">
        <f>'DHS2025'!E299</f>
        <v>8066</v>
      </c>
      <c r="R300" s="62">
        <v>287.70999999999998</v>
      </c>
      <c r="S300" s="61">
        <f>(Porovnavanie!J302*0.99-1.9)*Porovnavanie!I302</f>
        <v>2282.1367714000003</v>
      </c>
    </row>
    <row r="301" spans="1:19" ht="15.75" thickBot="1">
      <c r="A301" s="100">
        <f t="shared" si="24"/>
        <v>45701</v>
      </c>
      <c r="B301" s="24" t="s">
        <v>27</v>
      </c>
      <c r="C301" s="54">
        <f>'DHS2021'!C300</f>
        <v>21489</v>
      </c>
      <c r="D301" s="55">
        <f>'DHS2022'!C300</f>
        <v>14972</v>
      </c>
      <c r="E301" s="55">
        <f>'DHS2023'!C300</f>
        <v>12451</v>
      </c>
      <c r="F301" s="55">
        <f>'DHS2024'!C300</f>
        <v>14008</v>
      </c>
      <c r="G301" s="56">
        <f t="shared" si="20"/>
        <v>15730</v>
      </c>
      <c r="H301" s="75">
        <f t="shared" si="21"/>
        <v>3.9325000000000001</v>
      </c>
      <c r="I301" s="76">
        <v>1</v>
      </c>
      <c r="J301" s="75">
        <f t="shared" si="22"/>
        <v>4.9325000000000001</v>
      </c>
      <c r="K301" s="81">
        <f t="shared" si="23"/>
        <v>5</v>
      </c>
      <c r="L301" s="11"/>
      <c r="M301" s="11"/>
      <c r="N301" s="11"/>
      <c r="O301" s="28">
        <f>'DHS2025'!C300</f>
        <v>16160</v>
      </c>
      <c r="P301" s="29">
        <f>'DHS2025'!D300</f>
        <v>7544</v>
      </c>
      <c r="Q301" s="29">
        <f>'DHS2025'!E300</f>
        <v>8046</v>
      </c>
      <c r="R301" s="62">
        <v>206.36</v>
      </c>
      <c r="S301" s="61">
        <f>(Porovnavanie!J303*0.99-1.9)*Porovnavanie!I303</f>
        <v>1628.4814343999999</v>
      </c>
    </row>
    <row r="302" spans="1:19" ht="15.75" thickBot="1">
      <c r="A302" s="100">
        <f t="shared" si="24"/>
        <v>45701</v>
      </c>
      <c r="B302" s="24" t="s">
        <v>28</v>
      </c>
      <c r="C302" s="54">
        <f>'DHS2021'!C301</f>
        <v>19708</v>
      </c>
      <c r="D302" s="55">
        <f>'DHS2022'!C301</f>
        <v>14528</v>
      </c>
      <c r="E302" s="55">
        <f>'DHS2023'!C301</f>
        <v>13866</v>
      </c>
      <c r="F302" s="55">
        <f>'DHS2024'!C301</f>
        <v>14145</v>
      </c>
      <c r="G302" s="56">
        <f t="shared" si="20"/>
        <v>15561.75</v>
      </c>
      <c r="H302" s="75">
        <f t="shared" si="21"/>
        <v>3.8904375</v>
      </c>
      <c r="I302" s="76">
        <v>1</v>
      </c>
      <c r="J302" s="75">
        <f t="shared" si="22"/>
        <v>4.8904375</v>
      </c>
      <c r="K302" s="81">
        <f t="shared" si="23"/>
        <v>5</v>
      </c>
      <c r="L302" s="11"/>
      <c r="M302" s="11"/>
      <c r="N302" s="11"/>
      <c r="O302" s="28">
        <f>'DHS2025'!C301</f>
        <v>14926</v>
      </c>
      <c r="P302" s="29">
        <f>'DHS2025'!D301</f>
        <v>9461</v>
      </c>
      <c r="Q302" s="29">
        <f>'DHS2025'!E301</f>
        <v>8057</v>
      </c>
      <c r="R302" s="62">
        <v>186.44</v>
      </c>
      <c r="S302" s="61">
        <f>(Porovnavanie!J304*0.99-1.9)*Porovnavanie!I304</f>
        <v>1471.8173092000002</v>
      </c>
    </row>
    <row r="303" spans="1:19" ht="15.75" thickBot="1">
      <c r="A303" s="100">
        <f t="shared" si="24"/>
        <v>45701</v>
      </c>
      <c r="B303" s="24" t="s">
        <v>29</v>
      </c>
      <c r="C303" s="54">
        <f>'DHS2021'!C302</f>
        <v>21008</v>
      </c>
      <c r="D303" s="55">
        <f>'DHS2022'!C302</f>
        <v>14521</v>
      </c>
      <c r="E303" s="55">
        <f>'DHS2023'!C302</f>
        <v>13381</v>
      </c>
      <c r="F303" s="55">
        <f>'DHS2024'!C302</f>
        <v>14025</v>
      </c>
      <c r="G303" s="56">
        <f t="shared" si="20"/>
        <v>15733.75</v>
      </c>
      <c r="H303" s="75">
        <f t="shared" si="21"/>
        <v>3.9334375000000001</v>
      </c>
      <c r="I303" s="76">
        <v>1</v>
      </c>
      <c r="J303" s="75">
        <f t="shared" si="22"/>
        <v>4.9334375000000001</v>
      </c>
      <c r="K303" s="81">
        <f t="shared" si="23"/>
        <v>5</v>
      </c>
      <c r="L303" s="11"/>
      <c r="M303" s="11"/>
      <c r="N303" s="11"/>
      <c r="O303" s="28">
        <f>'DHS2025'!C302</f>
        <v>15197</v>
      </c>
      <c r="P303" s="29">
        <f>'DHS2025'!D302</f>
        <v>8705</v>
      </c>
      <c r="Q303" s="29">
        <f>'DHS2025'!E302</f>
        <v>8052</v>
      </c>
      <c r="R303" s="62">
        <v>178.95</v>
      </c>
      <c r="S303" s="61">
        <f>(Porovnavanie!J305*0.99-1.9)*Porovnavanie!I305</f>
        <v>1411.1975459999999</v>
      </c>
    </row>
    <row r="304" spans="1:19" ht="15.75" thickBot="1">
      <c r="A304" s="100">
        <f t="shared" si="24"/>
        <v>45701</v>
      </c>
      <c r="B304" s="24" t="s">
        <v>30</v>
      </c>
      <c r="C304" s="54">
        <f>'DHS2021'!C303</f>
        <v>21329</v>
      </c>
      <c r="D304" s="55">
        <f>'DHS2022'!C303</f>
        <v>13805</v>
      </c>
      <c r="E304" s="55">
        <f>'DHS2023'!C303</f>
        <v>14798</v>
      </c>
      <c r="F304" s="55">
        <f>'DHS2024'!C303</f>
        <v>13911</v>
      </c>
      <c r="G304" s="56">
        <f t="shared" si="20"/>
        <v>15960.75</v>
      </c>
      <c r="H304" s="75">
        <f t="shared" si="21"/>
        <v>3.9901875000000002</v>
      </c>
      <c r="I304" s="76">
        <v>1</v>
      </c>
      <c r="J304" s="75">
        <f t="shared" si="22"/>
        <v>4.9901875000000002</v>
      </c>
      <c r="K304" s="81">
        <f t="shared" si="23"/>
        <v>5</v>
      </c>
      <c r="L304" s="11"/>
      <c r="M304" s="11"/>
      <c r="N304" s="11"/>
      <c r="O304" s="28">
        <f>'DHS2025'!C303</f>
        <v>15785</v>
      </c>
      <c r="P304" s="29">
        <f>'DHS2025'!D303</f>
        <v>8262</v>
      </c>
      <c r="Q304" s="29">
        <f>'DHS2025'!E303</f>
        <v>8066</v>
      </c>
      <c r="R304" s="62">
        <v>192.22</v>
      </c>
      <c r="S304" s="61">
        <f>(Porovnavanie!J306*0.99-1.9)*Porovnavanie!I306</f>
        <v>1519.6166548000001</v>
      </c>
    </row>
    <row r="305" spans="1:19" ht="15.75" thickBot="1">
      <c r="A305" s="100">
        <f t="shared" si="24"/>
        <v>45701</v>
      </c>
      <c r="B305" s="24" t="s">
        <v>31</v>
      </c>
      <c r="C305" s="54">
        <f>'DHS2021'!C304</f>
        <v>20861</v>
      </c>
      <c r="D305" s="55">
        <f>'DHS2022'!C304</f>
        <v>13356</v>
      </c>
      <c r="E305" s="55">
        <f>'DHS2023'!C304</f>
        <v>13975</v>
      </c>
      <c r="F305" s="55">
        <f>'DHS2024'!C304</f>
        <v>13272</v>
      </c>
      <c r="G305" s="56">
        <f t="shared" si="20"/>
        <v>15366</v>
      </c>
      <c r="H305" s="75">
        <f t="shared" si="21"/>
        <v>3.8414999999999999</v>
      </c>
      <c r="I305" s="76">
        <v>1</v>
      </c>
      <c r="J305" s="75">
        <f t="shared" si="22"/>
        <v>4.8414999999999999</v>
      </c>
      <c r="K305" s="81">
        <f t="shared" si="23"/>
        <v>5</v>
      </c>
      <c r="L305" s="11"/>
      <c r="M305" s="11"/>
      <c r="N305" s="11"/>
      <c r="O305" s="28">
        <f>'DHS2025'!C304</f>
        <v>15954</v>
      </c>
      <c r="P305" s="29">
        <f>'DHS2025'!D304</f>
        <v>8368</v>
      </c>
      <c r="Q305" s="29">
        <f>'DHS2025'!E304</f>
        <v>8071</v>
      </c>
      <c r="R305" s="62">
        <v>215.95</v>
      </c>
      <c r="S305" s="61">
        <f>(Porovnavanie!J307*0.99-1.9)*Porovnavanie!I307</f>
        <v>1710.1682254999998</v>
      </c>
    </row>
    <row r="306" spans="1:19" ht="15.75" thickBot="1">
      <c r="A306" s="100">
        <f t="shared" si="24"/>
        <v>45701</v>
      </c>
      <c r="B306" s="24" t="s">
        <v>32</v>
      </c>
      <c r="C306" s="54">
        <f>'DHS2021'!C305</f>
        <v>19760</v>
      </c>
      <c r="D306" s="55">
        <f>'DHS2022'!C305</f>
        <v>12897</v>
      </c>
      <c r="E306" s="55">
        <f>'DHS2023'!C305</f>
        <v>13623</v>
      </c>
      <c r="F306" s="55">
        <f>'DHS2024'!C305</f>
        <v>11556</v>
      </c>
      <c r="G306" s="56">
        <f t="shared" si="20"/>
        <v>14459</v>
      </c>
      <c r="H306" s="75">
        <f t="shared" si="21"/>
        <v>3.6147499999999999</v>
      </c>
      <c r="I306" s="76">
        <v>1</v>
      </c>
      <c r="J306" s="75">
        <f t="shared" si="22"/>
        <v>4.6147499999999999</v>
      </c>
      <c r="K306" s="81">
        <f t="shared" si="23"/>
        <v>5</v>
      </c>
      <c r="L306" s="11"/>
      <c r="M306" s="11"/>
      <c r="N306" s="11"/>
      <c r="O306" s="28">
        <f>'DHS2025'!C305</f>
        <v>15515</v>
      </c>
      <c r="P306" s="29">
        <f>'DHS2025'!D305</f>
        <v>8895</v>
      </c>
      <c r="Q306" s="29">
        <f>'DHS2025'!E305</f>
        <v>8072</v>
      </c>
      <c r="R306" s="62">
        <v>229.26</v>
      </c>
      <c r="S306" s="61">
        <f>(Porovnavanie!J308*0.99-1.9)*Porovnavanie!I308</f>
        <v>1816.7440527999997</v>
      </c>
    </row>
    <row r="307" spans="1:19" ht="15.75" thickBot="1">
      <c r="A307" s="100">
        <f t="shared" si="24"/>
        <v>45701</v>
      </c>
      <c r="B307" s="24" t="s">
        <v>33</v>
      </c>
      <c r="C307" s="54">
        <f>'DHS2021'!C306</f>
        <v>21200</v>
      </c>
      <c r="D307" s="55">
        <f>'DHS2022'!C306</f>
        <v>13403</v>
      </c>
      <c r="E307" s="55">
        <f>'DHS2023'!C306</f>
        <v>13469</v>
      </c>
      <c r="F307" s="55">
        <f>'DHS2024'!C306</f>
        <v>11672</v>
      </c>
      <c r="G307" s="56">
        <f t="shared" si="20"/>
        <v>14936</v>
      </c>
      <c r="H307" s="75">
        <f t="shared" si="21"/>
        <v>3.734</v>
      </c>
      <c r="I307" s="76">
        <v>1</v>
      </c>
      <c r="J307" s="75">
        <f t="shared" si="22"/>
        <v>4.734</v>
      </c>
      <c r="K307" s="81">
        <f t="shared" si="23"/>
        <v>5</v>
      </c>
      <c r="L307" s="11"/>
      <c r="M307" s="11"/>
      <c r="N307" s="11"/>
      <c r="O307" s="28">
        <f>'DHS2025'!C306</f>
        <v>16591</v>
      </c>
      <c r="P307" s="29">
        <f>'DHS2025'!D306</f>
        <v>7707</v>
      </c>
      <c r="Q307" s="29">
        <f>'DHS2025'!E306</f>
        <v>8049</v>
      </c>
      <c r="R307" s="62">
        <v>311.8</v>
      </c>
      <c r="S307" s="61">
        <f>(Porovnavanie!J309*0.99-1.9)*Porovnavanie!I309</f>
        <v>2469.2883180000003</v>
      </c>
    </row>
    <row r="308" spans="1:19" ht="15.75" thickBot="1">
      <c r="A308" s="100">
        <f t="shared" si="24"/>
        <v>45701</v>
      </c>
      <c r="B308" s="24" t="s">
        <v>34</v>
      </c>
      <c r="C308" s="54">
        <f>'DHS2021'!C307</f>
        <v>22178</v>
      </c>
      <c r="D308" s="55">
        <f>'DHS2022'!C307</f>
        <v>14288</v>
      </c>
      <c r="E308" s="55">
        <f>'DHS2023'!C307</f>
        <v>14334</v>
      </c>
      <c r="F308" s="55">
        <f>'DHS2024'!C307</f>
        <v>11965</v>
      </c>
      <c r="G308" s="56">
        <f t="shared" si="20"/>
        <v>15691.25</v>
      </c>
      <c r="H308" s="75">
        <f t="shared" si="21"/>
        <v>3.9228125</v>
      </c>
      <c r="I308" s="76">
        <v>1</v>
      </c>
      <c r="J308" s="75">
        <f t="shared" si="22"/>
        <v>4.9228125</v>
      </c>
      <c r="K308" s="81">
        <f t="shared" si="23"/>
        <v>5</v>
      </c>
      <c r="L308" s="11"/>
      <c r="M308" s="11"/>
      <c r="N308" s="11"/>
      <c r="O308" s="28">
        <f>'DHS2025'!C307</f>
        <v>16653</v>
      </c>
      <c r="P308" s="29">
        <f>'DHS2025'!D307</f>
        <v>7323</v>
      </c>
      <c r="Q308" s="29">
        <f>'DHS2025'!E307</f>
        <v>8055</v>
      </c>
      <c r="R308" s="62">
        <v>200</v>
      </c>
      <c r="S308" s="61">
        <f>(Porovnavanie!J310*0.99-1.9)*Porovnavanie!I310</f>
        <v>1579.5854999999999</v>
      </c>
    </row>
    <row r="309" spans="1:19" ht="15.75" thickBot="1">
      <c r="A309" s="100">
        <f t="shared" si="24"/>
        <v>45701</v>
      </c>
      <c r="B309" s="24" t="s">
        <v>35</v>
      </c>
      <c r="C309" s="54">
        <f>'DHS2021'!C308</f>
        <v>21985</v>
      </c>
      <c r="D309" s="55">
        <f>'DHS2022'!C308</f>
        <v>16518</v>
      </c>
      <c r="E309" s="55">
        <f>'DHS2023'!C308</f>
        <v>15386</v>
      </c>
      <c r="F309" s="55">
        <f>'DHS2024'!C308</f>
        <v>12808</v>
      </c>
      <c r="G309" s="56">
        <f t="shared" si="20"/>
        <v>16674.25</v>
      </c>
      <c r="H309" s="75">
        <f t="shared" si="21"/>
        <v>4.1685625000000002</v>
      </c>
      <c r="I309" s="76">
        <v>1</v>
      </c>
      <c r="J309" s="75">
        <f t="shared" si="22"/>
        <v>5.1685625000000002</v>
      </c>
      <c r="K309" s="81">
        <f t="shared" si="23"/>
        <v>6</v>
      </c>
      <c r="L309" s="11"/>
      <c r="M309" s="11"/>
      <c r="N309" s="11"/>
      <c r="O309" s="28">
        <f>'DHS2025'!C308</f>
        <v>17354</v>
      </c>
      <c r="P309" s="29">
        <f>'DHS2025'!D308</f>
        <v>7433</v>
      </c>
      <c r="Q309" s="29">
        <f>'DHS2025'!E308</f>
        <v>8063</v>
      </c>
      <c r="R309" s="62">
        <v>209.59</v>
      </c>
      <c r="S309" s="61">
        <f>(Porovnavanie!J311*0.99-1.9)*Porovnavanie!I311</f>
        <v>1657.7052283</v>
      </c>
    </row>
    <row r="310" spans="1:19" ht="15.75" thickBot="1">
      <c r="A310" s="100">
        <f t="shared" si="24"/>
        <v>45701</v>
      </c>
      <c r="B310" s="24" t="s">
        <v>36</v>
      </c>
      <c r="C310" s="54">
        <f>'DHS2021'!C309</f>
        <v>21511</v>
      </c>
      <c r="D310" s="55">
        <f>'DHS2022'!C309</f>
        <v>17777</v>
      </c>
      <c r="E310" s="55">
        <f>'DHS2023'!C309</f>
        <v>14698</v>
      </c>
      <c r="F310" s="55">
        <f>'DHS2024'!C309</f>
        <v>13059</v>
      </c>
      <c r="G310" s="56">
        <f t="shared" si="20"/>
        <v>16761.25</v>
      </c>
      <c r="H310" s="75">
        <f t="shared" si="21"/>
        <v>4.1903125000000001</v>
      </c>
      <c r="I310" s="76">
        <v>1</v>
      </c>
      <c r="J310" s="75">
        <f t="shared" si="22"/>
        <v>5.1903125000000001</v>
      </c>
      <c r="K310" s="81">
        <f t="shared" si="23"/>
        <v>6</v>
      </c>
      <c r="L310" s="11"/>
      <c r="M310" s="11"/>
      <c r="N310" s="11"/>
      <c r="O310" s="28">
        <f>'DHS2025'!C309</f>
        <v>17035</v>
      </c>
      <c r="P310" s="29">
        <f>'DHS2025'!D309</f>
        <v>7372</v>
      </c>
      <c r="Q310" s="29">
        <f>'DHS2025'!E309</f>
        <v>8044</v>
      </c>
      <c r="R310" s="62">
        <v>196.52</v>
      </c>
      <c r="S310" s="61">
        <f>(Porovnavanie!J312*0.99-1.9)*Porovnavanie!I312</f>
        <v>1549.7152112000001</v>
      </c>
    </row>
    <row r="311" spans="1:19" ht="15.75" thickBot="1">
      <c r="A311" s="100">
        <f t="shared" si="24"/>
        <v>45701</v>
      </c>
      <c r="B311" s="24" t="s">
        <v>37</v>
      </c>
      <c r="C311" s="54">
        <f>'DHS2021'!C310</f>
        <v>21762</v>
      </c>
      <c r="D311" s="55">
        <f>'DHS2022'!C310</f>
        <v>18494</v>
      </c>
      <c r="E311" s="55">
        <f>'DHS2023'!C310</f>
        <v>16612</v>
      </c>
      <c r="F311" s="55">
        <f>'DHS2024'!C310</f>
        <v>13052</v>
      </c>
      <c r="G311" s="56">
        <f t="shared" si="20"/>
        <v>17480</v>
      </c>
      <c r="H311" s="75">
        <f t="shared" si="21"/>
        <v>4.37</v>
      </c>
      <c r="I311" s="76">
        <v>1</v>
      </c>
      <c r="J311" s="75">
        <f t="shared" si="22"/>
        <v>5.37</v>
      </c>
      <c r="K311" s="81">
        <f t="shared" si="23"/>
        <v>6</v>
      </c>
      <c r="L311" s="11"/>
      <c r="M311" s="11"/>
      <c r="N311" s="11"/>
      <c r="O311" s="28">
        <f>'DHS2025'!C310</f>
        <v>17674</v>
      </c>
      <c r="P311" s="29">
        <f>'DHS2025'!D310</f>
        <v>6901</v>
      </c>
      <c r="Q311" s="29">
        <f>'DHS2025'!E310</f>
        <v>8054</v>
      </c>
      <c r="R311" s="62">
        <v>180.09</v>
      </c>
      <c r="S311" s="61">
        <f>(Porovnavanie!J313*0.99-1.9)*Porovnavanie!I313</f>
        <v>1420.6378113999999</v>
      </c>
    </row>
    <row r="312" spans="1:19" ht="15.75" thickBot="1">
      <c r="A312" s="100">
        <f t="shared" si="24"/>
        <v>45701</v>
      </c>
      <c r="B312" s="24" t="s">
        <v>38</v>
      </c>
      <c r="C312" s="54">
        <f>'DHS2021'!C311</f>
        <v>21770</v>
      </c>
      <c r="D312" s="55">
        <f>'DHS2022'!C311</f>
        <v>16916</v>
      </c>
      <c r="E312" s="55">
        <f>'DHS2023'!C311</f>
        <v>14156</v>
      </c>
      <c r="F312" s="55">
        <f>'DHS2024'!C311</f>
        <v>12893</v>
      </c>
      <c r="G312" s="56">
        <f t="shared" si="20"/>
        <v>16433.75</v>
      </c>
      <c r="H312" s="75">
        <f t="shared" si="21"/>
        <v>4.1084375</v>
      </c>
      <c r="I312" s="76">
        <v>1</v>
      </c>
      <c r="J312" s="75">
        <f t="shared" si="22"/>
        <v>5.1084375</v>
      </c>
      <c r="K312" s="81">
        <f t="shared" si="23"/>
        <v>6</v>
      </c>
      <c r="L312" s="11"/>
      <c r="M312" s="11"/>
      <c r="N312" s="11"/>
      <c r="O312" s="28">
        <f>'DHS2025'!C311</f>
        <v>18168</v>
      </c>
      <c r="P312" s="29">
        <f>'DHS2025'!D311</f>
        <v>6409</v>
      </c>
      <c r="Q312" s="29">
        <f>'DHS2025'!E311</f>
        <v>8037</v>
      </c>
      <c r="R312" s="62">
        <v>162.91999999999999</v>
      </c>
      <c r="S312" s="61">
        <f>(Porovnavanie!J314*0.99-1.9)*Porovnavanie!I314</f>
        <v>1281.0238595999999</v>
      </c>
    </row>
    <row r="313" spans="1:19" ht="15.75" thickBot="1">
      <c r="A313" s="100">
        <f t="shared" si="24"/>
        <v>45701</v>
      </c>
      <c r="B313" s="24" t="s">
        <v>39</v>
      </c>
      <c r="C313" s="54">
        <f>'DHS2021'!C312</f>
        <v>16034</v>
      </c>
      <c r="D313" s="55">
        <f>'DHS2022'!C312</f>
        <v>15038</v>
      </c>
      <c r="E313" s="55">
        <f>'DHS2023'!C312</f>
        <v>13188</v>
      </c>
      <c r="F313" s="55">
        <f>'DHS2024'!C312</f>
        <v>12525</v>
      </c>
      <c r="G313" s="56">
        <f t="shared" si="20"/>
        <v>14196.25</v>
      </c>
      <c r="H313" s="75">
        <f t="shared" si="21"/>
        <v>3.5490624999999998</v>
      </c>
      <c r="I313" s="76">
        <v>1</v>
      </c>
      <c r="J313" s="75">
        <f t="shared" si="22"/>
        <v>4.5490624999999998</v>
      </c>
      <c r="K313" s="81">
        <f t="shared" si="23"/>
        <v>5</v>
      </c>
      <c r="L313" s="11"/>
      <c r="M313" s="11"/>
      <c r="N313" s="11"/>
      <c r="O313" s="28">
        <f>'DHS2025'!C312</f>
        <v>14461</v>
      </c>
      <c r="P313" s="29">
        <f>'DHS2025'!D312</f>
        <v>10088</v>
      </c>
      <c r="Q313" s="29">
        <f>'DHS2025'!E312</f>
        <v>8091</v>
      </c>
      <c r="R313" s="62">
        <v>153.12</v>
      </c>
      <c r="S313" s="61">
        <f>(Porovnavanie!J315*0.99-1.9)*Porovnavanie!I315</f>
        <v>1211.1320807999998</v>
      </c>
    </row>
    <row r="314" spans="1:19" ht="15.75" thickBot="1">
      <c r="A314" s="100">
        <f t="shared" si="24"/>
        <v>45701</v>
      </c>
      <c r="B314" s="24" t="s">
        <v>40</v>
      </c>
      <c r="C314" s="54">
        <f>'DHS2021'!C313</f>
        <v>9911</v>
      </c>
      <c r="D314" s="55">
        <f>'DHS2022'!C313</f>
        <v>10529</v>
      </c>
      <c r="E314" s="55">
        <f>'DHS2023'!C313</f>
        <v>7132</v>
      </c>
      <c r="F314" s="55">
        <f>'DHS2024'!C313</f>
        <v>12534</v>
      </c>
      <c r="G314" s="56">
        <f t="shared" si="20"/>
        <v>10026.5</v>
      </c>
      <c r="H314" s="75">
        <f t="shared" si="21"/>
        <v>2.5066250000000001</v>
      </c>
      <c r="I314" s="76">
        <v>1</v>
      </c>
      <c r="J314" s="75">
        <f t="shared" si="22"/>
        <v>3.5066250000000001</v>
      </c>
      <c r="K314" s="81">
        <f t="shared" si="23"/>
        <v>4</v>
      </c>
      <c r="L314" s="11"/>
      <c r="M314" s="11"/>
      <c r="N314" s="11"/>
      <c r="O314" s="28">
        <f>'DHS2025'!C313</f>
        <v>8164</v>
      </c>
      <c r="P314" s="29">
        <f>'DHS2025'!D313</f>
        <v>16272</v>
      </c>
      <c r="Q314" s="29">
        <f>'DHS2025'!E313</f>
        <v>8060</v>
      </c>
      <c r="R314" s="62">
        <v>139.26</v>
      </c>
      <c r="S314" s="61">
        <f>(Porovnavanie!J316*0.99-1.9)*Porovnavanie!I316</f>
        <v>1095.897244</v>
      </c>
    </row>
    <row r="315" spans="1:19" ht="15.75" thickBot="1">
      <c r="A315" s="101">
        <f t="shared" si="24"/>
        <v>45702</v>
      </c>
      <c r="B315" s="25" t="s">
        <v>17</v>
      </c>
      <c r="C315" s="54">
        <f>'DHS2021'!C314</f>
        <v>10506</v>
      </c>
      <c r="D315" s="55">
        <f>'DHS2022'!C314</f>
        <v>10209</v>
      </c>
      <c r="E315" s="55">
        <f>'DHS2023'!C314</f>
        <v>6668</v>
      </c>
      <c r="F315" s="55">
        <f>'DHS2024'!C314</f>
        <v>8322</v>
      </c>
      <c r="G315" s="56">
        <f t="shared" si="20"/>
        <v>8926.25</v>
      </c>
      <c r="H315" s="75">
        <f t="shared" si="21"/>
        <v>2.2315624999999999</v>
      </c>
      <c r="I315" s="76">
        <v>1</v>
      </c>
      <c r="J315" s="75">
        <f t="shared" si="22"/>
        <v>3.2315624999999999</v>
      </c>
      <c r="K315" s="81">
        <f t="shared" si="23"/>
        <v>4</v>
      </c>
      <c r="L315" s="11"/>
      <c r="M315" s="11"/>
      <c r="N315" s="11"/>
      <c r="O315" s="28">
        <f>'DHS2025'!C314</f>
        <v>7983</v>
      </c>
      <c r="P315" s="29">
        <f>'DHS2025'!D314</f>
        <v>16265</v>
      </c>
      <c r="Q315" s="29">
        <f>'DHS2025'!E314</f>
        <v>8054</v>
      </c>
      <c r="R315" s="62">
        <v>139.83000000000001</v>
      </c>
      <c r="S315" s="61">
        <f>(Porovnavanie!J317*0.99-1.9)*Porovnavanie!I317</f>
        <v>1099.6263117999999</v>
      </c>
    </row>
    <row r="316" spans="1:19" ht="15.75" thickBot="1">
      <c r="A316" s="101">
        <f t="shared" si="24"/>
        <v>45702</v>
      </c>
      <c r="B316" s="25" t="s">
        <v>18</v>
      </c>
      <c r="C316" s="54">
        <f>'DHS2021'!C315</f>
        <v>13564</v>
      </c>
      <c r="D316" s="55">
        <f>'DHS2022'!C315</f>
        <v>9104</v>
      </c>
      <c r="E316" s="55">
        <f>'DHS2023'!C315</f>
        <v>7631</v>
      </c>
      <c r="F316" s="55">
        <f>'DHS2024'!C315</f>
        <v>7101</v>
      </c>
      <c r="G316" s="56">
        <f t="shared" si="20"/>
        <v>9350</v>
      </c>
      <c r="H316" s="75">
        <f t="shared" si="21"/>
        <v>2.3374999999999999</v>
      </c>
      <c r="I316" s="76">
        <v>1</v>
      </c>
      <c r="J316" s="75">
        <f t="shared" si="22"/>
        <v>3.3374999999999999</v>
      </c>
      <c r="K316" s="81">
        <f t="shared" si="23"/>
        <v>4</v>
      </c>
      <c r="L316" s="11"/>
      <c r="M316" s="11"/>
      <c r="N316" s="11"/>
      <c r="O316" s="28">
        <f>'DHS2025'!C315</f>
        <v>9281</v>
      </c>
      <c r="P316" s="29">
        <f>'DHS2025'!D315</f>
        <v>15136</v>
      </c>
      <c r="Q316" s="29">
        <f>'DHS2025'!E315</f>
        <v>8061</v>
      </c>
      <c r="R316" s="62">
        <v>136.13</v>
      </c>
      <c r="S316" s="61">
        <f>(Porovnavanie!J318*0.99-1.9)*Porovnavanie!I318</f>
        <v>1071.0545906999998</v>
      </c>
    </row>
    <row r="317" spans="1:19" ht="15.75" thickBot="1">
      <c r="A317" s="101">
        <f t="shared" si="24"/>
        <v>45702</v>
      </c>
      <c r="B317" s="25" t="s">
        <v>19</v>
      </c>
      <c r="C317" s="54">
        <f>'DHS2021'!C316</f>
        <v>14454</v>
      </c>
      <c r="D317" s="55">
        <f>'DHS2022'!C316</f>
        <v>9714</v>
      </c>
      <c r="E317" s="55">
        <f>'DHS2023'!C316</f>
        <v>7797</v>
      </c>
      <c r="F317" s="55">
        <f>'DHS2024'!C316</f>
        <v>6719</v>
      </c>
      <c r="G317" s="56">
        <f t="shared" si="20"/>
        <v>9671</v>
      </c>
      <c r="H317" s="75">
        <f t="shared" si="21"/>
        <v>2.4177499999999998</v>
      </c>
      <c r="I317" s="76">
        <v>1</v>
      </c>
      <c r="J317" s="75">
        <f t="shared" si="22"/>
        <v>3.4177499999999998</v>
      </c>
      <c r="K317" s="81">
        <f t="shared" si="23"/>
        <v>4</v>
      </c>
      <c r="L317" s="11"/>
      <c r="M317" s="11"/>
      <c r="N317" s="11"/>
      <c r="O317" s="28">
        <f>'DHS2025'!C316</f>
        <v>9870</v>
      </c>
      <c r="P317" s="29">
        <f>'DHS2025'!D316</f>
        <v>14268</v>
      </c>
      <c r="Q317" s="29">
        <f>'DHS2025'!E316</f>
        <v>8063</v>
      </c>
      <c r="R317" s="62">
        <v>131.13</v>
      </c>
      <c r="S317" s="61">
        <f>(Porovnavanie!J319*0.99-1.9)*Porovnavanie!I319</f>
        <v>1031.4084781000001</v>
      </c>
    </row>
    <row r="318" spans="1:19" ht="15.75" thickBot="1">
      <c r="A318" s="101">
        <f t="shared" si="24"/>
        <v>45702</v>
      </c>
      <c r="B318" s="25" t="s">
        <v>20</v>
      </c>
      <c r="C318" s="54">
        <f>'DHS2021'!C317</f>
        <v>14798</v>
      </c>
      <c r="D318" s="55">
        <f>'DHS2022'!C317</f>
        <v>10623</v>
      </c>
      <c r="E318" s="55">
        <f>'DHS2023'!C317</f>
        <v>8837</v>
      </c>
      <c r="F318" s="55">
        <f>'DHS2024'!C317</f>
        <v>7639</v>
      </c>
      <c r="G318" s="56">
        <f t="shared" si="20"/>
        <v>10474.25</v>
      </c>
      <c r="H318" s="75">
        <f t="shared" si="21"/>
        <v>2.6185624999999999</v>
      </c>
      <c r="I318" s="76">
        <v>1</v>
      </c>
      <c r="J318" s="75">
        <f t="shared" si="22"/>
        <v>3.6185624999999999</v>
      </c>
      <c r="K318" s="81">
        <f t="shared" si="23"/>
        <v>4</v>
      </c>
      <c r="L318" s="11"/>
      <c r="M318" s="11"/>
      <c r="N318" s="11"/>
      <c r="O318" s="28">
        <f>'DHS2025'!C317</f>
        <v>10541</v>
      </c>
      <c r="P318" s="29">
        <f>'DHS2025'!D317</f>
        <v>14277</v>
      </c>
      <c r="Q318" s="29">
        <f>'DHS2025'!E317</f>
        <v>8052</v>
      </c>
      <c r="R318" s="62">
        <v>130.99</v>
      </c>
      <c r="S318" s="61">
        <f>(Porovnavanie!J320*0.99-1.9)*Porovnavanie!I320</f>
        <v>1028.8853652</v>
      </c>
    </row>
    <row r="319" spans="1:19" ht="15.75" thickBot="1">
      <c r="A319" s="101">
        <f t="shared" si="24"/>
        <v>45702</v>
      </c>
      <c r="B319" s="25" t="s">
        <v>21</v>
      </c>
      <c r="C319" s="54">
        <f>'DHS2021'!C318</f>
        <v>23829</v>
      </c>
      <c r="D319" s="55">
        <f>'DHS2022'!C318</f>
        <v>17608</v>
      </c>
      <c r="E319" s="55">
        <f>'DHS2023'!C318</f>
        <v>14418</v>
      </c>
      <c r="F319" s="55">
        <f>'DHS2024'!C318</f>
        <v>12667</v>
      </c>
      <c r="G319" s="56">
        <f t="shared" si="20"/>
        <v>17130.5</v>
      </c>
      <c r="H319" s="75">
        <f t="shared" si="21"/>
        <v>4.2826250000000003</v>
      </c>
      <c r="I319" s="76">
        <v>1</v>
      </c>
      <c r="J319" s="75">
        <f t="shared" si="22"/>
        <v>5.2826250000000003</v>
      </c>
      <c r="K319" s="81">
        <f t="shared" si="23"/>
        <v>6</v>
      </c>
      <c r="L319" s="11"/>
      <c r="M319" s="11"/>
      <c r="N319" s="11"/>
      <c r="O319" s="28">
        <f>'DHS2025'!C318</f>
        <v>18793</v>
      </c>
      <c r="P319" s="29">
        <f>'DHS2025'!D318</f>
        <v>5525</v>
      </c>
      <c r="Q319" s="29">
        <f>'DHS2025'!E318</f>
        <v>8043</v>
      </c>
      <c r="R319" s="62">
        <v>130.91999999999999</v>
      </c>
      <c r="S319" s="61">
        <f>(Porovnavanie!J321*0.99-1.9)*Porovnavanie!I321</f>
        <v>1027.1779643999998</v>
      </c>
    </row>
    <row r="320" spans="1:19" ht="15.75" thickBot="1">
      <c r="A320" s="101">
        <f t="shared" si="24"/>
        <v>45702</v>
      </c>
      <c r="B320" s="25" t="s">
        <v>22</v>
      </c>
      <c r="C320" s="54">
        <f>'DHS2021'!C319</f>
        <v>22911</v>
      </c>
      <c r="D320" s="55">
        <f>'DHS2022'!C319</f>
        <v>21176</v>
      </c>
      <c r="E320" s="55">
        <f>'DHS2023'!C319</f>
        <v>18141</v>
      </c>
      <c r="F320" s="55">
        <f>'DHS2024'!C319</f>
        <v>13674</v>
      </c>
      <c r="G320" s="56">
        <f t="shared" si="20"/>
        <v>18975.5</v>
      </c>
      <c r="H320" s="75">
        <f t="shared" si="21"/>
        <v>4.7438750000000001</v>
      </c>
      <c r="I320" s="76">
        <v>1</v>
      </c>
      <c r="J320" s="75">
        <f t="shared" si="22"/>
        <v>5.7438750000000001</v>
      </c>
      <c r="K320" s="81">
        <f t="shared" si="23"/>
        <v>6</v>
      </c>
      <c r="L320" s="11"/>
      <c r="M320" s="11"/>
      <c r="N320" s="11"/>
      <c r="O320" s="28">
        <f>'DHS2025'!C319</f>
        <v>19452</v>
      </c>
      <c r="P320" s="29">
        <f>'DHS2025'!D319</f>
        <v>5982</v>
      </c>
      <c r="Q320" s="29">
        <f>'DHS2025'!E319</f>
        <v>8052</v>
      </c>
      <c r="R320" s="62">
        <v>140.4</v>
      </c>
      <c r="S320" s="61">
        <f>(Porovnavanie!J322*0.99-1.9)*Porovnavanie!I322</f>
        <v>1103.896992</v>
      </c>
    </row>
    <row r="321" spans="1:19" ht="15.75" thickBot="1">
      <c r="A321" s="101">
        <f t="shared" si="24"/>
        <v>45702</v>
      </c>
      <c r="B321" s="25" t="s">
        <v>23</v>
      </c>
      <c r="C321" s="54">
        <f>'DHS2021'!C320</f>
        <v>23414</v>
      </c>
      <c r="D321" s="55">
        <f>'DHS2022'!C320</f>
        <v>19790</v>
      </c>
      <c r="E321" s="55">
        <f>'DHS2023'!C320</f>
        <v>18085</v>
      </c>
      <c r="F321" s="55">
        <f>'DHS2024'!C320</f>
        <v>14369</v>
      </c>
      <c r="G321" s="56">
        <f t="shared" si="20"/>
        <v>18914.5</v>
      </c>
      <c r="H321" s="75">
        <f t="shared" si="21"/>
        <v>4.7286250000000001</v>
      </c>
      <c r="I321" s="76">
        <v>1</v>
      </c>
      <c r="J321" s="75">
        <f t="shared" si="22"/>
        <v>5.7286250000000001</v>
      </c>
      <c r="K321" s="81">
        <f t="shared" si="23"/>
        <v>6</v>
      </c>
      <c r="L321" s="11"/>
      <c r="M321" s="11"/>
      <c r="N321" s="11"/>
      <c r="O321" s="28">
        <f>'DHS2025'!C320</f>
        <v>18457</v>
      </c>
      <c r="P321" s="29">
        <f>'DHS2025'!D320</f>
        <v>6107</v>
      </c>
      <c r="Q321" s="29">
        <f>'DHS2025'!E320</f>
        <v>8053</v>
      </c>
      <c r="R321" s="62">
        <v>163.78</v>
      </c>
      <c r="S321" s="61">
        <f>(Porovnavanie!J323*0.99-1.9)*Porovnavanie!I323</f>
        <v>1290.4304366000001</v>
      </c>
    </row>
    <row r="322" spans="1:19" ht="15.75" thickBot="1">
      <c r="A322" s="101">
        <f t="shared" si="24"/>
        <v>45702</v>
      </c>
      <c r="B322" s="25" t="s">
        <v>24</v>
      </c>
      <c r="C322" s="54">
        <f>'DHS2021'!C321</f>
        <v>18954</v>
      </c>
      <c r="D322" s="55">
        <f>'DHS2022'!C321</f>
        <v>16739</v>
      </c>
      <c r="E322" s="55">
        <f>'DHS2023'!C321</f>
        <v>15945</v>
      </c>
      <c r="F322" s="55">
        <f>'DHS2024'!C321</f>
        <v>14171</v>
      </c>
      <c r="G322" s="56">
        <f t="shared" si="20"/>
        <v>16452.25</v>
      </c>
      <c r="H322" s="75">
        <f t="shared" si="21"/>
        <v>4.1130624999999998</v>
      </c>
      <c r="I322" s="76">
        <v>1</v>
      </c>
      <c r="J322" s="75">
        <f t="shared" si="22"/>
        <v>5.1130624999999998</v>
      </c>
      <c r="K322" s="81">
        <f t="shared" si="23"/>
        <v>6</v>
      </c>
      <c r="L322" s="11"/>
      <c r="M322" s="11"/>
      <c r="N322" s="11"/>
      <c r="O322" s="28">
        <f>'DHS2025'!C321</f>
        <v>17472</v>
      </c>
      <c r="P322" s="29">
        <f>'DHS2025'!D321</f>
        <v>7620</v>
      </c>
      <c r="Q322" s="29">
        <f>'DHS2025'!E321</f>
        <v>8068</v>
      </c>
      <c r="R322" s="62">
        <v>224.86</v>
      </c>
      <c r="S322" s="61">
        <f>(Porovnavanie!J324*0.99-1.9)*Porovnavanie!I324</f>
        <v>1780.6995751999998</v>
      </c>
    </row>
    <row r="323" spans="1:19" ht="15.75" thickBot="1">
      <c r="A323" s="101">
        <f t="shared" si="24"/>
        <v>45702</v>
      </c>
      <c r="B323" s="25" t="s">
        <v>25</v>
      </c>
      <c r="C323" s="54">
        <f>'DHS2021'!C322</f>
        <v>20158</v>
      </c>
      <c r="D323" s="55">
        <f>'DHS2022'!C322</f>
        <v>15876</v>
      </c>
      <c r="E323" s="55">
        <f>'DHS2023'!C322</f>
        <v>14349</v>
      </c>
      <c r="F323" s="55">
        <f>'DHS2024'!C322</f>
        <v>15085</v>
      </c>
      <c r="G323" s="56">
        <f t="shared" si="20"/>
        <v>16367</v>
      </c>
      <c r="H323" s="75">
        <f t="shared" si="21"/>
        <v>4.0917500000000002</v>
      </c>
      <c r="I323" s="76">
        <v>1</v>
      </c>
      <c r="J323" s="75">
        <f t="shared" si="22"/>
        <v>5.0917500000000002</v>
      </c>
      <c r="K323" s="81">
        <f t="shared" si="23"/>
        <v>6</v>
      </c>
      <c r="L323" s="11"/>
      <c r="M323" s="11"/>
      <c r="N323" s="11"/>
      <c r="O323" s="28">
        <f>'DHS2025'!C322</f>
        <v>17010</v>
      </c>
      <c r="P323" s="29">
        <f>'DHS2025'!D322</f>
        <v>6687</v>
      </c>
      <c r="Q323" s="29">
        <f>'DHS2025'!E322</f>
        <v>8051</v>
      </c>
      <c r="R323" s="62">
        <v>261.75</v>
      </c>
      <c r="S323" s="61">
        <f>(Porovnavanie!J325*0.99-1.9)*Porovnavanie!I325</f>
        <v>2070.9788575000002</v>
      </c>
    </row>
    <row r="324" spans="1:19" ht="15.75" thickBot="1">
      <c r="A324" s="101">
        <f t="shared" si="24"/>
        <v>45702</v>
      </c>
      <c r="B324" s="25" t="s">
        <v>26</v>
      </c>
      <c r="C324" s="54">
        <f>'DHS2021'!C323</f>
        <v>21381</v>
      </c>
      <c r="D324" s="55">
        <f>'DHS2022'!C323</f>
        <v>16836</v>
      </c>
      <c r="E324" s="55">
        <f>'DHS2023'!C323</f>
        <v>14007</v>
      </c>
      <c r="F324" s="55">
        <f>'DHS2024'!C323</f>
        <v>14834</v>
      </c>
      <c r="G324" s="56">
        <f t="shared" ref="G324:G387" si="25">AVERAGE(C324:F324)</f>
        <v>16764.5</v>
      </c>
      <c r="H324" s="75">
        <f t="shared" ref="H324:H387" si="26">G324/$M$2/1000</f>
        <v>4.1911250000000004</v>
      </c>
      <c r="I324" s="76">
        <v>1</v>
      </c>
      <c r="J324" s="75">
        <f t="shared" ref="J324:J387" si="27">H324+I324</f>
        <v>5.1911250000000004</v>
      </c>
      <c r="K324" s="81">
        <f t="shared" ref="K324:K387" si="28">ROUNDUP(J324,0)</f>
        <v>6</v>
      </c>
      <c r="L324" s="11"/>
      <c r="M324" s="11"/>
      <c r="N324" s="11"/>
      <c r="O324" s="28">
        <f>'DHS2025'!C323</f>
        <v>17064</v>
      </c>
      <c r="P324" s="29">
        <f>'DHS2025'!D323</f>
        <v>7222</v>
      </c>
      <c r="Q324" s="29">
        <f>'DHS2025'!E323</f>
        <v>8066</v>
      </c>
      <c r="R324" s="62">
        <v>214.52</v>
      </c>
      <c r="S324" s="61">
        <f>(Porovnavanie!J326*0.99-1.9)*Porovnavanie!I326</f>
        <v>1697.6897368000002</v>
      </c>
    </row>
    <row r="325" spans="1:19" ht="15.75" thickBot="1">
      <c r="A325" s="101">
        <f t="shared" ref="A325:A388" si="29">$A$3+INT((ROW()-3)/24)</f>
        <v>45702</v>
      </c>
      <c r="B325" s="25" t="s">
        <v>27</v>
      </c>
      <c r="C325" s="54">
        <f>'DHS2021'!C324</f>
        <v>20496</v>
      </c>
      <c r="D325" s="55">
        <f>'DHS2022'!C324</f>
        <v>16517</v>
      </c>
      <c r="E325" s="55">
        <f>'DHS2023'!C324</f>
        <v>14709</v>
      </c>
      <c r="F325" s="55">
        <f>'DHS2024'!C324</f>
        <v>14646</v>
      </c>
      <c r="G325" s="56">
        <f t="shared" si="25"/>
        <v>16592</v>
      </c>
      <c r="H325" s="75">
        <f t="shared" si="26"/>
        <v>4.1479999999999997</v>
      </c>
      <c r="I325" s="76">
        <v>1</v>
      </c>
      <c r="J325" s="75">
        <f t="shared" si="27"/>
        <v>5.1479999999999997</v>
      </c>
      <c r="K325" s="81">
        <f t="shared" si="28"/>
        <v>6</v>
      </c>
      <c r="L325" s="11"/>
      <c r="M325" s="11"/>
      <c r="N325" s="11"/>
      <c r="O325" s="28">
        <f>'DHS2025'!C324</f>
        <v>16200</v>
      </c>
      <c r="P325" s="29">
        <f>'DHS2025'!D324</f>
        <v>8582</v>
      </c>
      <c r="Q325" s="29">
        <f>'DHS2025'!E324</f>
        <v>8066</v>
      </c>
      <c r="R325" s="62">
        <v>180.14</v>
      </c>
      <c r="S325" s="61">
        <f>(Porovnavanie!J327*0.99-1.9)*Porovnavanie!I327</f>
        <v>1423.1537475999999</v>
      </c>
    </row>
    <row r="326" spans="1:19" ht="15.75" thickBot="1">
      <c r="A326" s="101">
        <f t="shared" si="29"/>
        <v>45702</v>
      </c>
      <c r="B326" s="25" t="s">
        <v>28</v>
      </c>
      <c r="C326" s="54">
        <f>'DHS2021'!C325</f>
        <v>19740</v>
      </c>
      <c r="D326" s="55">
        <f>'DHS2022'!C325</f>
        <v>15292</v>
      </c>
      <c r="E326" s="55">
        <f>'DHS2023'!C325</f>
        <v>13988</v>
      </c>
      <c r="F326" s="55">
        <f>'DHS2024'!C325</f>
        <v>12810</v>
      </c>
      <c r="G326" s="56">
        <f t="shared" si="25"/>
        <v>15457.5</v>
      </c>
      <c r="H326" s="75">
        <f t="shared" si="26"/>
        <v>3.8643749999999999</v>
      </c>
      <c r="I326" s="76">
        <v>1</v>
      </c>
      <c r="J326" s="75">
        <f t="shared" si="27"/>
        <v>4.8643749999999999</v>
      </c>
      <c r="K326" s="81">
        <f t="shared" si="28"/>
        <v>5</v>
      </c>
      <c r="L326" s="11"/>
      <c r="M326" s="11"/>
      <c r="N326" s="11"/>
      <c r="O326" s="28">
        <f>'DHS2025'!C325</f>
        <v>14758</v>
      </c>
      <c r="P326" s="29">
        <f>'DHS2025'!D325</f>
        <v>9973</v>
      </c>
      <c r="Q326" s="29">
        <f>'DHS2025'!E325</f>
        <v>8079</v>
      </c>
      <c r="R326" s="62">
        <v>164.05</v>
      </c>
      <c r="S326" s="61">
        <f>(Porovnavanie!J328*0.99-1.9)*Porovnavanie!I328</f>
        <v>1296.7562505000001</v>
      </c>
    </row>
    <row r="327" spans="1:19" ht="15.75" thickBot="1">
      <c r="A327" s="101">
        <f t="shared" si="29"/>
        <v>45702</v>
      </c>
      <c r="B327" s="25" t="s">
        <v>29</v>
      </c>
      <c r="C327" s="54">
        <f>'DHS2021'!C326</f>
        <v>19611</v>
      </c>
      <c r="D327" s="55">
        <f>'DHS2022'!C326</f>
        <v>14029</v>
      </c>
      <c r="E327" s="55">
        <f>'DHS2023'!C326</f>
        <v>13682</v>
      </c>
      <c r="F327" s="55">
        <f>'DHS2024'!C326</f>
        <v>13379</v>
      </c>
      <c r="G327" s="56">
        <f t="shared" si="25"/>
        <v>15175.25</v>
      </c>
      <c r="H327" s="75">
        <f t="shared" si="26"/>
        <v>3.7938125</v>
      </c>
      <c r="I327" s="76">
        <v>1</v>
      </c>
      <c r="J327" s="75">
        <f t="shared" si="27"/>
        <v>4.7938124999999996</v>
      </c>
      <c r="K327" s="81">
        <f t="shared" si="28"/>
        <v>5</v>
      </c>
      <c r="L327" s="11"/>
      <c r="M327" s="11"/>
      <c r="N327" s="11"/>
      <c r="O327" s="28">
        <f>'DHS2025'!C326</f>
        <v>15654</v>
      </c>
      <c r="P327" s="29">
        <f>'DHS2025'!D326</f>
        <v>8180</v>
      </c>
      <c r="Q327" s="29">
        <f>'DHS2025'!E326</f>
        <v>8071</v>
      </c>
      <c r="R327" s="62">
        <v>150.13999999999999</v>
      </c>
      <c r="S327" s="61">
        <f>(Porovnavanie!J329*0.99-1.9)*Porovnavanie!I329</f>
        <v>1184.3272405999999</v>
      </c>
    </row>
    <row r="328" spans="1:19" ht="15.75" thickBot="1">
      <c r="A328" s="101">
        <f t="shared" si="29"/>
        <v>45702</v>
      </c>
      <c r="B328" s="25" t="s">
        <v>30</v>
      </c>
      <c r="C328" s="54">
        <f>'DHS2021'!C327</f>
        <v>19511</v>
      </c>
      <c r="D328" s="55">
        <f>'DHS2022'!C327</f>
        <v>13774</v>
      </c>
      <c r="E328" s="55">
        <f>'DHS2023'!C327</f>
        <v>14239</v>
      </c>
      <c r="F328" s="55">
        <f>'DHS2024'!C327</f>
        <v>11260</v>
      </c>
      <c r="G328" s="56">
        <f t="shared" si="25"/>
        <v>14696</v>
      </c>
      <c r="H328" s="75">
        <f t="shared" si="26"/>
        <v>3.6739999999999999</v>
      </c>
      <c r="I328" s="76">
        <v>1</v>
      </c>
      <c r="J328" s="75">
        <f t="shared" si="27"/>
        <v>4.6739999999999995</v>
      </c>
      <c r="K328" s="81">
        <f t="shared" si="28"/>
        <v>5</v>
      </c>
      <c r="L328" s="11"/>
      <c r="M328" s="11"/>
      <c r="N328" s="11"/>
      <c r="O328" s="28">
        <f>'DHS2025'!C327</f>
        <v>16399</v>
      </c>
      <c r="P328" s="29">
        <f>'DHS2025'!D327</f>
        <v>7744</v>
      </c>
      <c r="Q328" s="29">
        <f>'DHS2025'!E327</f>
        <v>8050</v>
      </c>
      <c r="R328" s="62">
        <v>149.76</v>
      </c>
      <c r="S328" s="61">
        <f>(Porovnavanie!J330*0.99-1.9)*Porovnavanie!I330</f>
        <v>1178.21732</v>
      </c>
    </row>
    <row r="329" spans="1:19" ht="15.75" thickBot="1">
      <c r="A329" s="101">
        <f t="shared" si="29"/>
        <v>45702</v>
      </c>
      <c r="B329" s="25" t="s">
        <v>31</v>
      </c>
      <c r="C329" s="54">
        <f>'DHS2021'!C328</f>
        <v>17931</v>
      </c>
      <c r="D329" s="55">
        <f>'DHS2022'!C328</f>
        <v>12902</v>
      </c>
      <c r="E329" s="55">
        <f>'DHS2023'!C328</f>
        <v>14501</v>
      </c>
      <c r="F329" s="55">
        <f>'DHS2024'!C328</f>
        <v>13102</v>
      </c>
      <c r="G329" s="56">
        <f t="shared" si="25"/>
        <v>14609</v>
      </c>
      <c r="H329" s="75">
        <f t="shared" si="26"/>
        <v>3.65225</v>
      </c>
      <c r="I329" s="76">
        <v>1</v>
      </c>
      <c r="J329" s="75">
        <f t="shared" si="27"/>
        <v>4.6522500000000004</v>
      </c>
      <c r="K329" s="81">
        <f t="shared" si="28"/>
        <v>5</v>
      </c>
      <c r="L329" s="11"/>
      <c r="M329" s="11"/>
      <c r="N329" s="11"/>
      <c r="O329" s="28">
        <f>'DHS2025'!C328</f>
        <v>16196</v>
      </c>
      <c r="P329" s="29">
        <f>'DHS2025'!D328</f>
        <v>7591</v>
      </c>
      <c r="Q329" s="29">
        <f>'DHS2025'!E328</f>
        <v>0</v>
      </c>
      <c r="R329" s="62">
        <v>157.6</v>
      </c>
      <c r="S329" s="61">
        <f>(Porovnavanie!J331*0.99-1.9)*Porovnavanie!I331</f>
        <v>0</v>
      </c>
    </row>
    <row r="330" spans="1:19" ht="15.75" thickBot="1">
      <c r="A330" s="101">
        <f t="shared" si="29"/>
        <v>45702</v>
      </c>
      <c r="B330" s="25" t="s">
        <v>32</v>
      </c>
      <c r="C330" s="54">
        <f>'DHS2021'!C329</f>
        <v>17800</v>
      </c>
      <c r="D330" s="55">
        <f>'DHS2022'!C329</f>
        <v>13740</v>
      </c>
      <c r="E330" s="55">
        <f>'DHS2023'!C329</f>
        <v>12567</v>
      </c>
      <c r="F330" s="55">
        <f>'DHS2024'!C329</f>
        <v>12093</v>
      </c>
      <c r="G330" s="56">
        <f t="shared" si="25"/>
        <v>14050</v>
      </c>
      <c r="H330" s="75">
        <f t="shared" si="26"/>
        <v>3.5125000000000002</v>
      </c>
      <c r="I330" s="76">
        <v>1</v>
      </c>
      <c r="J330" s="75">
        <f t="shared" si="27"/>
        <v>4.5125000000000002</v>
      </c>
      <c r="K330" s="81">
        <f t="shared" si="28"/>
        <v>5</v>
      </c>
      <c r="L330" s="11"/>
      <c r="M330" s="11"/>
      <c r="N330" s="11"/>
      <c r="O330" s="28">
        <f>'DHS2025'!C329</f>
        <v>16489</v>
      </c>
      <c r="P330" s="29">
        <f>'DHS2025'!D329</f>
        <v>5568</v>
      </c>
      <c r="Q330" s="29">
        <f>'DHS2025'!E329</f>
        <v>7602</v>
      </c>
      <c r="R330" s="62">
        <v>178.51</v>
      </c>
      <c r="S330" s="61">
        <f>(Porovnavanie!J332*0.99-1.9)*Porovnavanie!I332</f>
        <v>1329.0188897999999</v>
      </c>
    </row>
    <row r="331" spans="1:19" ht="15.75" thickBot="1">
      <c r="A331" s="101">
        <f t="shared" si="29"/>
        <v>45702</v>
      </c>
      <c r="B331" s="25" t="s">
        <v>33</v>
      </c>
      <c r="C331" s="54">
        <f>'DHS2021'!C330</f>
        <v>18684</v>
      </c>
      <c r="D331" s="55">
        <f>'DHS2022'!C330</f>
        <v>14116</v>
      </c>
      <c r="E331" s="55">
        <f>'DHS2023'!C330</f>
        <v>12684</v>
      </c>
      <c r="F331" s="55">
        <f>'DHS2024'!C330</f>
        <v>11777</v>
      </c>
      <c r="G331" s="56">
        <f t="shared" si="25"/>
        <v>14315.25</v>
      </c>
      <c r="H331" s="75">
        <f t="shared" si="26"/>
        <v>3.5788125000000002</v>
      </c>
      <c r="I331" s="76">
        <v>1</v>
      </c>
      <c r="J331" s="75">
        <f t="shared" si="27"/>
        <v>4.5788124999999997</v>
      </c>
      <c r="K331" s="81">
        <f t="shared" si="28"/>
        <v>5</v>
      </c>
      <c r="L331" s="11"/>
      <c r="M331" s="11"/>
      <c r="N331" s="11"/>
      <c r="O331" s="28">
        <f>'DHS2025'!C330</f>
        <v>17549</v>
      </c>
      <c r="P331" s="29">
        <f>'DHS2025'!D330</f>
        <v>6776</v>
      </c>
      <c r="Q331" s="29">
        <f>'DHS2025'!E330</f>
        <v>8064</v>
      </c>
      <c r="R331" s="62">
        <v>203.45</v>
      </c>
      <c r="S331" s="61">
        <f>(Porovnavanie!J333*0.99-1.9)*Porovnavanie!I333</f>
        <v>1608.8929919999998</v>
      </c>
    </row>
    <row r="332" spans="1:19" ht="15.75" thickBot="1">
      <c r="A332" s="101">
        <f t="shared" si="29"/>
        <v>45702</v>
      </c>
      <c r="B332" s="25" t="s">
        <v>34</v>
      </c>
      <c r="C332" s="54">
        <f>'DHS2021'!C331</f>
        <v>21527</v>
      </c>
      <c r="D332" s="55">
        <f>'DHS2022'!C331</f>
        <v>15000</v>
      </c>
      <c r="E332" s="55">
        <f>'DHS2023'!C331</f>
        <v>13809</v>
      </c>
      <c r="F332" s="55">
        <f>'DHS2024'!C331</f>
        <v>12529</v>
      </c>
      <c r="G332" s="56">
        <f t="shared" si="25"/>
        <v>15716.25</v>
      </c>
      <c r="H332" s="75">
        <f t="shared" si="26"/>
        <v>3.9290625000000001</v>
      </c>
      <c r="I332" s="76">
        <v>1</v>
      </c>
      <c r="J332" s="75">
        <f t="shared" si="27"/>
        <v>4.9290625000000006</v>
      </c>
      <c r="K332" s="81">
        <f t="shared" si="28"/>
        <v>5</v>
      </c>
      <c r="L332" s="11"/>
      <c r="M332" s="11"/>
      <c r="N332" s="11"/>
      <c r="O332" s="28">
        <f>'DHS2025'!C331</f>
        <v>16554</v>
      </c>
      <c r="P332" s="29">
        <f>'DHS2025'!D331</f>
        <v>7139</v>
      </c>
      <c r="Q332" s="29">
        <f>'DHS2025'!E331</f>
        <v>8052</v>
      </c>
      <c r="R332" s="62">
        <v>294.72000000000003</v>
      </c>
      <c r="S332" s="61">
        <f>(Porovnavanie!J334*0.99-1.9)*Porovnavanie!I334</f>
        <v>2334.0557856</v>
      </c>
    </row>
    <row r="333" spans="1:19" ht="15.75" thickBot="1">
      <c r="A333" s="101">
        <f t="shared" si="29"/>
        <v>45702</v>
      </c>
      <c r="B333" s="25" t="s">
        <v>35</v>
      </c>
      <c r="C333" s="54">
        <f>'DHS2021'!C332</f>
        <v>22618</v>
      </c>
      <c r="D333" s="55">
        <f>'DHS2022'!C332</f>
        <v>16593</v>
      </c>
      <c r="E333" s="55">
        <f>'DHS2023'!C332</f>
        <v>14869</v>
      </c>
      <c r="F333" s="55">
        <f>'DHS2024'!C332</f>
        <v>13545</v>
      </c>
      <c r="G333" s="56">
        <f t="shared" si="25"/>
        <v>16906.25</v>
      </c>
      <c r="H333" s="75">
        <f t="shared" si="26"/>
        <v>4.2265625</v>
      </c>
      <c r="I333" s="76">
        <v>1</v>
      </c>
      <c r="J333" s="75">
        <f t="shared" si="27"/>
        <v>5.2265625</v>
      </c>
      <c r="K333" s="81">
        <f t="shared" si="28"/>
        <v>6</v>
      </c>
      <c r="L333" s="11"/>
      <c r="M333" s="11"/>
      <c r="N333" s="11"/>
      <c r="O333" s="28">
        <f>'DHS2025'!C332</f>
        <v>16953</v>
      </c>
      <c r="P333" s="29">
        <f>'DHS2025'!D332</f>
        <v>7475</v>
      </c>
      <c r="Q333" s="29">
        <f>'DHS2025'!E332</f>
        <v>8053</v>
      </c>
      <c r="R333" s="62">
        <v>288.52999999999997</v>
      </c>
      <c r="S333" s="61">
        <f>(Porovnavanie!J335*0.99-1.9)*Porovnavanie!I335</f>
        <v>2284.9960691000001</v>
      </c>
    </row>
    <row r="334" spans="1:19" ht="15.75" thickBot="1">
      <c r="A334" s="101">
        <f t="shared" si="29"/>
        <v>45702</v>
      </c>
      <c r="B334" s="25" t="s">
        <v>36</v>
      </c>
      <c r="C334" s="54">
        <f>'DHS2021'!C333</f>
        <v>21066</v>
      </c>
      <c r="D334" s="55">
        <f>'DHS2022'!C333</f>
        <v>17043</v>
      </c>
      <c r="E334" s="55">
        <f>'DHS2023'!C333</f>
        <v>14445</v>
      </c>
      <c r="F334" s="55">
        <f>'DHS2024'!C333</f>
        <v>14598</v>
      </c>
      <c r="G334" s="56">
        <f t="shared" si="25"/>
        <v>16788</v>
      </c>
      <c r="H334" s="75">
        <f t="shared" si="26"/>
        <v>4.1970000000000001</v>
      </c>
      <c r="I334" s="76">
        <v>1</v>
      </c>
      <c r="J334" s="75">
        <f t="shared" si="27"/>
        <v>5.1970000000000001</v>
      </c>
      <c r="K334" s="81">
        <f t="shared" si="28"/>
        <v>6</v>
      </c>
      <c r="L334" s="11"/>
      <c r="M334" s="11"/>
      <c r="N334" s="11"/>
      <c r="O334" s="28">
        <f>'DHS2025'!C333</f>
        <v>17177</v>
      </c>
      <c r="P334" s="29">
        <f>'DHS2025'!D333</f>
        <v>7308</v>
      </c>
      <c r="Q334" s="29">
        <f>'DHS2025'!E333</f>
        <v>8076</v>
      </c>
      <c r="R334" s="62">
        <v>225.84</v>
      </c>
      <c r="S334" s="61">
        <f>(Porovnavanie!J336*0.99-1.9)*Porovnavanie!I336</f>
        <v>1790.3006016000002</v>
      </c>
    </row>
    <row r="335" spans="1:19" ht="15.75" thickBot="1">
      <c r="A335" s="101">
        <f t="shared" si="29"/>
        <v>45702</v>
      </c>
      <c r="B335" s="25" t="s">
        <v>37</v>
      </c>
      <c r="C335" s="54">
        <f>'DHS2021'!C334</f>
        <v>21884</v>
      </c>
      <c r="D335" s="55">
        <f>'DHS2022'!C334</f>
        <v>16828</v>
      </c>
      <c r="E335" s="55">
        <f>'DHS2023'!C334</f>
        <v>14401</v>
      </c>
      <c r="F335" s="55">
        <f>'DHS2024'!C334</f>
        <v>15285</v>
      </c>
      <c r="G335" s="56">
        <f t="shared" si="25"/>
        <v>17099.5</v>
      </c>
      <c r="H335" s="75">
        <f t="shared" si="26"/>
        <v>4.2748749999999998</v>
      </c>
      <c r="I335" s="76">
        <v>1</v>
      </c>
      <c r="J335" s="75">
        <f t="shared" si="27"/>
        <v>5.2748749999999998</v>
      </c>
      <c r="K335" s="81">
        <f t="shared" si="28"/>
        <v>6</v>
      </c>
      <c r="L335" s="11"/>
      <c r="M335" s="11"/>
      <c r="N335" s="11"/>
      <c r="O335" s="28">
        <f>'DHS2025'!C334</f>
        <v>18382</v>
      </c>
      <c r="P335" s="29">
        <f>'DHS2025'!D334</f>
        <v>6092</v>
      </c>
      <c r="Q335" s="29">
        <f>'DHS2025'!E334</f>
        <v>8067</v>
      </c>
      <c r="R335" s="62">
        <v>183.55</v>
      </c>
      <c r="S335" s="61">
        <f>(Porovnavanie!J337*0.99-1.9)*Porovnavanie!I337</f>
        <v>1450.5635715000001</v>
      </c>
    </row>
    <row r="336" spans="1:19" ht="15.75" thickBot="1">
      <c r="A336" s="101">
        <f t="shared" si="29"/>
        <v>45702</v>
      </c>
      <c r="B336" s="25" t="s">
        <v>38</v>
      </c>
      <c r="C336" s="54">
        <f>'DHS2021'!C335</f>
        <v>20587</v>
      </c>
      <c r="D336" s="55">
        <f>'DHS2022'!C335</f>
        <v>17128</v>
      </c>
      <c r="E336" s="55">
        <f>'DHS2023'!C335</f>
        <v>12965</v>
      </c>
      <c r="F336" s="55">
        <f>'DHS2024'!C335</f>
        <v>15164</v>
      </c>
      <c r="G336" s="56">
        <f t="shared" si="25"/>
        <v>16461</v>
      </c>
      <c r="H336" s="75">
        <f t="shared" si="26"/>
        <v>4.1152499999999996</v>
      </c>
      <c r="I336" s="76">
        <v>1</v>
      </c>
      <c r="J336" s="75">
        <f t="shared" si="27"/>
        <v>5.1152499999999996</v>
      </c>
      <c r="K336" s="81">
        <f t="shared" si="28"/>
        <v>6</v>
      </c>
      <c r="L336" s="11"/>
      <c r="M336" s="11"/>
      <c r="N336" s="11"/>
      <c r="O336" s="28">
        <f>'DHS2025'!C335</f>
        <v>18155</v>
      </c>
      <c r="P336" s="29">
        <f>'DHS2025'!D335</f>
        <v>5770</v>
      </c>
      <c r="Q336" s="29">
        <f>'DHS2025'!E335</f>
        <v>8051</v>
      </c>
      <c r="R336" s="62">
        <v>163.85</v>
      </c>
      <c r="S336" s="61">
        <f>(Porovnavanie!J338*0.99-1.9)*Porovnavanie!I338</f>
        <v>1290.6678864999999</v>
      </c>
    </row>
    <row r="337" spans="1:19" ht="15.75" thickBot="1">
      <c r="A337" s="101">
        <f t="shared" si="29"/>
        <v>45702</v>
      </c>
      <c r="B337" s="25" t="s">
        <v>39</v>
      </c>
      <c r="C337" s="54">
        <f>'DHS2021'!C336</f>
        <v>19471</v>
      </c>
      <c r="D337" s="55">
        <f>'DHS2022'!C336</f>
        <v>15292</v>
      </c>
      <c r="E337" s="55">
        <f>'DHS2023'!C336</f>
        <v>11494</v>
      </c>
      <c r="F337" s="55">
        <f>'DHS2024'!C336</f>
        <v>15329</v>
      </c>
      <c r="G337" s="56">
        <f t="shared" si="25"/>
        <v>15396.5</v>
      </c>
      <c r="H337" s="75">
        <f t="shared" si="26"/>
        <v>3.8491249999999999</v>
      </c>
      <c r="I337" s="76">
        <v>1</v>
      </c>
      <c r="J337" s="75">
        <f t="shared" si="27"/>
        <v>4.8491249999999999</v>
      </c>
      <c r="K337" s="81">
        <f t="shared" si="28"/>
        <v>5</v>
      </c>
      <c r="L337" s="11"/>
      <c r="M337" s="11"/>
      <c r="N337" s="11"/>
      <c r="O337" s="28">
        <f>'DHS2025'!C336</f>
        <v>14925</v>
      </c>
      <c r="P337" s="29">
        <f>'DHS2025'!D336</f>
        <v>9031</v>
      </c>
      <c r="Q337" s="29">
        <f>'DHS2025'!E336</f>
        <v>8043</v>
      </c>
      <c r="R337" s="62">
        <v>153</v>
      </c>
      <c r="S337" s="61">
        <f>(Porovnavanie!J339*0.99-1.9)*Porovnavanie!I339</f>
        <v>1202.9915099999998</v>
      </c>
    </row>
    <row r="338" spans="1:19" ht="15.75" thickBot="1">
      <c r="A338" s="101">
        <f t="shared" si="29"/>
        <v>45702</v>
      </c>
      <c r="B338" s="25" t="s">
        <v>40</v>
      </c>
      <c r="C338" s="54">
        <f>'DHS2021'!C337</f>
        <v>9416</v>
      </c>
      <c r="D338" s="55">
        <f>'DHS2022'!C337</f>
        <v>9969</v>
      </c>
      <c r="E338" s="55">
        <f>'DHS2023'!C337</f>
        <v>5914</v>
      </c>
      <c r="F338" s="55">
        <f>'DHS2024'!C337</f>
        <v>8110</v>
      </c>
      <c r="G338" s="56">
        <f t="shared" si="25"/>
        <v>8352.25</v>
      </c>
      <c r="H338" s="75">
        <f t="shared" si="26"/>
        <v>2.0880624999999999</v>
      </c>
      <c r="I338" s="76">
        <v>1</v>
      </c>
      <c r="J338" s="75">
        <f t="shared" si="27"/>
        <v>3.0880624999999999</v>
      </c>
      <c r="K338" s="81">
        <f t="shared" si="28"/>
        <v>4</v>
      </c>
      <c r="L338" s="11"/>
      <c r="M338" s="11"/>
      <c r="N338" s="11"/>
      <c r="O338" s="28">
        <f>'DHS2025'!C337</f>
        <v>10070</v>
      </c>
      <c r="P338" s="29">
        <f>'DHS2025'!D337</f>
        <v>14998</v>
      </c>
      <c r="Q338" s="29">
        <f>'DHS2025'!E337</f>
        <v>8060</v>
      </c>
      <c r="R338" s="62">
        <v>140.03</v>
      </c>
      <c r="S338" s="61">
        <f>(Porovnavanie!J340*0.99-1.9)*Porovnavanie!I340</f>
        <v>1102.0413820000001</v>
      </c>
    </row>
    <row r="339" spans="1:19" ht="15.75" thickBot="1">
      <c r="A339" s="100">
        <f t="shared" si="29"/>
        <v>45703</v>
      </c>
      <c r="B339" s="24" t="s">
        <v>17</v>
      </c>
      <c r="C339" s="54">
        <f>'DHS2021'!C338</f>
        <v>10176</v>
      </c>
      <c r="D339" s="55">
        <f>'DHS2022'!C338</f>
        <v>8231</v>
      </c>
      <c r="E339" s="55">
        <f>'DHS2023'!C338</f>
        <v>5261</v>
      </c>
      <c r="F339" s="55">
        <f>'DHS2024'!C338</f>
        <v>8743</v>
      </c>
      <c r="G339" s="56">
        <f t="shared" si="25"/>
        <v>8102.75</v>
      </c>
      <c r="H339" s="75">
        <f t="shared" si="26"/>
        <v>2.0256875000000001</v>
      </c>
      <c r="I339" s="76">
        <v>1</v>
      </c>
      <c r="J339" s="75">
        <f t="shared" si="27"/>
        <v>3.0256875000000001</v>
      </c>
      <c r="K339" s="81">
        <f t="shared" si="28"/>
        <v>4</v>
      </c>
      <c r="L339" s="11"/>
      <c r="M339" s="11"/>
      <c r="N339" s="11"/>
      <c r="O339" s="28">
        <f>'DHS2025'!C338</f>
        <v>11509</v>
      </c>
      <c r="P339" s="29">
        <f>'DHS2025'!D338</f>
        <v>13563</v>
      </c>
      <c r="Q339" s="29">
        <f>'DHS2025'!E338</f>
        <v>8067</v>
      </c>
      <c r="R339" s="62">
        <v>135.87</v>
      </c>
      <c r="S339" s="61">
        <f>(Porovnavanie!J341*0.99-1.9)*Porovnavanie!I341</f>
        <v>1069.7753571000001</v>
      </c>
    </row>
    <row r="340" spans="1:19" ht="15.75" thickBot="1">
      <c r="A340" s="100">
        <f t="shared" si="29"/>
        <v>45703</v>
      </c>
      <c r="B340" s="24" t="s">
        <v>18</v>
      </c>
      <c r="C340" s="54">
        <f>'DHS2021'!C339</f>
        <v>13447</v>
      </c>
      <c r="D340" s="55">
        <f>'DHS2022'!C339</f>
        <v>6772</v>
      </c>
      <c r="E340" s="55">
        <f>'DHS2023'!C339</f>
        <v>6423</v>
      </c>
      <c r="F340" s="55">
        <f>'DHS2024'!C339</f>
        <v>10821</v>
      </c>
      <c r="G340" s="56">
        <f t="shared" si="25"/>
        <v>9365.75</v>
      </c>
      <c r="H340" s="75">
        <f t="shared" si="26"/>
        <v>2.3414375000000001</v>
      </c>
      <c r="I340" s="76">
        <v>1</v>
      </c>
      <c r="J340" s="75">
        <f t="shared" si="27"/>
        <v>3.3414375000000001</v>
      </c>
      <c r="K340" s="81">
        <f t="shared" si="28"/>
        <v>4</v>
      </c>
      <c r="L340" s="11"/>
      <c r="M340" s="11"/>
      <c r="N340" s="11"/>
      <c r="O340" s="28">
        <f>'DHS2025'!C339</f>
        <v>11813</v>
      </c>
      <c r="P340" s="29">
        <f>'DHS2025'!D339</f>
        <v>12368</v>
      </c>
      <c r="Q340" s="29">
        <f>'DHS2025'!E339</f>
        <v>8055</v>
      </c>
      <c r="R340" s="62">
        <v>130.9</v>
      </c>
      <c r="S340" s="61">
        <f>(Porovnavanie!J342*0.99-1.9)*Porovnavanie!I342</f>
        <v>1028.551005</v>
      </c>
    </row>
    <row r="341" spans="1:19" ht="15.75" thickBot="1">
      <c r="A341" s="100">
        <f t="shared" si="29"/>
        <v>45703</v>
      </c>
      <c r="B341" s="24" t="s">
        <v>19</v>
      </c>
      <c r="C341" s="54">
        <f>'DHS2021'!C340</f>
        <v>14608</v>
      </c>
      <c r="D341" s="55">
        <f>'DHS2022'!C340</f>
        <v>7696</v>
      </c>
      <c r="E341" s="55">
        <f>'DHS2023'!C340</f>
        <v>6605</v>
      </c>
      <c r="F341" s="55">
        <f>'DHS2024'!C340</f>
        <v>12321</v>
      </c>
      <c r="G341" s="56">
        <f t="shared" si="25"/>
        <v>10307.5</v>
      </c>
      <c r="H341" s="75">
        <f t="shared" si="26"/>
        <v>2.5768749999999998</v>
      </c>
      <c r="I341" s="76">
        <v>1</v>
      </c>
      <c r="J341" s="75">
        <f t="shared" si="27"/>
        <v>3.5768749999999998</v>
      </c>
      <c r="K341" s="81">
        <f t="shared" si="28"/>
        <v>4</v>
      </c>
      <c r="L341" s="11"/>
      <c r="M341" s="11"/>
      <c r="N341" s="11"/>
      <c r="O341" s="28">
        <f>'DHS2025'!C340</f>
        <v>13688</v>
      </c>
      <c r="P341" s="29">
        <f>'DHS2025'!D340</f>
        <v>6642</v>
      </c>
      <c r="Q341" s="29">
        <f>'DHS2025'!E340</f>
        <v>6613</v>
      </c>
      <c r="R341" s="62">
        <v>120.4</v>
      </c>
      <c r="S341" s="61">
        <f>(Porovnavanie!J343*0.99-1.9)*Porovnavanie!I343</f>
        <v>775.678448</v>
      </c>
    </row>
    <row r="342" spans="1:19" ht="15.75" thickBot="1">
      <c r="A342" s="100">
        <f t="shared" si="29"/>
        <v>45703</v>
      </c>
      <c r="B342" s="24" t="s">
        <v>20</v>
      </c>
      <c r="C342" s="54">
        <f>'DHS2021'!C341</f>
        <v>15114</v>
      </c>
      <c r="D342" s="55">
        <f>'DHS2022'!C341</f>
        <v>8428</v>
      </c>
      <c r="E342" s="55">
        <f>'DHS2023'!C341</f>
        <v>8247</v>
      </c>
      <c r="F342" s="55">
        <f>'DHS2024'!C341</f>
        <v>12014</v>
      </c>
      <c r="G342" s="56">
        <f t="shared" si="25"/>
        <v>10950.75</v>
      </c>
      <c r="H342" s="75">
        <f t="shared" si="26"/>
        <v>2.7376874999999998</v>
      </c>
      <c r="I342" s="76">
        <v>1</v>
      </c>
      <c r="J342" s="75">
        <f t="shared" si="27"/>
        <v>3.7376874999999998</v>
      </c>
      <c r="K342" s="81">
        <f t="shared" si="28"/>
        <v>4</v>
      </c>
      <c r="L342" s="11"/>
      <c r="M342" s="11"/>
      <c r="N342" s="11"/>
      <c r="O342" s="28">
        <f>'DHS2025'!C341</f>
        <v>14974</v>
      </c>
      <c r="P342" s="29">
        <f>'DHS2025'!D341</f>
        <v>5125</v>
      </c>
      <c r="Q342" s="29">
        <f>'DHS2025'!E341</f>
        <v>6048</v>
      </c>
      <c r="R342" s="62">
        <v>118.97</v>
      </c>
      <c r="S342" s="61">
        <f>(Porovnavanie!J344*0.99-1.9)*Porovnavanie!I344</f>
        <v>700.8440544</v>
      </c>
    </row>
    <row r="343" spans="1:19" ht="15.75" thickBot="1">
      <c r="A343" s="100">
        <f t="shared" si="29"/>
        <v>45703</v>
      </c>
      <c r="B343" s="24" t="s">
        <v>21</v>
      </c>
      <c r="C343" s="54">
        <f>'DHS2021'!C342</f>
        <v>23963</v>
      </c>
      <c r="D343" s="55">
        <f>'DHS2022'!C342</f>
        <v>17867</v>
      </c>
      <c r="E343" s="55">
        <f>'DHS2023'!C342</f>
        <v>14825</v>
      </c>
      <c r="F343" s="55">
        <f>'DHS2024'!C342</f>
        <v>14390</v>
      </c>
      <c r="G343" s="56">
        <f t="shared" si="25"/>
        <v>17761.25</v>
      </c>
      <c r="H343" s="75">
        <f t="shared" si="26"/>
        <v>4.4403125000000001</v>
      </c>
      <c r="I343" s="76">
        <v>1</v>
      </c>
      <c r="J343" s="75">
        <f t="shared" si="27"/>
        <v>5.4403125000000001</v>
      </c>
      <c r="K343" s="81">
        <f t="shared" si="28"/>
        <v>6</v>
      </c>
      <c r="L343" s="11"/>
      <c r="M343" s="11"/>
      <c r="N343" s="11"/>
      <c r="O343" s="28">
        <f>'DHS2025'!C342</f>
        <v>19585</v>
      </c>
      <c r="P343" s="29">
        <f>'DHS2025'!D342</f>
        <v>67</v>
      </c>
      <c r="Q343" s="29">
        <f>'DHS2025'!E342</f>
        <v>6066</v>
      </c>
      <c r="R343" s="62">
        <v>119.28</v>
      </c>
      <c r="S343" s="61">
        <f>(Porovnavanie!J345*0.99-1.9)*Porovnavanie!I345</f>
        <v>704.79155519999995</v>
      </c>
    </row>
    <row r="344" spans="1:19" ht="15.75" thickBot="1">
      <c r="A344" s="100">
        <f t="shared" si="29"/>
        <v>45703</v>
      </c>
      <c r="B344" s="24" t="s">
        <v>22</v>
      </c>
      <c r="C344" s="54">
        <f>'DHS2021'!C343</f>
        <v>23865</v>
      </c>
      <c r="D344" s="55">
        <f>'DHS2022'!C343</f>
        <v>21136</v>
      </c>
      <c r="E344" s="55">
        <f>'DHS2023'!C343</f>
        <v>18009</v>
      </c>
      <c r="F344" s="55">
        <f>'DHS2024'!C343</f>
        <v>13675</v>
      </c>
      <c r="G344" s="56">
        <f t="shared" si="25"/>
        <v>19171.25</v>
      </c>
      <c r="H344" s="75">
        <f t="shared" si="26"/>
        <v>4.7928125000000001</v>
      </c>
      <c r="I344" s="76">
        <v>1</v>
      </c>
      <c r="J344" s="75">
        <f t="shared" si="27"/>
        <v>5.7928125000000001</v>
      </c>
      <c r="K344" s="81">
        <f t="shared" si="28"/>
        <v>6</v>
      </c>
      <c r="L344" s="11"/>
      <c r="M344" s="11"/>
      <c r="N344" s="11"/>
      <c r="O344" s="28">
        <f>'DHS2025'!C343</f>
        <v>24597</v>
      </c>
      <c r="P344" s="29">
        <f>'DHS2025'!D343</f>
        <v>878</v>
      </c>
      <c r="Q344" s="29">
        <f>'DHS2025'!E343</f>
        <v>8016</v>
      </c>
      <c r="R344" s="62">
        <v>121.17</v>
      </c>
      <c r="S344" s="61">
        <f>(Porovnavanie!J346*0.99-1.9)*Porovnavanie!I346</f>
        <v>946.35533279999993</v>
      </c>
    </row>
    <row r="345" spans="1:19" ht="15.75" thickBot="1">
      <c r="A345" s="100">
        <f t="shared" si="29"/>
        <v>45703</v>
      </c>
      <c r="B345" s="24" t="s">
        <v>23</v>
      </c>
      <c r="C345" s="54">
        <f>'DHS2021'!C344</f>
        <v>23844</v>
      </c>
      <c r="D345" s="55">
        <f>'DHS2022'!C344</f>
        <v>17294</v>
      </c>
      <c r="E345" s="55">
        <f>'DHS2023'!C344</f>
        <v>18154</v>
      </c>
      <c r="F345" s="55">
        <f>'DHS2024'!C344</f>
        <v>15040</v>
      </c>
      <c r="G345" s="56">
        <f t="shared" si="25"/>
        <v>18583</v>
      </c>
      <c r="H345" s="75">
        <f t="shared" si="26"/>
        <v>4.6457499999999996</v>
      </c>
      <c r="I345" s="76">
        <v>1</v>
      </c>
      <c r="J345" s="75">
        <f t="shared" si="27"/>
        <v>5.6457499999999996</v>
      </c>
      <c r="K345" s="81">
        <f t="shared" si="28"/>
        <v>6</v>
      </c>
      <c r="L345" s="11"/>
      <c r="M345" s="11"/>
      <c r="N345" s="11"/>
      <c r="O345" s="28">
        <f>'DHS2025'!C344</f>
        <v>20742</v>
      </c>
      <c r="P345" s="29">
        <f>'DHS2025'!D344</f>
        <v>2631</v>
      </c>
      <c r="Q345" s="29">
        <f>'DHS2025'!E344</f>
        <v>8057</v>
      </c>
      <c r="R345" s="62">
        <v>134.93</v>
      </c>
      <c r="S345" s="61">
        <f>(Porovnavanie!J347*0.99-1.9)*Porovnavanie!I347</f>
        <v>1060.9513999000001</v>
      </c>
    </row>
    <row r="346" spans="1:19" ht="15.75" thickBot="1">
      <c r="A346" s="100">
        <f t="shared" si="29"/>
        <v>45703</v>
      </c>
      <c r="B346" s="24" t="s">
        <v>24</v>
      </c>
      <c r="C346" s="54">
        <f>'DHS2021'!C345</f>
        <v>23988</v>
      </c>
      <c r="D346" s="55">
        <f>'DHS2022'!C345</f>
        <v>15261</v>
      </c>
      <c r="E346" s="55">
        <f>'DHS2023'!C345</f>
        <v>12860</v>
      </c>
      <c r="F346" s="55">
        <f>'DHS2024'!C345</f>
        <v>15467</v>
      </c>
      <c r="G346" s="56">
        <f t="shared" si="25"/>
        <v>16894</v>
      </c>
      <c r="H346" s="75">
        <f t="shared" si="26"/>
        <v>4.2234999999999996</v>
      </c>
      <c r="I346" s="76">
        <v>1</v>
      </c>
      <c r="J346" s="75">
        <f t="shared" si="27"/>
        <v>5.2234999999999996</v>
      </c>
      <c r="K346" s="81">
        <f t="shared" si="28"/>
        <v>6</v>
      </c>
      <c r="L346" s="11"/>
      <c r="M346" s="11"/>
      <c r="N346" s="11"/>
      <c r="O346" s="28">
        <f>'DHS2025'!C345</f>
        <v>15868</v>
      </c>
      <c r="P346" s="29">
        <f>'DHS2025'!D345</f>
        <v>8890</v>
      </c>
      <c r="Q346" s="29">
        <f>'DHS2025'!E345</f>
        <v>8070</v>
      </c>
      <c r="R346" s="62">
        <v>149.58000000000001</v>
      </c>
      <c r="S346" s="61">
        <f>(Porovnavanie!J348*0.99-1.9)*Porovnavanie!I348</f>
        <v>1179.706494</v>
      </c>
    </row>
    <row r="347" spans="1:19" ht="15.75" thickBot="1">
      <c r="A347" s="100">
        <f t="shared" si="29"/>
        <v>45703</v>
      </c>
      <c r="B347" s="24" t="s">
        <v>25</v>
      </c>
      <c r="C347" s="54">
        <f>'DHS2021'!C346</f>
        <v>23815</v>
      </c>
      <c r="D347" s="55">
        <f>'DHS2022'!C346</f>
        <v>16502</v>
      </c>
      <c r="E347" s="55">
        <f>'DHS2023'!C346</f>
        <v>16950</v>
      </c>
      <c r="F347" s="55">
        <f>'DHS2024'!C346</f>
        <v>14703</v>
      </c>
      <c r="G347" s="56">
        <f t="shared" si="25"/>
        <v>17992.5</v>
      </c>
      <c r="H347" s="75">
        <f t="shared" si="26"/>
        <v>4.4981249999999999</v>
      </c>
      <c r="I347" s="76">
        <v>1</v>
      </c>
      <c r="J347" s="75">
        <f t="shared" si="27"/>
        <v>5.4981249999999999</v>
      </c>
      <c r="K347" s="81">
        <f t="shared" si="28"/>
        <v>6</v>
      </c>
      <c r="L347" s="11"/>
      <c r="M347" s="11"/>
      <c r="N347" s="11"/>
      <c r="O347" s="28">
        <f>'DHS2025'!C346</f>
        <v>16158</v>
      </c>
      <c r="P347" s="29">
        <f>'DHS2025'!D346</f>
        <v>8425</v>
      </c>
      <c r="Q347" s="29">
        <f>'DHS2025'!E346</f>
        <v>8046</v>
      </c>
      <c r="R347" s="62">
        <v>150.24</v>
      </c>
      <c r="S347" s="61">
        <f>(Porovnavanie!J349*0.99-1.9)*Porovnavanie!I349</f>
        <v>1181.4553295999999</v>
      </c>
    </row>
    <row r="348" spans="1:19" ht="15.75" thickBot="1">
      <c r="A348" s="100">
        <f t="shared" si="29"/>
        <v>45703</v>
      </c>
      <c r="B348" s="24" t="s">
        <v>26</v>
      </c>
      <c r="C348" s="54">
        <f>'DHS2021'!C347</f>
        <v>19945</v>
      </c>
      <c r="D348" s="55">
        <f>'DHS2022'!C347</f>
        <v>15470</v>
      </c>
      <c r="E348" s="55">
        <f>'DHS2023'!C347</f>
        <v>14638</v>
      </c>
      <c r="F348" s="55">
        <f>'DHS2024'!C347</f>
        <v>14705</v>
      </c>
      <c r="G348" s="56">
        <f t="shared" si="25"/>
        <v>16189.5</v>
      </c>
      <c r="H348" s="75">
        <f t="shared" si="26"/>
        <v>4.0473749999999997</v>
      </c>
      <c r="I348" s="76">
        <v>1</v>
      </c>
      <c r="J348" s="75">
        <f t="shared" si="27"/>
        <v>5.0473749999999997</v>
      </c>
      <c r="K348" s="81">
        <f t="shared" si="28"/>
        <v>6</v>
      </c>
      <c r="L348" s="11"/>
      <c r="M348" s="11"/>
      <c r="N348" s="11"/>
      <c r="O348" s="28">
        <f>'DHS2025'!C347</f>
        <v>18291</v>
      </c>
      <c r="P348" s="29">
        <f>'DHS2025'!D347</f>
        <v>6217</v>
      </c>
      <c r="Q348" s="29">
        <f>'DHS2025'!E347</f>
        <v>8060</v>
      </c>
      <c r="R348" s="62">
        <v>137.06</v>
      </c>
      <c r="S348" s="61">
        <f>(Porovnavanie!J350*0.99-1.9)*Porovnavanie!I350</f>
        <v>1078.342564</v>
      </c>
    </row>
    <row r="349" spans="1:19" ht="15.75" thickBot="1">
      <c r="A349" s="100">
        <f t="shared" si="29"/>
        <v>45703</v>
      </c>
      <c r="B349" s="24" t="s">
        <v>27</v>
      </c>
      <c r="C349" s="54">
        <f>'DHS2021'!C348</f>
        <v>17775</v>
      </c>
      <c r="D349" s="55">
        <f>'DHS2022'!C348</f>
        <v>14113</v>
      </c>
      <c r="E349" s="55">
        <f>'DHS2023'!C348</f>
        <v>14252</v>
      </c>
      <c r="F349" s="55">
        <f>'DHS2024'!C348</f>
        <v>14534</v>
      </c>
      <c r="G349" s="56">
        <f t="shared" si="25"/>
        <v>15168.5</v>
      </c>
      <c r="H349" s="75">
        <f t="shared" si="26"/>
        <v>3.792125</v>
      </c>
      <c r="I349" s="76">
        <v>1</v>
      </c>
      <c r="J349" s="75">
        <f t="shared" si="27"/>
        <v>4.7921250000000004</v>
      </c>
      <c r="K349" s="81">
        <f t="shared" si="28"/>
        <v>5</v>
      </c>
      <c r="L349" s="11"/>
      <c r="M349" s="11"/>
      <c r="N349" s="11"/>
      <c r="O349" s="28">
        <f>'DHS2025'!C348</f>
        <v>18552</v>
      </c>
      <c r="P349" s="29">
        <f>'DHS2025'!D348</f>
        <v>5684</v>
      </c>
      <c r="Q349" s="29">
        <f>'DHS2025'!E348</f>
        <v>8047</v>
      </c>
      <c r="R349" s="62">
        <v>124.59</v>
      </c>
      <c r="S349" s="61">
        <f>(Porovnavanie!J351*0.99-1.9)*Porovnavanie!I351</f>
        <v>977.26067269999999</v>
      </c>
    </row>
    <row r="350" spans="1:19" ht="15.75" thickBot="1">
      <c r="A350" s="100">
        <f t="shared" si="29"/>
        <v>45703</v>
      </c>
      <c r="B350" s="24" t="s">
        <v>28</v>
      </c>
      <c r="C350" s="54">
        <f>'DHS2021'!C349</f>
        <v>14334</v>
      </c>
      <c r="D350" s="55">
        <f>'DHS2022'!C349</f>
        <v>16244</v>
      </c>
      <c r="E350" s="55">
        <f>'DHS2023'!C349</f>
        <v>13365</v>
      </c>
      <c r="F350" s="55">
        <f>'DHS2024'!C349</f>
        <v>13926</v>
      </c>
      <c r="G350" s="56">
        <f t="shared" si="25"/>
        <v>14467.25</v>
      </c>
      <c r="H350" s="75">
        <f t="shared" si="26"/>
        <v>3.6168125</v>
      </c>
      <c r="I350" s="76">
        <v>1</v>
      </c>
      <c r="J350" s="75">
        <f t="shared" si="27"/>
        <v>4.6168125</v>
      </c>
      <c r="K350" s="81">
        <f t="shared" si="28"/>
        <v>5</v>
      </c>
      <c r="L350" s="11"/>
      <c r="M350" s="11"/>
      <c r="N350" s="11"/>
      <c r="O350" s="28">
        <f>'DHS2025'!C349</f>
        <v>17974</v>
      </c>
      <c r="P350" s="29">
        <f>'DHS2025'!D349</f>
        <v>5945</v>
      </c>
      <c r="Q350" s="29">
        <f>'DHS2025'!E349</f>
        <v>8041</v>
      </c>
      <c r="R350" s="62">
        <v>118.36</v>
      </c>
      <c r="S350" s="61">
        <f>(Porovnavanie!J352*0.99-1.9)*Porovnavanie!I352</f>
        <v>926.93753240000001</v>
      </c>
    </row>
    <row r="351" spans="1:19" ht="15.75" thickBot="1">
      <c r="A351" s="100">
        <f t="shared" si="29"/>
        <v>45703</v>
      </c>
      <c r="B351" s="24" t="s">
        <v>29</v>
      </c>
      <c r="C351" s="54">
        <f>'DHS2021'!C350</f>
        <v>15584</v>
      </c>
      <c r="D351" s="55">
        <f>'DHS2022'!C350</f>
        <v>15819</v>
      </c>
      <c r="E351" s="55">
        <f>'DHS2023'!C350</f>
        <v>12372</v>
      </c>
      <c r="F351" s="55">
        <f>'DHS2024'!C350</f>
        <v>12884</v>
      </c>
      <c r="G351" s="56">
        <f t="shared" si="25"/>
        <v>14164.75</v>
      </c>
      <c r="H351" s="75">
        <f t="shared" si="26"/>
        <v>3.5411874999999999</v>
      </c>
      <c r="I351" s="76">
        <v>1</v>
      </c>
      <c r="J351" s="75">
        <f t="shared" si="27"/>
        <v>4.5411874999999995</v>
      </c>
      <c r="K351" s="81">
        <f t="shared" si="28"/>
        <v>5</v>
      </c>
      <c r="L351" s="11"/>
      <c r="M351" s="11"/>
      <c r="N351" s="11"/>
      <c r="O351" s="28">
        <f>'DHS2025'!C350</f>
        <v>18200</v>
      </c>
      <c r="P351" s="29">
        <f>'DHS2025'!D350</f>
        <v>6689</v>
      </c>
      <c r="Q351" s="29">
        <f>'DHS2025'!E350</f>
        <v>8055</v>
      </c>
      <c r="R351" s="62">
        <v>112.39</v>
      </c>
      <c r="S351" s="61">
        <f>(Porovnavanie!J353*0.99-1.9)*Porovnavanie!I353</f>
        <v>880.94393549999984</v>
      </c>
    </row>
    <row r="352" spans="1:19" ht="15.75" thickBot="1">
      <c r="A352" s="100">
        <f t="shared" si="29"/>
        <v>45703</v>
      </c>
      <c r="B352" s="24" t="s">
        <v>30</v>
      </c>
      <c r="C352" s="54">
        <f>'DHS2021'!C351</f>
        <v>16034</v>
      </c>
      <c r="D352" s="55">
        <f>'DHS2022'!C351</f>
        <v>15605</v>
      </c>
      <c r="E352" s="55">
        <f>'DHS2023'!C351</f>
        <v>13910</v>
      </c>
      <c r="F352" s="55">
        <f>'DHS2024'!C351</f>
        <v>11638</v>
      </c>
      <c r="G352" s="56">
        <f t="shared" si="25"/>
        <v>14296.75</v>
      </c>
      <c r="H352" s="75">
        <f t="shared" si="26"/>
        <v>3.5741874999999999</v>
      </c>
      <c r="I352" s="76">
        <v>1</v>
      </c>
      <c r="J352" s="75">
        <f t="shared" si="27"/>
        <v>4.5741874999999999</v>
      </c>
      <c r="K352" s="81">
        <f t="shared" si="28"/>
        <v>5</v>
      </c>
      <c r="L352" s="11"/>
      <c r="M352" s="11"/>
      <c r="N352" s="11"/>
      <c r="O352" s="28">
        <f>'DHS2025'!C351</f>
        <v>17530</v>
      </c>
      <c r="P352" s="29">
        <f>'DHS2025'!D351</f>
        <v>6484</v>
      </c>
      <c r="Q352" s="29">
        <f>'DHS2025'!E351</f>
        <v>8059</v>
      </c>
      <c r="R352" s="62">
        <v>110.01</v>
      </c>
      <c r="S352" s="61">
        <f>(Porovnavanie!J354*0.99-1.9)*Porovnavanie!I354</f>
        <v>862.39278409999997</v>
      </c>
    </row>
    <row r="353" spans="1:19" ht="15.75" thickBot="1">
      <c r="A353" s="100">
        <f t="shared" si="29"/>
        <v>45703</v>
      </c>
      <c r="B353" s="24" t="s">
        <v>31</v>
      </c>
      <c r="C353" s="54">
        <f>'DHS2021'!C352</f>
        <v>15256</v>
      </c>
      <c r="D353" s="55">
        <f>'DHS2022'!C352</f>
        <v>14349</v>
      </c>
      <c r="E353" s="55">
        <f>'DHS2023'!C352</f>
        <v>12514</v>
      </c>
      <c r="F353" s="55">
        <f>'DHS2024'!C352</f>
        <v>10577</v>
      </c>
      <c r="G353" s="56">
        <f t="shared" si="25"/>
        <v>13174</v>
      </c>
      <c r="H353" s="75">
        <f t="shared" si="26"/>
        <v>3.2934999999999999</v>
      </c>
      <c r="I353" s="76">
        <v>1</v>
      </c>
      <c r="J353" s="75">
        <f t="shared" si="27"/>
        <v>4.2934999999999999</v>
      </c>
      <c r="K353" s="81">
        <f t="shared" si="28"/>
        <v>5</v>
      </c>
      <c r="L353" s="11"/>
      <c r="M353" s="11"/>
      <c r="N353" s="11"/>
      <c r="O353" s="28">
        <f>'DHS2025'!C352</f>
        <v>17434</v>
      </c>
      <c r="P353" s="29">
        <f>'DHS2025'!D352</f>
        <v>6529</v>
      </c>
      <c r="Q353" s="29">
        <f>'DHS2025'!E352</f>
        <v>8050</v>
      </c>
      <c r="R353" s="62">
        <v>116.57</v>
      </c>
      <c r="S353" s="61">
        <f>(Porovnavanie!J355*0.99-1.9)*Porovnavanie!I355</f>
        <v>913.70961499999999</v>
      </c>
    </row>
    <row r="354" spans="1:19" ht="15.75" thickBot="1">
      <c r="A354" s="100">
        <f t="shared" si="29"/>
        <v>45703</v>
      </c>
      <c r="B354" s="24" t="s">
        <v>32</v>
      </c>
      <c r="C354" s="54">
        <f>'DHS2021'!C353</f>
        <v>17187</v>
      </c>
      <c r="D354" s="55">
        <f>'DHS2022'!C353</f>
        <v>15628</v>
      </c>
      <c r="E354" s="55">
        <f>'DHS2023'!C353</f>
        <v>10205</v>
      </c>
      <c r="F354" s="55">
        <f>'DHS2024'!C353</f>
        <v>11180</v>
      </c>
      <c r="G354" s="56">
        <f t="shared" si="25"/>
        <v>13550</v>
      </c>
      <c r="H354" s="75">
        <f t="shared" si="26"/>
        <v>3.3875000000000002</v>
      </c>
      <c r="I354" s="76">
        <v>1</v>
      </c>
      <c r="J354" s="75">
        <f t="shared" si="27"/>
        <v>4.3875000000000002</v>
      </c>
      <c r="K354" s="81">
        <f t="shared" si="28"/>
        <v>5</v>
      </c>
      <c r="L354" s="11"/>
      <c r="M354" s="11"/>
      <c r="N354" s="11"/>
      <c r="O354" s="28">
        <f>'DHS2025'!C353</f>
        <v>16974</v>
      </c>
      <c r="P354" s="29">
        <f>'DHS2025'!D353</f>
        <v>7498</v>
      </c>
      <c r="Q354" s="29">
        <f>'DHS2025'!E353</f>
        <v>8059</v>
      </c>
      <c r="R354" s="62">
        <v>130</v>
      </c>
      <c r="S354" s="61">
        <f>(Porovnavanie!J356*0.99-1.9)*Porovnavanie!I356</f>
        <v>1021.8811999999998</v>
      </c>
    </row>
    <row r="355" spans="1:19" ht="15.75" thickBot="1">
      <c r="A355" s="100">
        <f t="shared" si="29"/>
        <v>45703</v>
      </c>
      <c r="B355" s="24" t="s">
        <v>33</v>
      </c>
      <c r="C355" s="54">
        <f>'DHS2021'!C354</f>
        <v>18547</v>
      </c>
      <c r="D355" s="55">
        <f>'DHS2022'!C354</f>
        <v>15899</v>
      </c>
      <c r="E355" s="55">
        <f>'DHS2023'!C354</f>
        <v>11652</v>
      </c>
      <c r="F355" s="55">
        <f>'DHS2024'!C354</f>
        <v>10965</v>
      </c>
      <c r="G355" s="56">
        <f t="shared" si="25"/>
        <v>14265.75</v>
      </c>
      <c r="H355" s="75">
        <f t="shared" si="26"/>
        <v>3.5664375000000001</v>
      </c>
      <c r="I355" s="76">
        <v>1</v>
      </c>
      <c r="J355" s="75">
        <f t="shared" si="27"/>
        <v>4.5664375000000001</v>
      </c>
      <c r="K355" s="81">
        <f t="shared" si="28"/>
        <v>5</v>
      </c>
      <c r="L355" s="11"/>
      <c r="M355" s="11"/>
      <c r="N355" s="11"/>
      <c r="O355" s="28">
        <f>'DHS2025'!C354</f>
        <v>18217</v>
      </c>
      <c r="P355" s="29">
        <f>'DHS2025'!D354</f>
        <v>6229</v>
      </c>
      <c r="Q355" s="29">
        <f>'DHS2025'!E354</f>
        <v>8056</v>
      </c>
      <c r="R355" s="62">
        <v>142.47</v>
      </c>
      <c r="S355" s="61">
        <f>(Porovnavanie!J357*0.99-1.9)*Porovnavanie!I357</f>
        <v>1120.9545367999999</v>
      </c>
    </row>
    <row r="356" spans="1:19" ht="15.75" thickBot="1">
      <c r="A356" s="100">
        <f t="shared" si="29"/>
        <v>45703</v>
      </c>
      <c r="B356" s="24" t="s">
        <v>34</v>
      </c>
      <c r="C356" s="54">
        <f>'DHS2021'!C355</f>
        <v>19506</v>
      </c>
      <c r="D356" s="55">
        <f>'DHS2022'!C355</f>
        <v>16109</v>
      </c>
      <c r="E356" s="55">
        <f>'DHS2023'!C355</f>
        <v>12854</v>
      </c>
      <c r="F356" s="55">
        <f>'DHS2024'!C355</f>
        <v>12289</v>
      </c>
      <c r="G356" s="56">
        <f t="shared" si="25"/>
        <v>15189.5</v>
      </c>
      <c r="H356" s="75">
        <f t="shared" si="26"/>
        <v>3.7973750000000002</v>
      </c>
      <c r="I356" s="76">
        <v>1</v>
      </c>
      <c r="J356" s="75">
        <f t="shared" si="27"/>
        <v>4.7973750000000006</v>
      </c>
      <c r="K356" s="81">
        <f t="shared" si="28"/>
        <v>5</v>
      </c>
      <c r="L356" s="11"/>
      <c r="M356" s="11"/>
      <c r="N356" s="11"/>
      <c r="O356" s="28">
        <f>'DHS2025'!C355</f>
        <v>19719</v>
      </c>
      <c r="P356" s="29">
        <f>'DHS2025'!D355</f>
        <v>5664</v>
      </c>
      <c r="Q356" s="29">
        <f>'DHS2025'!E355</f>
        <v>8076</v>
      </c>
      <c r="R356" s="62">
        <v>159.97</v>
      </c>
      <c r="S356" s="61">
        <f>(Porovnavanie!J358*0.99-1.9)*Porovnavanie!I358</f>
        <v>1263.6541427999998</v>
      </c>
    </row>
    <row r="357" spans="1:19" ht="15.75" thickBot="1">
      <c r="A357" s="100">
        <f t="shared" si="29"/>
        <v>45703</v>
      </c>
      <c r="B357" s="24" t="s">
        <v>35</v>
      </c>
      <c r="C357" s="54">
        <f>'DHS2021'!C356</f>
        <v>20092</v>
      </c>
      <c r="D357" s="55">
        <f>'DHS2022'!C356</f>
        <v>15667</v>
      </c>
      <c r="E357" s="55">
        <f>'DHS2023'!C356</f>
        <v>15601</v>
      </c>
      <c r="F357" s="55">
        <f>'DHS2024'!C356</f>
        <v>13413</v>
      </c>
      <c r="G357" s="56">
        <f t="shared" si="25"/>
        <v>16193.25</v>
      </c>
      <c r="H357" s="75">
        <f t="shared" si="26"/>
        <v>4.0483124999999998</v>
      </c>
      <c r="I357" s="76">
        <v>1</v>
      </c>
      <c r="J357" s="75">
        <f t="shared" si="27"/>
        <v>5.0483124999999998</v>
      </c>
      <c r="K357" s="81">
        <f t="shared" si="28"/>
        <v>6</v>
      </c>
      <c r="L357" s="11"/>
      <c r="M357" s="11"/>
      <c r="N357" s="11"/>
      <c r="O357" s="28">
        <f>'DHS2025'!C356</f>
        <v>19713</v>
      </c>
      <c r="P357" s="29">
        <f>'DHS2025'!D356</f>
        <v>5956</v>
      </c>
      <c r="Q357" s="29">
        <f>'DHS2025'!E356</f>
        <v>8078</v>
      </c>
      <c r="R357" s="62">
        <v>174.9</v>
      </c>
      <c r="S357" s="61">
        <f>(Porovnavanie!J359*0.99-1.9)*Porovnavanie!I359</f>
        <v>1383.3655779999999</v>
      </c>
    </row>
    <row r="358" spans="1:19" ht="15.75" thickBot="1">
      <c r="A358" s="100">
        <f t="shared" si="29"/>
        <v>45703</v>
      </c>
      <c r="B358" s="24" t="s">
        <v>36</v>
      </c>
      <c r="C358" s="54">
        <f>'DHS2021'!C357</f>
        <v>20442</v>
      </c>
      <c r="D358" s="55">
        <f>'DHS2022'!C357</f>
        <v>16208</v>
      </c>
      <c r="E358" s="55">
        <f>'DHS2023'!C357</f>
        <v>15547</v>
      </c>
      <c r="F358" s="55">
        <f>'DHS2024'!C357</f>
        <v>15023</v>
      </c>
      <c r="G358" s="56">
        <f t="shared" si="25"/>
        <v>16805</v>
      </c>
      <c r="H358" s="75">
        <f t="shared" si="26"/>
        <v>4.2012499999999999</v>
      </c>
      <c r="I358" s="76">
        <v>1</v>
      </c>
      <c r="J358" s="75">
        <f t="shared" si="27"/>
        <v>5.2012499999999999</v>
      </c>
      <c r="K358" s="81">
        <f t="shared" si="28"/>
        <v>6</v>
      </c>
      <c r="L358" s="11"/>
      <c r="M358" s="11"/>
      <c r="N358" s="11"/>
      <c r="O358" s="28">
        <f>'DHS2025'!C357</f>
        <v>17900</v>
      </c>
      <c r="P358" s="29">
        <f>'DHS2025'!D357</f>
        <v>5837</v>
      </c>
      <c r="Q358" s="29">
        <f>'DHS2025'!E357</f>
        <v>8057</v>
      </c>
      <c r="R358" s="62">
        <v>171</v>
      </c>
      <c r="S358" s="61">
        <f>(Porovnavanie!J360*0.99-1.9)*Porovnavanie!I360</f>
        <v>1348.6612299999999</v>
      </c>
    </row>
    <row r="359" spans="1:19" ht="15.75" thickBot="1">
      <c r="A359" s="100">
        <f t="shared" si="29"/>
        <v>45703</v>
      </c>
      <c r="B359" s="24" t="s">
        <v>37</v>
      </c>
      <c r="C359" s="54">
        <f>'DHS2021'!C358</f>
        <v>22240</v>
      </c>
      <c r="D359" s="55">
        <f>'DHS2022'!C358</f>
        <v>16017</v>
      </c>
      <c r="E359" s="55">
        <f>'DHS2023'!C358</f>
        <v>16516</v>
      </c>
      <c r="F359" s="55">
        <f>'DHS2024'!C358</f>
        <v>14824</v>
      </c>
      <c r="G359" s="56">
        <f t="shared" si="25"/>
        <v>17399.25</v>
      </c>
      <c r="H359" s="75">
        <f t="shared" si="26"/>
        <v>4.3498124999999996</v>
      </c>
      <c r="I359" s="76">
        <v>1</v>
      </c>
      <c r="J359" s="75">
        <f t="shared" si="27"/>
        <v>5.3498124999999996</v>
      </c>
      <c r="K359" s="81">
        <f t="shared" si="28"/>
        <v>6</v>
      </c>
      <c r="L359" s="11"/>
      <c r="M359" s="11"/>
      <c r="N359" s="11"/>
      <c r="O359" s="28">
        <f>'DHS2025'!C358</f>
        <v>19081</v>
      </c>
      <c r="P359" s="29">
        <f>'DHS2025'!D358</f>
        <v>6413</v>
      </c>
      <c r="Q359" s="29">
        <f>'DHS2025'!E358</f>
        <v>8085</v>
      </c>
      <c r="R359" s="62">
        <v>170.6</v>
      </c>
      <c r="S359" s="61">
        <f>(Porovnavanie!J361*0.99-1.9)*Porovnavanie!I361</f>
        <v>1350.1464900000001</v>
      </c>
    </row>
    <row r="360" spans="1:19" ht="15.75" thickBot="1">
      <c r="A360" s="100">
        <f t="shared" si="29"/>
        <v>45703</v>
      </c>
      <c r="B360" s="24" t="s">
        <v>38</v>
      </c>
      <c r="C360" s="54">
        <f>'DHS2021'!C359</f>
        <v>20850</v>
      </c>
      <c r="D360" s="55">
        <f>'DHS2022'!C359</f>
        <v>16147</v>
      </c>
      <c r="E360" s="55">
        <f>'DHS2023'!C359</f>
        <v>16641</v>
      </c>
      <c r="F360" s="55">
        <f>'DHS2024'!C359</f>
        <v>15084</v>
      </c>
      <c r="G360" s="56">
        <f t="shared" si="25"/>
        <v>17180.5</v>
      </c>
      <c r="H360" s="75">
        <f t="shared" si="26"/>
        <v>4.2951249999999996</v>
      </c>
      <c r="I360" s="76">
        <v>1</v>
      </c>
      <c r="J360" s="75">
        <f t="shared" si="27"/>
        <v>5.2951249999999996</v>
      </c>
      <c r="K360" s="81">
        <f t="shared" si="28"/>
        <v>6</v>
      </c>
      <c r="L360" s="11"/>
      <c r="M360" s="11"/>
      <c r="N360" s="11"/>
      <c r="O360" s="28">
        <f>'DHS2025'!C359</f>
        <v>18754</v>
      </c>
      <c r="P360" s="29">
        <f>'DHS2025'!D359</f>
        <v>5572</v>
      </c>
      <c r="Q360" s="29">
        <f>'DHS2025'!E359</f>
        <v>8078</v>
      </c>
      <c r="R360" s="62">
        <v>178.71</v>
      </c>
      <c r="S360" s="61">
        <f>(Porovnavanie!J362*0.99-1.9)*Porovnavanie!I362</f>
        <v>1413.8349861999998</v>
      </c>
    </row>
    <row r="361" spans="1:19" ht="15.75" thickBot="1">
      <c r="A361" s="100">
        <f t="shared" si="29"/>
        <v>45703</v>
      </c>
      <c r="B361" s="24" t="s">
        <v>39</v>
      </c>
      <c r="C361" s="54">
        <f>'DHS2021'!C360</f>
        <v>19782</v>
      </c>
      <c r="D361" s="55">
        <f>'DHS2022'!C360</f>
        <v>13523</v>
      </c>
      <c r="E361" s="55">
        <f>'DHS2023'!C360</f>
        <v>13371</v>
      </c>
      <c r="F361" s="55">
        <f>'DHS2024'!C360</f>
        <v>14837</v>
      </c>
      <c r="G361" s="56">
        <f t="shared" si="25"/>
        <v>15378.25</v>
      </c>
      <c r="H361" s="75">
        <f t="shared" si="26"/>
        <v>3.8445624999999999</v>
      </c>
      <c r="I361" s="76">
        <v>1</v>
      </c>
      <c r="J361" s="75">
        <f t="shared" si="27"/>
        <v>4.8445625000000003</v>
      </c>
      <c r="K361" s="81">
        <f t="shared" si="28"/>
        <v>5</v>
      </c>
      <c r="L361" s="11"/>
      <c r="M361" s="11"/>
      <c r="N361" s="11"/>
      <c r="O361" s="28">
        <f>'DHS2025'!C360</f>
        <v>16075</v>
      </c>
      <c r="P361" s="29">
        <f>'DHS2025'!D360</f>
        <v>8348</v>
      </c>
      <c r="Q361" s="29">
        <f>'DHS2025'!E360</f>
        <v>8055</v>
      </c>
      <c r="R361" s="62">
        <v>134.44999999999999</v>
      </c>
      <c r="S361" s="61">
        <f>(Porovnavanie!J363*0.99-1.9)*Porovnavanie!I363</f>
        <v>1056.8603024999998</v>
      </c>
    </row>
    <row r="362" spans="1:19" ht="15.75" thickBot="1">
      <c r="A362" s="100">
        <f t="shared" si="29"/>
        <v>45703</v>
      </c>
      <c r="B362" s="24" t="s">
        <v>40</v>
      </c>
      <c r="C362" s="54">
        <f>'DHS2021'!C361</f>
        <v>10936</v>
      </c>
      <c r="D362" s="55">
        <f>'DHS2022'!C361</f>
        <v>8637</v>
      </c>
      <c r="E362" s="55">
        <f>'DHS2023'!C361</f>
        <v>8929</v>
      </c>
      <c r="F362" s="55">
        <f>'DHS2024'!C361</f>
        <v>7647</v>
      </c>
      <c r="G362" s="56">
        <f t="shared" si="25"/>
        <v>9037.25</v>
      </c>
      <c r="H362" s="75">
        <f t="shared" si="26"/>
        <v>2.2593125000000001</v>
      </c>
      <c r="I362" s="76">
        <v>1</v>
      </c>
      <c r="J362" s="75">
        <f t="shared" si="27"/>
        <v>3.2593125000000001</v>
      </c>
      <c r="K362" s="81">
        <f t="shared" si="28"/>
        <v>4</v>
      </c>
      <c r="L362" s="11"/>
      <c r="M362" s="11"/>
      <c r="N362" s="11"/>
      <c r="O362" s="28">
        <f>'DHS2025'!C361</f>
        <v>8248</v>
      </c>
      <c r="P362" s="29">
        <f>'DHS2025'!D361</f>
        <v>16005</v>
      </c>
      <c r="Q362" s="29">
        <f>'DHS2025'!E361</f>
        <v>8062</v>
      </c>
      <c r="R362" s="62">
        <v>143.32</v>
      </c>
      <c r="S362" s="61">
        <f>(Porovnavanie!J364*0.99-1.9)*Porovnavanie!I364</f>
        <v>1128.5735815999999</v>
      </c>
    </row>
    <row r="363" spans="1:19" ht="15.75" thickBot="1">
      <c r="A363" s="101">
        <f t="shared" si="29"/>
        <v>45704</v>
      </c>
      <c r="B363" s="25" t="s">
        <v>17</v>
      </c>
      <c r="C363" s="54">
        <f>'DHS2021'!C362</f>
        <v>12852</v>
      </c>
      <c r="D363" s="55">
        <f>'DHS2022'!C362</f>
        <v>7295</v>
      </c>
      <c r="E363" s="55">
        <f>'DHS2023'!C362</f>
        <v>7163</v>
      </c>
      <c r="F363" s="55">
        <f>'DHS2024'!C362</f>
        <v>9435</v>
      </c>
      <c r="G363" s="56">
        <f t="shared" si="25"/>
        <v>9186.25</v>
      </c>
      <c r="H363" s="75">
        <f t="shared" si="26"/>
        <v>2.2965624999999998</v>
      </c>
      <c r="I363" s="76">
        <v>1</v>
      </c>
      <c r="J363" s="75">
        <f t="shared" si="27"/>
        <v>3.2965624999999998</v>
      </c>
      <c r="K363" s="81">
        <f t="shared" si="28"/>
        <v>4</v>
      </c>
      <c r="L363" s="11"/>
      <c r="M363" s="11"/>
      <c r="N363" s="11"/>
      <c r="O363" s="28">
        <f>'DHS2025'!C362</f>
        <v>9947</v>
      </c>
      <c r="P363" s="29">
        <f>'DHS2025'!D362</f>
        <v>14191</v>
      </c>
      <c r="Q363" s="29">
        <f>'DHS2025'!E362</f>
        <v>8047</v>
      </c>
      <c r="R363" s="62">
        <v>134.11000000000001</v>
      </c>
      <c r="S363" s="61">
        <f>(Porovnavanie!J365*0.99-1.9)*Porovnavanie!I365</f>
        <v>1053.1020383</v>
      </c>
    </row>
    <row r="364" spans="1:19" ht="15.75" thickBot="1">
      <c r="A364" s="101">
        <f t="shared" si="29"/>
        <v>45704</v>
      </c>
      <c r="B364" s="25" t="s">
        <v>18</v>
      </c>
      <c r="C364" s="54">
        <f>'DHS2021'!C363</f>
        <v>15117</v>
      </c>
      <c r="D364" s="55">
        <f>'DHS2022'!C363</f>
        <v>6992</v>
      </c>
      <c r="E364" s="55">
        <f>'DHS2023'!C363</f>
        <v>9458</v>
      </c>
      <c r="F364" s="55">
        <f>'DHS2024'!C363</f>
        <v>8529</v>
      </c>
      <c r="G364" s="56">
        <f t="shared" si="25"/>
        <v>10024</v>
      </c>
      <c r="H364" s="75">
        <f t="shared" si="26"/>
        <v>2.5059999999999998</v>
      </c>
      <c r="I364" s="76">
        <v>1</v>
      </c>
      <c r="J364" s="75">
        <f t="shared" si="27"/>
        <v>3.5059999999999998</v>
      </c>
      <c r="K364" s="81">
        <f t="shared" si="28"/>
        <v>4</v>
      </c>
      <c r="L364" s="11"/>
      <c r="M364" s="11"/>
      <c r="N364" s="11"/>
      <c r="O364" s="28">
        <f>'DHS2025'!C363</f>
        <v>10846</v>
      </c>
      <c r="P364" s="29">
        <f>'DHS2025'!D363</f>
        <v>14050</v>
      </c>
      <c r="Q364" s="29">
        <f>'DHS2025'!E363</f>
        <v>8072</v>
      </c>
      <c r="R364" s="62">
        <v>128.9</v>
      </c>
      <c r="S364" s="61">
        <f>(Porovnavanie!J366*0.99-1.9)*Porovnavanie!I366</f>
        <v>1014.7391919999999</v>
      </c>
    </row>
    <row r="365" spans="1:19" ht="15.75" thickBot="1">
      <c r="A365" s="101">
        <f t="shared" si="29"/>
        <v>45704</v>
      </c>
      <c r="B365" s="25" t="s">
        <v>19</v>
      </c>
      <c r="C365" s="54">
        <f>'DHS2021'!C364</f>
        <v>16249</v>
      </c>
      <c r="D365" s="55">
        <f>'DHS2022'!C364</f>
        <v>8110</v>
      </c>
      <c r="E365" s="55">
        <f>'DHS2023'!C364</f>
        <v>9142</v>
      </c>
      <c r="F365" s="55">
        <f>'DHS2024'!C364</f>
        <v>12025</v>
      </c>
      <c r="G365" s="56">
        <f t="shared" si="25"/>
        <v>11381.5</v>
      </c>
      <c r="H365" s="75">
        <f t="shared" si="26"/>
        <v>2.8453750000000002</v>
      </c>
      <c r="I365" s="76">
        <v>1</v>
      </c>
      <c r="J365" s="75">
        <f t="shared" si="27"/>
        <v>3.8453750000000002</v>
      </c>
      <c r="K365" s="81">
        <f t="shared" si="28"/>
        <v>4</v>
      </c>
      <c r="L365" s="11"/>
      <c r="M365" s="11"/>
      <c r="N365" s="11"/>
      <c r="O365" s="28">
        <f>'DHS2025'!C364</f>
        <v>12472</v>
      </c>
      <c r="P365" s="29">
        <f>'DHS2025'!D364</f>
        <v>12477</v>
      </c>
      <c r="Q365" s="29">
        <f>'DHS2025'!E364</f>
        <v>8074</v>
      </c>
      <c r="R365" s="62">
        <v>123.57</v>
      </c>
      <c r="S365" s="61">
        <f>(Porovnavanie!J367*0.99-1.9)*Porovnavanie!I367</f>
        <v>972.3865381999999</v>
      </c>
    </row>
    <row r="366" spans="1:19" ht="15.75" thickBot="1">
      <c r="A366" s="101">
        <f t="shared" si="29"/>
        <v>45704</v>
      </c>
      <c r="B366" s="25" t="s">
        <v>20</v>
      </c>
      <c r="C366" s="54">
        <f>'DHS2021'!C365</f>
        <v>17417</v>
      </c>
      <c r="D366" s="55">
        <f>'DHS2022'!C365</f>
        <v>9251</v>
      </c>
      <c r="E366" s="55">
        <f>'DHS2023'!C365</f>
        <v>9625</v>
      </c>
      <c r="F366" s="55">
        <f>'DHS2024'!C365</f>
        <v>12353</v>
      </c>
      <c r="G366" s="56">
        <f t="shared" si="25"/>
        <v>12161.5</v>
      </c>
      <c r="H366" s="75">
        <f t="shared" si="26"/>
        <v>3.040375</v>
      </c>
      <c r="I366" s="76">
        <v>1</v>
      </c>
      <c r="J366" s="75">
        <f t="shared" si="27"/>
        <v>4.040375</v>
      </c>
      <c r="K366" s="81">
        <f t="shared" si="28"/>
        <v>5</v>
      </c>
      <c r="L366" s="11"/>
      <c r="M366" s="11"/>
      <c r="N366" s="11"/>
      <c r="O366" s="28">
        <f>'DHS2025'!C365</f>
        <v>12338</v>
      </c>
      <c r="P366" s="29">
        <f>'DHS2025'!D365</f>
        <v>12012</v>
      </c>
      <c r="Q366" s="29">
        <f>'DHS2025'!E365</f>
        <v>8071</v>
      </c>
      <c r="R366" s="62">
        <v>119.9</v>
      </c>
      <c r="S366" s="61">
        <f>(Porovnavanie!J368*0.99-1.9)*Porovnavanie!I368</f>
        <v>942.70087100000001</v>
      </c>
    </row>
    <row r="367" spans="1:19" ht="15.75" thickBot="1">
      <c r="A367" s="101">
        <f t="shared" si="29"/>
        <v>45704</v>
      </c>
      <c r="B367" s="25" t="s">
        <v>21</v>
      </c>
      <c r="C367" s="54">
        <f>'DHS2021'!C366</f>
        <v>23870</v>
      </c>
      <c r="D367" s="55">
        <f>'DHS2022'!C366</f>
        <v>17445</v>
      </c>
      <c r="E367" s="55">
        <f>'DHS2023'!C366</f>
        <v>14479</v>
      </c>
      <c r="F367" s="55">
        <f>'DHS2024'!C366</f>
        <v>14982</v>
      </c>
      <c r="G367" s="56">
        <f t="shared" si="25"/>
        <v>17694</v>
      </c>
      <c r="H367" s="75">
        <f t="shared" si="26"/>
        <v>4.4234999999999998</v>
      </c>
      <c r="I367" s="76">
        <v>1</v>
      </c>
      <c r="J367" s="75">
        <f t="shared" si="27"/>
        <v>5.4234999999999998</v>
      </c>
      <c r="K367" s="81">
        <f t="shared" si="28"/>
        <v>6</v>
      </c>
      <c r="L367" s="11"/>
      <c r="M367" s="11"/>
      <c r="N367" s="11"/>
      <c r="O367" s="28">
        <f>'DHS2025'!C366</f>
        <v>20466</v>
      </c>
      <c r="P367" s="29">
        <f>'DHS2025'!D366</f>
        <v>4536</v>
      </c>
      <c r="Q367" s="29">
        <f>'DHS2025'!E366</f>
        <v>8074</v>
      </c>
      <c r="R367" s="62">
        <v>119.57</v>
      </c>
      <c r="S367" s="61">
        <f>(Porovnavanie!J369*0.99-1.9)*Porovnavanie!I369</f>
        <v>940.41349819999982</v>
      </c>
    </row>
    <row r="368" spans="1:19" ht="15.75" thickBot="1">
      <c r="A368" s="101">
        <f t="shared" si="29"/>
        <v>45704</v>
      </c>
      <c r="B368" s="25" t="s">
        <v>22</v>
      </c>
      <c r="C368" s="54">
        <f>'DHS2021'!C367</f>
        <v>23613</v>
      </c>
      <c r="D368" s="55">
        <f>'DHS2022'!C367</f>
        <v>20257</v>
      </c>
      <c r="E368" s="55">
        <f>'DHS2023'!C367</f>
        <v>18311</v>
      </c>
      <c r="F368" s="55">
        <f>'DHS2024'!C367</f>
        <v>16604</v>
      </c>
      <c r="G368" s="56">
        <f t="shared" si="25"/>
        <v>19696.25</v>
      </c>
      <c r="H368" s="75">
        <f t="shared" si="26"/>
        <v>4.9240624999999998</v>
      </c>
      <c r="I368" s="76">
        <v>1</v>
      </c>
      <c r="J368" s="75">
        <f t="shared" si="27"/>
        <v>5.9240624999999998</v>
      </c>
      <c r="K368" s="81">
        <f t="shared" si="28"/>
        <v>6</v>
      </c>
      <c r="L368" s="11"/>
      <c r="M368" s="11"/>
      <c r="N368" s="11"/>
      <c r="O368" s="28">
        <f>'DHS2025'!C367</f>
        <v>23119</v>
      </c>
      <c r="P368" s="29">
        <f>'DHS2025'!D367</f>
        <v>1812</v>
      </c>
      <c r="Q368" s="29">
        <f>'DHS2025'!E367</f>
        <v>8055</v>
      </c>
      <c r="R368" s="62">
        <v>121.68</v>
      </c>
      <c r="S368" s="61">
        <f>(Porovnavanie!J370*0.99-1.9)*Porovnavanie!I370</f>
        <v>955.02657599999998</v>
      </c>
    </row>
    <row r="369" spans="1:19" ht="15.75" thickBot="1">
      <c r="A369" s="101">
        <f t="shared" si="29"/>
        <v>45704</v>
      </c>
      <c r="B369" s="25" t="s">
        <v>23</v>
      </c>
      <c r="C369" s="54">
        <f>'DHS2021'!C368</f>
        <v>23817</v>
      </c>
      <c r="D369" s="55">
        <f>'DHS2022'!C368</f>
        <v>16704</v>
      </c>
      <c r="E369" s="55">
        <f>'DHS2023'!C368</f>
        <v>17995</v>
      </c>
      <c r="F369" s="55">
        <f>'DHS2024'!C368</f>
        <v>16438</v>
      </c>
      <c r="G369" s="56">
        <f t="shared" si="25"/>
        <v>18738.5</v>
      </c>
      <c r="H369" s="75">
        <f t="shared" si="26"/>
        <v>4.6846249999999996</v>
      </c>
      <c r="I369" s="76">
        <v>1</v>
      </c>
      <c r="J369" s="75">
        <f t="shared" si="27"/>
        <v>5.6846249999999996</v>
      </c>
      <c r="K369" s="81">
        <f t="shared" si="28"/>
        <v>6</v>
      </c>
      <c r="L369" s="11"/>
      <c r="M369" s="11"/>
      <c r="N369" s="11"/>
      <c r="O369" s="28">
        <f>'DHS2025'!C368</f>
        <v>22544</v>
      </c>
      <c r="P369" s="29">
        <f>'DHS2025'!D368</f>
        <v>3041</v>
      </c>
      <c r="Q369" s="29">
        <f>'DHS2025'!E368</f>
        <v>8068</v>
      </c>
      <c r="R369" s="62">
        <v>128.13</v>
      </c>
      <c r="S369" s="61">
        <f>(Porovnavanie!J371*0.99-1.9)*Porovnavanie!I371</f>
        <v>1008.0861115999999</v>
      </c>
    </row>
    <row r="370" spans="1:19" ht="15.75" thickBot="1">
      <c r="A370" s="101">
        <f t="shared" si="29"/>
        <v>45704</v>
      </c>
      <c r="B370" s="25" t="s">
        <v>24</v>
      </c>
      <c r="C370" s="54">
        <f>'DHS2021'!C369</f>
        <v>23650</v>
      </c>
      <c r="D370" s="55">
        <f>'DHS2022'!C369</f>
        <v>15982</v>
      </c>
      <c r="E370" s="55">
        <f>'DHS2023'!C369</f>
        <v>13422</v>
      </c>
      <c r="F370" s="55">
        <f>'DHS2024'!C369</f>
        <v>16602</v>
      </c>
      <c r="G370" s="56">
        <f t="shared" si="25"/>
        <v>17414</v>
      </c>
      <c r="H370" s="75">
        <f t="shared" si="26"/>
        <v>4.3535000000000004</v>
      </c>
      <c r="I370" s="76">
        <v>1</v>
      </c>
      <c r="J370" s="75">
        <f t="shared" si="27"/>
        <v>5.3535000000000004</v>
      </c>
      <c r="K370" s="81">
        <f t="shared" si="28"/>
        <v>6</v>
      </c>
      <c r="L370" s="11"/>
      <c r="M370" s="11"/>
      <c r="N370" s="11"/>
      <c r="O370" s="28">
        <f>'DHS2025'!C369</f>
        <v>19719</v>
      </c>
      <c r="P370" s="29">
        <f>'DHS2025'!D369</f>
        <v>5623</v>
      </c>
      <c r="Q370" s="29">
        <f>'DHS2025'!E369</f>
        <v>8044</v>
      </c>
      <c r="R370" s="62">
        <v>141.01</v>
      </c>
      <c r="S370" s="61">
        <f>(Porovnavanie!J372*0.99-1.9)*Porovnavanie!I372</f>
        <v>1107.6579956</v>
      </c>
    </row>
    <row r="371" spans="1:19" ht="15.75" thickBot="1">
      <c r="A371" s="101">
        <f t="shared" si="29"/>
        <v>45704</v>
      </c>
      <c r="B371" s="25" t="s">
        <v>25</v>
      </c>
      <c r="C371" s="54">
        <f>'DHS2021'!C370</f>
        <v>23395</v>
      </c>
      <c r="D371" s="55">
        <f>'DHS2022'!C370</f>
        <v>16622</v>
      </c>
      <c r="E371" s="55">
        <f>'DHS2023'!C370</f>
        <v>16848</v>
      </c>
      <c r="F371" s="55">
        <f>'DHS2024'!C370</f>
        <v>16794</v>
      </c>
      <c r="G371" s="56">
        <f t="shared" si="25"/>
        <v>18414.75</v>
      </c>
      <c r="H371" s="75">
        <f t="shared" si="26"/>
        <v>4.6036875000000004</v>
      </c>
      <c r="I371" s="76">
        <v>1</v>
      </c>
      <c r="J371" s="75">
        <f t="shared" si="27"/>
        <v>5.6036875000000004</v>
      </c>
      <c r="K371" s="81">
        <f t="shared" si="28"/>
        <v>6</v>
      </c>
      <c r="L371" s="11"/>
      <c r="M371" s="11"/>
      <c r="N371" s="11"/>
      <c r="O371" s="28">
        <f>'DHS2025'!C370</f>
        <v>19910</v>
      </c>
      <c r="P371" s="29">
        <f>'DHS2025'!D370</f>
        <v>4764</v>
      </c>
      <c r="Q371" s="29">
        <f>'DHS2025'!E370</f>
        <v>8052</v>
      </c>
      <c r="R371" s="62">
        <v>155.81</v>
      </c>
      <c r="S371" s="61">
        <f>(Porovnavanie!J373*0.99-1.9)*Porovnavanie!I373</f>
        <v>1226.7374987999999</v>
      </c>
    </row>
    <row r="372" spans="1:19" ht="15.75" thickBot="1">
      <c r="A372" s="101">
        <f t="shared" si="29"/>
        <v>45704</v>
      </c>
      <c r="B372" s="25" t="s">
        <v>26</v>
      </c>
      <c r="C372" s="54">
        <f>'DHS2021'!C371</f>
        <v>21089</v>
      </c>
      <c r="D372" s="55">
        <f>'DHS2022'!C371</f>
        <v>15431</v>
      </c>
      <c r="E372" s="55">
        <f>'DHS2023'!C371</f>
        <v>15660</v>
      </c>
      <c r="F372" s="55">
        <f>'DHS2024'!C371</f>
        <v>17346</v>
      </c>
      <c r="G372" s="56">
        <f t="shared" si="25"/>
        <v>17381.5</v>
      </c>
      <c r="H372" s="75">
        <f t="shared" si="26"/>
        <v>4.3453749999999998</v>
      </c>
      <c r="I372" s="76">
        <v>1</v>
      </c>
      <c r="J372" s="75">
        <f t="shared" si="27"/>
        <v>5.3453749999999998</v>
      </c>
      <c r="K372" s="81">
        <f t="shared" si="28"/>
        <v>6</v>
      </c>
      <c r="L372" s="11"/>
      <c r="M372" s="11"/>
      <c r="N372" s="11"/>
      <c r="O372" s="28">
        <f>'DHS2025'!C371</f>
        <v>17818</v>
      </c>
      <c r="P372" s="29">
        <f>'DHS2025'!D371</f>
        <v>6162</v>
      </c>
      <c r="Q372" s="29">
        <f>'DHS2025'!E371</f>
        <v>8047</v>
      </c>
      <c r="R372" s="62">
        <v>151.99</v>
      </c>
      <c r="S372" s="61">
        <f>(Porovnavanie!J374*0.99-1.9)*Porovnavanie!I374</f>
        <v>1195.5435947000001</v>
      </c>
    </row>
    <row r="373" spans="1:19" ht="15.75" thickBot="1">
      <c r="A373" s="101">
        <f t="shared" si="29"/>
        <v>45704</v>
      </c>
      <c r="B373" s="25" t="s">
        <v>27</v>
      </c>
      <c r="C373" s="54">
        <f>'DHS2021'!C372</f>
        <v>13981</v>
      </c>
      <c r="D373" s="55">
        <f>'DHS2022'!C372</f>
        <v>15484</v>
      </c>
      <c r="E373" s="55">
        <f>'DHS2023'!C372</f>
        <v>15765</v>
      </c>
      <c r="F373" s="55">
        <f>'DHS2024'!C372</f>
        <v>14474</v>
      </c>
      <c r="G373" s="56">
        <f t="shared" si="25"/>
        <v>14926</v>
      </c>
      <c r="H373" s="75">
        <f t="shared" si="26"/>
        <v>3.7315</v>
      </c>
      <c r="I373" s="76">
        <v>1</v>
      </c>
      <c r="J373" s="75">
        <f t="shared" si="27"/>
        <v>4.7315000000000005</v>
      </c>
      <c r="K373" s="81">
        <f t="shared" si="28"/>
        <v>5</v>
      </c>
      <c r="L373" s="11"/>
      <c r="M373" s="11"/>
      <c r="N373" s="11"/>
      <c r="O373" s="28">
        <f>'DHS2025'!C372</f>
        <v>16236</v>
      </c>
      <c r="P373" s="29">
        <f>'DHS2025'!D372</f>
        <v>8270</v>
      </c>
      <c r="Q373" s="29">
        <f>'DHS2025'!E372</f>
        <v>8068</v>
      </c>
      <c r="R373" s="62">
        <v>132.05000000000001</v>
      </c>
      <c r="S373" s="61">
        <f>(Porovnavanie!J375*0.99-1.9)*Porovnavanie!I375</f>
        <v>1039.3964059999998</v>
      </c>
    </row>
    <row r="374" spans="1:19" ht="15.75" thickBot="1">
      <c r="A374" s="101">
        <f t="shared" si="29"/>
        <v>45704</v>
      </c>
      <c r="B374" s="25" t="s">
        <v>28</v>
      </c>
      <c r="C374" s="54">
        <f>'DHS2021'!C373</f>
        <v>9998</v>
      </c>
      <c r="D374" s="55">
        <f>'DHS2022'!C373</f>
        <v>14808</v>
      </c>
      <c r="E374" s="55">
        <f>'DHS2023'!C373</f>
        <v>14819</v>
      </c>
      <c r="F374" s="55">
        <f>'DHS2024'!C373</f>
        <v>11509</v>
      </c>
      <c r="G374" s="56">
        <f t="shared" si="25"/>
        <v>12783.5</v>
      </c>
      <c r="H374" s="75">
        <f t="shared" si="26"/>
        <v>3.195875</v>
      </c>
      <c r="I374" s="76">
        <v>1</v>
      </c>
      <c r="J374" s="75">
        <f t="shared" si="27"/>
        <v>4.195875</v>
      </c>
      <c r="K374" s="81">
        <f t="shared" si="28"/>
        <v>5</v>
      </c>
      <c r="L374" s="11"/>
      <c r="M374" s="11"/>
      <c r="N374" s="11"/>
      <c r="O374" s="28">
        <f>'DHS2025'!C373</f>
        <v>14895</v>
      </c>
      <c r="P374" s="29">
        <f>'DHS2025'!D373</f>
        <v>8689</v>
      </c>
      <c r="Q374" s="29">
        <f>'DHS2025'!E373</f>
        <v>8044</v>
      </c>
      <c r="R374" s="62">
        <v>130.46</v>
      </c>
      <c r="S374" s="61">
        <f>(Porovnavanie!J376*0.99-1.9)*Porovnavanie!I376</f>
        <v>1023.6424376000001</v>
      </c>
    </row>
    <row r="375" spans="1:19" ht="15.75" thickBot="1">
      <c r="A375" s="101">
        <f t="shared" si="29"/>
        <v>45704</v>
      </c>
      <c r="B375" s="25" t="s">
        <v>29</v>
      </c>
      <c r="C375" s="54">
        <f>'DHS2021'!C374</f>
        <v>12807</v>
      </c>
      <c r="D375" s="55">
        <f>'DHS2022'!C374</f>
        <v>13984</v>
      </c>
      <c r="E375" s="55">
        <f>'DHS2023'!C374</f>
        <v>14473</v>
      </c>
      <c r="F375" s="55">
        <f>'DHS2024'!C374</f>
        <v>11173</v>
      </c>
      <c r="G375" s="56">
        <f t="shared" si="25"/>
        <v>13109.25</v>
      </c>
      <c r="H375" s="75">
        <f t="shared" si="26"/>
        <v>3.2773124999999999</v>
      </c>
      <c r="I375" s="76">
        <v>1</v>
      </c>
      <c r="J375" s="75">
        <f t="shared" si="27"/>
        <v>4.2773124999999999</v>
      </c>
      <c r="K375" s="81">
        <f t="shared" si="28"/>
        <v>5</v>
      </c>
      <c r="L375" s="11"/>
      <c r="M375" s="11"/>
      <c r="N375" s="11"/>
      <c r="O375" s="28">
        <f>'DHS2025'!C374</f>
        <v>16235</v>
      </c>
      <c r="P375" s="29">
        <f>'DHS2025'!D374</f>
        <v>8671</v>
      </c>
      <c r="Q375" s="29">
        <f>'DHS2025'!E374</f>
        <v>8046</v>
      </c>
      <c r="R375" s="62">
        <v>128.43</v>
      </c>
      <c r="S375" s="61">
        <f>(Porovnavanie!J377*0.99-1.9)*Porovnavanie!I377</f>
        <v>1007.7269021999999</v>
      </c>
    </row>
    <row r="376" spans="1:19" ht="15.75" thickBot="1">
      <c r="A376" s="101">
        <f t="shared" si="29"/>
        <v>45704</v>
      </c>
      <c r="B376" s="25" t="s">
        <v>30</v>
      </c>
      <c r="C376" s="54">
        <f>'DHS2021'!C375</f>
        <v>16166</v>
      </c>
      <c r="D376" s="55">
        <f>'DHS2022'!C375</f>
        <v>11970</v>
      </c>
      <c r="E376" s="55">
        <f>'DHS2023'!C375</f>
        <v>13437</v>
      </c>
      <c r="F376" s="55">
        <f>'DHS2024'!C375</f>
        <v>11221</v>
      </c>
      <c r="G376" s="56">
        <f t="shared" si="25"/>
        <v>13198.5</v>
      </c>
      <c r="H376" s="75">
        <f t="shared" si="26"/>
        <v>3.2996249999999998</v>
      </c>
      <c r="I376" s="76">
        <v>1</v>
      </c>
      <c r="J376" s="75">
        <f t="shared" si="27"/>
        <v>4.2996249999999998</v>
      </c>
      <c r="K376" s="81">
        <f t="shared" si="28"/>
        <v>5</v>
      </c>
      <c r="L376" s="11"/>
      <c r="M376" s="11"/>
      <c r="N376" s="11"/>
      <c r="O376" s="28">
        <f>'DHS2025'!C375</f>
        <v>15710</v>
      </c>
      <c r="P376" s="29">
        <f>'DHS2025'!D375</f>
        <v>7766</v>
      </c>
      <c r="Q376" s="29">
        <f>'DHS2025'!E375</f>
        <v>8053</v>
      </c>
      <c r="R376" s="62">
        <v>125.02</v>
      </c>
      <c r="S376" s="61">
        <f>(Porovnavanie!J378*0.99-1.9)*Porovnavanie!I378</f>
        <v>981.4174994</v>
      </c>
    </row>
    <row r="377" spans="1:19" ht="15.75" thickBot="1">
      <c r="A377" s="101">
        <f t="shared" si="29"/>
        <v>45704</v>
      </c>
      <c r="B377" s="25" t="s">
        <v>31</v>
      </c>
      <c r="C377" s="54">
        <f>'DHS2021'!C376</f>
        <v>19108</v>
      </c>
      <c r="D377" s="55">
        <f>'DHS2022'!C376</f>
        <v>12125</v>
      </c>
      <c r="E377" s="55">
        <f>'DHS2023'!C376</f>
        <v>13343</v>
      </c>
      <c r="F377" s="55">
        <f>'DHS2024'!C376</f>
        <v>10963</v>
      </c>
      <c r="G377" s="56">
        <f t="shared" si="25"/>
        <v>13884.75</v>
      </c>
      <c r="H377" s="75">
        <f t="shared" si="26"/>
        <v>3.4711875000000001</v>
      </c>
      <c r="I377" s="76">
        <v>1</v>
      </c>
      <c r="J377" s="75">
        <f t="shared" si="27"/>
        <v>4.4711875000000001</v>
      </c>
      <c r="K377" s="81">
        <f t="shared" si="28"/>
        <v>5</v>
      </c>
      <c r="L377" s="11"/>
      <c r="M377" s="11"/>
      <c r="N377" s="11"/>
      <c r="O377" s="28">
        <f>'DHS2025'!C376</f>
        <v>16258</v>
      </c>
      <c r="P377" s="29">
        <f>'DHS2025'!D376</f>
        <v>7809</v>
      </c>
      <c r="Q377" s="29">
        <f>'DHS2025'!E376</f>
        <v>8055</v>
      </c>
      <c r="R377" s="62">
        <v>127.1</v>
      </c>
      <c r="S377" s="61">
        <f>(Porovnavanie!J379*0.99-1.9)*Porovnavanie!I379</f>
        <v>998.24809499999992</v>
      </c>
    </row>
    <row r="378" spans="1:19" ht="15.75" thickBot="1">
      <c r="A378" s="101">
        <f t="shared" si="29"/>
        <v>45704</v>
      </c>
      <c r="B378" s="25" t="s">
        <v>32</v>
      </c>
      <c r="C378" s="54">
        <f>'DHS2021'!C377</f>
        <v>19869</v>
      </c>
      <c r="D378" s="55">
        <f>'DHS2022'!C377</f>
        <v>13148</v>
      </c>
      <c r="E378" s="55">
        <f>'DHS2023'!C377</f>
        <v>14418</v>
      </c>
      <c r="F378" s="55">
        <f>'DHS2024'!C377</f>
        <v>11172</v>
      </c>
      <c r="G378" s="56">
        <f t="shared" si="25"/>
        <v>14651.75</v>
      </c>
      <c r="H378" s="75">
        <f t="shared" si="26"/>
        <v>3.6629375</v>
      </c>
      <c r="I378" s="76">
        <v>1</v>
      </c>
      <c r="J378" s="75">
        <f t="shared" si="27"/>
        <v>4.6629375</v>
      </c>
      <c r="K378" s="81">
        <f t="shared" si="28"/>
        <v>5</v>
      </c>
      <c r="L378" s="11"/>
      <c r="M378" s="11"/>
      <c r="N378" s="11"/>
      <c r="O378" s="28">
        <f>'DHS2025'!C377</f>
        <v>15889</v>
      </c>
      <c r="P378" s="29">
        <f>'DHS2025'!D377</f>
        <v>8501</v>
      </c>
      <c r="Q378" s="29">
        <f>'DHS2025'!E377</f>
        <v>8037</v>
      </c>
      <c r="R378" s="62">
        <v>144.43</v>
      </c>
      <c r="S378" s="61">
        <f>(Porovnavanie!J380*0.99-1.9)*Porovnavanie!I380</f>
        <v>1133.9057709000001</v>
      </c>
    </row>
    <row r="379" spans="1:19" ht="15.75" thickBot="1">
      <c r="A379" s="101">
        <f t="shared" si="29"/>
        <v>45704</v>
      </c>
      <c r="B379" s="25" t="s">
        <v>33</v>
      </c>
      <c r="C379" s="54">
        <f>'DHS2021'!C378</f>
        <v>19669</v>
      </c>
      <c r="D379" s="55">
        <f>'DHS2022'!C378</f>
        <v>13692</v>
      </c>
      <c r="E379" s="55">
        <f>'DHS2023'!C378</f>
        <v>13949</v>
      </c>
      <c r="F379" s="55">
        <f>'DHS2024'!C378</f>
        <v>11397</v>
      </c>
      <c r="G379" s="56">
        <f t="shared" si="25"/>
        <v>14676.75</v>
      </c>
      <c r="H379" s="75">
        <f t="shared" si="26"/>
        <v>3.6691875</v>
      </c>
      <c r="I379" s="76">
        <v>1</v>
      </c>
      <c r="J379" s="75">
        <f t="shared" si="27"/>
        <v>4.6691874999999996</v>
      </c>
      <c r="K379" s="81">
        <f t="shared" si="28"/>
        <v>5</v>
      </c>
      <c r="L379" s="11"/>
      <c r="M379" s="11"/>
      <c r="N379" s="11"/>
      <c r="O379" s="28">
        <f>'DHS2025'!C378</f>
        <v>16706</v>
      </c>
      <c r="P379" s="29">
        <f>'DHS2025'!D378</f>
        <v>7158</v>
      </c>
      <c r="Q379" s="29">
        <f>'DHS2025'!E378</f>
        <v>8044</v>
      </c>
      <c r="R379" s="62">
        <v>171.65</v>
      </c>
      <c r="S379" s="61">
        <f>(Porovnavanie!J381*0.99-1.9)*Porovnavanie!I381</f>
        <v>1351.661474</v>
      </c>
    </row>
    <row r="380" spans="1:19" ht="15.75" thickBot="1">
      <c r="A380" s="101">
        <f t="shared" si="29"/>
        <v>45704</v>
      </c>
      <c r="B380" s="25" t="s">
        <v>34</v>
      </c>
      <c r="C380" s="54">
        <f>'DHS2021'!C379</f>
        <v>19948</v>
      </c>
      <c r="D380" s="55">
        <f>'DHS2022'!C379</f>
        <v>13972</v>
      </c>
      <c r="E380" s="55">
        <f>'DHS2023'!C379</f>
        <v>13770</v>
      </c>
      <c r="F380" s="55">
        <f>'DHS2024'!C379</f>
        <v>11758</v>
      </c>
      <c r="G380" s="56">
        <f t="shared" si="25"/>
        <v>14862</v>
      </c>
      <c r="H380" s="75">
        <f t="shared" si="26"/>
        <v>3.7155</v>
      </c>
      <c r="I380" s="76">
        <v>1</v>
      </c>
      <c r="J380" s="75">
        <f t="shared" si="27"/>
        <v>4.7155000000000005</v>
      </c>
      <c r="K380" s="81">
        <f t="shared" si="28"/>
        <v>5</v>
      </c>
      <c r="L380" s="11"/>
      <c r="M380" s="11"/>
      <c r="N380" s="11"/>
      <c r="O380" s="28">
        <f>'DHS2025'!C379</f>
        <v>19034</v>
      </c>
      <c r="P380" s="29">
        <f>'DHS2025'!D379</f>
        <v>4956</v>
      </c>
      <c r="Q380" s="29">
        <f>'DHS2025'!E379</f>
        <v>8048</v>
      </c>
      <c r="R380" s="62">
        <v>177.08</v>
      </c>
      <c r="S380" s="61">
        <f>(Porovnavanie!J382*0.99-1.9)*Porovnavanie!I382</f>
        <v>1395.5972416</v>
      </c>
    </row>
    <row r="381" spans="1:19" ht="15.75" thickBot="1">
      <c r="A381" s="101">
        <f t="shared" si="29"/>
        <v>45704</v>
      </c>
      <c r="B381" s="25" t="s">
        <v>35</v>
      </c>
      <c r="C381" s="54">
        <f>'DHS2021'!C380</f>
        <v>20019</v>
      </c>
      <c r="D381" s="55">
        <f>'DHS2022'!C380</f>
        <v>15107</v>
      </c>
      <c r="E381" s="55">
        <f>'DHS2023'!C380</f>
        <v>14746</v>
      </c>
      <c r="F381" s="55">
        <f>'DHS2024'!C380</f>
        <v>12533</v>
      </c>
      <c r="G381" s="56">
        <f t="shared" si="25"/>
        <v>15601.25</v>
      </c>
      <c r="H381" s="75">
        <f t="shared" si="26"/>
        <v>3.9003125000000001</v>
      </c>
      <c r="I381" s="76">
        <v>1</v>
      </c>
      <c r="J381" s="75">
        <f t="shared" si="27"/>
        <v>4.9003125000000001</v>
      </c>
      <c r="K381" s="81">
        <f t="shared" si="28"/>
        <v>5</v>
      </c>
      <c r="L381" s="11"/>
      <c r="M381" s="11"/>
      <c r="N381" s="11"/>
      <c r="O381" s="28">
        <f>'DHS2025'!C380</f>
        <v>19404</v>
      </c>
      <c r="P381" s="29">
        <f>'DHS2025'!D380</f>
        <v>4733</v>
      </c>
      <c r="Q381" s="29">
        <f>'DHS2025'!E380</f>
        <v>8048</v>
      </c>
      <c r="R381" s="62">
        <v>171.95</v>
      </c>
      <c r="S381" s="61">
        <f>(Porovnavanie!J383*0.99-1.9)*Porovnavanie!I383</f>
        <v>1354.7238639999998</v>
      </c>
    </row>
    <row r="382" spans="1:19" ht="15.75" thickBot="1">
      <c r="A382" s="101">
        <f t="shared" si="29"/>
        <v>45704</v>
      </c>
      <c r="B382" s="25" t="s">
        <v>36</v>
      </c>
      <c r="C382" s="54">
        <f>'DHS2021'!C381</f>
        <v>19960</v>
      </c>
      <c r="D382" s="55">
        <f>'DHS2022'!C381</f>
        <v>15776</v>
      </c>
      <c r="E382" s="55">
        <f>'DHS2023'!C381</f>
        <v>12930</v>
      </c>
      <c r="F382" s="55">
        <f>'DHS2024'!C381</f>
        <v>13636</v>
      </c>
      <c r="G382" s="56">
        <f t="shared" si="25"/>
        <v>15575.5</v>
      </c>
      <c r="H382" s="75">
        <f t="shared" si="26"/>
        <v>3.893875</v>
      </c>
      <c r="I382" s="76">
        <v>1</v>
      </c>
      <c r="J382" s="75">
        <f t="shared" si="27"/>
        <v>4.8938749999999995</v>
      </c>
      <c r="K382" s="81">
        <f t="shared" si="28"/>
        <v>5</v>
      </c>
      <c r="L382" s="11"/>
      <c r="M382" s="11"/>
      <c r="N382" s="11"/>
      <c r="O382" s="28">
        <f>'DHS2025'!C381</f>
        <v>20783</v>
      </c>
      <c r="P382" s="29">
        <f>'DHS2025'!D381</f>
        <v>4710</v>
      </c>
      <c r="Q382" s="29">
        <f>'DHS2025'!E381</f>
        <v>8036</v>
      </c>
      <c r="R382" s="62">
        <v>171.4</v>
      </c>
      <c r="S382" s="61">
        <f>(Porovnavanie!J384*0.99-1.9)*Porovnavanie!I384</f>
        <v>1348.3282959999999</v>
      </c>
    </row>
    <row r="383" spans="1:19" ht="15.75" thickBot="1">
      <c r="A383" s="101">
        <f t="shared" si="29"/>
        <v>45704</v>
      </c>
      <c r="B383" s="25" t="s">
        <v>37</v>
      </c>
      <c r="C383" s="54">
        <f>'DHS2021'!C382</f>
        <v>20375</v>
      </c>
      <c r="D383" s="55">
        <f>'DHS2022'!C382</f>
        <v>15634</v>
      </c>
      <c r="E383" s="55">
        <f>'DHS2023'!C382</f>
        <v>15408</v>
      </c>
      <c r="F383" s="55">
        <f>'DHS2024'!C382</f>
        <v>13974</v>
      </c>
      <c r="G383" s="56">
        <f t="shared" si="25"/>
        <v>16347.75</v>
      </c>
      <c r="H383" s="75">
        <f t="shared" si="26"/>
        <v>4.0869375000000003</v>
      </c>
      <c r="I383" s="76">
        <v>1</v>
      </c>
      <c r="J383" s="75">
        <f t="shared" si="27"/>
        <v>5.0869375000000003</v>
      </c>
      <c r="K383" s="81">
        <f t="shared" si="28"/>
        <v>6</v>
      </c>
      <c r="L383" s="11"/>
      <c r="M383" s="11"/>
      <c r="N383" s="11"/>
      <c r="O383" s="28">
        <f>'DHS2025'!C382</f>
        <v>21693</v>
      </c>
      <c r="P383" s="29">
        <f>'DHS2025'!D382</f>
        <v>3933</v>
      </c>
      <c r="Q383" s="29">
        <f>'DHS2025'!E382</f>
        <v>8083</v>
      </c>
      <c r="R383" s="62">
        <v>155</v>
      </c>
      <c r="S383" s="61">
        <f>(Porovnavanie!J385*0.99-1.9)*Porovnavanie!I385</f>
        <v>1224.9786499999998</v>
      </c>
    </row>
    <row r="384" spans="1:19" ht="15.75" thickBot="1">
      <c r="A384" s="101">
        <f t="shared" si="29"/>
        <v>45704</v>
      </c>
      <c r="B384" s="25" t="s">
        <v>38</v>
      </c>
      <c r="C384" s="54">
        <f>'DHS2021'!C383</f>
        <v>19374</v>
      </c>
      <c r="D384" s="55">
        <f>'DHS2022'!C383</f>
        <v>15004</v>
      </c>
      <c r="E384" s="55">
        <f>'DHS2023'!C383</f>
        <v>14189</v>
      </c>
      <c r="F384" s="55">
        <f>'DHS2024'!C383</f>
        <v>14094</v>
      </c>
      <c r="G384" s="56">
        <f t="shared" si="25"/>
        <v>15665.25</v>
      </c>
      <c r="H384" s="75">
        <f t="shared" si="26"/>
        <v>3.9163125000000001</v>
      </c>
      <c r="I384" s="76">
        <v>1</v>
      </c>
      <c r="J384" s="75">
        <f t="shared" si="27"/>
        <v>4.9163125000000001</v>
      </c>
      <c r="K384" s="81">
        <f t="shared" si="28"/>
        <v>5</v>
      </c>
      <c r="L384" s="11"/>
      <c r="M384" s="11"/>
      <c r="N384" s="11"/>
      <c r="O384" s="28">
        <f>'DHS2025'!C383</f>
        <v>18911</v>
      </c>
      <c r="P384" s="29">
        <f>'DHS2025'!D383</f>
        <v>5934</v>
      </c>
      <c r="Q384" s="29">
        <f>'DHS2025'!E383</f>
        <v>8084</v>
      </c>
      <c r="R384" s="62">
        <v>179.36</v>
      </c>
      <c r="S384" s="61">
        <f>(Porovnavanie!J386*0.99-1.9)*Porovnavanie!I386</f>
        <v>1420.0871775999999</v>
      </c>
    </row>
    <row r="385" spans="1:19" ht="15.75" thickBot="1">
      <c r="A385" s="101">
        <f t="shared" si="29"/>
        <v>45704</v>
      </c>
      <c r="B385" s="25" t="s">
        <v>39</v>
      </c>
      <c r="C385" s="54">
        <f>'DHS2021'!C384</f>
        <v>19027</v>
      </c>
      <c r="D385" s="55">
        <f>'DHS2022'!C384</f>
        <v>12772</v>
      </c>
      <c r="E385" s="55">
        <f>'DHS2023'!C384</f>
        <v>12872</v>
      </c>
      <c r="F385" s="55">
        <f>'DHS2024'!C384</f>
        <v>12962</v>
      </c>
      <c r="G385" s="56">
        <f t="shared" si="25"/>
        <v>14408.25</v>
      </c>
      <c r="H385" s="75">
        <f t="shared" si="26"/>
        <v>3.6020625000000002</v>
      </c>
      <c r="I385" s="76">
        <v>1</v>
      </c>
      <c r="J385" s="75">
        <f t="shared" si="27"/>
        <v>4.6020625000000006</v>
      </c>
      <c r="K385" s="81">
        <f t="shared" si="28"/>
        <v>5</v>
      </c>
      <c r="L385" s="11"/>
      <c r="M385" s="11"/>
      <c r="N385" s="11"/>
      <c r="O385" s="28">
        <f>'DHS2025'!C384</f>
        <v>16655</v>
      </c>
      <c r="P385" s="29">
        <f>'DHS2025'!D384</f>
        <v>7213</v>
      </c>
      <c r="Q385" s="29">
        <f>'DHS2025'!E384</f>
        <v>8068</v>
      </c>
      <c r="R385" s="62">
        <v>162.32</v>
      </c>
      <c r="S385" s="61">
        <f>(Porovnavanie!J387*0.99-1.9)*Porovnavanie!I387</f>
        <v>1281.1725823999998</v>
      </c>
    </row>
    <row r="386" spans="1:19" ht="15.75" thickBot="1">
      <c r="A386" s="101">
        <f t="shared" si="29"/>
        <v>45704</v>
      </c>
      <c r="B386" s="25" t="s">
        <v>40</v>
      </c>
      <c r="C386" s="54">
        <f>'DHS2021'!C385</f>
        <v>9525</v>
      </c>
      <c r="D386" s="55">
        <f>'DHS2022'!C385</f>
        <v>7986</v>
      </c>
      <c r="E386" s="55">
        <f>'DHS2023'!C385</f>
        <v>6137</v>
      </c>
      <c r="F386" s="55">
        <f>'DHS2024'!C385</f>
        <v>7688</v>
      </c>
      <c r="G386" s="56">
        <f t="shared" si="25"/>
        <v>7834</v>
      </c>
      <c r="H386" s="75">
        <f t="shared" si="26"/>
        <v>1.9584999999999999</v>
      </c>
      <c r="I386" s="76">
        <v>1</v>
      </c>
      <c r="J386" s="75">
        <f t="shared" si="27"/>
        <v>2.9584999999999999</v>
      </c>
      <c r="K386" s="81">
        <f t="shared" si="28"/>
        <v>3</v>
      </c>
      <c r="L386" s="11"/>
      <c r="M386" s="11"/>
      <c r="N386" s="11"/>
      <c r="O386" s="28">
        <f>'DHS2025'!C385</f>
        <v>11292</v>
      </c>
      <c r="P386" s="29">
        <f>'DHS2025'!D385</f>
        <v>12940</v>
      </c>
      <c r="Q386" s="29">
        <f>'DHS2025'!E385</f>
        <v>8048</v>
      </c>
      <c r="R386" s="62">
        <v>131.51</v>
      </c>
      <c r="S386" s="61">
        <f>(Porovnavanie!J388*0.99-1.9)*Porovnavanie!I388</f>
        <v>1032.5173551999999</v>
      </c>
    </row>
    <row r="387" spans="1:19" ht="15.75" thickBot="1">
      <c r="A387" s="100">
        <f t="shared" si="29"/>
        <v>45705</v>
      </c>
      <c r="B387" s="24" t="s">
        <v>17</v>
      </c>
      <c r="C387" s="54">
        <f>'DHS2021'!C386</f>
        <v>10927</v>
      </c>
      <c r="D387" s="55">
        <f>'DHS2022'!C386</f>
        <v>6478</v>
      </c>
      <c r="E387" s="55">
        <f>'DHS2023'!C386</f>
        <v>5403</v>
      </c>
      <c r="F387" s="55">
        <f>'DHS2024'!C386</f>
        <v>8408</v>
      </c>
      <c r="G387" s="56">
        <f t="shared" si="25"/>
        <v>7804</v>
      </c>
      <c r="H387" s="75">
        <f t="shared" si="26"/>
        <v>1.9510000000000001</v>
      </c>
      <c r="I387" s="76">
        <v>1</v>
      </c>
      <c r="J387" s="75">
        <f t="shared" si="27"/>
        <v>2.9510000000000001</v>
      </c>
      <c r="K387" s="81">
        <f t="shared" si="28"/>
        <v>3</v>
      </c>
      <c r="L387" s="11"/>
      <c r="M387" s="11"/>
      <c r="N387" s="11"/>
      <c r="O387" s="28">
        <f>'DHS2025'!C386</f>
        <v>12718</v>
      </c>
      <c r="P387" s="29">
        <f>'DHS2025'!D386</f>
        <v>11760</v>
      </c>
      <c r="Q387" s="29">
        <f>'DHS2025'!E386</f>
        <v>8063</v>
      </c>
      <c r="R387" s="62">
        <v>137.57</v>
      </c>
      <c r="S387" s="61">
        <f>(Porovnavanie!J389*0.99-1.9)*Porovnavanie!I389</f>
        <v>1082.8149409</v>
      </c>
    </row>
    <row r="388" spans="1:19" ht="15.75" thickBot="1">
      <c r="A388" s="100">
        <f t="shared" si="29"/>
        <v>45705</v>
      </c>
      <c r="B388" s="24" t="s">
        <v>18</v>
      </c>
      <c r="C388" s="54">
        <f>'DHS2021'!C387</f>
        <v>13475</v>
      </c>
      <c r="D388" s="55">
        <f>'DHS2022'!C387</f>
        <v>7061</v>
      </c>
      <c r="E388" s="55">
        <f>'DHS2023'!C387</f>
        <v>7266</v>
      </c>
      <c r="F388" s="55">
        <f>'DHS2024'!C387</f>
        <v>8705</v>
      </c>
      <c r="G388" s="56">
        <f t="shared" ref="G388:G451" si="30">AVERAGE(C388:F388)</f>
        <v>9126.75</v>
      </c>
      <c r="H388" s="75">
        <f t="shared" ref="H388:H451" si="31">G388/$M$2/1000</f>
        <v>2.2816874999999999</v>
      </c>
      <c r="I388" s="76">
        <v>1</v>
      </c>
      <c r="J388" s="75">
        <f t="shared" ref="J388:J451" si="32">H388+I388</f>
        <v>3.2816874999999999</v>
      </c>
      <c r="K388" s="81">
        <f t="shared" ref="K388:K451" si="33">ROUNDUP(J388,0)</f>
        <v>4</v>
      </c>
      <c r="L388" s="11"/>
      <c r="M388" s="11"/>
      <c r="N388" s="11"/>
      <c r="O388" s="28">
        <f>'DHS2025'!C387</f>
        <v>12617</v>
      </c>
      <c r="P388" s="29">
        <f>'DHS2025'!D387</f>
        <v>12781</v>
      </c>
      <c r="Q388" s="29">
        <f>'DHS2025'!E387</f>
        <v>8075</v>
      </c>
      <c r="R388" s="62">
        <v>121.06</v>
      </c>
      <c r="S388" s="61">
        <f>(Porovnavanie!J390*0.99-1.9)*Porovnavanie!I390</f>
        <v>952.44140499999992</v>
      </c>
    </row>
    <row r="389" spans="1:19" ht="15.75" thickBot="1">
      <c r="A389" s="100">
        <f t="shared" ref="A389:A452" si="34">$A$3+INT((ROW()-3)/24)</f>
        <v>45705</v>
      </c>
      <c r="B389" s="24" t="s">
        <v>19</v>
      </c>
      <c r="C389" s="54">
        <f>'DHS2021'!C388</f>
        <v>14155</v>
      </c>
      <c r="D389" s="55">
        <f>'DHS2022'!C388</f>
        <v>6365</v>
      </c>
      <c r="E389" s="55">
        <f>'DHS2023'!C388</f>
        <v>8277</v>
      </c>
      <c r="F389" s="55">
        <f>'DHS2024'!C388</f>
        <v>10789</v>
      </c>
      <c r="G389" s="56">
        <f t="shared" si="30"/>
        <v>9896.5</v>
      </c>
      <c r="H389" s="75">
        <f t="shared" si="31"/>
        <v>2.4741249999999999</v>
      </c>
      <c r="I389" s="76">
        <v>1</v>
      </c>
      <c r="J389" s="75">
        <f t="shared" si="32"/>
        <v>3.4741249999999999</v>
      </c>
      <c r="K389" s="81">
        <f t="shared" si="33"/>
        <v>4</v>
      </c>
      <c r="L389" s="11"/>
      <c r="M389" s="11"/>
      <c r="N389" s="11"/>
      <c r="O389" s="28">
        <f>'DHS2025'!C388</f>
        <v>14053</v>
      </c>
      <c r="P389" s="29">
        <f>'DHS2025'!D388</f>
        <v>10434</v>
      </c>
      <c r="Q389" s="29">
        <f>'DHS2025'!E388</f>
        <v>8046</v>
      </c>
      <c r="R389" s="62">
        <v>120.34</v>
      </c>
      <c r="S389" s="61">
        <f>(Porovnavanie!J391*0.99-1.9)*Porovnavanie!I391</f>
        <v>943.28568359999986</v>
      </c>
    </row>
    <row r="390" spans="1:19" ht="15.75" thickBot="1">
      <c r="A390" s="100">
        <f t="shared" si="34"/>
        <v>45705</v>
      </c>
      <c r="B390" s="24" t="s">
        <v>20</v>
      </c>
      <c r="C390" s="54">
        <f>'DHS2021'!C389</f>
        <v>14286</v>
      </c>
      <c r="D390" s="55">
        <f>'DHS2022'!C389</f>
        <v>7014</v>
      </c>
      <c r="E390" s="55">
        <f>'DHS2023'!C389</f>
        <v>9145</v>
      </c>
      <c r="F390" s="55">
        <f>'DHS2024'!C389</f>
        <v>10319</v>
      </c>
      <c r="G390" s="56">
        <f t="shared" si="30"/>
        <v>10191</v>
      </c>
      <c r="H390" s="75">
        <f t="shared" si="31"/>
        <v>2.5477500000000002</v>
      </c>
      <c r="I390" s="76">
        <v>1</v>
      </c>
      <c r="J390" s="75">
        <f t="shared" si="32"/>
        <v>3.5477500000000002</v>
      </c>
      <c r="K390" s="81">
        <f t="shared" si="33"/>
        <v>4</v>
      </c>
      <c r="L390" s="11"/>
      <c r="M390" s="11"/>
      <c r="N390" s="11"/>
      <c r="O390" s="28">
        <f>'DHS2025'!C389</f>
        <v>13210</v>
      </c>
      <c r="P390" s="29">
        <f>'DHS2025'!D389</f>
        <v>11734</v>
      </c>
      <c r="Q390" s="29">
        <f>'DHS2025'!E389</f>
        <v>8088</v>
      </c>
      <c r="R390" s="62">
        <v>126.1</v>
      </c>
      <c r="S390" s="61">
        <f>(Porovnavanie!J392*0.99-1.9)*Porovnavanie!I392</f>
        <v>994.33063199999981</v>
      </c>
    </row>
    <row r="391" spans="1:19" ht="15.75" thickBot="1">
      <c r="A391" s="100">
        <f t="shared" si="34"/>
        <v>45705</v>
      </c>
      <c r="B391" s="24" t="s">
        <v>21</v>
      </c>
      <c r="C391" s="54">
        <f>'DHS2021'!C390</f>
        <v>23217</v>
      </c>
      <c r="D391" s="55">
        <f>'DHS2022'!C390</f>
        <v>15166</v>
      </c>
      <c r="E391" s="55">
        <f>'DHS2023'!C390</f>
        <v>13947</v>
      </c>
      <c r="F391" s="55">
        <f>'DHS2024'!C390</f>
        <v>14095</v>
      </c>
      <c r="G391" s="56">
        <f t="shared" si="30"/>
        <v>16606.25</v>
      </c>
      <c r="H391" s="75">
        <f t="shared" si="31"/>
        <v>4.1515624999999998</v>
      </c>
      <c r="I391" s="76">
        <v>1</v>
      </c>
      <c r="J391" s="75">
        <f t="shared" si="32"/>
        <v>5.1515624999999998</v>
      </c>
      <c r="K391" s="81">
        <f t="shared" si="33"/>
        <v>6</v>
      </c>
      <c r="L391" s="11"/>
      <c r="M391" s="11"/>
      <c r="N391" s="11"/>
      <c r="O391" s="28">
        <f>'DHS2025'!C390</f>
        <v>21271</v>
      </c>
      <c r="P391" s="29">
        <f>'DHS2025'!D390</f>
        <v>3782</v>
      </c>
      <c r="Q391" s="29">
        <f>'DHS2025'!E390</f>
        <v>8071</v>
      </c>
      <c r="R391" s="62">
        <v>129.71</v>
      </c>
      <c r="S391" s="61">
        <f>(Porovnavanie!J393*0.99-1.9)*Porovnavanie!I393</f>
        <v>1021.0856159</v>
      </c>
    </row>
    <row r="392" spans="1:19" ht="15.75" thickBot="1">
      <c r="A392" s="100">
        <f t="shared" si="34"/>
        <v>45705</v>
      </c>
      <c r="B392" s="24" t="s">
        <v>22</v>
      </c>
      <c r="C392" s="54">
        <f>'DHS2021'!C391</f>
        <v>22522</v>
      </c>
      <c r="D392" s="55">
        <f>'DHS2022'!C391</f>
        <v>19619</v>
      </c>
      <c r="E392" s="55">
        <f>'DHS2023'!C391</f>
        <v>16432</v>
      </c>
      <c r="F392" s="55">
        <f>'DHS2024'!C391</f>
        <v>15394</v>
      </c>
      <c r="G392" s="56">
        <f t="shared" si="30"/>
        <v>18491.75</v>
      </c>
      <c r="H392" s="75">
        <f t="shared" si="31"/>
        <v>4.6229374999999999</v>
      </c>
      <c r="I392" s="76">
        <v>1</v>
      </c>
      <c r="J392" s="75">
        <f t="shared" si="32"/>
        <v>5.6229374999999999</v>
      </c>
      <c r="K392" s="81">
        <f t="shared" si="33"/>
        <v>6</v>
      </c>
      <c r="L392" s="11"/>
      <c r="M392" s="11"/>
      <c r="N392" s="11"/>
      <c r="O392" s="28">
        <f>'DHS2025'!C391</f>
        <v>23483</v>
      </c>
      <c r="P392" s="29">
        <f>'DHS2025'!D391</f>
        <v>1685</v>
      </c>
      <c r="Q392" s="29">
        <f>'DHS2025'!E391</f>
        <v>8058</v>
      </c>
      <c r="R392" s="62">
        <v>155.24</v>
      </c>
      <c r="S392" s="61">
        <f>(Porovnavanie!J394*0.99-1.9)*Porovnavanie!I394</f>
        <v>1223.1044807999999</v>
      </c>
    </row>
    <row r="393" spans="1:19" ht="15.75" thickBot="1">
      <c r="A393" s="100">
        <f t="shared" si="34"/>
        <v>45705</v>
      </c>
      <c r="B393" s="24" t="s">
        <v>23</v>
      </c>
      <c r="C393" s="54">
        <f>'DHS2021'!C392</f>
        <v>21812</v>
      </c>
      <c r="D393" s="55">
        <f>'DHS2022'!C392</f>
        <v>17652</v>
      </c>
      <c r="E393" s="55">
        <f>'DHS2023'!C392</f>
        <v>18271</v>
      </c>
      <c r="F393" s="55">
        <f>'DHS2024'!C392</f>
        <v>16586</v>
      </c>
      <c r="G393" s="56">
        <f t="shared" si="30"/>
        <v>18580.25</v>
      </c>
      <c r="H393" s="75">
        <f t="shared" si="31"/>
        <v>4.6450624999999999</v>
      </c>
      <c r="I393" s="76">
        <v>1</v>
      </c>
      <c r="J393" s="75">
        <f t="shared" si="32"/>
        <v>5.6450624999999999</v>
      </c>
      <c r="K393" s="81">
        <f t="shared" si="33"/>
        <v>6</v>
      </c>
      <c r="L393" s="11"/>
      <c r="M393" s="11"/>
      <c r="N393" s="11"/>
      <c r="O393" s="28">
        <f>'DHS2025'!C392</f>
        <v>22002</v>
      </c>
      <c r="P393" s="29">
        <f>'DHS2025'!D392</f>
        <v>2910</v>
      </c>
      <c r="Q393" s="29">
        <f>'DHS2025'!E392</f>
        <v>8056</v>
      </c>
      <c r="R393" s="62">
        <v>184.48</v>
      </c>
      <c r="S393" s="61">
        <f>(Porovnavanie!J395*0.99-1.9)*Porovnavanie!I395</f>
        <v>1456.0027711999999</v>
      </c>
    </row>
    <row r="394" spans="1:19" ht="15.75" thickBot="1">
      <c r="A394" s="100">
        <f t="shared" si="34"/>
        <v>45705</v>
      </c>
      <c r="B394" s="24" t="s">
        <v>24</v>
      </c>
      <c r="C394" s="54">
        <f>'DHS2021'!C393</f>
        <v>19575</v>
      </c>
      <c r="D394" s="55">
        <f>'DHS2022'!C393</f>
        <v>15619</v>
      </c>
      <c r="E394" s="55">
        <f>'DHS2023'!C393</f>
        <v>16352</v>
      </c>
      <c r="F394" s="55">
        <f>'DHS2024'!C393</f>
        <v>15020</v>
      </c>
      <c r="G394" s="56">
        <f t="shared" si="30"/>
        <v>16641.5</v>
      </c>
      <c r="H394" s="75">
        <f t="shared" si="31"/>
        <v>4.1603750000000002</v>
      </c>
      <c r="I394" s="76">
        <v>1</v>
      </c>
      <c r="J394" s="75">
        <f t="shared" si="32"/>
        <v>5.1603750000000002</v>
      </c>
      <c r="K394" s="81">
        <f t="shared" si="33"/>
        <v>6</v>
      </c>
      <c r="L394" s="11"/>
      <c r="M394" s="11"/>
      <c r="N394" s="11"/>
      <c r="O394" s="28">
        <f>'DHS2025'!C393</f>
        <v>21611</v>
      </c>
      <c r="P394" s="29">
        <f>'DHS2025'!D393</f>
        <v>3556</v>
      </c>
      <c r="Q394" s="29">
        <f>'DHS2025'!E393</f>
        <v>8057</v>
      </c>
      <c r="R394" s="62">
        <v>209.74</v>
      </c>
      <c r="S394" s="61">
        <f>(Porovnavanie!J396*0.99-1.9)*Porovnavanie!I396</f>
        <v>1657.6681282000002</v>
      </c>
    </row>
    <row r="395" spans="1:19" ht="15.75" thickBot="1">
      <c r="A395" s="100">
        <f t="shared" si="34"/>
        <v>45705</v>
      </c>
      <c r="B395" s="24" t="s">
        <v>25</v>
      </c>
      <c r="C395" s="54">
        <f>'DHS2021'!C394</f>
        <v>20940</v>
      </c>
      <c r="D395" s="55">
        <f>'DHS2022'!C394</f>
        <v>15152</v>
      </c>
      <c r="E395" s="55">
        <f>'DHS2023'!C394</f>
        <v>15224</v>
      </c>
      <c r="F395" s="55">
        <f>'DHS2024'!C394</f>
        <v>14647</v>
      </c>
      <c r="G395" s="56">
        <f t="shared" si="30"/>
        <v>16490.75</v>
      </c>
      <c r="H395" s="75">
        <f t="shared" si="31"/>
        <v>4.1226874999999996</v>
      </c>
      <c r="I395" s="76">
        <v>1</v>
      </c>
      <c r="J395" s="75">
        <f t="shared" si="32"/>
        <v>5.1226874999999996</v>
      </c>
      <c r="K395" s="81">
        <f t="shared" si="33"/>
        <v>6</v>
      </c>
      <c r="L395" s="11"/>
      <c r="M395" s="11"/>
      <c r="N395" s="11"/>
      <c r="O395" s="28">
        <f>'DHS2025'!C394</f>
        <v>20452</v>
      </c>
      <c r="P395" s="29">
        <f>'DHS2025'!D394</f>
        <v>4402</v>
      </c>
      <c r="Q395" s="29">
        <f>'DHS2025'!E394</f>
        <v>8050</v>
      </c>
      <c r="R395" s="62">
        <v>209.79</v>
      </c>
      <c r="S395" s="61">
        <f>(Porovnavanie!J397*0.99-1.9)*Porovnavanie!I397</f>
        <v>1656.626405</v>
      </c>
    </row>
    <row r="396" spans="1:19" ht="15.75" thickBot="1">
      <c r="A396" s="100">
        <f t="shared" si="34"/>
        <v>45705</v>
      </c>
      <c r="B396" s="24" t="s">
        <v>26</v>
      </c>
      <c r="C396" s="54">
        <f>'DHS2021'!C395</f>
        <v>17446</v>
      </c>
      <c r="D396" s="55">
        <f>'DHS2022'!C395</f>
        <v>13560</v>
      </c>
      <c r="E396" s="55">
        <f>'DHS2023'!C395</f>
        <v>15088</v>
      </c>
      <c r="F396" s="55">
        <f>'DHS2024'!C395</f>
        <v>15015</v>
      </c>
      <c r="G396" s="56">
        <f t="shared" si="30"/>
        <v>15277.25</v>
      </c>
      <c r="H396" s="75">
        <f t="shared" si="31"/>
        <v>3.8193125000000001</v>
      </c>
      <c r="I396" s="76">
        <v>1</v>
      </c>
      <c r="J396" s="75">
        <f t="shared" si="32"/>
        <v>4.8193125000000006</v>
      </c>
      <c r="K396" s="81">
        <f t="shared" si="33"/>
        <v>5</v>
      </c>
      <c r="L396" s="11"/>
      <c r="M396" s="11"/>
      <c r="N396" s="11"/>
      <c r="O396" s="28">
        <f>'DHS2025'!C395</f>
        <v>19277</v>
      </c>
      <c r="P396" s="29">
        <f>'DHS2025'!D395</f>
        <v>5871</v>
      </c>
      <c r="Q396" s="29">
        <f>'DHS2025'!E395</f>
        <v>8079</v>
      </c>
      <c r="R396" s="62">
        <v>171.3</v>
      </c>
      <c r="S396" s="61">
        <f>(Porovnavanie!J398*0.99-1.9)*Porovnavanie!I398</f>
        <v>1354.7432730000003</v>
      </c>
    </row>
    <row r="397" spans="1:19" ht="15.75" thickBot="1">
      <c r="A397" s="100">
        <f t="shared" si="34"/>
        <v>45705</v>
      </c>
      <c r="B397" s="24" t="s">
        <v>27</v>
      </c>
      <c r="C397" s="54">
        <f>'DHS2021'!C396</f>
        <v>12379</v>
      </c>
      <c r="D397" s="55">
        <f>'DHS2022'!C396</f>
        <v>13741</v>
      </c>
      <c r="E397" s="55">
        <f>'DHS2023'!C396</f>
        <v>14776</v>
      </c>
      <c r="F397" s="55">
        <f>'DHS2024'!C396</f>
        <v>13735</v>
      </c>
      <c r="G397" s="56">
        <f t="shared" si="30"/>
        <v>13657.75</v>
      </c>
      <c r="H397" s="75">
        <f t="shared" si="31"/>
        <v>3.4144375</v>
      </c>
      <c r="I397" s="76">
        <v>1</v>
      </c>
      <c r="J397" s="75">
        <f t="shared" si="32"/>
        <v>4.4144375</v>
      </c>
      <c r="K397" s="81">
        <f t="shared" si="33"/>
        <v>5</v>
      </c>
      <c r="L397" s="11"/>
      <c r="M397" s="11"/>
      <c r="N397" s="11"/>
      <c r="O397" s="28">
        <f>'DHS2025'!C396</f>
        <v>17111</v>
      </c>
      <c r="P397" s="29">
        <f>'DHS2025'!D396</f>
        <v>6821</v>
      </c>
      <c r="Q397" s="29">
        <f>'DHS2025'!E396</f>
        <v>8052</v>
      </c>
      <c r="R397" s="62">
        <v>139.66999999999999</v>
      </c>
      <c r="S397" s="61">
        <f>(Porovnavanie!J399*0.99-1.9)*Porovnavanie!I399</f>
        <v>1098.0778115999997</v>
      </c>
    </row>
    <row r="398" spans="1:19" ht="15.75" thickBot="1">
      <c r="A398" s="100">
        <f t="shared" si="34"/>
        <v>45705</v>
      </c>
      <c r="B398" s="24" t="s">
        <v>28</v>
      </c>
      <c r="C398" s="54">
        <f>'DHS2021'!C397</f>
        <v>12105</v>
      </c>
      <c r="D398" s="55">
        <f>'DHS2022'!C397</f>
        <v>13455</v>
      </c>
      <c r="E398" s="55">
        <f>'DHS2023'!C397</f>
        <v>13919</v>
      </c>
      <c r="F398" s="55">
        <f>'DHS2024'!C397</f>
        <v>12011</v>
      </c>
      <c r="G398" s="56">
        <f t="shared" si="30"/>
        <v>12872.5</v>
      </c>
      <c r="H398" s="75">
        <f t="shared" si="31"/>
        <v>3.2181250000000001</v>
      </c>
      <c r="I398" s="76">
        <v>1</v>
      </c>
      <c r="J398" s="75">
        <f t="shared" si="32"/>
        <v>4.2181250000000006</v>
      </c>
      <c r="K398" s="81">
        <f t="shared" si="33"/>
        <v>5</v>
      </c>
      <c r="L398" s="11"/>
      <c r="M398" s="11"/>
      <c r="N398" s="11"/>
      <c r="O398" s="28">
        <f>'DHS2025'!C397</f>
        <v>16548</v>
      </c>
      <c r="P398" s="29">
        <f>'DHS2025'!D397</f>
        <v>8341</v>
      </c>
      <c r="Q398" s="29">
        <f>'DHS2025'!E397</f>
        <v>8057</v>
      </c>
      <c r="R398" s="62">
        <v>116.66</v>
      </c>
      <c r="S398" s="61">
        <f>(Porovnavanie!J400*0.99-1.9)*Porovnavanie!I400</f>
        <v>915.22202379999999</v>
      </c>
    </row>
    <row r="399" spans="1:19" ht="15.75" thickBot="1">
      <c r="A399" s="100">
        <f t="shared" si="34"/>
        <v>45705</v>
      </c>
      <c r="B399" s="24" t="s">
        <v>29</v>
      </c>
      <c r="C399" s="54">
        <f>'DHS2021'!C398</f>
        <v>12468</v>
      </c>
      <c r="D399" s="55">
        <f>'DHS2022'!C398</f>
        <v>14792</v>
      </c>
      <c r="E399" s="55">
        <f>'DHS2023'!C398</f>
        <v>14470</v>
      </c>
      <c r="F399" s="55">
        <f>'DHS2024'!C398</f>
        <v>11924</v>
      </c>
      <c r="G399" s="56">
        <f t="shared" si="30"/>
        <v>13413.5</v>
      </c>
      <c r="H399" s="75">
        <f t="shared" si="31"/>
        <v>3.3533750000000002</v>
      </c>
      <c r="I399" s="76">
        <v>1</v>
      </c>
      <c r="J399" s="75">
        <f t="shared" si="32"/>
        <v>4.3533749999999998</v>
      </c>
      <c r="K399" s="81">
        <f t="shared" si="33"/>
        <v>5</v>
      </c>
      <c r="L399" s="11"/>
      <c r="M399" s="11"/>
      <c r="N399" s="11"/>
      <c r="O399" s="28">
        <f>'DHS2025'!C398</f>
        <v>16270</v>
      </c>
      <c r="P399" s="29">
        <f>'DHS2025'!D398</f>
        <v>8329</v>
      </c>
      <c r="Q399" s="29">
        <f>'DHS2025'!E398</f>
        <v>8046</v>
      </c>
      <c r="R399" s="62">
        <v>111.98</v>
      </c>
      <c r="S399" s="61">
        <f>(Porovnavanie!J401*0.99-1.9)*Porovnavanie!I401</f>
        <v>876.69376919999991</v>
      </c>
    </row>
    <row r="400" spans="1:19" ht="15.75" thickBot="1">
      <c r="A400" s="100">
        <f t="shared" si="34"/>
        <v>45705</v>
      </c>
      <c r="B400" s="24" t="s">
        <v>30</v>
      </c>
      <c r="C400" s="54">
        <f>'DHS2021'!C399</f>
        <v>15681</v>
      </c>
      <c r="D400" s="55">
        <f>'DHS2022'!C399</f>
        <v>15314</v>
      </c>
      <c r="E400" s="55">
        <f>'DHS2023'!C399</f>
        <v>13002</v>
      </c>
      <c r="F400" s="55">
        <f>'DHS2024'!C399</f>
        <v>11594</v>
      </c>
      <c r="G400" s="56">
        <f t="shared" si="30"/>
        <v>13897.75</v>
      </c>
      <c r="H400" s="75">
        <f t="shared" si="31"/>
        <v>3.4744375000000001</v>
      </c>
      <c r="I400" s="76">
        <v>1</v>
      </c>
      <c r="J400" s="75">
        <f t="shared" si="32"/>
        <v>4.4744375000000005</v>
      </c>
      <c r="K400" s="81">
        <f t="shared" si="33"/>
        <v>5</v>
      </c>
      <c r="L400" s="11"/>
      <c r="M400" s="11"/>
      <c r="N400" s="11"/>
      <c r="O400" s="28">
        <f>'DHS2025'!C399</f>
        <v>16147</v>
      </c>
      <c r="P400" s="29">
        <f>'DHS2025'!D399</f>
        <v>8160</v>
      </c>
      <c r="Q400" s="29">
        <f>'DHS2025'!E399</f>
        <v>8050</v>
      </c>
      <c r="R400" s="62">
        <v>106.29</v>
      </c>
      <c r="S400" s="61">
        <f>(Porovnavanie!J402*0.99-1.9)*Porovnavanie!I402</f>
        <v>831.78315500000008</v>
      </c>
    </row>
    <row r="401" spans="1:19" ht="15.75" thickBot="1">
      <c r="A401" s="100">
        <f t="shared" si="34"/>
        <v>45705</v>
      </c>
      <c r="B401" s="24" t="s">
        <v>31</v>
      </c>
      <c r="C401" s="54">
        <f>'DHS2021'!C400</f>
        <v>16928</v>
      </c>
      <c r="D401" s="55">
        <f>'DHS2022'!C400</f>
        <v>12673</v>
      </c>
      <c r="E401" s="55">
        <f>'DHS2023'!C400</f>
        <v>14223</v>
      </c>
      <c r="F401" s="55">
        <f>'DHS2024'!C400</f>
        <v>12128</v>
      </c>
      <c r="G401" s="56">
        <f t="shared" si="30"/>
        <v>13988</v>
      </c>
      <c r="H401" s="75">
        <f t="shared" si="31"/>
        <v>3.4969999999999999</v>
      </c>
      <c r="I401" s="76">
        <v>1</v>
      </c>
      <c r="J401" s="75">
        <f t="shared" si="32"/>
        <v>4.4969999999999999</v>
      </c>
      <c r="K401" s="81">
        <f t="shared" si="33"/>
        <v>5</v>
      </c>
      <c r="L401" s="11"/>
      <c r="M401" s="11"/>
      <c r="N401" s="11"/>
      <c r="O401" s="28">
        <f>'DHS2025'!C400</f>
        <v>15907</v>
      </c>
      <c r="P401" s="29">
        <f>'DHS2025'!D400</f>
        <v>8423</v>
      </c>
      <c r="Q401" s="29">
        <f>'DHS2025'!E400</f>
        <v>8057</v>
      </c>
      <c r="R401" s="62">
        <v>121.8</v>
      </c>
      <c r="S401" s="61">
        <f>(Porovnavanie!J403*0.99-1.9)*Porovnavanie!I403</f>
        <v>956.22087399999998</v>
      </c>
    </row>
    <row r="402" spans="1:19" ht="15.75" thickBot="1">
      <c r="A402" s="100">
        <f t="shared" si="34"/>
        <v>45705</v>
      </c>
      <c r="B402" s="24" t="s">
        <v>32</v>
      </c>
      <c r="C402" s="54">
        <f>'DHS2021'!C401</f>
        <v>20688</v>
      </c>
      <c r="D402" s="55">
        <f>'DHS2022'!C401</f>
        <v>12598</v>
      </c>
      <c r="E402" s="55">
        <f>'DHS2023'!C401</f>
        <v>14369</v>
      </c>
      <c r="F402" s="55">
        <f>'DHS2024'!C401</f>
        <v>12523</v>
      </c>
      <c r="G402" s="56">
        <f t="shared" si="30"/>
        <v>15044.5</v>
      </c>
      <c r="H402" s="75">
        <f t="shared" si="31"/>
        <v>3.7611249999999998</v>
      </c>
      <c r="I402" s="76">
        <v>1</v>
      </c>
      <c r="J402" s="75">
        <f t="shared" si="32"/>
        <v>4.7611249999999998</v>
      </c>
      <c r="K402" s="81">
        <f t="shared" si="33"/>
        <v>5</v>
      </c>
      <c r="L402" s="11"/>
      <c r="M402" s="11"/>
      <c r="N402" s="11"/>
      <c r="O402" s="28">
        <f>'DHS2025'!C401</f>
        <v>16049</v>
      </c>
      <c r="P402" s="29">
        <f>'DHS2025'!D401</f>
        <v>8243</v>
      </c>
      <c r="Q402" s="29">
        <f>'DHS2025'!E401</f>
        <v>8054</v>
      </c>
      <c r="R402" s="62">
        <v>155.12</v>
      </c>
      <c r="S402" s="61">
        <f>(Porovnavanie!J404*0.99-1.9)*Porovnavanie!I404</f>
        <v>1221.5405152000001</v>
      </c>
    </row>
    <row r="403" spans="1:19" ht="15.75" thickBot="1">
      <c r="A403" s="100">
        <f t="shared" si="34"/>
        <v>45705</v>
      </c>
      <c r="B403" s="24" t="s">
        <v>33</v>
      </c>
      <c r="C403" s="54">
        <f>'DHS2021'!C402</f>
        <v>19959</v>
      </c>
      <c r="D403" s="55">
        <f>'DHS2022'!C402</f>
        <v>12549</v>
      </c>
      <c r="E403" s="55">
        <f>'DHS2023'!C402</f>
        <v>14772</v>
      </c>
      <c r="F403" s="55">
        <f>'DHS2024'!C402</f>
        <v>11914</v>
      </c>
      <c r="G403" s="56">
        <f t="shared" si="30"/>
        <v>14798.5</v>
      </c>
      <c r="H403" s="75">
        <f t="shared" si="31"/>
        <v>3.6996250000000002</v>
      </c>
      <c r="I403" s="76">
        <v>1</v>
      </c>
      <c r="J403" s="75">
        <f t="shared" si="32"/>
        <v>4.6996250000000002</v>
      </c>
      <c r="K403" s="81">
        <f t="shared" si="33"/>
        <v>5</v>
      </c>
      <c r="L403" s="11"/>
      <c r="M403" s="11"/>
      <c r="N403" s="11"/>
      <c r="O403" s="28">
        <f>'DHS2025'!C402</f>
        <v>16925</v>
      </c>
      <c r="P403" s="29">
        <f>'DHS2025'!D402</f>
        <v>7537</v>
      </c>
      <c r="Q403" s="29">
        <f>'DHS2025'!E402</f>
        <v>8052</v>
      </c>
      <c r="R403" s="62">
        <v>179.57</v>
      </c>
      <c r="S403" s="61">
        <f>(Porovnavanie!J405*0.99-1.9)*Porovnavanie!I405</f>
        <v>1416.1398635999997</v>
      </c>
    </row>
    <row r="404" spans="1:19" ht="15.75" thickBot="1">
      <c r="A404" s="100">
        <f t="shared" si="34"/>
        <v>45705</v>
      </c>
      <c r="B404" s="24" t="s">
        <v>34</v>
      </c>
      <c r="C404" s="54">
        <f>'DHS2021'!C403</f>
        <v>19000</v>
      </c>
      <c r="D404" s="55">
        <f>'DHS2022'!C403</f>
        <v>12936</v>
      </c>
      <c r="E404" s="55">
        <f>'DHS2023'!C403</f>
        <v>15020</v>
      </c>
      <c r="F404" s="55">
        <f>'DHS2024'!C403</f>
        <v>12994</v>
      </c>
      <c r="G404" s="56">
        <f t="shared" si="30"/>
        <v>14987.5</v>
      </c>
      <c r="H404" s="75">
        <f t="shared" si="31"/>
        <v>3.7468750000000002</v>
      </c>
      <c r="I404" s="76">
        <v>1</v>
      </c>
      <c r="J404" s="75">
        <f t="shared" si="32"/>
        <v>4.7468750000000002</v>
      </c>
      <c r="K404" s="81">
        <f t="shared" si="33"/>
        <v>5</v>
      </c>
      <c r="L404" s="11"/>
      <c r="M404" s="11"/>
      <c r="N404" s="11"/>
      <c r="O404" s="28">
        <f>'DHS2025'!C403</f>
        <v>17994</v>
      </c>
      <c r="P404" s="29">
        <f>'DHS2025'!D403</f>
        <v>6763</v>
      </c>
      <c r="Q404" s="29">
        <f>'DHS2025'!E403</f>
        <v>8050</v>
      </c>
      <c r="R404" s="62">
        <v>225.43</v>
      </c>
      <c r="S404" s="61">
        <f>(Porovnavanie!J406*0.99-1.9)*Porovnavanie!I406</f>
        <v>1781.2693850000001</v>
      </c>
    </row>
    <row r="405" spans="1:19" ht="15.75" thickBot="1">
      <c r="A405" s="100">
        <f t="shared" si="34"/>
        <v>45705</v>
      </c>
      <c r="B405" s="24" t="s">
        <v>35</v>
      </c>
      <c r="C405" s="54">
        <f>'DHS2021'!C404</f>
        <v>19832</v>
      </c>
      <c r="D405" s="55">
        <f>'DHS2022'!C404</f>
        <v>13698</v>
      </c>
      <c r="E405" s="55">
        <f>'DHS2023'!C404</f>
        <v>14693</v>
      </c>
      <c r="F405" s="55">
        <f>'DHS2024'!C404</f>
        <v>12670</v>
      </c>
      <c r="G405" s="56">
        <f t="shared" si="30"/>
        <v>15223.25</v>
      </c>
      <c r="H405" s="75">
        <f t="shared" si="31"/>
        <v>3.8058125</v>
      </c>
      <c r="I405" s="76">
        <v>1</v>
      </c>
      <c r="J405" s="75">
        <f t="shared" si="32"/>
        <v>4.8058125</v>
      </c>
      <c r="K405" s="81">
        <f t="shared" si="33"/>
        <v>5</v>
      </c>
      <c r="L405" s="11"/>
      <c r="M405" s="11"/>
      <c r="N405" s="11"/>
      <c r="O405" s="28">
        <f>'DHS2025'!C404</f>
        <v>19792</v>
      </c>
      <c r="P405" s="29">
        <f>'DHS2025'!D404</f>
        <v>4357</v>
      </c>
      <c r="Q405" s="29">
        <f>'DHS2025'!E404</f>
        <v>8058</v>
      </c>
      <c r="R405" s="62">
        <v>271.07</v>
      </c>
      <c r="S405" s="61">
        <f>(Porovnavanie!J407*0.99-1.9)*Porovnavanie!I407</f>
        <v>2147.1290394000002</v>
      </c>
    </row>
    <row r="406" spans="1:19" ht="15.75" thickBot="1">
      <c r="A406" s="100">
        <f t="shared" si="34"/>
        <v>45705</v>
      </c>
      <c r="B406" s="24" t="s">
        <v>36</v>
      </c>
      <c r="C406" s="54">
        <f>'DHS2021'!C405</f>
        <v>19607</v>
      </c>
      <c r="D406" s="55">
        <f>'DHS2022'!C405</f>
        <v>13783</v>
      </c>
      <c r="E406" s="55">
        <f>'DHS2023'!C405</f>
        <v>15019</v>
      </c>
      <c r="F406" s="55">
        <f>'DHS2024'!C405</f>
        <v>12672</v>
      </c>
      <c r="G406" s="56">
        <f t="shared" si="30"/>
        <v>15270.25</v>
      </c>
      <c r="H406" s="75">
        <f t="shared" si="31"/>
        <v>3.8175625000000002</v>
      </c>
      <c r="I406" s="76">
        <v>1</v>
      </c>
      <c r="J406" s="75">
        <f t="shared" si="32"/>
        <v>4.8175625000000002</v>
      </c>
      <c r="K406" s="81">
        <f t="shared" si="33"/>
        <v>5</v>
      </c>
      <c r="L406" s="11"/>
      <c r="M406" s="11"/>
      <c r="N406" s="11"/>
      <c r="O406" s="28">
        <f>'DHS2025'!C405</f>
        <v>22313</v>
      </c>
      <c r="P406" s="29">
        <f>'DHS2025'!D405</f>
        <v>3399</v>
      </c>
      <c r="Q406" s="29">
        <f>'DHS2025'!E405</f>
        <v>8054</v>
      </c>
      <c r="R406" s="62">
        <v>217.09</v>
      </c>
      <c r="S406" s="61">
        <f>(Porovnavanie!J408*0.99-1.9)*Porovnavanie!I408</f>
        <v>1715.6558314000001</v>
      </c>
    </row>
    <row r="407" spans="1:19" ht="15.75" thickBot="1">
      <c r="A407" s="100">
        <f t="shared" si="34"/>
        <v>45705</v>
      </c>
      <c r="B407" s="24" t="s">
        <v>37</v>
      </c>
      <c r="C407" s="54">
        <f>'DHS2021'!C406</f>
        <v>19609</v>
      </c>
      <c r="D407" s="55">
        <f>'DHS2022'!C406</f>
        <v>14166</v>
      </c>
      <c r="E407" s="55">
        <f>'DHS2023'!C406</f>
        <v>15058</v>
      </c>
      <c r="F407" s="55">
        <f>'DHS2024'!C406</f>
        <v>12851</v>
      </c>
      <c r="G407" s="56">
        <f t="shared" si="30"/>
        <v>15421</v>
      </c>
      <c r="H407" s="75">
        <f t="shared" si="31"/>
        <v>3.8552499999999998</v>
      </c>
      <c r="I407" s="76">
        <v>1</v>
      </c>
      <c r="J407" s="75">
        <f t="shared" si="32"/>
        <v>4.8552499999999998</v>
      </c>
      <c r="K407" s="81">
        <f t="shared" si="33"/>
        <v>5</v>
      </c>
      <c r="L407" s="11"/>
      <c r="M407" s="11"/>
      <c r="N407" s="11"/>
      <c r="O407" s="28">
        <f>'DHS2025'!C406</f>
        <v>21358</v>
      </c>
      <c r="P407" s="29">
        <f>'DHS2025'!D406</f>
        <v>4476</v>
      </c>
      <c r="Q407" s="29">
        <f>'DHS2025'!E406</f>
        <v>8063</v>
      </c>
      <c r="R407" s="62">
        <v>179.71</v>
      </c>
      <c r="S407" s="61">
        <f>(Porovnavanie!J409*0.99-1.9)*Porovnavanie!I409</f>
        <v>1419.1920127000001</v>
      </c>
    </row>
    <row r="408" spans="1:19" ht="15.75" thickBot="1">
      <c r="A408" s="100">
        <f t="shared" si="34"/>
        <v>45705</v>
      </c>
      <c r="B408" s="24" t="s">
        <v>38</v>
      </c>
      <c r="C408" s="54">
        <f>'DHS2021'!C407</f>
        <v>17920</v>
      </c>
      <c r="D408" s="55">
        <f>'DHS2022'!C407</f>
        <v>14088</v>
      </c>
      <c r="E408" s="55">
        <f>'DHS2023'!C407</f>
        <v>13864</v>
      </c>
      <c r="F408" s="55">
        <f>'DHS2024'!C407</f>
        <v>12690</v>
      </c>
      <c r="G408" s="56">
        <f t="shared" si="30"/>
        <v>14640.5</v>
      </c>
      <c r="H408" s="75">
        <f t="shared" si="31"/>
        <v>3.6601249999999999</v>
      </c>
      <c r="I408" s="76">
        <v>1</v>
      </c>
      <c r="J408" s="75">
        <f t="shared" si="32"/>
        <v>4.6601249999999999</v>
      </c>
      <c r="K408" s="81">
        <f t="shared" si="33"/>
        <v>5</v>
      </c>
      <c r="L408" s="11"/>
      <c r="M408" s="11"/>
      <c r="N408" s="11"/>
      <c r="O408" s="28">
        <f>'DHS2025'!C407</f>
        <v>21001</v>
      </c>
      <c r="P408" s="29">
        <f>'DHS2025'!D407</f>
        <v>4706</v>
      </c>
      <c r="Q408" s="29">
        <f>'DHS2025'!E407</f>
        <v>8054</v>
      </c>
      <c r="R408" s="62">
        <v>172.18</v>
      </c>
      <c r="S408" s="61">
        <f>(Porovnavanie!J410*0.99-1.9)*Porovnavanie!I410</f>
        <v>1357.5677428000001</v>
      </c>
    </row>
    <row r="409" spans="1:19" ht="15.75" thickBot="1">
      <c r="A409" s="100">
        <f t="shared" si="34"/>
        <v>45705</v>
      </c>
      <c r="B409" s="24" t="s">
        <v>39</v>
      </c>
      <c r="C409" s="54">
        <f>'DHS2021'!C408</f>
        <v>17009</v>
      </c>
      <c r="D409" s="55">
        <f>'DHS2022'!C408</f>
        <v>13452</v>
      </c>
      <c r="E409" s="55">
        <f>'DHS2023'!C408</f>
        <v>11000</v>
      </c>
      <c r="F409" s="55">
        <f>'DHS2024'!C408</f>
        <v>11995</v>
      </c>
      <c r="G409" s="56">
        <f t="shared" si="30"/>
        <v>13364</v>
      </c>
      <c r="H409" s="75">
        <f t="shared" si="31"/>
        <v>3.3410000000000002</v>
      </c>
      <c r="I409" s="76">
        <v>1</v>
      </c>
      <c r="J409" s="75">
        <f t="shared" si="32"/>
        <v>4.3410000000000002</v>
      </c>
      <c r="K409" s="81">
        <f t="shared" si="33"/>
        <v>5</v>
      </c>
      <c r="L409" s="11"/>
      <c r="M409" s="11"/>
      <c r="N409" s="11"/>
      <c r="O409" s="28">
        <f>'DHS2025'!C408</f>
        <v>16772</v>
      </c>
      <c r="P409" s="29">
        <f>'DHS2025'!D408</f>
        <v>7692</v>
      </c>
      <c r="Q409" s="29">
        <f>'DHS2025'!E408</f>
        <v>8030</v>
      </c>
      <c r="R409" s="62">
        <v>177.19</v>
      </c>
      <c r="S409" s="61">
        <f>(Porovnavanie!J411*0.99-1.9)*Porovnavanie!I411</f>
        <v>1393.3503429999998</v>
      </c>
    </row>
    <row r="410" spans="1:19" ht="15.75" thickBot="1">
      <c r="A410" s="100">
        <f t="shared" si="34"/>
        <v>45705</v>
      </c>
      <c r="B410" s="24" t="s">
        <v>40</v>
      </c>
      <c r="C410" s="54">
        <f>'DHS2021'!C409</f>
        <v>9328</v>
      </c>
      <c r="D410" s="55">
        <f>'DHS2022'!C409</f>
        <v>8775</v>
      </c>
      <c r="E410" s="55">
        <f>'DHS2023'!C409</f>
        <v>5788</v>
      </c>
      <c r="F410" s="55">
        <f>'DHS2024'!C409</f>
        <v>5879</v>
      </c>
      <c r="G410" s="56">
        <f t="shared" si="30"/>
        <v>7442.5</v>
      </c>
      <c r="H410" s="75">
        <f t="shared" si="31"/>
        <v>1.860625</v>
      </c>
      <c r="I410" s="76">
        <v>1</v>
      </c>
      <c r="J410" s="75">
        <f t="shared" si="32"/>
        <v>2.8606249999999998</v>
      </c>
      <c r="K410" s="81">
        <f t="shared" si="33"/>
        <v>3</v>
      </c>
      <c r="L410" s="11"/>
      <c r="M410" s="11"/>
      <c r="N410" s="11"/>
      <c r="O410" s="28">
        <f>'DHS2025'!C409</f>
        <v>11588</v>
      </c>
      <c r="P410" s="29">
        <f>'DHS2025'!D409</f>
        <v>13429</v>
      </c>
      <c r="Q410" s="29">
        <f>'DHS2025'!E409</f>
        <v>8032</v>
      </c>
      <c r="R410" s="62">
        <v>159.83000000000001</v>
      </c>
      <c r="S410" s="61">
        <f>(Porovnavanie!J412*0.99-1.9)*Porovnavanie!I412</f>
        <v>1255.6562144000002</v>
      </c>
    </row>
    <row r="411" spans="1:19" ht="15.75" thickBot="1">
      <c r="A411" s="101">
        <f t="shared" si="34"/>
        <v>45706</v>
      </c>
      <c r="B411" s="25" t="s">
        <v>17</v>
      </c>
      <c r="C411" s="54">
        <f>'DHS2021'!C410</f>
        <v>10042</v>
      </c>
      <c r="D411" s="55">
        <f>'DHS2022'!C410</f>
        <v>7382</v>
      </c>
      <c r="E411" s="55">
        <f>'DHS2023'!C410</f>
        <v>5279</v>
      </c>
      <c r="F411" s="55">
        <f>'DHS2024'!C410</f>
        <v>4899</v>
      </c>
      <c r="G411" s="56">
        <f t="shared" si="30"/>
        <v>6900.5</v>
      </c>
      <c r="H411" s="75">
        <f t="shared" si="31"/>
        <v>1.725125</v>
      </c>
      <c r="I411" s="76">
        <v>1</v>
      </c>
      <c r="J411" s="75">
        <f t="shared" si="32"/>
        <v>2.7251250000000002</v>
      </c>
      <c r="K411" s="81">
        <f t="shared" si="33"/>
        <v>3</v>
      </c>
      <c r="L411" s="11"/>
      <c r="M411" s="11"/>
      <c r="N411" s="11"/>
      <c r="O411" s="28">
        <f>'DHS2025'!C410</f>
        <v>13542</v>
      </c>
      <c r="P411" s="29">
        <f>'DHS2025'!D410</f>
        <v>10809</v>
      </c>
      <c r="Q411" s="29">
        <f>'DHS2025'!E410</f>
        <v>8042</v>
      </c>
      <c r="R411" s="62">
        <v>138.03</v>
      </c>
      <c r="S411" s="61">
        <f>(Porovnavanie!J413*0.99-1.9)*Porovnavanie!I413</f>
        <v>1083.6570873999999</v>
      </c>
    </row>
    <row r="412" spans="1:19" ht="15.75" thickBot="1">
      <c r="A412" s="101">
        <f t="shared" si="34"/>
        <v>45706</v>
      </c>
      <c r="B412" s="25" t="s">
        <v>18</v>
      </c>
      <c r="C412" s="54">
        <f>'DHS2021'!C411</f>
        <v>11328</v>
      </c>
      <c r="D412" s="55">
        <f>'DHS2022'!C411</f>
        <v>6642</v>
      </c>
      <c r="E412" s="55">
        <f>'DHS2023'!C411</f>
        <v>10372</v>
      </c>
      <c r="F412" s="55">
        <f>'DHS2024'!C411</f>
        <v>4617</v>
      </c>
      <c r="G412" s="56">
        <f t="shared" si="30"/>
        <v>8239.75</v>
      </c>
      <c r="H412" s="75">
        <f t="shared" si="31"/>
        <v>2.0599375000000002</v>
      </c>
      <c r="I412" s="76">
        <v>1</v>
      </c>
      <c r="J412" s="75">
        <f t="shared" si="32"/>
        <v>3.0599375000000002</v>
      </c>
      <c r="K412" s="81">
        <f t="shared" si="33"/>
        <v>4</v>
      </c>
      <c r="L412" s="11"/>
      <c r="M412" s="11"/>
      <c r="N412" s="11"/>
      <c r="O412" s="28">
        <f>'DHS2025'!C411</f>
        <v>17263</v>
      </c>
      <c r="P412" s="29">
        <f>'DHS2025'!D411</f>
        <v>8497</v>
      </c>
      <c r="Q412" s="29">
        <f>'DHS2025'!E411</f>
        <v>8003</v>
      </c>
      <c r="R412" s="62">
        <v>139.27000000000001</v>
      </c>
      <c r="S412" s="61">
        <f>(Porovnavanie!J414*0.99-1.9)*Porovnavanie!I414</f>
        <v>1088.2263319000001</v>
      </c>
    </row>
    <row r="413" spans="1:19" ht="15.75" thickBot="1">
      <c r="A413" s="101">
        <f t="shared" si="34"/>
        <v>45706</v>
      </c>
      <c r="B413" s="25" t="s">
        <v>19</v>
      </c>
      <c r="C413" s="54">
        <f>'DHS2021'!C412</f>
        <v>12886</v>
      </c>
      <c r="D413" s="55">
        <f>'DHS2022'!C412</f>
        <v>6861</v>
      </c>
      <c r="E413" s="55">
        <f>'DHS2023'!C412</f>
        <v>10544</v>
      </c>
      <c r="F413" s="55">
        <f>'DHS2024'!C412</f>
        <v>3984</v>
      </c>
      <c r="G413" s="56">
        <f t="shared" si="30"/>
        <v>8568.75</v>
      </c>
      <c r="H413" s="75">
        <f t="shared" si="31"/>
        <v>2.1421874999999999</v>
      </c>
      <c r="I413" s="76">
        <v>1</v>
      </c>
      <c r="J413" s="75">
        <f t="shared" si="32"/>
        <v>3.1421874999999999</v>
      </c>
      <c r="K413" s="81">
        <f t="shared" si="33"/>
        <v>4</v>
      </c>
      <c r="L413" s="11"/>
      <c r="M413" s="11"/>
      <c r="N413" s="11"/>
      <c r="O413" s="28">
        <f>'DHS2025'!C412</f>
        <v>17498</v>
      </c>
      <c r="P413" s="29">
        <f>'DHS2025'!D412</f>
        <v>7621</v>
      </c>
      <c r="Q413" s="29">
        <f>'DHS2025'!E412</f>
        <v>8041</v>
      </c>
      <c r="R413" s="62">
        <v>126.76</v>
      </c>
      <c r="S413" s="61">
        <f>(Porovnavanie!J415*0.99-1.9)*Porovnavanie!I415</f>
        <v>993.80648840000003</v>
      </c>
    </row>
    <row r="414" spans="1:19" ht="15.75" thickBot="1">
      <c r="A414" s="101">
        <f t="shared" si="34"/>
        <v>45706</v>
      </c>
      <c r="B414" s="25" t="s">
        <v>20</v>
      </c>
      <c r="C414" s="54">
        <f>'DHS2021'!C413</f>
        <v>13337</v>
      </c>
      <c r="D414" s="55">
        <f>'DHS2022'!C413</f>
        <v>7922</v>
      </c>
      <c r="E414" s="55">
        <f>'DHS2023'!C413</f>
        <v>10777</v>
      </c>
      <c r="F414" s="55">
        <f>'DHS2024'!C413</f>
        <v>5745</v>
      </c>
      <c r="G414" s="56">
        <f t="shared" si="30"/>
        <v>9445.25</v>
      </c>
      <c r="H414" s="75">
        <f t="shared" si="31"/>
        <v>2.3613124999999999</v>
      </c>
      <c r="I414" s="76">
        <v>1</v>
      </c>
      <c r="J414" s="75">
        <f t="shared" si="32"/>
        <v>3.3613124999999999</v>
      </c>
      <c r="K414" s="81">
        <f t="shared" si="33"/>
        <v>4</v>
      </c>
      <c r="L414" s="11"/>
      <c r="M414" s="11"/>
      <c r="N414" s="11"/>
      <c r="O414" s="28">
        <f>'DHS2025'!C413</f>
        <v>17183</v>
      </c>
      <c r="P414" s="29">
        <f>'DHS2025'!D413</f>
        <v>8333</v>
      </c>
      <c r="Q414" s="29">
        <f>'DHS2025'!E413</f>
        <v>7985</v>
      </c>
      <c r="R414" s="62">
        <v>130</v>
      </c>
      <c r="S414" s="61">
        <f>(Porovnavanie!J416*0.99-1.9)*Porovnavanie!I416</f>
        <v>1012.4979999999999</v>
      </c>
    </row>
    <row r="415" spans="1:19" ht="15.75" thickBot="1">
      <c r="A415" s="101">
        <f t="shared" si="34"/>
        <v>45706</v>
      </c>
      <c r="B415" s="25" t="s">
        <v>21</v>
      </c>
      <c r="C415" s="54">
        <f>'DHS2021'!C414</f>
        <v>22399</v>
      </c>
      <c r="D415" s="55">
        <f>'DHS2022'!C414</f>
        <v>17380</v>
      </c>
      <c r="E415" s="55">
        <f>'DHS2023'!C414</f>
        <v>12295</v>
      </c>
      <c r="F415" s="55">
        <f>'DHS2024'!C414</f>
        <v>6652</v>
      </c>
      <c r="G415" s="56">
        <f t="shared" si="30"/>
        <v>14681.5</v>
      </c>
      <c r="H415" s="75">
        <f t="shared" si="31"/>
        <v>3.6703749999999999</v>
      </c>
      <c r="I415" s="76">
        <v>1</v>
      </c>
      <c r="J415" s="75">
        <f t="shared" si="32"/>
        <v>4.6703749999999999</v>
      </c>
      <c r="K415" s="81">
        <f t="shared" si="33"/>
        <v>5</v>
      </c>
      <c r="L415" s="11"/>
      <c r="M415" s="11"/>
      <c r="N415" s="11"/>
      <c r="O415" s="28">
        <f>'DHS2025'!C414</f>
        <v>22279</v>
      </c>
      <c r="P415" s="29">
        <f>'DHS2025'!D414</f>
        <v>3478</v>
      </c>
      <c r="Q415" s="29">
        <f>'DHS2025'!E414</f>
        <v>8041</v>
      </c>
      <c r="R415" s="62">
        <v>140.71</v>
      </c>
      <c r="S415" s="61">
        <f>(Porovnavanie!J417*0.99-1.9)*Porovnavanie!I417</f>
        <v>1104.8567189</v>
      </c>
    </row>
    <row r="416" spans="1:19" ht="15.75" thickBot="1">
      <c r="A416" s="101">
        <f t="shared" si="34"/>
        <v>45706</v>
      </c>
      <c r="B416" s="25" t="s">
        <v>22</v>
      </c>
      <c r="C416" s="54">
        <f>'DHS2021'!C415</f>
        <v>21026</v>
      </c>
      <c r="D416" s="55">
        <f>'DHS2022'!C415</f>
        <v>18649</v>
      </c>
      <c r="E416" s="55">
        <f>'DHS2023'!C415</f>
        <v>12209</v>
      </c>
      <c r="F416" s="55">
        <f>'DHS2024'!C415</f>
        <v>12472</v>
      </c>
      <c r="G416" s="56">
        <f t="shared" si="30"/>
        <v>16089</v>
      </c>
      <c r="H416" s="75">
        <f t="shared" si="31"/>
        <v>4.0222499999999997</v>
      </c>
      <c r="I416" s="76">
        <v>1</v>
      </c>
      <c r="J416" s="75">
        <f t="shared" si="32"/>
        <v>5.0222499999999997</v>
      </c>
      <c r="K416" s="81">
        <f t="shared" si="33"/>
        <v>6</v>
      </c>
      <c r="L416" s="11"/>
      <c r="M416" s="11"/>
      <c r="N416" s="11"/>
      <c r="O416" s="28">
        <f>'DHS2025'!C415</f>
        <v>19254</v>
      </c>
      <c r="P416" s="29">
        <f>'DHS2025'!D415</f>
        <v>6179</v>
      </c>
      <c r="Q416" s="29">
        <f>'DHS2025'!E415</f>
        <v>8041</v>
      </c>
      <c r="R416" s="62">
        <v>186.63</v>
      </c>
      <c r="S416" s="61">
        <f>(Porovnavanie!J418*0.99-1.9)*Porovnavanie!I418</f>
        <v>1470.4070117000001</v>
      </c>
    </row>
    <row r="417" spans="1:19" ht="15.75" thickBot="1">
      <c r="A417" s="101">
        <f t="shared" si="34"/>
        <v>45706</v>
      </c>
      <c r="B417" s="25" t="s">
        <v>23</v>
      </c>
      <c r="C417" s="54">
        <f>'DHS2021'!C416</f>
        <v>21428</v>
      </c>
      <c r="D417" s="55">
        <f>'DHS2022'!C416</f>
        <v>19609</v>
      </c>
      <c r="E417" s="55">
        <f>'DHS2023'!C416</f>
        <v>12735</v>
      </c>
      <c r="F417" s="55">
        <f>'DHS2024'!C416</f>
        <v>14307</v>
      </c>
      <c r="G417" s="56">
        <f t="shared" si="30"/>
        <v>17019.75</v>
      </c>
      <c r="H417" s="75">
        <f t="shared" si="31"/>
        <v>4.2549374999999996</v>
      </c>
      <c r="I417" s="76">
        <v>1</v>
      </c>
      <c r="J417" s="75">
        <f t="shared" si="32"/>
        <v>5.2549374999999996</v>
      </c>
      <c r="K417" s="81">
        <f t="shared" si="33"/>
        <v>6</v>
      </c>
      <c r="L417" s="11"/>
      <c r="M417" s="11"/>
      <c r="N417" s="11"/>
      <c r="O417" s="28">
        <f>'DHS2025'!C416</f>
        <v>19928</v>
      </c>
      <c r="P417" s="29">
        <f>'DHS2025'!D416</f>
        <v>5829</v>
      </c>
      <c r="Q417" s="29">
        <f>'DHS2025'!E416</f>
        <v>8029</v>
      </c>
      <c r="R417" s="62">
        <v>240.04</v>
      </c>
      <c r="S417" s="61">
        <f>(Porovnavanie!J419*0.99-1.9)*Porovnavanie!I419</f>
        <v>1892.7532483999998</v>
      </c>
    </row>
    <row r="418" spans="1:19" ht="15.75" thickBot="1">
      <c r="A418" s="101">
        <f t="shared" si="34"/>
        <v>45706</v>
      </c>
      <c r="B418" s="25" t="s">
        <v>24</v>
      </c>
      <c r="C418" s="54">
        <f>'DHS2021'!C417</f>
        <v>19983</v>
      </c>
      <c r="D418" s="55">
        <f>'DHS2022'!C417</f>
        <v>17152</v>
      </c>
      <c r="E418" s="55">
        <f>'DHS2023'!C417</f>
        <v>12033</v>
      </c>
      <c r="F418" s="55">
        <f>'DHS2024'!C417</f>
        <v>12374</v>
      </c>
      <c r="G418" s="56">
        <f t="shared" si="30"/>
        <v>15385.5</v>
      </c>
      <c r="H418" s="75">
        <f t="shared" si="31"/>
        <v>3.8463750000000001</v>
      </c>
      <c r="I418" s="76">
        <v>1</v>
      </c>
      <c r="J418" s="75">
        <f t="shared" si="32"/>
        <v>4.8463750000000001</v>
      </c>
      <c r="K418" s="81">
        <f t="shared" si="33"/>
        <v>5</v>
      </c>
      <c r="L418" s="11"/>
      <c r="M418" s="11"/>
      <c r="N418" s="11"/>
      <c r="O418" s="28">
        <f>'DHS2025'!C417</f>
        <v>19617</v>
      </c>
      <c r="P418" s="29">
        <f>'DHS2025'!D417</f>
        <v>5341</v>
      </c>
      <c r="Q418" s="29">
        <f>'DHS2025'!E417</f>
        <v>8072</v>
      </c>
      <c r="R418" s="62">
        <v>350</v>
      </c>
      <c r="S418" s="61">
        <f>(Porovnavanie!J420*0.99-1.9)*Porovnavanie!I420</f>
        <v>2781.6111999999998</v>
      </c>
    </row>
    <row r="419" spans="1:19" ht="15.75" thickBot="1">
      <c r="A419" s="101">
        <f t="shared" si="34"/>
        <v>45706</v>
      </c>
      <c r="B419" s="25" t="s">
        <v>25</v>
      </c>
      <c r="C419" s="54">
        <f>'DHS2021'!C418</f>
        <v>19447</v>
      </c>
      <c r="D419" s="55">
        <f>'DHS2022'!C418</f>
        <v>14917</v>
      </c>
      <c r="E419" s="55">
        <f>'DHS2023'!C418</f>
        <v>12039</v>
      </c>
      <c r="F419" s="55">
        <f>'DHS2024'!C418</f>
        <v>12520</v>
      </c>
      <c r="G419" s="56">
        <f t="shared" si="30"/>
        <v>14730.75</v>
      </c>
      <c r="H419" s="75">
        <f t="shared" si="31"/>
        <v>3.6826875000000001</v>
      </c>
      <c r="I419" s="76">
        <v>1</v>
      </c>
      <c r="J419" s="75">
        <f t="shared" si="32"/>
        <v>4.6826875000000001</v>
      </c>
      <c r="K419" s="81">
        <f t="shared" si="33"/>
        <v>5</v>
      </c>
      <c r="L419" s="11"/>
      <c r="M419" s="11"/>
      <c r="N419" s="11"/>
      <c r="O419" s="28">
        <f>'DHS2025'!C418</f>
        <v>19956</v>
      </c>
      <c r="P419" s="29">
        <f>'DHS2025'!D418</f>
        <v>5686</v>
      </c>
      <c r="Q419" s="29">
        <f>'DHS2025'!E418</f>
        <v>8064</v>
      </c>
      <c r="R419" s="62">
        <v>193.8</v>
      </c>
      <c r="S419" s="61">
        <f>(Porovnavanie!J421*0.99-1.9)*Porovnavanie!I421</f>
        <v>1531.8535680000002</v>
      </c>
    </row>
    <row r="420" spans="1:19" ht="15.75" thickBot="1">
      <c r="A420" s="101">
        <f t="shared" si="34"/>
        <v>45706</v>
      </c>
      <c r="B420" s="25" t="s">
        <v>26</v>
      </c>
      <c r="C420" s="54">
        <f>'DHS2021'!C419</f>
        <v>17794</v>
      </c>
      <c r="D420" s="55">
        <f>'DHS2022'!C419</f>
        <v>13720</v>
      </c>
      <c r="E420" s="55">
        <f>'DHS2023'!C419</f>
        <v>11987</v>
      </c>
      <c r="F420" s="55">
        <f>'DHS2024'!C419</f>
        <v>12364</v>
      </c>
      <c r="G420" s="56">
        <f t="shared" si="30"/>
        <v>13966.25</v>
      </c>
      <c r="H420" s="75">
        <f t="shared" si="31"/>
        <v>3.4915625000000001</v>
      </c>
      <c r="I420" s="76">
        <v>1</v>
      </c>
      <c r="J420" s="75">
        <f t="shared" si="32"/>
        <v>4.4915625000000006</v>
      </c>
      <c r="K420" s="81">
        <f t="shared" si="33"/>
        <v>5</v>
      </c>
      <c r="L420" s="11"/>
      <c r="M420" s="11"/>
      <c r="N420" s="11"/>
      <c r="O420" s="28">
        <f>'DHS2025'!C419</f>
        <v>19494</v>
      </c>
      <c r="P420" s="29">
        <f>'DHS2025'!D419</f>
        <v>5106</v>
      </c>
      <c r="Q420" s="29">
        <f>'DHS2025'!E419</f>
        <v>8062</v>
      </c>
      <c r="R420" s="62">
        <v>173.49</v>
      </c>
      <c r="S420" s="61">
        <f>(Porovnavanie!J422*0.99-1.9)*Porovnavanie!I422</f>
        <v>1369.3718161999998</v>
      </c>
    </row>
    <row r="421" spans="1:19" ht="15.75" thickBot="1">
      <c r="A421" s="101">
        <f t="shared" si="34"/>
        <v>45706</v>
      </c>
      <c r="B421" s="25" t="s">
        <v>27</v>
      </c>
      <c r="C421" s="54">
        <f>'DHS2021'!C420</f>
        <v>17185</v>
      </c>
      <c r="D421" s="55">
        <f>'DHS2022'!C420</f>
        <v>13679</v>
      </c>
      <c r="E421" s="55">
        <f>'DHS2023'!C420</f>
        <v>11908</v>
      </c>
      <c r="F421" s="55">
        <f>'DHS2024'!C420</f>
        <v>13005</v>
      </c>
      <c r="G421" s="56">
        <f t="shared" si="30"/>
        <v>13944.25</v>
      </c>
      <c r="H421" s="75">
        <f t="shared" si="31"/>
        <v>3.4860625000000001</v>
      </c>
      <c r="I421" s="76">
        <v>1</v>
      </c>
      <c r="J421" s="75">
        <f t="shared" si="32"/>
        <v>4.4860625000000001</v>
      </c>
      <c r="K421" s="81">
        <f t="shared" si="33"/>
        <v>5</v>
      </c>
      <c r="L421" s="11"/>
      <c r="M421" s="11"/>
      <c r="N421" s="11"/>
      <c r="O421" s="28">
        <f>'DHS2025'!C420</f>
        <v>17490</v>
      </c>
      <c r="P421" s="29">
        <f>'DHS2025'!D420</f>
        <v>7747</v>
      </c>
      <c r="Q421" s="29">
        <f>'DHS2025'!E420</f>
        <v>8052</v>
      </c>
      <c r="R421" s="62">
        <v>163.07</v>
      </c>
      <c r="S421" s="61">
        <f>(Porovnavanie!J423*0.99-1.9)*Porovnavanie!I423</f>
        <v>1284.6104435999998</v>
      </c>
    </row>
    <row r="422" spans="1:19" ht="15.75" thickBot="1">
      <c r="A422" s="101">
        <f t="shared" si="34"/>
        <v>45706</v>
      </c>
      <c r="B422" s="25" t="s">
        <v>28</v>
      </c>
      <c r="C422" s="54">
        <f>'DHS2021'!C421</f>
        <v>15767</v>
      </c>
      <c r="D422" s="55">
        <f>'DHS2022'!C421</f>
        <v>12728</v>
      </c>
      <c r="E422" s="55">
        <f>'DHS2023'!C421</f>
        <v>11979</v>
      </c>
      <c r="F422" s="55">
        <f>'DHS2024'!C421</f>
        <v>13045</v>
      </c>
      <c r="G422" s="56">
        <f t="shared" si="30"/>
        <v>13379.75</v>
      </c>
      <c r="H422" s="75">
        <f t="shared" si="31"/>
        <v>3.3449374999999999</v>
      </c>
      <c r="I422" s="76">
        <v>1</v>
      </c>
      <c r="J422" s="75">
        <f t="shared" si="32"/>
        <v>4.3449375000000003</v>
      </c>
      <c r="K422" s="81">
        <f t="shared" si="33"/>
        <v>5</v>
      </c>
      <c r="L422" s="11"/>
      <c r="M422" s="11"/>
      <c r="N422" s="11"/>
      <c r="O422" s="28">
        <f>'DHS2025'!C421</f>
        <v>14608</v>
      </c>
      <c r="P422" s="29">
        <f>'DHS2025'!D421</f>
        <v>9650</v>
      </c>
      <c r="Q422" s="29">
        <f>'DHS2025'!E421</f>
        <v>8046</v>
      </c>
      <c r="R422" s="62">
        <v>160.93</v>
      </c>
      <c r="S422" s="61">
        <f>(Porovnavanie!J424*0.99-1.9)*Porovnavanie!I424</f>
        <v>1266.6069522</v>
      </c>
    </row>
    <row r="423" spans="1:19" ht="15.75" thickBot="1">
      <c r="A423" s="101">
        <f t="shared" si="34"/>
        <v>45706</v>
      </c>
      <c r="B423" s="25" t="s">
        <v>29</v>
      </c>
      <c r="C423" s="54">
        <f>'DHS2021'!C422</f>
        <v>18407</v>
      </c>
      <c r="D423" s="55">
        <f>'DHS2022'!C422</f>
        <v>12468</v>
      </c>
      <c r="E423" s="55">
        <f>'DHS2023'!C422</f>
        <v>12214</v>
      </c>
      <c r="F423" s="55">
        <f>'DHS2024'!C422</f>
        <v>13239</v>
      </c>
      <c r="G423" s="56">
        <f t="shared" si="30"/>
        <v>14082</v>
      </c>
      <c r="H423" s="75">
        <f t="shared" si="31"/>
        <v>3.5205000000000002</v>
      </c>
      <c r="I423" s="76">
        <v>1</v>
      </c>
      <c r="J423" s="75">
        <f t="shared" si="32"/>
        <v>4.5205000000000002</v>
      </c>
      <c r="K423" s="81">
        <f t="shared" si="33"/>
        <v>5</v>
      </c>
      <c r="L423" s="11"/>
      <c r="M423" s="11"/>
      <c r="N423" s="11"/>
      <c r="O423" s="28">
        <f>'DHS2025'!C422</f>
        <v>14999</v>
      </c>
      <c r="P423" s="29">
        <f>'DHS2025'!D422</f>
        <v>8236</v>
      </c>
      <c r="Q423" s="29">
        <f>'DHS2025'!E422</f>
        <v>8042</v>
      </c>
      <c r="R423" s="62">
        <v>168.82</v>
      </c>
      <c r="S423" s="61">
        <f>(Porovnavanie!J425*0.99-1.9)*Porovnavanie!I425</f>
        <v>1328.7941355999999</v>
      </c>
    </row>
    <row r="424" spans="1:19" ht="15.75" thickBot="1">
      <c r="A424" s="101">
        <f t="shared" si="34"/>
        <v>45706</v>
      </c>
      <c r="B424" s="25" t="s">
        <v>30</v>
      </c>
      <c r="C424" s="54">
        <f>'DHS2021'!C423</f>
        <v>17833</v>
      </c>
      <c r="D424" s="55">
        <f>'DHS2022'!C423</f>
        <v>11791</v>
      </c>
      <c r="E424" s="55">
        <f>'DHS2023'!C423</f>
        <v>12108</v>
      </c>
      <c r="F424" s="55">
        <f>'DHS2024'!C423</f>
        <v>11880</v>
      </c>
      <c r="G424" s="56">
        <f t="shared" si="30"/>
        <v>13403</v>
      </c>
      <c r="H424" s="75">
        <f t="shared" si="31"/>
        <v>3.3507500000000001</v>
      </c>
      <c r="I424" s="76">
        <v>1</v>
      </c>
      <c r="J424" s="75">
        <f t="shared" si="32"/>
        <v>4.3507499999999997</v>
      </c>
      <c r="K424" s="81">
        <f t="shared" si="33"/>
        <v>5</v>
      </c>
      <c r="L424" s="11"/>
      <c r="M424" s="11"/>
      <c r="N424" s="11"/>
      <c r="O424" s="28">
        <f>'DHS2025'!C423</f>
        <v>16234</v>
      </c>
      <c r="P424" s="29">
        <f>'DHS2025'!D423</f>
        <v>8053</v>
      </c>
      <c r="Q424" s="29">
        <f>'DHS2025'!E423</f>
        <v>8059</v>
      </c>
      <c r="R424" s="62">
        <v>197.91</v>
      </c>
      <c r="S424" s="61">
        <f>(Porovnavanie!J426*0.99-1.9)*Porovnavanie!I426</f>
        <v>1563.6950230999998</v>
      </c>
    </row>
    <row r="425" spans="1:19" ht="15.75" thickBot="1">
      <c r="A425" s="101">
        <f t="shared" si="34"/>
        <v>45706</v>
      </c>
      <c r="B425" s="25" t="s">
        <v>31</v>
      </c>
      <c r="C425" s="54">
        <f>'DHS2021'!C424</f>
        <v>15528</v>
      </c>
      <c r="D425" s="55">
        <f>'DHS2022'!C424</f>
        <v>11818</v>
      </c>
      <c r="E425" s="55">
        <f>'DHS2023'!C424</f>
        <v>11641</v>
      </c>
      <c r="F425" s="55">
        <f>'DHS2024'!C424</f>
        <v>12247</v>
      </c>
      <c r="G425" s="56">
        <f t="shared" si="30"/>
        <v>12808.5</v>
      </c>
      <c r="H425" s="75">
        <f t="shared" si="31"/>
        <v>3.2021250000000001</v>
      </c>
      <c r="I425" s="76">
        <v>1</v>
      </c>
      <c r="J425" s="75">
        <f t="shared" si="32"/>
        <v>4.2021250000000006</v>
      </c>
      <c r="K425" s="81">
        <f t="shared" si="33"/>
        <v>5</v>
      </c>
      <c r="L425" s="11"/>
      <c r="M425" s="11"/>
      <c r="N425" s="11"/>
      <c r="O425" s="28">
        <f>'DHS2025'!C424</f>
        <v>16737</v>
      </c>
      <c r="P425" s="29">
        <f>'DHS2025'!D424</f>
        <v>7169</v>
      </c>
      <c r="Q425" s="29">
        <f>'DHS2025'!E424</f>
        <v>8055</v>
      </c>
      <c r="R425" s="62">
        <v>194.8</v>
      </c>
      <c r="S425" s="61">
        <f>(Porovnavanie!J427*0.99-1.9)*Porovnavanie!I427</f>
        <v>1538.1183599999999</v>
      </c>
    </row>
    <row r="426" spans="1:19" ht="15.75" thickBot="1">
      <c r="A426" s="101">
        <f t="shared" si="34"/>
        <v>45706</v>
      </c>
      <c r="B426" s="25" t="s">
        <v>32</v>
      </c>
      <c r="C426" s="54">
        <f>'DHS2021'!C425</f>
        <v>17975</v>
      </c>
      <c r="D426" s="55">
        <f>'DHS2022'!C425</f>
        <v>12463</v>
      </c>
      <c r="E426" s="55">
        <f>'DHS2023'!C425</f>
        <v>10790</v>
      </c>
      <c r="F426" s="55">
        <f>'DHS2024'!C425</f>
        <v>10579</v>
      </c>
      <c r="G426" s="56">
        <f t="shared" si="30"/>
        <v>12951.75</v>
      </c>
      <c r="H426" s="75">
        <f t="shared" si="31"/>
        <v>3.2379375000000001</v>
      </c>
      <c r="I426" s="76">
        <v>1</v>
      </c>
      <c r="J426" s="75">
        <f t="shared" si="32"/>
        <v>4.2379375000000001</v>
      </c>
      <c r="K426" s="81">
        <f t="shared" si="33"/>
        <v>5</v>
      </c>
      <c r="L426" s="11"/>
      <c r="M426" s="11"/>
      <c r="N426" s="11"/>
      <c r="O426" s="28">
        <f>'DHS2025'!C425</f>
        <v>16497</v>
      </c>
      <c r="P426" s="29">
        <f>'DHS2025'!D425</f>
        <v>7364</v>
      </c>
      <c r="Q426" s="29">
        <f>'DHS2025'!E425</f>
        <v>8066</v>
      </c>
      <c r="R426" s="62">
        <v>188.36</v>
      </c>
      <c r="S426" s="61">
        <f>(Porovnavanie!J428*0.99-1.9)*Porovnavanie!I428</f>
        <v>1488.7932424000003</v>
      </c>
    </row>
    <row r="427" spans="1:19" ht="15.75" thickBot="1">
      <c r="A427" s="101">
        <f t="shared" si="34"/>
        <v>45706</v>
      </c>
      <c r="B427" s="25" t="s">
        <v>33</v>
      </c>
      <c r="C427" s="54">
        <f>'DHS2021'!C426</f>
        <v>17716</v>
      </c>
      <c r="D427" s="55">
        <f>'DHS2022'!C426</f>
        <v>12327</v>
      </c>
      <c r="E427" s="55">
        <f>'DHS2023'!C426</f>
        <v>11088</v>
      </c>
      <c r="F427" s="55">
        <f>'DHS2024'!C426</f>
        <v>11122</v>
      </c>
      <c r="G427" s="56">
        <f t="shared" si="30"/>
        <v>13063.25</v>
      </c>
      <c r="H427" s="75">
        <f t="shared" si="31"/>
        <v>3.2658125</v>
      </c>
      <c r="I427" s="76">
        <v>1</v>
      </c>
      <c r="J427" s="75">
        <f t="shared" si="32"/>
        <v>4.2658125</v>
      </c>
      <c r="K427" s="81">
        <f t="shared" si="33"/>
        <v>5</v>
      </c>
      <c r="L427" s="11"/>
      <c r="M427" s="11"/>
      <c r="N427" s="11"/>
      <c r="O427" s="28">
        <f>'DHS2025'!C426</f>
        <v>17202</v>
      </c>
      <c r="P427" s="29">
        <f>'DHS2025'!D426</f>
        <v>7949</v>
      </c>
      <c r="Q427" s="29">
        <f>'DHS2025'!E426</f>
        <v>8054</v>
      </c>
      <c r="R427" s="62">
        <v>399.05</v>
      </c>
      <c r="S427" s="61">
        <f>(Porovnavanie!J429*0.99-1.9)*Porovnavanie!I429</f>
        <v>3166.5066130000005</v>
      </c>
    </row>
    <row r="428" spans="1:19" ht="15.75" thickBot="1">
      <c r="A428" s="101">
        <f t="shared" si="34"/>
        <v>45706</v>
      </c>
      <c r="B428" s="25" t="s">
        <v>34</v>
      </c>
      <c r="C428" s="54">
        <f>'DHS2021'!C427</f>
        <v>18351</v>
      </c>
      <c r="D428" s="55">
        <f>'DHS2022'!C427</f>
        <v>13428</v>
      </c>
      <c r="E428" s="55">
        <f>'DHS2023'!C427</f>
        <v>12089</v>
      </c>
      <c r="F428" s="55">
        <f>'DHS2024'!C427</f>
        <v>12058</v>
      </c>
      <c r="G428" s="56">
        <f t="shared" si="30"/>
        <v>13981.5</v>
      </c>
      <c r="H428" s="75">
        <f t="shared" si="31"/>
        <v>3.4953750000000001</v>
      </c>
      <c r="I428" s="76">
        <v>1</v>
      </c>
      <c r="J428" s="75">
        <f t="shared" si="32"/>
        <v>4.4953750000000001</v>
      </c>
      <c r="K428" s="81">
        <f t="shared" si="33"/>
        <v>5</v>
      </c>
      <c r="L428" s="11"/>
      <c r="M428" s="11"/>
      <c r="N428" s="11"/>
      <c r="O428" s="28">
        <f>'DHS2025'!C427</f>
        <v>19610</v>
      </c>
      <c r="P428" s="29">
        <f>'DHS2025'!D427</f>
        <v>5165</v>
      </c>
      <c r="Q428" s="29">
        <f>'DHS2025'!E427</f>
        <v>8053</v>
      </c>
      <c r="R428" s="62">
        <v>223.6</v>
      </c>
      <c r="S428" s="61">
        <f>(Porovnavanie!J430*0.99-1.9)*Porovnavanie!I430</f>
        <v>1767.3435920000002</v>
      </c>
    </row>
    <row r="429" spans="1:19" ht="15.75" thickBot="1">
      <c r="A429" s="101">
        <f t="shared" si="34"/>
        <v>45706</v>
      </c>
      <c r="B429" s="25" t="s">
        <v>35</v>
      </c>
      <c r="C429" s="54">
        <f>'DHS2021'!C428</f>
        <v>18154</v>
      </c>
      <c r="D429" s="55">
        <f>'DHS2022'!C428</f>
        <v>14426</v>
      </c>
      <c r="E429" s="55">
        <f>'DHS2023'!C428</f>
        <v>11930</v>
      </c>
      <c r="F429" s="55">
        <f>'DHS2024'!C428</f>
        <v>13678</v>
      </c>
      <c r="G429" s="56">
        <f t="shared" si="30"/>
        <v>14547</v>
      </c>
      <c r="H429" s="75">
        <f t="shared" si="31"/>
        <v>3.6367500000000001</v>
      </c>
      <c r="I429" s="76">
        <v>1</v>
      </c>
      <c r="J429" s="75">
        <f t="shared" si="32"/>
        <v>4.6367500000000001</v>
      </c>
      <c r="K429" s="81">
        <f t="shared" si="33"/>
        <v>5</v>
      </c>
      <c r="L429" s="11"/>
      <c r="M429" s="11"/>
      <c r="N429" s="11"/>
      <c r="O429" s="28">
        <f>'DHS2025'!C428</f>
        <v>20173</v>
      </c>
      <c r="P429" s="29">
        <f>'DHS2025'!D428</f>
        <v>3926</v>
      </c>
      <c r="Q429" s="29">
        <f>'DHS2025'!E428</f>
        <v>8057</v>
      </c>
      <c r="R429" s="62">
        <v>145.34</v>
      </c>
      <c r="S429" s="61">
        <f>(Porovnavanie!J431*0.99-1.9)*Porovnavanie!I431</f>
        <v>1143.9860362000002</v>
      </c>
    </row>
    <row r="430" spans="1:19" ht="15.75" thickBot="1">
      <c r="A430" s="101">
        <f t="shared" si="34"/>
        <v>45706</v>
      </c>
      <c r="B430" s="25" t="s">
        <v>36</v>
      </c>
      <c r="C430" s="54">
        <f>'DHS2021'!C429</f>
        <v>18717</v>
      </c>
      <c r="D430" s="55">
        <f>'DHS2022'!C429</f>
        <v>14374</v>
      </c>
      <c r="E430" s="55">
        <f>'DHS2023'!C429</f>
        <v>12124</v>
      </c>
      <c r="F430" s="55">
        <f>'DHS2024'!C429</f>
        <v>14998</v>
      </c>
      <c r="G430" s="56">
        <f t="shared" si="30"/>
        <v>15053.25</v>
      </c>
      <c r="H430" s="75">
        <f t="shared" si="31"/>
        <v>3.7633125000000001</v>
      </c>
      <c r="I430" s="76">
        <v>1</v>
      </c>
      <c r="J430" s="75">
        <f t="shared" si="32"/>
        <v>4.7633124999999996</v>
      </c>
      <c r="K430" s="81">
        <f t="shared" si="33"/>
        <v>5</v>
      </c>
      <c r="L430" s="11"/>
      <c r="M430" s="11"/>
      <c r="N430" s="11"/>
      <c r="O430" s="28">
        <f>'DHS2025'!C429</f>
        <v>21321</v>
      </c>
      <c r="P430" s="29">
        <f>'DHS2025'!D429</f>
        <v>3616</v>
      </c>
      <c r="Q430" s="29">
        <f>'DHS2025'!E429</f>
        <v>8054</v>
      </c>
      <c r="R430" s="62">
        <v>187.37</v>
      </c>
      <c r="S430" s="61">
        <f>(Porovnavanie!J432*0.99-1.9)*Porovnavanie!I432</f>
        <v>1478.6846002</v>
      </c>
    </row>
    <row r="431" spans="1:19" ht="15.75" thickBot="1">
      <c r="A431" s="101">
        <f t="shared" si="34"/>
        <v>45706</v>
      </c>
      <c r="B431" s="25" t="s">
        <v>37</v>
      </c>
      <c r="C431" s="54">
        <f>'DHS2021'!C430</f>
        <v>16247</v>
      </c>
      <c r="D431" s="55">
        <f>'DHS2022'!C430</f>
        <v>14154</v>
      </c>
      <c r="E431" s="55">
        <f>'DHS2023'!C430</f>
        <v>12587</v>
      </c>
      <c r="F431" s="55">
        <f>'DHS2024'!C430</f>
        <v>16086</v>
      </c>
      <c r="G431" s="56">
        <f t="shared" si="30"/>
        <v>14768.5</v>
      </c>
      <c r="H431" s="75">
        <f t="shared" si="31"/>
        <v>3.6921249999999999</v>
      </c>
      <c r="I431" s="76">
        <v>1</v>
      </c>
      <c r="J431" s="75">
        <f t="shared" si="32"/>
        <v>4.6921249999999999</v>
      </c>
      <c r="K431" s="81">
        <f t="shared" si="33"/>
        <v>5</v>
      </c>
      <c r="L431" s="11"/>
      <c r="M431" s="11"/>
      <c r="N431" s="11"/>
      <c r="O431" s="28">
        <f>'DHS2025'!C430</f>
        <v>21012</v>
      </c>
      <c r="P431" s="29">
        <f>'DHS2025'!D430</f>
        <v>3086</v>
      </c>
      <c r="Q431" s="29">
        <f>'DHS2025'!E430</f>
        <v>8051</v>
      </c>
      <c r="R431" s="62">
        <v>194</v>
      </c>
      <c r="S431" s="61">
        <f>(Porovnavanie!J433*0.99-1.9)*Porovnavanie!I433</f>
        <v>1530.9781599999999</v>
      </c>
    </row>
    <row r="432" spans="1:19" ht="15.75" thickBot="1">
      <c r="A432" s="101">
        <f t="shared" si="34"/>
        <v>45706</v>
      </c>
      <c r="B432" s="25" t="s">
        <v>38</v>
      </c>
      <c r="C432" s="54">
        <f>'DHS2021'!C431</f>
        <v>14838</v>
      </c>
      <c r="D432" s="55">
        <f>'DHS2022'!C431</f>
        <v>12954</v>
      </c>
      <c r="E432" s="55">
        <f>'DHS2023'!C431</f>
        <v>14435</v>
      </c>
      <c r="F432" s="55">
        <f>'DHS2024'!C431</f>
        <v>16029</v>
      </c>
      <c r="G432" s="56">
        <f t="shared" si="30"/>
        <v>14564</v>
      </c>
      <c r="H432" s="75">
        <f t="shared" si="31"/>
        <v>3.641</v>
      </c>
      <c r="I432" s="76">
        <v>1</v>
      </c>
      <c r="J432" s="75">
        <f t="shared" si="32"/>
        <v>4.641</v>
      </c>
      <c r="K432" s="81">
        <f t="shared" si="33"/>
        <v>5</v>
      </c>
      <c r="L432" s="11"/>
      <c r="M432" s="11"/>
      <c r="N432" s="11"/>
      <c r="O432" s="28">
        <f>'DHS2025'!C431</f>
        <v>20731</v>
      </c>
      <c r="P432" s="29">
        <f>'DHS2025'!D431</f>
        <v>4229</v>
      </c>
      <c r="Q432" s="29">
        <f>'DHS2025'!E431</f>
        <v>8056</v>
      </c>
      <c r="R432" s="62">
        <v>193</v>
      </c>
      <c r="S432" s="61">
        <f>(Porovnavanie!J434*0.99-1.9)*Porovnavanie!I434</f>
        <v>1523.9535199999998</v>
      </c>
    </row>
    <row r="433" spans="1:19" ht="15.75" thickBot="1">
      <c r="A433" s="101">
        <f t="shared" si="34"/>
        <v>45706</v>
      </c>
      <c r="B433" s="25" t="s">
        <v>39</v>
      </c>
      <c r="C433" s="54">
        <f>'DHS2021'!C432</f>
        <v>13504</v>
      </c>
      <c r="D433" s="55">
        <f>'DHS2022'!C432</f>
        <v>10794</v>
      </c>
      <c r="E433" s="55">
        <f>'DHS2023'!C432</f>
        <v>12360</v>
      </c>
      <c r="F433" s="55">
        <f>'DHS2024'!C432</f>
        <v>13309</v>
      </c>
      <c r="G433" s="56">
        <f t="shared" si="30"/>
        <v>12491.75</v>
      </c>
      <c r="H433" s="75">
        <f t="shared" si="31"/>
        <v>3.1229374999999999</v>
      </c>
      <c r="I433" s="76">
        <v>1</v>
      </c>
      <c r="J433" s="75">
        <f t="shared" si="32"/>
        <v>4.1229374999999999</v>
      </c>
      <c r="K433" s="81">
        <f t="shared" si="33"/>
        <v>5</v>
      </c>
      <c r="L433" s="11"/>
      <c r="M433" s="11"/>
      <c r="N433" s="11"/>
      <c r="O433" s="28">
        <f>'DHS2025'!C432</f>
        <v>17094</v>
      </c>
      <c r="P433" s="29">
        <f>'DHS2025'!D432</f>
        <v>7408</v>
      </c>
      <c r="Q433" s="29">
        <f>'DHS2025'!E432</f>
        <v>8065</v>
      </c>
      <c r="R433" s="62">
        <v>148.6</v>
      </c>
      <c r="S433" s="61">
        <f>(Porovnavanie!J435*0.99-1.9)*Porovnavanie!I435</f>
        <v>1171.1509099999998</v>
      </c>
    </row>
    <row r="434" spans="1:19" ht="15.75" thickBot="1">
      <c r="A434" s="101">
        <f t="shared" si="34"/>
        <v>45706</v>
      </c>
      <c r="B434" s="25" t="s">
        <v>40</v>
      </c>
      <c r="C434" s="54">
        <f>'DHS2021'!C433</f>
        <v>8290</v>
      </c>
      <c r="D434" s="55">
        <f>'DHS2022'!C433</f>
        <v>6619</v>
      </c>
      <c r="E434" s="55">
        <f>'DHS2023'!C433</f>
        <v>4849</v>
      </c>
      <c r="F434" s="55">
        <f>'DHS2024'!C433</f>
        <v>13550</v>
      </c>
      <c r="G434" s="56">
        <f t="shared" si="30"/>
        <v>8327</v>
      </c>
      <c r="H434" s="75">
        <f t="shared" si="31"/>
        <v>2.08175</v>
      </c>
      <c r="I434" s="76">
        <v>1</v>
      </c>
      <c r="J434" s="75">
        <f t="shared" si="32"/>
        <v>3.08175</v>
      </c>
      <c r="K434" s="81">
        <f t="shared" si="33"/>
        <v>4</v>
      </c>
      <c r="L434" s="11"/>
      <c r="M434" s="11"/>
      <c r="N434" s="11"/>
      <c r="O434" s="28">
        <f>'DHS2025'!C433</f>
        <v>9849</v>
      </c>
      <c r="P434" s="29">
        <f>'DHS2025'!D433</f>
        <v>14543</v>
      </c>
      <c r="Q434" s="29">
        <f>'DHS2025'!E433</f>
        <v>8069</v>
      </c>
      <c r="R434" s="62">
        <v>164.48</v>
      </c>
      <c r="S434" s="61">
        <f>(Porovnavanie!J436*0.99-1.9)*Porovnavanie!I436</f>
        <v>1298.5861287999999</v>
      </c>
    </row>
    <row r="435" spans="1:19" ht="15.75" thickBot="1">
      <c r="A435" s="100">
        <f t="shared" si="34"/>
        <v>45707</v>
      </c>
      <c r="B435" s="24" t="s">
        <v>17</v>
      </c>
      <c r="C435" s="54">
        <f>'DHS2021'!C434</f>
        <v>8716</v>
      </c>
      <c r="D435" s="55">
        <f>'DHS2022'!C434</f>
        <v>3243</v>
      </c>
      <c r="E435" s="55">
        <f>'DHS2023'!C434</f>
        <v>1834</v>
      </c>
      <c r="F435" s="55">
        <f>'DHS2024'!C434</f>
        <v>10535</v>
      </c>
      <c r="G435" s="56">
        <f t="shared" si="30"/>
        <v>6082</v>
      </c>
      <c r="H435" s="75">
        <f t="shared" si="31"/>
        <v>1.5205</v>
      </c>
      <c r="I435" s="76">
        <v>1</v>
      </c>
      <c r="J435" s="75">
        <f t="shared" si="32"/>
        <v>2.5205000000000002</v>
      </c>
      <c r="K435" s="81">
        <f t="shared" si="33"/>
        <v>3</v>
      </c>
      <c r="L435" s="11"/>
      <c r="M435" s="11"/>
      <c r="N435" s="11"/>
      <c r="O435" s="28">
        <f>'DHS2025'!C434</f>
        <v>10746</v>
      </c>
      <c r="P435" s="29">
        <f>'DHS2025'!D434</f>
        <v>14067</v>
      </c>
      <c r="Q435" s="29">
        <f>'DHS2025'!E434</f>
        <v>8079</v>
      </c>
      <c r="R435" s="62">
        <v>159.25</v>
      </c>
      <c r="S435" s="61">
        <f>(Porovnavanie!J437*0.99-1.9)*Porovnavanie!I437</f>
        <v>1258.3648425000001</v>
      </c>
    </row>
    <row r="436" spans="1:19" ht="15.75" thickBot="1">
      <c r="A436" s="100">
        <f t="shared" si="34"/>
        <v>45707</v>
      </c>
      <c r="B436" s="24" t="s">
        <v>18</v>
      </c>
      <c r="C436" s="54">
        <f>'DHS2021'!C435</f>
        <v>9948</v>
      </c>
      <c r="D436" s="55">
        <f>'DHS2022'!C435</f>
        <v>3216</v>
      </c>
      <c r="E436" s="55">
        <f>'DHS2023'!C435</f>
        <v>8421</v>
      </c>
      <c r="F436" s="55">
        <f>'DHS2024'!C435</f>
        <v>10925</v>
      </c>
      <c r="G436" s="56">
        <f t="shared" si="30"/>
        <v>8127.5</v>
      </c>
      <c r="H436" s="75">
        <f t="shared" si="31"/>
        <v>2.0318749999999999</v>
      </c>
      <c r="I436" s="76">
        <v>1</v>
      </c>
      <c r="J436" s="75">
        <f t="shared" si="32"/>
        <v>3.0318749999999999</v>
      </c>
      <c r="K436" s="81">
        <f t="shared" si="33"/>
        <v>4</v>
      </c>
      <c r="L436" s="11"/>
      <c r="M436" s="11"/>
      <c r="N436" s="11"/>
      <c r="O436" s="28">
        <f>'DHS2025'!C435</f>
        <v>11515</v>
      </c>
      <c r="P436" s="29">
        <f>'DHS2025'!D435</f>
        <v>13437</v>
      </c>
      <c r="Q436" s="29">
        <f>'DHS2025'!E435</f>
        <v>8059</v>
      </c>
      <c r="R436" s="62">
        <v>154.06</v>
      </c>
      <c r="S436" s="61">
        <f>(Porovnavanie!J438*0.99-1.9)*Porovnavanie!I438</f>
        <v>1213.8417445999999</v>
      </c>
    </row>
    <row r="437" spans="1:19" ht="15.75" thickBot="1">
      <c r="A437" s="100">
        <f t="shared" si="34"/>
        <v>45707</v>
      </c>
      <c r="B437" s="24" t="s">
        <v>19</v>
      </c>
      <c r="C437" s="54">
        <f>'DHS2021'!C436</f>
        <v>11954</v>
      </c>
      <c r="D437" s="55">
        <f>'DHS2022'!C436</f>
        <v>4551</v>
      </c>
      <c r="E437" s="55">
        <f>'DHS2023'!C436</f>
        <v>5427</v>
      </c>
      <c r="F437" s="55">
        <f>'DHS2024'!C436</f>
        <v>11497</v>
      </c>
      <c r="G437" s="56">
        <f t="shared" si="30"/>
        <v>8357.25</v>
      </c>
      <c r="H437" s="75">
        <f t="shared" si="31"/>
        <v>2.0893125000000001</v>
      </c>
      <c r="I437" s="76">
        <v>1</v>
      </c>
      <c r="J437" s="75">
        <f t="shared" si="32"/>
        <v>3.0893125000000001</v>
      </c>
      <c r="K437" s="81">
        <f t="shared" si="33"/>
        <v>4</v>
      </c>
      <c r="L437" s="11"/>
      <c r="M437" s="11"/>
      <c r="N437" s="11"/>
      <c r="O437" s="28">
        <f>'DHS2025'!C436</f>
        <v>13082</v>
      </c>
      <c r="P437" s="29">
        <f>'DHS2025'!D436</f>
        <v>11349</v>
      </c>
      <c r="Q437" s="29">
        <f>'DHS2025'!E436</f>
        <v>8052</v>
      </c>
      <c r="R437" s="62">
        <v>149.55000000000001</v>
      </c>
      <c r="S437" s="61">
        <f>(Porovnavanie!J439*0.99-1.9)*Porovnavanie!I439</f>
        <v>1176.8360340000002</v>
      </c>
    </row>
    <row r="438" spans="1:19" ht="15.75" thickBot="1">
      <c r="A438" s="100">
        <f t="shared" si="34"/>
        <v>45707</v>
      </c>
      <c r="B438" s="24" t="s">
        <v>20</v>
      </c>
      <c r="C438" s="54">
        <f>'DHS2021'!C437</f>
        <v>12501</v>
      </c>
      <c r="D438" s="55">
        <f>'DHS2022'!C437</f>
        <v>4035</v>
      </c>
      <c r="E438" s="55">
        <f>'DHS2023'!C437</f>
        <v>8368</v>
      </c>
      <c r="F438" s="55">
        <f>'DHS2024'!C437</f>
        <v>14168</v>
      </c>
      <c r="G438" s="56">
        <f t="shared" si="30"/>
        <v>9768</v>
      </c>
      <c r="H438" s="75">
        <f t="shared" si="31"/>
        <v>2.4420000000000002</v>
      </c>
      <c r="I438" s="76">
        <v>1</v>
      </c>
      <c r="J438" s="75">
        <f t="shared" si="32"/>
        <v>3.4420000000000002</v>
      </c>
      <c r="K438" s="81">
        <f t="shared" si="33"/>
        <v>4</v>
      </c>
      <c r="L438" s="11"/>
      <c r="M438" s="11"/>
      <c r="N438" s="11"/>
      <c r="O438" s="28">
        <f>'DHS2025'!C437</f>
        <v>13349</v>
      </c>
      <c r="P438" s="29">
        <f>'DHS2025'!D437</f>
        <v>11287</v>
      </c>
      <c r="Q438" s="29">
        <f>'DHS2025'!E437</f>
        <v>8059</v>
      </c>
      <c r="R438" s="62">
        <v>147.41999999999999</v>
      </c>
      <c r="S438" s="61">
        <f>(Porovnavanie!J440*0.99-1.9)*Porovnavanie!I440</f>
        <v>1160.8651021999997</v>
      </c>
    </row>
    <row r="439" spans="1:19" ht="15.75" thickBot="1">
      <c r="A439" s="100">
        <f t="shared" si="34"/>
        <v>45707</v>
      </c>
      <c r="B439" s="24" t="s">
        <v>21</v>
      </c>
      <c r="C439" s="54">
        <f>'DHS2021'!C438</f>
        <v>21725</v>
      </c>
      <c r="D439" s="55">
        <f>'DHS2022'!C438</f>
        <v>11954</v>
      </c>
      <c r="E439" s="55">
        <f>'DHS2023'!C438</f>
        <v>10384</v>
      </c>
      <c r="F439" s="55">
        <f>'DHS2024'!C438</f>
        <v>16294</v>
      </c>
      <c r="G439" s="56">
        <f t="shared" si="30"/>
        <v>15089.25</v>
      </c>
      <c r="H439" s="75">
        <f t="shared" si="31"/>
        <v>3.7723125</v>
      </c>
      <c r="I439" s="76">
        <v>1</v>
      </c>
      <c r="J439" s="75">
        <f t="shared" si="32"/>
        <v>4.7723125</v>
      </c>
      <c r="K439" s="81">
        <f t="shared" si="33"/>
        <v>5</v>
      </c>
      <c r="L439" s="11"/>
      <c r="M439" s="11"/>
      <c r="N439" s="11"/>
      <c r="O439" s="28">
        <f>'DHS2025'!C438</f>
        <v>20820</v>
      </c>
      <c r="P439" s="29">
        <f>'DHS2025'!D438</f>
        <v>3875</v>
      </c>
      <c r="Q439" s="29">
        <f>'DHS2025'!E438</f>
        <v>8014</v>
      </c>
      <c r="R439" s="62">
        <v>142.43</v>
      </c>
      <c r="S439" s="61">
        <f>(Porovnavanie!J441*0.99-1.9)*Porovnavanie!I441</f>
        <v>1114.7930798</v>
      </c>
    </row>
    <row r="440" spans="1:19" ht="15.75" thickBot="1">
      <c r="A440" s="100">
        <f t="shared" si="34"/>
        <v>45707</v>
      </c>
      <c r="B440" s="24" t="s">
        <v>22</v>
      </c>
      <c r="C440" s="54">
        <f>'DHS2021'!C439</f>
        <v>20842</v>
      </c>
      <c r="D440" s="55">
        <f>'DHS2022'!C439</f>
        <v>14851</v>
      </c>
      <c r="E440" s="55">
        <f>'DHS2023'!C439</f>
        <v>13294</v>
      </c>
      <c r="F440" s="55">
        <f>'DHS2024'!C439</f>
        <v>13394</v>
      </c>
      <c r="G440" s="56">
        <f t="shared" si="30"/>
        <v>15595.25</v>
      </c>
      <c r="H440" s="75">
        <f t="shared" si="31"/>
        <v>3.8988125</v>
      </c>
      <c r="I440" s="76">
        <v>1</v>
      </c>
      <c r="J440" s="75">
        <f t="shared" si="32"/>
        <v>4.8988125</v>
      </c>
      <c r="K440" s="81">
        <f t="shared" si="33"/>
        <v>5</v>
      </c>
      <c r="L440" s="11"/>
      <c r="M440" s="11"/>
      <c r="N440" s="11"/>
      <c r="O440" s="28">
        <f>'DHS2025'!C439</f>
        <v>22957</v>
      </c>
      <c r="P440" s="29">
        <f>'DHS2025'!D439</f>
        <v>2959</v>
      </c>
      <c r="Q440" s="29">
        <f>'DHS2025'!E439</f>
        <v>8063</v>
      </c>
      <c r="R440" s="62">
        <v>153.83000000000001</v>
      </c>
      <c r="S440" s="61">
        <f>(Porovnavanie!J442*0.99-1.9)*Porovnavanie!I442</f>
        <v>1212.6082771000001</v>
      </c>
    </row>
    <row r="441" spans="1:19" ht="15.75" thickBot="1">
      <c r="A441" s="100">
        <f t="shared" si="34"/>
        <v>45707</v>
      </c>
      <c r="B441" s="24" t="s">
        <v>23</v>
      </c>
      <c r="C441" s="54">
        <f>'DHS2021'!C440</f>
        <v>21120</v>
      </c>
      <c r="D441" s="55">
        <f>'DHS2022'!C440</f>
        <v>15984</v>
      </c>
      <c r="E441" s="55">
        <f>'DHS2023'!C440</f>
        <v>12718</v>
      </c>
      <c r="F441" s="55">
        <f>'DHS2024'!C440</f>
        <v>14551</v>
      </c>
      <c r="G441" s="56">
        <f t="shared" si="30"/>
        <v>16093.25</v>
      </c>
      <c r="H441" s="75">
        <f t="shared" si="31"/>
        <v>4.0233125000000003</v>
      </c>
      <c r="I441" s="76">
        <v>1</v>
      </c>
      <c r="J441" s="75">
        <f t="shared" si="32"/>
        <v>5.0233125000000003</v>
      </c>
      <c r="K441" s="81">
        <f t="shared" si="33"/>
        <v>6</v>
      </c>
      <c r="L441" s="11"/>
      <c r="M441" s="11"/>
      <c r="N441" s="11"/>
      <c r="O441" s="28">
        <f>'DHS2025'!C440</f>
        <v>19408</v>
      </c>
      <c r="P441" s="29">
        <f>'DHS2025'!D440</f>
        <v>6100</v>
      </c>
      <c r="Q441" s="29">
        <f>'DHS2025'!E440</f>
        <v>8084</v>
      </c>
      <c r="R441" s="62">
        <v>194.32</v>
      </c>
      <c r="S441" s="61">
        <f>(Porovnavanie!J443*0.99-1.9)*Porovnavanie!I443</f>
        <v>1539.8144511999999</v>
      </c>
    </row>
    <row r="442" spans="1:19" ht="15.75" thickBot="1">
      <c r="A442" s="100">
        <f t="shared" si="34"/>
        <v>45707</v>
      </c>
      <c r="B442" s="24" t="s">
        <v>24</v>
      </c>
      <c r="C442" s="54">
        <f>'DHS2021'!C441</f>
        <v>18692</v>
      </c>
      <c r="D442" s="55">
        <f>'DHS2022'!C441</f>
        <v>15542</v>
      </c>
      <c r="E442" s="55">
        <f>'DHS2023'!C441</f>
        <v>10685</v>
      </c>
      <c r="F442" s="55">
        <f>'DHS2024'!C441</f>
        <v>16678</v>
      </c>
      <c r="G442" s="56">
        <f t="shared" si="30"/>
        <v>15399.25</v>
      </c>
      <c r="H442" s="75">
        <f t="shared" si="31"/>
        <v>3.8498125000000001</v>
      </c>
      <c r="I442" s="76">
        <v>1</v>
      </c>
      <c r="J442" s="75">
        <f t="shared" si="32"/>
        <v>4.8498125000000005</v>
      </c>
      <c r="K442" s="81">
        <f t="shared" si="33"/>
        <v>5</v>
      </c>
      <c r="L442" s="11"/>
      <c r="M442" s="11"/>
      <c r="N442" s="11"/>
      <c r="O442" s="28">
        <f>'DHS2025'!C441</f>
        <v>18607</v>
      </c>
      <c r="P442" s="29">
        <f>'DHS2025'!D441</f>
        <v>5527</v>
      </c>
      <c r="Q442" s="29">
        <f>'DHS2025'!E441</f>
        <v>8060</v>
      </c>
      <c r="R442" s="62">
        <v>220</v>
      </c>
      <c r="S442" s="61">
        <f>(Porovnavanie!J444*0.99-1.9)*Porovnavanie!I444</f>
        <v>1740.1540000000002</v>
      </c>
    </row>
    <row r="443" spans="1:19" ht="15.75" thickBot="1">
      <c r="A443" s="100">
        <f t="shared" si="34"/>
        <v>45707</v>
      </c>
      <c r="B443" s="24" t="s">
        <v>25</v>
      </c>
      <c r="C443" s="54">
        <f>'DHS2021'!C442</f>
        <v>21229</v>
      </c>
      <c r="D443" s="55">
        <f>'DHS2022'!C442</f>
        <v>11133</v>
      </c>
      <c r="E443" s="55">
        <f>'DHS2023'!C442</f>
        <v>10961</v>
      </c>
      <c r="F443" s="55">
        <f>'DHS2024'!C442</f>
        <v>16031</v>
      </c>
      <c r="G443" s="56">
        <f t="shared" si="30"/>
        <v>14838.5</v>
      </c>
      <c r="H443" s="75">
        <f t="shared" si="31"/>
        <v>3.709625</v>
      </c>
      <c r="I443" s="76">
        <v>1</v>
      </c>
      <c r="J443" s="75">
        <f t="shared" si="32"/>
        <v>4.709625</v>
      </c>
      <c r="K443" s="81">
        <f t="shared" si="33"/>
        <v>5</v>
      </c>
      <c r="L443" s="11"/>
      <c r="M443" s="11"/>
      <c r="N443" s="11"/>
      <c r="O443" s="28">
        <f>'DHS2025'!C442</f>
        <v>19395</v>
      </c>
      <c r="P443" s="29">
        <f>'DHS2025'!D442</f>
        <v>5340</v>
      </c>
      <c r="Q443" s="29">
        <f>'DHS2025'!E442</f>
        <v>8080</v>
      </c>
      <c r="R443" s="62">
        <v>185.12</v>
      </c>
      <c r="S443" s="61">
        <f>(Porovnavanie!J445*0.99-1.9)*Porovnavanie!I445</f>
        <v>1465.4599040000001</v>
      </c>
    </row>
    <row r="444" spans="1:19" ht="15.75" thickBot="1">
      <c r="A444" s="100">
        <f t="shared" si="34"/>
        <v>45707</v>
      </c>
      <c r="B444" s="24" t="s">
        <v>26</v>
      </c>
      <c r="C444" s="54">
        <f>'DHS2021'!C443</f>
        <v>19573</v>
      </c>
      <c r="D444" s="55">
        <f>'DHS2022'!C443</f>
        <v>12097</v>
      </c>
      <c r="E444" s="55">
        <f>'DHS2023'!C443</f>
        <v>11760</v>
      </c>
      <c r="F444" s="55">
        <f>'DHS2024'!C443</f>
        <v>15280</v>
      </c>
      <c r="G444" s="56">
        <f t="shared" si="30"/>
        <v>14677.5</v>
      </c>
      <c r="H444" s="75">
        <f t="shared" si="31"/>
        <v>3.6693750000000001</v>
      </c>
      <c r="I444" s="76">
        <v>1</v>
      </c>
      <c r="J444" s="75">
        <f t="shared" si="32"/>
        <v>4.6693750000000005</v>
      </c>
      <c r="K444" s="81">
        <f t="shared" si="33"/>
        <v>5</v>
      </c>
      <c r="L444" s="11"/>
      <c r="M444" s="11"/>
      <c r="N444" s="11"/>
      <c r="O444" s="28">
        <f>'DHS2025'!C443</f>
        <v>17081</v>
      </c>
      <c r="P444" s="29">
        <f>'DHS2025'!D443</f>
        <v>6740</v>
      </c>
      <c r="Q444" s="29">
        <f>'DHS2025'!E443</f>
        <v>8053</v>
      </c>
      <c r="R444" s="62">
        <v>168.21</v>
      </c>
      <c r="S444" s="61">
        <f>(Porovnavanie!J446*0.99-1.9)*Porovnavanie!I446</f>
        <v>1325.7484787000003</v>
      </c>
    </row>
    <row r="445" spans="1:19" ht="15.75" thickBot="1">
      <c r="A445" s="100">
        <f t="shared" si="34"/>
        <v>45707</v>
      </c>
      <c r="B445" s="24" t="s">
        <v>27</v>
      </c>
      <c r="C445" s="54">
        <f>'DHS2021'!C444</f>
        <v>18401</v>
      </c>
      <c r="D445" s="55">
        <f>'DHS2022'!C444</f>
        <v>12303</v>
      </c>
      <c r="E445" s="55">
        <f>'DHS2023'!C444</f>
        <v>12293</v>
      </c>
      <c r="F445" s="55">
        <f>'DHS2024'!C444</f>
        <v>16911</v>
      </c>
      <c r="G445" s="56">
        <f t="shared" si="30"/>
        <v>14977</v>
      </c>
      <c r="H445" s="75">
        <f t="shared" si="31"/>
        <v>3.7442500000000001</v>
      </c>
      <c r="I445" s="76">
        <v>1</v>
      </c>
      <c r="J445" s="75">
        <f t="shared" si="32"/>
        <v>4.7442500000000001</v>
      </c>
      <c r="K445" s="81">
        <f t="shared" si="33"/>
        <v>5</v>
      </c>
      <c r="L445" s="11"/>
      <c r="M445" s="11"/>
      <c r="N445" s="11"/>
      <c r="O445" s="28">
        <f>'DHS2025'!C444</f>
        <v>15558</v>
      </c>
      <c r="P445" s="29">
        <f>'DHS2025'!D444</f>
        <v>8635</v>
      </c>
      <c r="Q445" s="29">
        <f>'DHS2025'!E444</f>
        <v>8054</v>
      </c>
      <c r="R445" s="62">
        <v>115.97</v>
      </c>
      <c r="S445" s="61">
        <f>(Porovnavanie!J447*0.99-1.9)*Porovnavanie!I447</f>
        <v>909.37955620000002</v>
      </c>
    </row>
    <row r="446" spans="1:19" ht="15.75" thickBot="1">
      <c r="A446" s="100">
        <f t="shared" si="34"/>
        <v>45707</v>
      </c>
      <c r="B446" s="24" t="s">
        <v>28</v>
      </c>
      <c r="C446" s="54">
        <f>'DHS2021'!C445</f>
        <v>17984</v>
      </c>
      <c r="D446" s="55">
        <f>'DHS2022'!C445</f>
        <v>12085</v>
      </c>
      <c r="E446" s="55">
        <f>'DHS2023'!C445</f>
        <v>12083</v>
      </c>
      <c r="F446" s="55">
        <f>'DHS2024'!C445</f>
        <v>16089</v>
      </c>
      <c r="G446" s="56">
        <f t="shared" si="30"/>
        <v>14560.25</v>
      </c>
      <c r="H446" s="75">
        <f t="shared" si="31"/>
        <v>3.6400625</v>
      </c>
      <c r="I446" s="76">
        <v>1</v>
      </c>
      <c r="J446" s="75">
        <f t="shared" si="32"/>
        <v>4.6400625</v>
      </c>
      <c r="K446" s="81">
        <f t="shared" si="33"/>
        <v>5</v>
      </c>
      <c r="L446" s="11"/>
      <c r="M446" s="11"/>
      <c r="N446" s="11"/>
      <c r="O446" s="28">
        <f>'DHS2025'!C445</f>
        <v>15472</v>
      </c>
      <c r="P446" s="29">
        <f>'DHS2025'!D445</f>
        <v>8882</v>
      </c>
      <c r="Q446" s="29">
        <f>'DHS2025'!E445</f>
        <v>8067</v>
      </c>
      <c r="R446" s="62">
        <v>126.07</v>
      </c>
      <c r="S446" s="61">
        <f>(Porovnavanie!J448*0.99-1.9)*Porovnavanie!I448</f>
        <v>991.50932309999996</v>
      </c>
    </row>
    <row r="447" spans="1:19" ht="15.75" thickBot="1">
      <c r="A447" s="100">
        <f t="shared" si="34"/>
        <v>45707</v>
      </c>
      <c r="B447" s="24" t="s">
        <v>29</v>
      </c>
      <c r="C447" s="54">
        <f>'DHS2021'!C446</f>
        <v>17619</v>
      </c>
      <c r="D447" s="55">
        <f>'DHS2022'!C446</f>
        <v>11676</v>
      </c>
      <c r="E447" s="55">
        <f>'DHS2023'!C446</f>
        <v>11896</v>
      </c>
      <c r="F447" s="55">
        <f>'DHS2024'!C446</f>
        <v>14673</v>
      </c>
      <c r="G447" s="56">
        <f t="shared" si="30"/>
        <v>13966</v>
      </c>
      <c r="H447" s="75">
        <f t="shared" si="31"/>
        <v>3.4914999999999998</v>
      </c>
      <c r="I447" s="76">
        <v>1</v>
      </c>
      <c r="J447" s="75">
        <f t="shared" si="32"/>
        <v>4.4915000000000003</v>
      </c>
      <c r="K447" s="81">
        <f t="shared" si="33"/>
        <v>5</v>
      </c>
      <c r="L447" s="11"/>
      <c r="M447" s="11"/>
      <c r="N447" s="11"/>
      <c r="O447" s="28">
        <f>'DHS2025'!C446</f>
        <v>14730</v>
      </c>
      <c r="P447" s="29">
        <f>'DHS2025'!D446</f>
        <v>5087</v>
      </c>
      <c r="Q447" s="29">
        <f>'DHS2025'!E446</f>
        <v>6936</v>
      </c>
      <c r="R447" s="62">
        <v>112.84</v>
      </c>
      <c r="S447" s="61">
        <f>(Porovnavanie!J449*0.99-1.9)*Porovnavanie!I449</f>
        <v>761.65325759999996</v>
      </c>
    </row>
    <row r="448" spans="1:19" ht="15.75" thickBot="1">
      <c r="A448" s="100">
        <f t="shared" si="34"/>
        <v>45707</v>
      </c>
      <c r="B448" s="24" t="s">
        <v>30</v>
      </c>
      <c r="C448" s="54">
        <f>'DHS2021'!C447</f>
        <v>17028</v>
      </c>
      <c r="D448" s="55">
        <f>'DHS2022'!C447</f>
        <v>11333</v>
      </c>
      <c r="E448" s="55">
        <f>'DHS2023'!C447</f>
        <v>12023</v>
      </c>
      <c r="F448" s="55">
        <f>'DHS2024'!C447</f>
        <v>16001</v>
      </c>
      <c r="G448" s="56">
        <f t="shared" si="30"/>
        <v>14096.25</v>
      </c>
      <c r="H448" s="75">
        <f t="shared" si="31"/>
        <v>3.5240624999999999</v>
      </c>
      <c r="I448" s="76">
        <v>1</v>
      </c>
      <c r="J448" s="75">
        <f t="shared" si="32"/>
        <v>4.5240624999999994</v>
      </c>
      <c r="K448" s="81">
        <f t="shared" si="33"/>
        <v>5</v>
      </c>
      <c r="L448" s="11"/>
      <c r="M448" s="11"/>
      <c r="N448" s="11"/>
      <c r="O448" s="28">
        <f>'DHS2025'!C447</f>
        <v>14165</v>
      </c>
      <c r="P448" s="29">
        <f>'DHS2025'!D447</f>
        <v>7178</v>
      </c>
      <c r="Q448" s="29">
        <f>'DHS2025'!E447</f>
        <v>6519</v>
      </c>
      <c r="R448" s="62">
        <v>112.29</v>
      </c>
      <c r="S448" s="61">
        <f>(Porovnavanie!J450*0.99-1.9)*Porovnavanie!I450</f>
        <v>712.31222490000005</v>
      </c>
    </row>
    <row r="449" spans="1:19" ht="15.75" thickBot="1">
      <c r="A449" s="100">
        <f t="shared" si="34"/>
        <v>45707</v>
      </c>
      <c r="B449" s="24" t="s">
        <v>31</v>
      </c>
      <c r="C449" s="54">
        <f>'DHS2021'!C448</f>
        <v>17449</v>
      </c>
      <c r="D449" s="55">
        <f>'DHS2022'!C448</f>
        <v>10955</v>
      </c>
      <c r="E449" s="55">
        <f>'DHS2023'!C448</f>
        <v>11923</v>
      </c>
      <c r="F449" s="55">
        <f>'DHS2024'!C448</f>
        <v>15457</v>
      </c>
      <c r="G449" s="56">
        <f t="shared" si="30"/>
        <v>13946</v>
      </c>
      <c r="H449" s="75">
        <f t="shared" si="31"/>
        <v>3.4864999999999999</v>
      </c>
      <c r="I449" s="76">
        <v>1</v>
      </c>
      <c r="J449" s="75">
        <f t="shared" si="32"/>
        <v>4.4864999999999995</v>
      </c>
      <c r="K449" s="81">
        <f t="shared" si="33"/>
        <v>5</v>
      </c>
      <c r="L449" s="11"/>
      <c r="M449" s="11"/>
      <c r="N449" s="11"/>
      <c r="O449" s="28">
        <f>'DHS2025'!C448</f>
        <v>15387</v>
      </c>
      <c r="P449" s="29">
        <f>'DHS2025'!D448</f>
        <v>9584</v>
      </c>
      <c r="Q449" s="29">
        <f>'DHS2025'!E448</f>
        <v>8091</v>
      </c>
      <c r="R449" s="62">
        <v>132.25</v>
      </c>
      <c r="S449" s="61">
        <f>(Porovnavanie!J451*0.99-1.9)*Porovnavanie!I451</f>
        <v>1043.9615024999998</v>
      </c>
    </row>
    <row r="450" spans="1:19" ht="15.75" thickBot="1">
      <c r="A450" s="100">
        <f t="shared" si="34"/>
        <v>45707</v>
      </c>
      <c r="B450" s="24" t="s">
        <v>32</v>
      </c>
      <c r="C450" s="54">
        <f>'DHS2021'!C449</f>
        <v>19204</v>
      </c>
      <c r="D450" s="55">
        <f>'DHS2022'!C449</f>
        <v>11147</v>
      </c>
      <c r="E450" s="55">
        <f>'DHS2023'!C449</f>
        <v>14145</v>
      </c>
      <c r="F450" s="55">
        <f>'DHS2024'!C449</f>
        <v>16488</v>
      </c>
      <c r="G450" s="56">
        <f t="shared" si="30"/>
        <v>15246</v>
      </c>
      <c r="H450" s="75">
        <f t="shared" si="31"/>
        <v>3.8115000000000001</v>
      </c>
      <c r="I450" s="76">
        <v>1</v>
      </c>
      <c r="J450" s="75">
        <f t="shared" si="32"/>
        <v>4.8115000000000006</v>
      </c>
      <c r="K450" s="81">
        <f t="shared" si="33"/>
        <v>5</v>
      </c>
      <c r="L450" s="11"/>
      <c r="M450" s="11"/>
      <c r="N450" s="11"/>
      <c r="O450" s="28">
        <f>'DHS2025'!C449</f>
        <v>15379</v>
      </c>
      <c r="P450" s="29">
        <f>'DHS2025'!D449</f>
        <v>8326</v>
      </c>
      <c r="Q450" s="29">
        <f>'DHS2025'!E449</f>
        <v>8045</v>
      </c>
      <c r="R450" s="62">
        <v>155.74</v>
      </c>
      <c r="S450" s="61">
        <f>(Porovnavanie!J452*0.99-1.9)*Porovnavanie!I452</f>
        <v>1225.113517</v>
      </c>
    </row>
    <row r="451" spans="1:19" ht="15.75" thickBot="1">
      <c r="A451" s="100">
        <f t="shared" si="34"/>
        <v>45707</v>
      </c>
      <c r="B451" s="24" t="s">
        <v>33</v>
      </c>
      <c r="C451" s="54">
        <f>'DHS2021'!C450</f>
        <v>18646</v>
      </c>
      <c r="D451" s="55">
        <f>'DHS2022'!C450</f>
        <v>11135</v>
      </c>
      <c r="E451" s="55">
        <f>'DHS2023'!C450</f>
        <v>12242</v>
      </c>
      <c r="F451" s="55">
        <f>'DHS2024'!C450</f>
        <v>16411</v>
      </c>
      <c r="G451" s="56">
        <f t="shared" si="30"/>
        <v>14608.5</v>
      </c>
      <c r="H451" s="75">
        <f t="shared" si="31"/>
        <v>3.6521249999999998</v>
      </c>
      <c r="I451" s="76">
        <v>1</v>
      </c>
      <c r="J451" s="75">
        <f t="shared" si="32"/>
        <v>4.6521249999999998</v>
      </c>
      <c r="K451" s="81">
        <f t="shared" si="33"/>
        <v>5</v>
      </c>
      <c r="L451" s="11"/>
      <c r="M451" s="11"/>
      <c r="N451" s="11"/>
      <c r="O451" s="28">
        <f>'DHS2025'!C450</f>
        <v>15019</v>
      </c>
      <c r="P451" s="29">
        <f>'DHS2025'!D450</f>
        <v>9130</v>
      </c>
      <c r="Q451" s="29">
        <f>'DHS2025'!E450</f>
        <v>8061</v>
      </c>
      <c r="R451" s="62">
        <v>199.39</v>
      </c>
      <c r="S451" s="61">
        <f>(Porovnavanie!J453*0.99-1.9)*Porovnavanie!I453</f>
        <v>1575.8940620999999</v>
      </c>
    </row>
    <row r="452" spans="1:19" ht="15.75" thickBot="1">
      <c r="A452" s="100">
        <f t="shared" si="34"/>
        <v>45707</v>
      </c>
      <c r="B452" s="24" t="s">
        <v>34</v>
      </c>
      <c r="C452" s="54">
        <f>'DHS2021'!C451</f>
        <v>18717</v>
      </c>
      <c r="D452" s="55">
        <f>'DHS2022'!C451</f>
        <v>12329</v>
      </c>
      <c r="E452" s="55">
        <f>'DHS2023'!C451</f>
        <v>11922</v>
      </c>
      <c r="F452" s="55">
        <f>'DHS2024'!C451</f>
        <v>15338</v>
      </c>
      <c r="G452" s="56">
        <f t="shared" ref="G452:G515" si="35">AVERAGE(C452:F452)</f>
        <v>14576.5</v>
      </c>
      <c r="H452" s="75">
        <f t="shared" ref="H452:H515" si="36">G452/$M$2/1000</f>
        <v>3.6441249999999998</v>
      </c>
      <c r="I452" s="76">
        <v>1</v>
      </c>
      <c r="J452" s="75">
        <f t="shared" ref="J452:J515" si="37">H452+I452</f>
        <v>4.6441249999999998</v>
      </c>
      <c r="K452" s="81">
        <f t="shared" ref="K452:K515" si="38">ROUNDUP(J452,0)</f>
        <v>5</v>
      </c>
      <c r="L452" s="11"/>
      <c r="M452" s="11"/>
      <c r="N452" s="11"/>
      <c r="O452" s="28">
        <f>'DHS2025'!C451</f>
        <v>16637</v>
      </c>
      <c r="P452" s="29">
        <f>'DHS2025'!D451</f>
        <v>7786</v>
      </c>
      <c r="Q452" s="29">
        <f>'DHS2025'!E451</f>
        <v>8040</v>
      </c>
      <c r="R452" s="62">
        <v>227.8</v>
      </c>
      <c r="S452" s="61">
        <f>(Porovnavanie!J454*0.99-1.9)*Porovnavanie!I454</f>
        <v>1797.9208799999999</v>
      </c>
    </row>
    <row r="453" spans="1:19" ht="15.75" thickBot="1">
      <c r="A453" s="100">
        <f t="shared" ref="A453:A516" si="39">$A$3+INT((ROW()-3)/24)</f>
        <v>45707</v>
      </c>
      <c r="B453" s="24" t="s">
        <v>35</v>
      </c>
      <c r="C453" s="54">
        <f>'DHS2021'!C452</f>
        <v>18568</v>
      </c>
      <c r="D453" s="55">
        <f>'DHS2022'!C452</f>
        <v>12977</v>
      </c>
      <c r="E453" s="55">
        <f>'DHS2023'!C452</f>
        <v>14552</v>
      </c>
      <c r="F453" s="55">
        <f>'DHS2024'!C452</f>
        <v>14546</v>
      </c>
      <c r="G453" s="56">
        <f t="shared" si="35"/>
        <v>15160.75</v>
      </c>
      <c r="H453" s="75">
        <f t="shared" si="36"/>
        <v>3.7901875</v>
      </c>
      <c r="I453" s="76">
        <v>1</v>
      </c>
      <c r="J453" s="75">
        <f t="shared" si="37"/>
        <v>4.7901875</v>
      </c>
      <c r="K453" s="81">
        <f t="shared" si="38"/>
        <v>5</v>
      </c>
      <c r="L453" s="11"/>
      <c r="M453" s="11"/>
      <c r="N453" s="11"/>
      <c r="O453" s="28">
        <f>'DHS2025'!C452</f>
        <v>19223</v>
      </c>
      <c r="P453" s="29">
        <f>'DHS2025'!D452</f>
        <v>5146</v>
      </c>
      <c r="Q453" s="29">
        <f>'DHS2025'!E452</f>
        <v>8074</v>
      </c>
      <c r="R453" s="62">
        <v>205</v>
      </c>
      <c r="S453" s="61">
        <f>(Porovnavanie!J455*0.99-1.9)*Porovnavanie!I455</f>
        <v>1623.2776999999999</v>
      </c>
    </row>
    <row r="454" spans="1:19" ht="15.75" thickBot="1">
      <c r="A454" s="100">
        <f t="shared" si="39"/>
        <v>45707</v>
      </c>
      <c r="B454" s="24" t="s">
        <v>36</v>
      </c>
      <c r="C454" s="54">
        <f>'DHS2021'!C453</f>
        <v>17974</v>
      </c>
      <c r="D454" s="55">
        <f>'DHS2022'!C453</f>
        <v>13708</v>
      </c>
      <c r="E454" s="55">
        <f>'DHS2023'!C453</f>
        <v>14462</v>
      </c>
      <c r="F454" s="55">
        <f>'DHS2024'!C453</f>
        <v>14858</v>
      </c>
      <c r="G454" s="56">
        <f t="shared" si="35"/>
        <v>15250.5</v>
      </c>
      <c r="H454" s="75">
        <f t="shared" si="36"/>
        <v>3.8126250000000002</v>
      </c>
      <c r="I454" s="76">
        <v>1</v>
      </c>
      <c r="J454" s="75">
        <f t="shared" si="37"/>
        <v>4.8126250000000006</v>
      </c>
      <c r="K454" s="81">
        <f t="shared" si="38"/>
        <v>5</v>
      </c>
      <c r="L454" s="11"/>
      <c r="M454" s="11"/>
      <c r="N454" s="11"/>
      <c r="O454" s="28">
        <f>'DHS2025'!C453</f>
        <v>21222</v>
      </c>
      <c r="P454" s="29">
        <f>'DHS2025'!D453</f>
        <v>4244</v>
      </c>
      <c r="Q454" s="29">
        <f>'DHS2025'!E453</f>
        <v>8062</v>
      </c>
      <c r="R454" s="62">
        <v>200</v>
      </c>
      <c r="S454" s="61">
        <f>(Porovnavanie!J456*0.99-1.9)*Porovnavanie!I456</f>
        <v>1580.9581999999998</v>
      </c>
    </row>
    <row r="455" spans="1:19" ht="15.75" thickBot="1">
      <c r="A455" s="100">
        <f t="shared" si="39"/>
        <v>45707</v>
      </c>
      <c r="B455" s="24" t="s">
        <v>37</v>
      </c>
      <c r="C455" s="54">
        <f>'DHS2021'!C454</f>
        <v>18569</v>
      </c>
      <c r="D455" s="55">
        <f>'DHS2022'!C454</f>
        <v>14741</v>
      </c>
      <c r="E455" s="55">
        <f>'DHS2023'!C454</f>
        <v>14465</v>
      </c>
      <c r="F455" s="55">
        <f>'DHS2024'!C454</f>
        <v>14063</v>
      </c>
      <c r="G455" s="56">
        <f t="shared" si="35"/>
        <v>15459.5</v>
      </c>
      <c r="H455" s="75">
        <f t="shared" si="36"/>
        <v>3.8648750000000001</v>
      </c>
      <c r="I455" s="76">
        <v>1</v>
      </c>
      <c r="J455" s="75">
        <f t="shared" si="37"/>
        <v>4.8648749999999996</v>
      </c>
      <c r="K455" s="81">
        <f t="shared" si="38"/>
        <v>5</v>
      </c>
      <c r="L455" s="11"/>
      <c r="M455" s="11"/>
      <c r="N455" s="11"/>
      <c r="O455" s="28">
        <f>'DHS2025'!C454</f>
        <v>19746</v>
      </c>
      <c r="P455" s="29">
        <f>'DHS2025'!D454</f>
        <v>4881</v>
      </c>
      <c r="Q455" s="29">
        <f>'DHS2025'!E454</f>
        <v>8060</v>
      </c>
      <c r="R455" s="62">
        <v>220</v>
      </c>
      <c r="S455" s="61">
        <f>(Porovnavanie!J457*0.99-1.9)*Porovnavanie!I457</f>
        <v>1740.1540000000002</v>
      </c>
    </row>
    <row r="456" spans="1:19" ht="15.75" thickBot="1">
      <c r="A456" s="100">
        <f t="shared" si="39"/>
        <v>45707</v>
      </c>
      <c r="B456" s="24" t="s">
        <v>38</v>
      </c>
      <c r="C456" s="54">
        <f>'DHS2021'!C455</f>
        <v>18563</v>
      </c>
      <c r="D456" s="55">
        <f>'DHS2022'!C455</f>
        <v>14552</v>
      </c>
      <c r="E456" s="55">
        <f>'DHS2023'!C455</f>
        <v>14917</v>
      </c>
      <c r="F456" s="55">
        <f>'DHS2024'!C455</f>
        <v>14618</v>
      </c>
      <c r="G456" s="56">
        <f t="shared" si="35"/>
        <v>15662.5</v>
      </c>
      <c r="H456" s="75">
        <f t="shared" si="36"/>
        <v>3.9156249999999999</v>
      </c>
      <c r="I456" s="76">
        <v>1</v>
      </c>
      <c r="J456" s="75">
        <f t="shared" si="37"/>
        <v>4.9156250000000004</v>
      </c>
      <c r="K456" s="81">
        <f t="shared" si="38"/>
        <v>5</v>
      </c>
      <c r="L456" s="11"/>
      <c r="M456" s="11"/>
      <c r="N456" s="11"/>
      <c r="O456" s="28">
        <f>'DHS2025'!C455</f>
        <v>20202</v>
      </c>
      <c r="P456" s="29">
        <f>'DHS2025'!D455</f>
        <v>3970</v>
      </c>
      <c r="Q456" s="29">
        <f>'DHS2025'!E455</f>
        <v>8058</v>
      </c>
      <c r="R456" s="62">
        <v>217.7</v>
      </c>
      <c r="S456" s="61">
        <f>(Porovnavanie!J458*0.99-1.9)*Porovnavanie!I458</f>
        <v>1721.3741339999999</v>
      </c>
    </row>
    <row r="457" spans="1:19" ht="15.75" thickBot="1">
      <c r="A457" s="100">
        <f t="shared" si="39"/>
        <v>45707</v>
      </c>
      <c r="B457" s="24" t="s">
        <v>39</v>
      </c>
      <c r="C457" s="54">
        <f>'DHS2021'!C456</f>
        <v>14245</v>
      </c>
      <c r="D457" s="55">
        <f>'DHS2022'!C456</f>
        <v>13373</v>
      </c>
      <c r="E457" s="55">
        <f>'DHS2023'!C456</f>
        <v>11535</v>
      </c>
      <c r="F457" s="55">
        <f>'DHS2024'!C456</f>
        <v>13799</v>
      </c>
      <c r="G457" s="56">
        <f t="shared" si="35"/>
        <v>13238</v>
      </c>
      <c r="H457" s="75">
        <f t="shared" si="36"/>
        <v>3.3094999999999999</v>
      </c>
      <c r="I457" s="76">
        <v>1</v>
      </c>
      <c r="J457" s="75">
        <f t="shared" si="37"/>
        <v>4.3094999999999999</v>
      </c>
      <c r="K457" s="81">
        <f t="shared" si="38"/>
        <v>5</v>
      </c>
      <c r="L457" s="11"/>
      <c r="M457" s="11"/>
      <c r="N457" s="11"/>
      <c r="O457" s="28">
        <f>'DHS2025'!C456</f>
        <v>17786</v>
      </c>
      <c r="P457" s="29">
        <f>'DHS2025'!D456</f>
        <v>6748</v>
      </c>
      <c r="Q457" s="29">
        <f>'DHS2025'!E456</f>
        <v>8046</v>
      </c>
      <c r="R457" s="62">
        <v>218.01</v>
      </c>
      <c r="S457" s="61">
        <f>(Porovnavanie!J459*0.99-1.9)*Porovnavanie!I459</f>
        <v>1721.2799753999996</v>
      </c>
    </row>
    <row r="458" spans="1:19" ht="15.75" thickBot="1">
      <c r="A458" s="100">
        <f t="shared" si="39"/>
        <v>45707</v>
      </c>
      <c r="B458" s="24" t="s">
        <v>40</v>
      </c>
      <c r="C458" s="54">
        <f>'DHS2021'!C457</f>
        <v>8946</v>
      </c>
      <c r="D458" s="55">
        <f>'DHS2022'!C457</f>
        <v>8162</v>
      </c>
      <c r="E458" s="55">
        <f>'DHS2023'!C457</f>
        <v>7798</v>
      </c>
      <c r="F458" s="55">
        <f>'DHS2024'!C457</f>
        <v>7994</v>
      </c>
      <c r="G458" s="56">
        <f t="shared" si="35"/>
        <v>8225</v>
      </c>
      <c r="H458" s="75">
        <f t="shared" si="36"/>
        <v>2.0562499999999999</v>
      </c>
      <c r="I458" s="76">
        <v>1</v>
      </c>
      <c r="J458" s="75">
        <f t="shared" si="37"/>
        <v>3.0562499999999999</v>
      </c>
      <c r="K458" s="81">
        <f t="shared" si="38"/>
        <v>4</v>
      </c>
      <c r="L458" s="11"/>
      <c r="M458" s="11"/>
      <c r="N458" s="11"/>
      <c r="O458" s="28">
        <f>'DHS2025'!C457</f>
        <v>10077</v>
      </c>
      <c r="P458" s="29">
        <f>'DHS2025'!D457</f>
        <v>14380</v>
      </c>
      <c r="Q458" s="29">
        <f>'DHS2025'!E457</f>
        <v>8071</v>
      </c>
      <c r="R458" s="62">
        <v>213.33</v>
      </c>
      <c r="S458" s="61">
        <f>(Porovnavanie!J460*0.99-1.9)*Porovnavanie!I460</f>
        <v>1689.2336657000001</v>
      </c>
    </row>
    <row r="459" spans="1:19" ht="15.75" thickBot="1">
      <c r="A459" s="101">
        <f t="shared" si="39"/>
        <v>45708</v>
      </c>
      <c r="B459" s="25" t="s">
        <v>17</v>
      </c>
      <c r="C459" s="54">
        <f>'DHS2021'!C458</f>
        <v>9463</v>
      </c>
      <c r="D459" s="55">
        <f>'DHS2022'!C458</f>
        <v>7515</v>
      </c>
      <c r="E459" s="55">
        <f>'DHS2023'!C458</f>
        <v>6594</v>
      </c>
      <c r="F459" s="55">
        <f>'DHS2024'!C458</f>
        <v>7809</v>
      </c>
      <c r="G459" s="56">
        <f t="shared" si="35"/>
        <v>7845.25</v>
      </c>
      <c r="H459" s="75">
        <f t="shared" si="36"/>
        <v>1.9613125</v>
      </c>
      <c r="I459" s="76">
        <v>1</v>
      </c>
      <c r="J459" s="75">
        <f t="shared" si="37"/>
        <v>2.9613125</v>
      </c>
      <c r="K459" s="81">
        <f t="shared" si="38"/>
        <v>3</v>
      </c>
      <c r="L459" s="11"/>
      <c r="M459" s="11"/>
      <c r="N459" s="11"/>
      <c r="O459" s="28">
        <f>'DHS2025'!C458</f>
        <v>12686</v>
      </c>
      <c r="P459" s="29">
        <f>'DHS2025'!D458</f>
        <v>13225</v>
      </c>
      <c r="Q459" s="29">
        <f>'DHS2025'!E458</f>
        <v>8082</v>
      </c>
      <c r="R459" s="62">
        <v>132.1</v>
      </c>
      <c r="S459" s="61">
        <f>(Porovnavanie!J461*0.99-1.9)*Porovnavanie!I461</f>
        <v>1041.6000779999999</v>
      </c>
    </row>
    <row r="460" spans="1:19" ht="15.75" thickBot="1">
      <c r="A460" s="101">
        <f t="shared" si="39"/>
        <v>45708</v>
      </c>
      <c r="B460" s="25" t="s">
        <v>18</v>
      </c>
      <c r="C460" s="54">
        <f>'DHS2021'!C459</f>
        <v>10533</v>
      </c>
      <c r="D460" s="55">
        <f>'DHS2022'!C459</f>
        <v>8708</v>
      </c>
      <c r="E460" s="55">
        <f>'DHS2023'!C459</f>
        <v>8035</v>
      </c>
      <c r="F460" s="55">
        <f>'DHS2024'!C459</f>
        <v>7720</v>
      </c>
      <c r="G460" s="56">
        <f t="shared" si="35"/>
        <v>8749</v>
      </c>
      <c r="H460" s="75">
        <f t="shared" si="36"/>
        <v>2.1872500000000001</v>
      </c>
      <c r="I460" s="76">
        <v>1</v>
      </c>
      <c r="J460" s="75">
        <f t="shared" si="37"/>
        <v>3.1872500000000001</v>
      </c>
      <c r="K460" s="81">
        <f t="shared" si="38"/>
        <v>4</v>
      </c>
      <c r="L460" s="11"/>
      <c r="M460" s="11"/>
      <c r="N460" s="11"/>
      <c r="O460" s="28">
        <f>'DHS2025'!C459</f>
        <v>15282</v>
      </c>
      <c r="P460" s="29">
        <f>'DHS2025'!D459</f>
        <v>9809</v>
      </c>
      <c r="Q460" s="29">
        <f>'DHS2025'!E459</f>
        <v>8061</v>
      </c>
      <c r="R460" s="62">
        <v>140.76</v>
      </c>
      <c r="S460" s="61">
        <f>(Porovnavanie!J462*0.99-1.9)*Porovnavanie!I462</f>
        <v>1108.0037963999998</v>
      </c>
    </row>
    <row r="461" spans="1:19" ht="15.75" thickBot="1">
      <c r="A461" s="101">
        <f t="shared" si="39"/>
        <v>45708</v>
      </c>
      <c r="B461" s="25" t="s">
        <v>19</v>
      </c>
      <c r="C461" s="54">
        <f>'DHS2021'!C460</f>
        <v>12137</v>
      </c>
      <c r="D461" s="55">
        <f>'DHS2022'!C460</f>
        <v>9981</v>
      </c>
      <c r="E461" s="55">
        <f>'DHS2023'!C460</f>
        <v>7290</v>
      </c>
      <c r="F461" s="55">
        <f>'DHS2024'!C460</f>
        <v>11188</v>
      </c>
      <c r="G461" s="56">
        <f t="shared" si="35"/>
        <v>10149</v>
      </c>
      <c r="H461" s="75">
        <f t="shared" si="36"/>
        <v>2.5372499999999998</v>
      </c>
      <c r="I461" s="76">
        <v>1</v>
      </c>
      <c r="J461" s="75">
        <f t="shared" si="37"/>
        <v>3.5372499999999998</v>
      </c>
      <c r="K461" s="81">
        <f t="shared" si="38"/>
        <v>4</v>
      </c>
      <c r="L461" s="11"/>
      <c r="M461" s="11"/>
      <c r="N461" s="11"/>
      <c r="O461" s="28">
        <f>'DHS2025'!C460</f>
        <v>17993</v>
      </c>
      <c r="P461" s="29">
        <f>'DHS2025'!D460</f>
        <v>8166</v>
      </c>
      <c r="Q461" s="29">
        <f>'DHS2025'!E460</f>
        <v>8036</v>
      </c>
      <c r="R461" s="62">
        <v>126.5</v>
      </c>
      <c r="S461" s="61">
        <f>(Porovnavanie!J463*0.99-1.9)*Porovnavanie!I463</f>
        <v>991.12005999999985</v>
      </c>
    </row>
    <row r="462" spans="1:19" ht="15.75" thickBot="1">
      <c r="A462" s="101">
        <f t="shared" si="39"/>
        <v>45708</v>
      </c>
      <c r="B462" s="25" t="s">
        <v>20</v>
      </c>
      <c r="C462" s="54">
        <f>'DHS2021'!C461</f>
        <v>13372</v>
      </c>
      <c r="D462" s="55">
        <f>'DHS2022'!C461</f>
        <v>9929</v>
      </c>
      <c r="E462" s="55">
        <f>'DHS2023'!C461</f>
        <v>9922</v>
      </c>
      <c r="F462" s="55">
        <f>'DHS2024'!C461</f>
        <v>14557</v>
      </c>
      <c r="G462" s="56">
        <f t="shared" si="35"/>
        <v>11945</v>
      </c>
      <c r="H462" s="75">
        <f t="shared" si="36"/>
        <v>2.9862500000000001</v>
      </c>
      <c r="I462" s="76">
        <v>1</v>
      </c>
      <c r="J462" s="75">
        <f t="shared" si="37"/>
        <v>3.9862500000000001</v>
      </c>
      <c r="K462" s="81">
        <f t="shared" si="38"/>
        <v>4</v>
      </c>
      <c r="L462" s="11"/>
      <c r="M462" s="11"/>
      <c r="N462" s="11"/>
      <c r="O462" s="28">
        <f>'DHS2025'!C461</f>
        <v>16118</v>
      </c>
      <c r="P462" s="29">
        <f>'DHS2025'!D461</f>
        <v>9155</v>
      </c>
      <c r="Q462" s="29">
        <f>'DHS2025'!E461</f>
        <v>7990</v>
      </c>
      <c r="R462" s="62">
        <v>121.66</v>
      </c>
      <c r="S462" s="61">
        <f>(Porovnavanie!J464*0.99-1.9)*Porovnavanie!I464</f>
        <v>947.16176599999994</v>
      </c>
    </row>
    <row r="463" spans="1:19" ht="15.75" thickBot="1">
      <c r="A463" s="101">
        <f t="shared" si="39"/>
        <v>45708</v>
      </c>
      <c r="B463" s="25" t="s">
        <v>21</v>
      </c>
      <c r="C463" s="54">
        <f>'DHS2021'!C462</f>
        <v>21740</v>
      </c>
      <c r="D463" s="55">
        <f>'DHS2022'!C462</f>
        <v>16980</v>
      </c>
      <c r="E463" s="55">
        <f>'DHS2023'!C462</f>
        <v>14678</v>
      </c>
      <c r="F463" s="55">
        <f>'DHS2024'!C462</f>
        <v>13852</v>
      </c>
      <c r="G463" s="56">
        <f t="shared" si="35"/>
        <v>16812.5</v>
      </c>
      <c r="H463" s="75">
        <f t="shared" si="36"/>
        <v>4.203125</v>
      </c>
      <c r="I463" s="76">
        <v>1</v>
      </c>
      <c r="J463" s="75">
        <f t="shared" si="37"/>
        <v>5.203125</v>
      </c>
      <c r="K463" s="81">
        <f t="shared" si="38"/>
        <v>6</v>
      </c>
      <c r="L463" s="11"/>
      <c r="M463" s="11"/>
      <c r="N463" s="11"/>
      <c r="O463" s="28">
        <f>'DHS2025'!C462</f>
        <v>23024</v>
      </c>
      <c r="P463" s="29">
        <f>'DHS2025'!D462</f>
        <v>3400</v>
      </c>
      <c r="Q463" s="29">
        <f>'DHS2025'!E462</f>
        <v>8052</v>
      </c>
      <c r="R463" s="62">
        <v>121.59</v>
      </c>
      <c r="S463" s="61">
        <f>(Porovnavanie!J465*0.99-1.9)*Porovnavanie!I465</f>
        <v>953.9534531999999</v>
      </c>
    </row>
    <row r="464" spans="1:19" ht="15.75" thickBot="1">
      <c r="A464" s="101">
        <f t="shared" si="39"/>
        <v>45708</v>
      </c>
      <c r="B464" s="25" t="s">
        <v>22</v>
      </c>
      <c r="C464" s="54">
        <f>'DHS2021'!C463</f>
        <v>18315</v>
      </c>
      <c r="D464" s="55">
        <f>'DHS2022'!C463</f>
        <v>20775</v>
      </c>
      <c r="E464" s="55">
        <f>'DHS2023'!C463</f>
        <v>17971</v>
      </c>
      <c r="F464" s="55">
        <f>'DHS2024'!C463</f>
        <v>15013</v>
      </c>
      <c r="G464" s="56">
        <f t="shared" si="35"/>
        <v>18018.5</v>
      </c>
      <c r="H464" s="75">
        <f t="shared" si="36"/>
        <v>4.5046249999999999</v>
      </c>
      <c r="I464" s="76">
        <v>1</v>
      </c>
      <c r="J464" s="75">
        <f t="shared" si="37"/>
        <v>5.5046249999999999</v>
      </c>
      <c r="K464" s="81">
        <f t="shared" si="38"/>
        <v>6</v>
      </c>
      <c r="L464" s="11"/>
      <c r="M464" s="11"/>
      <c r="N464" s="11"/>
      <c r="O464" s="28">
        <f>'DHS2025'!C463</f>
        <v>22714</v>
      </c>
      <c r="P464" s="29">
        <f>'DHS2025'!D463</f>
        <v>3338</v>
      </c>
      <c r="Q464" s="29">
        <f>'DHS2025'!E463</f>
        <v>8008</v>
      </c>
      <c r="R464" s="62">
        <v>150.69999999999999</v>
      </c>
      <c r="S464" s="61">
        <f>(Porovnavanie!J466*0.99-1.9)*Porovnavanie!I466</f>
        <v>1179.5223439999997</v>
      </c>
    </row>
    <row r="465" spans="1:19" ht="15.75" thickBot="1">
      <c r="A465" s="101">
        <f t="shared" si="39"/>
        <v>45708</v>
      </c>
      <c r="B465" s="25" t="s">
        <v>23</v>
      </c>
      <c r="C465" s="54">
        <f>'DHS2021'!C464</f>
        <v>20385</v>
      </c>
      <c r="D465" s="55">
        <f>'DHS2022'!C464</f>
        <v>16505</v>
      </c>
      <c r="E465" s="55">
        <f>'DHS2023'!C464</f>
        <v>18655</v>
      </c>
      <c r="F465" s="55">
        <f>'DHS2024'!C464</f>
        <v>14056</v>
      </c>
      <c r="G465" s="56">
        <f t="shared" si="35"/>
        <v>17400.25</v>
      </c>
      <c r="H465" s="75">
        <f t="shared" si="36"/>
        <v>4.3500624999999999</v>
      </c>
      <c r="I465" s="76">
        <v>1</v>
      </c>
      <c r="J465" s="75">
        <f t="shared" si="37"/>
        <v>5.3500624999999999</v>
      </c>
      <c r="K465" s="81">
        <f t="shared" si="38"/>
        <v>6</v>
      </c>
      <c r="L465" s="11"/>
      <c r="M465" s="11"/>
      <c r="N465" s="11"/>
      <c r="O465" s="28">
        <f>'DHS2025'!C464</f>
        <v>21971</v>
      </c>
      <c r="P465" s="29">
        <f>'DHS2025'!D464</f>
        <v>3057</v>
      </c>
      <c r="Q465" s="29">
        <f>'DHS2025'!E464</f>
        <v>8050</v>
      </c>
      <c r="R465" s="62">
        <v>224.42</v>
      </c>
      <c r="S465" s="61">
        <f>(Porovnavanie!J467*0.99-1.9)*Porovnavanie!I467</f>
        <v>1773.22019</v>
      </c>
    </row>
    <row r="466" spans="1:19" ht="15.75" thickBot="1">
      <c r="A466" s="101">
        <f t="shared" si="39"/>
        <v>45708</v>
      </c>
      <c r="B466" s="25" t="s">
        <v>24</v>
      </c>
      <c r="C466" s="54">
        <f>'DHS2021'!C465</f>
        <v>19568</v>
      </c>
      <c r="D466" s="55">
        <f>'DHS2022'!C465</f>
        <v>15349</v>
      </c>
      <c r="E466" s="55">
        <f>'DHS2023'!C465</f>
        <v>16935</v>
      </c>
      <c r="F466" s="55">
        <f>'DHS2024'!C465</f>
        <v>15841</v>
      </c>
      <c r="G466" s="56">
        <f t="shared" si="35"/>
        <v>16923.25</v>
      </c>
      <c r="H466" s="75">
        <f t="shared" si="36"/>
        <v>4.2308124999999999</v>
      </c>
      <c r="I466" s="76">
        <v>1</v>
      </c>
      <c r="J466" s="75">
        <f t="shared" si="37"/>
        <v>5.2308124999999999</v>
      </c>
      <c r="K466" s="81">
        <f t="shared" si="38"/>
        <v>6</v>
      </c>
      <c r="L466" s="11"/>
      <c r="M466" s="11"/>
      <c r="N466" s="11"/>
      <c r="O466" s="28">
        <f>'DHS2025'!C465</f>
        <v>21020</v>
      </c>
      <c r="P466" s="29">
        <f>'DHS2025'!D465</f>
        <v>4520</v>
      </c>
      <c r="Q466" s="29">
        <f>'DHS2025'!E465</f>
        <v>8080</v>
      </c>
      <c r="R466" s="62">
        <v>174.72</v>
      </c>
      <c r="S466" s="61">
        <f>(Porovnavanie!J468*0.99-1.9)*Porovnavanie!I468</f>
        <v>1382.2682239999999</v>
      </c>
    </row>
    <row r="467" spans="1:19" ht="15.75" thickBot="1">
      <c r="A467" s="101">
        <f t="shared" si="39"/>
        <v>45708</v>
      </c>
      <c r="B467" s="25" t="s">
        <v>25</v>
      </c>
      <c r="C467" s="54">
        <f>'DHS2021'!C466</f>
        <v>18546</v>
      </c>
      <c r="D467" s="55">
        <f>'DHS2022'!C466</f>
        <v>15447</v>
      </c>
      <c r="E467" s="55">
        <f>'DHS2023'!C466</f>
        <v>15146</v>
      </c>
      <c r="F467" s="55">
        <f>'DHS2024'!C466</f>
        <v>14721</v>
      </c>
      <c r="G467" s="56">
        <f t="shared" si="35"/>
        <v>15965</v>
      </c>
      <c r="H467" s="75">
        <f t="shared" si="36"/>
        <v>3.99125</v>
      </c>
      <c r="I467" s="76">
        <v>1</v>
      </c>
      <c r="J467" s="75">
        <f t="shared" si="37"/>
        <v>4.99125</v>
      </c>
      <c r="K467" s="81">
        <f t="shared" si="38"/>
        <v>5</v>
      </c>
      <c r="L467" s="11"/>
      <c r="M467" s="11"/>
      <c r="N467" s="11"/>
      <c r="O467" s="28">
        <f>'DHS2025'!C466</f>
        <v>21275</v>
      </c>
      <c r="P467" s="29">
        <f>'DHS2025'!D466</f>
        <v>4443</v>
      </c>
      <c r="Q467" s="29">
        <f>'DHS2025'!E466</f>
        <v>8091</v>
      </c>
      <c r="R467" s="62">
        <v>179.17</v>
      </c>
      <c r="S467" s="61">
        <f>(Porovnavanie!J469*0.99-1.9)*Porovnavanie!I469</f>
        <v>1419.7949252999997</v>
      </c>
    </row>
    <row r="468" spans="1:19" ht="15.75" thickBot="1">
      <c r="A468" s="101">
        <f t="shared" si="39"/>
        <v>45708</v>
      </c>
      <c r="B468" s="25" t="s">
        <v>26</v>
      </c>
      <c r="C468" s="54">
        <f>'DHS2021'!C467</f>
        <v>17388</v>
      </c>
      <c r="D468" s="55">
        <f>'DHS2022'!C467</f>
        <v>15853</v>
      </c>
      <c r="E468" s="55">
        <f>'DHS2023'!C467</f>
        <v>12366</v>
      </c>
      <c r="F468" s="55">
        <f>'DHS2024'!C467</f>
        <v>15032</v>
      </c>
      <c r="G468" s="56">
        <f t="shared" si="35"/>
        <v>15159.75</v>
      </c>
      <c r="H468" s="75">
        <f t="shared" si="36"/>
        <v>3.7899375000000002</v>
      </c>
      <c r="I468" s="76">
        <v>1</v>
      </c>
      <c r="J468" s="75">
        <f t="shared" si="37"/>
        <v>4.7899375000000006</v>
      </c>
      <c r="K468" s="81">
        <f t="shared" si="38"/>
        <v>5</v>
      </c>
      <c r="L468" s="11"/>
      <c r="M468" s="11"/>
      <c r="N468" s="11"/>
      <c r="O468" s="28">
        <f>'DHS2025'!C467</f>
        <v>19788</v>
      </c>
      <c r="P468" s="29">
        <f>'DHS2025'!D467</f>
        <v>1176</v>
      </c>
      <c r="Q468" s="29">
        <f>'DHS2025'!E467</f>
        <v>6332</v>
      </c>
      <c r="R468" s="62">
        <v>120.89</v>
      </c>
      <c r="S468" s="61">
        <f>(Porovnavanie!J470*0.99-1.9)*Porovnavanie!I470</f>
        <v>745.78992519999997</v>
      </c>
    </row>
    <row r="469" spans="1:19" ht="15.75" thickBot="1">
      <c r="A469" s="101">
        <f t="shared" si="39"/>
        <v>45708</v>
      </c>
      <c r="B469" s="25" t="s">
        <v>27</v>
      </c>
      <c r="C469" s="54">
        <f>'DHS2021'!C468</f>
        <v>16727</v>
      </c>
      <c r="D469" s="55">
        <f>'DHS2022'!C468</f>
        <v>15280</v>
      </c>
      <c r="E469" s="55">
        <f>'DHS2023'!C468</f>
        <v>13451</v>
      </c>
      <c r="F469" s="55">
        <f>'DHS2024'!C468</f>
        <v>14612</v>
      </c>
      <c r="G469" s="56">
        <f t="shared" si="35"/>
        <v>15017.5</v>
      </c>
      <c r="H469" s="75">
        <f t="shared" si="36"/>
        <v>3.754375</v>
      </c>
      <c r="I469" s="76">
        <v>1</v>
      </c>
      <c r="J469" s="75">
        <f t="shared" si="37"/>
        <v>4.7543749999999996</v>
      </c>
      <c r="K469" s="81">
        <f t="shared" si="38"/>
        <v>5</v>
      </c>
      <c r="L469" s="11"/>
      <c r="M469" s="11"/>
      <c r="N469" s="11"/>
      <c r="O469" s="28">
        <f>'DHS2025'!C468</f>
        <v>14742</v>
      </c>
      <c r="P469" s="29">
        <f>'DHS2025'!D468</f>
        <v>2354</v>
      </c>
      <c r="Q469" s="29">
        <f>'DHS2025'!E468</f>
        <v>5055</v>
      </c>
      <c r="R469" s="62">
        <v>106.39</v>
      </c>
      <c r="S469" s="61">
        <f>(Porovnavanie!J471*0.99-1.9)*Porovnavanie!I471</f>
        <v>522.81893549999995</v>
      </c>
    </row>
    <row r="470" spans="1:19" ht="15.75" thickBot="1">
      <c r="A470" s="101">
        <f t="shared" si="39"/>
        <v>45708</v>
      </c>
      <c r="B470" s="25" t="s">
        <v>28</v>
      </c>
      <c r="C470" s="54">
        <f>'DHS2021'!C469</f>
        <v>16006</v>
      </c>
      <c r="D470" s="55">
        <f>'DHS2022'!C469</f>
        <v>12445</v>
      </c>
      <c r="E470" s="55">
        <f>'DHS2023'!C469</f>
        <v>11916</v>
      </c>
      <c r="F470" s="55">
        <f>'DHS2024'!C469</f>
        <v>13185</v>
      </c>
      <c r="G470" s="56">
        <f t="shared" si="35"/>
        <v>13388</v>
      </c>
      <c r="H470" s="75">
        <f t="shared" si="36"/>
        <v>3.347</v>
      </c>
      <c r="I470" s="76">
        <v>1</v>
      </c>
      <c r="J470" s="75">
        <f t="shared" si="37"/>
        <v>4.3469999999999995</v>
      </c>
      <c r="K470" s="81">
        <f t="shared" si="38"/>
        <v>5</v>
      </c>
      <c r="L470" s="11"/>
      <c r="M470" s="11"/>
      <c r="N470" s="11"/>
      <c r="O470" s="28">
        <f>'DHS2025'!C469</f>
        <v>13389</v>
      </c>
      <c r="P470" s="29">
        <f>'DHS2025'!D469</f>
        <v>3186</v>
      </c>
      <c r="Q470" s="29">
        <f>'DHS2025'!E469</f>
        <v>5082</v>
      </c>
      <c r="R470" s="62">
        <v>93.08</v>
      </c>
      <c r="S470" s="61">
        <f>(Porovnavanie!J472*0.99-1.9)*Porovnavanie!I472</f>
        <v>458.64643439999992</v>
      </c>
    </row>
    <row r="471" spans="1:19" ht="15.75" thickBot="1">
      <c r="A471" s="101">
        <f t="shared" si="39"/>
        <v>45708</v>
      </c>
      <c r="B471" s="25" t="s">
        <v>29</v>
      </c>
      <c r="C471" s="54">
        <f>'DHS2021'!C470</f>
        <v>16167</v>
      </c>
      <c r="D471" s="55">
        <f>'DHS2022'!C470</f>
        <v>11726</v>
      </c>
      <c r="E471" s="55">
        <f>'DHS2023'!C470</f>
        <v>11416</v>
      </c>
      <c r="F471" s="55">
        <f>'DHS2024'!C470</f>
        <v>13252</v>
      </c>
      <c r="G471" s="56">
        <f t="shared" si="35"/>
        <v>13140.25</v>
      </c>
      <c r="H471" s="75">
        <f t="shared" si="36"/>
        <v>3.2850625</v>
      </c>
      <c r="I471" s="76">
        <v>1</v>
      </c>
      <c r="J471" s="75">
        <f t="shared" si="37"/>
        <v>4.2850625000000004</v>
      </c>
      <c r="K471" s="81">
        <f t="shared" si="38"/>
        <v>5</v>
      </c>
      <c r="L471" s="11"/>
      <c r="M471" s="11"/>
      <c r="N471" s="11"/>
      <c r="O471" s="28">
        <f>'DHS2025'!C470</f>
        <v>13853</v>
      </c>
      <c r="P471" s="29">
        <f>'DHS2025'!D470</f>
        <v>2488</v>
      </c>
      <c r="Q471" s="29">
        <f>'DHS2025'!E470</f>
        <v>5055</v>
      </c>
      <c r="R471" s="62">
        <v>95.81</v>
      </c>
      <c r="S471" s="61">
        <f>(Porovnavanie!J473*0.99-1.9)*Porovnavanie!I473</f>
        <v>469.87185449999993</v>
      </c>
    </row>
    <row r="472" spans="1:19" ht="15.75" thickBot="1">
      <c r="A472" s="101">
        <f t="shared" si="39"/>
        <v>45708</v>
      </c>
      <c r="B472" s="25" t="s">
        <v>30</v>
      </c>
      <c r="C472" s="54">
        <f>'DHS2021'!C471</f>
        <v>14820</v>
      </c>
      <c r="D472" s="55">
        <f>'DHS2022'!C471</f>
        <v>12289</v>
      </c>
      <c r="E472" s="55">
        <f>'DHS2023'!C471</f>
        <v>12448</v>
      </c>
      <c r="F472" s="55">
        <f>'DHS2024'!C471</f>
        <v>13309</v>
      </c>
      <c r="G472" s="56">
        <f t="shared" si="35"/>
        <v>13216.5</v>
      </c>
      <c r="H472" s="75">
        <f t="shared" si="36"/>
        <v>3.304125</v>
      </c>
      <c r="I472" s="76">
        <v>1</v>
      </c>
      <c r="J472" s="75">
        <f t="shared" si="37"/>
        <v>4.304125</v>
      </c>
      <c r="K472" s="81">
        <f t="shared" si="38"/>
        <v>5</v>
      </c>
      <c r="L472" s="11"/>
      <c r="M472" s="11"/>
      <c r="N472" s="11"/>
      <c r="O472" s="28">
        <f>'DHS2025'!C471</f>
        <v>15905</v>
      </c>
      <c r="P472" s="29">
        <f>'DHS2025'!D471</f>
        <v>3377</v>
      </c>
      <c r="Q472" s="29">
        <f>'DHS2025'!E471</f>
        <v>5118</v>
      </c>
      <c r="R472" s="62">
        <v>97.67</v>
      </c>
      <c r="S472" s="61">
        <f>(Porovnavanie!J474*0.99-1.9)*Porovnavanie!I474</f>
        <v>485.15210940000003</v>
      </c>
    </row>
    <row r="473" spans="1:19" ht="15.75" thickBot="1">
      <c r="A473" s="101">
        <f t="shared" si="39"/>
        <v>45708</v>
      </c>
      <c r="B473" s="25" t="s">
        <v>31</v>
      </c>
      <c r="C473" s="54">
        <f>'DHS2021'!C472</f>
        <v>13950</v>
      </c>
      <c r="D473" s="55">
        <f>'DHS2022'!C472</f>
        <v>12072</v>
      </c>
      <c r="E473" s="55">
        <f>'DHS2023'!C472</f>
        <v>12568</v>
      </c>
      <c r="F473" s="55">
        <f>'DHS2024'!C472</f>
        <v>13681</v>
      </c>
      <c r="G473" s="56">
        <f t="shared" si="35"/>
        <v>13067.75</v>
      </c>
      <c r="H473" s="75">
        <f t="shared" si="36"/>
        <v>3.2669375</v>
      </c>
      <c r="I473" s="76">
        <v>1</v>
      </c>
      <c r="J473" s="75">
        <f t="shared" si="37"/>
        <v>4.2669375</v>
      </c>
      <c r="K473" s="81">
        <f t="shared" si="38"/>
        <v>5</v>
      </c>
      <c r="L473" s="11"/>
      <c r="M473" s="11"/>
      <c r="N473" s="11"/>
      <c r="O473" s="28">
        <f>'DHS2025'!C472</f>
        <v>15110</v>
      </c>
      <c r="P473" s="29">
        <f>'DHS2025'!D472</f>
        <v>1256</v>
      </c>
      <c r="Q473" s="29">
        <f>'DHS2025'!E472</f>
        <v>5081</v>
      </c>
      <c r="R473" s="62">
        <v>108.57</v>
      </c>
      <c r="S473" s="61">
        <f>(Porovnavanie!J475*0.99-1.9)*Porovnavanie!I475</f>
        <v>536.47382829999992</v>
      </c>
    </row>
    <row r="474" spans="1:19" ht="15.75" thickBot="1">
      <c r="A474" s="101">
        <f t="shared" si="39"/>
        <v>45708</v>
      </c>
      <c r="B474" s="25" t="s">
        <v>32</v>
      </c>
      <c r="C474" s="54">
        <f>'DHS2021'!C473</f>
        <v>13925</v>
      </c>
      <c r="D474" s="55">
        <f>'DHS2022'!C473</f>
        <v>12240</v>
      </c>
      <c r="E474" s="55">
        <f>'DHS2023'!C473</f>
        <v>13957</v>
      </c>
      <c r="F474" s="55">
        <f>'DHS2024'!C473</f>
        <v>13693</v>
      </c>
      <c r="G474" s="56">
        <f t="shared" si="35"/>
        <v>13453.75</v>
      </c>
      <c r="H474" s="75">
        <f t="shared" si="36"/>
        <v>3.3634374999999999</v>
      </c>
      <c r="I474" s="76">
        <v>1</v>
      </c>
      <c r="J474" s="75">
        <f t="shared" si="37"/>
        <v>4.3634374999999999</v>
      </c>
      <c r="K474" s="81">
        <f t="shared" si="38"/>
        <v>5</v>
      </c>
      <c r="L474" s="11"/>
      <c r="M474" s="11"/>
      <c r="N474" s="11"/>
      <c r="O474" s="28">
        <f>'DHS2025'!C473</f>
        <v>14791</v>
      </c>
      <c r="P474" s="29">
        <f>'DHS2025'!D473</f>
        <v>7969</v>
      </c>
      <c r="Q474" s="29">
        <f>'DHS2025'!E473</f>
        <v>6975</v>
      </c>
      <c r="R474" s="62">
        <v>151.36000000000001</v>
      </c>
      <c r="S474" s="61">
        <f>(Porovnavanie!J476*0.99-1.9)*Porovnavanie!I476</f>
        <v>1031.92614</v>
      </c>
    </row>
    <row r="475" spans="1:19" ht="15.75" thickBot="1">
      <c r="A475" s="101">
        <f t="shared" si="39"/>
        <v>45708</v>
      </c>
      <c r="B475" s="25" t="s">
        <v>33</v>
      </c>
      <c r="C475" s="54">
        <f>'DHS2021'!C474</f>
        <v>15479</v>
      </c>
      <c r="D475" s="55">
        <f>'DHS2022'!C474</f>
        <v>11250</v>
      </c>
      <c r="E475" s="55">
        <f>'DHS2023'!C474</f>
        <v>11967</v>
      </c>
      <c r="F475" s="55">
        <f>'DHS2024'!C474</f>
        <v>13240</v>
      </c>
      <c r="G475" s="56">
        <f t="shared" si="35"/>
        <v>12984</v>
      </c>
      <c r="H475" s="75">
        <f t="shared" si="36"/>
        <v>3.246</v>
      </c>
      <c r="I475" s="76">
        <v>1</v>
      </c>
      <c r="J475" s="75">
        <f t="shared" si="37"/>
        <v>4.2460000000000004</v>
      </c>
      <c r="K475" s="81">
        <f t="shared" si="38"/>
        <v>5</v>
      </c>
      <c r="L475" s="11"/>
      <c r="M475" s="11"/>
      <c r="N475" s="11"/>
      <c r="O475" s="28">
        <f>'DHS2025'!C474</f>
        <v>15581</v>
      </c>
      <c r="P475" s="29">
        <f>'DHS2025'!D474</f>
        <v>9036</v>
      </c>
      <c r="Q475" s="29">
        <f>'DHS2025'!E474</f>
        <v>8048</v>
      </c>
      <c r="R475" s="62">
        <v>121.06</v>
      </c>
      <c r="S475" s="61">
        <f>(Porovnavanie!J477*0.99-1.9)*Porovnavanie!I477</f>
        <v>949.2567712</v>
      </c>
    </row>
    <row r="476" spans="1:19" ht="15.75" thickBot="1">
      <c r="A476" s="101">
        <f t="shared" si="39"/>
        <v>45708</v>
      </c>
      <c r="B476" s="25" t="s">
        <v>34</v>
      </c>
      <c r="C476" s="54">
        <f>'DHS2021'!C475</f>
        <v>16970</v>
      </c>
      <c r="D476" s="55">
        <f>'DHS2022'!C475</f>
        <v>12289</v>
      </c>
      <c r="E476" s="55">
        <f>'DHS2023'!C475</f>
        <v>12881</v>
      </c>
      <c r="F476" s="55">
        <f>'DHS2024'!C475</f>
        <v>13294</v>
      </c>
      <c r="G476" s="56">
        <f t="shared" si="35"/>
        <v>13858.5</v>
      </c>
      <c r="H476" s="75">
        <f t="shared" si="36"/>
        <v>3.4646249999999998</v>
      </c>
      <c r="I476" s="76">
        <v>1</v>
      </c>
      <c r="J476" s="75">
        <f t="shared" si="37"/>
        <v>4.4646249999999998</v>
      </c>
      <c r="K476" s="81">
        <f t="shared" si="38"/>
        <v>5</v>
      </c>
      <c r="L476" s="11"/>
      <c r="M476" s="11"/>
      <c r="N476" s="11"/>
      <c r="O476" s="28">
        <f>'DHS2025'!C475</f>
        <v>17311</v>
      </c>
      <c r="P476" s="29">
        <f>'DHS2025'!D475</f>
        <v>7650</v>
      </c>
      <c r="Q476" s="29">
        <f>'DHS2025'!E475</f>
        <v>8058</v>
      </c>
      <c r="R476" s="62">
        <v>290</v>
      </c>
      <c r="S476" s="61">
        <f>(Porovnavanie!J478*0.99-1.9)*Porovnavanie!I478</f>
        <v>2298.1416000000004</v>
      </c>
    </row>
    <row r="477" spans="1:19" ht="15.75" thickBot="1">
      <c r="A477" s="101">
        <f t="shared" si="39"/>
        <v>45708</v>
      </c>
      <c r="B477" s="25" t="s">
        <v>35</v>
      </c>
      <c r="C477" s="54">
        <f>'DHS2021'!C476</f>
        <v>19641</v>
      </c>
      <c r="D477" s="55">
        <f>'DHS2022'!C476</f>
        <v>13676</v>
      </c>
      <c r="E477" s="55">
        <f>'DHS2023'!C476</f>
        <v>13454</v>
      </c>
      <c r="F477" s="55">
        <f>'DHS2024'!C476</f>
        <v>13631</v>
      </c>
      <c r="G477" s="56">
        <f t="shared" si="35"/>
        <v>15100.5</v>
      </c>
      <c r="H477" s="75">
        <f t="shared" si="36"/>
        <v>3.7751250000000001</v>
      </c>
      <c r="I477" s="76">
        <v>1</v>
      </c>
      <c r="J477" s="75">
        <f t="shared" si="37"/>
        <v>4.7751250000000001</v>
      </c>
      <c r="K477" s="81">
        <f t="shared" si="38"/>
        <v>5</v>
      </c>
      <c r="L477" s="11"/>
      <c r="M477" s="11"/>
      <c r="N477" s="11"/>
      <c r="O477" s="28">
        <f>'DHS2025'!C476</f>
        <v>19479</v>
      </c>
      <c r="P477" s="29">
        <f>'DHS2025'!D476</f>
        <v>6091</v>
      </c>
      <c r="Q477" s="29">
        <f>'DHS2025'!E476</f>
        <v>8068</v>
      </c>
      <c r="R477" s="62">
        <v>200</v>
      </c>
      <c r="S477" s="61">
        <f>(Porovnavanie!J479*0.99-1.9)*Porovnavanie!I479</f>
        <v>1582.1347999999998</v>
      </c>
    </row>
    <row r="478" spans="1:19" ht="15.75" thickBot="1">
      <c r="A478" s="101">
        <f t="shared" si="39"/>
        <v>45708</v>
      </c>
      <c r="B478" s="25" t="s">
        <v>36</v>
      </c>
      <c r="C478" s="54">
        <f>'DHS2021'!C477</f>
        <v>18938</v>
      </c>
      <c r="D478" s="55">
        <f>'DHS2022'!C477</f>
        <v>13724</v>
      </c>
      <c r="E478" s="55">
        <f>'DHS2023'!C477</f>
        <v>14159</v>
      </c>
      <c r="F478" s="55">
        <f>'DHS2024'!C477</f>
        <v>13134</v>
      </c>
      <c r="G478" s="56">
        <f t="shared" si="35"/>
        <v>14988.75</v>
      </c>
      <c r="H478" s="75">
        <f t="shared" si="36"/>
        <v>3.7471874999999999</v>
      </c>
      <c r="I478" s="76">
        <v>1</v>
      </c>
      <c r="J478" s="75">
        <f t="shared" si="37"/>
        <v>4.7471874999999999</v>
      </c>
      <c r="K478" s="81">
        <f t="shared" si="38"/>
        <v>5</v>
      </c>
      <c r="L478" s="11"/>
      <c r="M478" s="11"/>
      <c r="N478" s="11"/>
      <c r="O478" s="28">
        <f>'DHS2025'!C477</f>
        <v>19674</v>
      </c>
      <c r="P478" s="29">
        <f>'DHS2025'!D477</f>
        <v>5267</v>
      </c>
      <c r="Q478" s="29">
        <f>'DHS2025'!E477</f>
        <v>8093</v>
      </c>
      <c r="R478" s="62">
        <v>210</v>
      </c>
      <c r="S478" s="61">
        <f>(Porovnavanie!J480*0.99-1.9)*Porovnavanie!I480</f>
        <v>1667.1579999999999</v>
      </c>
    </row>
    <row r="479" spans="1:19" ht="15.75" thickBot="1">
      <c r="A479" s="101">
        <f t="shared" si="39"/>
        <v>45708</v>
      </c>
      <c r="B479" s="25" t="s">
        <v>37</v>
      </c>
      <c r="C479" s="54">
        <f>'DHS2021'!C478</f>
        <v>17920</v>
      </c>
      <c r="D479" s="55">
        <f>'DHS2022'!C478</f>
        <v>14744</v>
      </c>
      <c r="E479" s="55">
        <f>'DHS2023'!C478</f>
        <v>13920</v>
      </c>
      <c r="F479" s="55">
        <f>'DHS2024'!C478</f>
        <v>14335</v>
      </c>
      <c r="G479" s="56">
        <f t="shared" si="35"/>
        <v>15229.75</v>
      </c>
      <c r="H479" s="75">
        <f t="shared" si="36"/>
        <v>3.8074374999999998</v>
      </c>
      <c r="I479" s="76">
        <v>1</v>
      </c>
      <c r="J479" s="75">
        <f t="shared" si="37"/>
        <v>4.8074374999999998</v>
      </c>
      <c r="K479" s="81">
        <f t="shared" si="38"/>
        <v>5</v>
      </c>
      <c r="L479" s="11"/>
      <c r="M479" s="11"/>
      <c r="N479" s="11"/>
      <c r="O479" s="28">
        <f>'DHS2025'!C478</f>
        <v>20773</v>
      </c>
      <c r="P479" s="29">
        <f>'DHS2025'!D478</f>
        <v>4593</v>
      </c>
      <c r="Q479" s="29">
        <f>'DHS2025'!E478</f>
        <v>8070</v>
      </c>
      <c r="R479" s="62">
        <v>206.89</v>
      </c>
      <c r="S479" s="61">
        <f>(Porovnavanie!J481*0.99-1.9)*Porovnavanie!I481</f>
        <v>1637.5732769999997</v>
      </c>
    </row>
    <row r="480" spans="1:19" ht="15.75" thickBot="1">
      <c r="A480" s="101">
        <f t="shared" si="39"/>
        <v>45708</v>
      </c>
      <c r="B480" s="25" t="s">
        <v>38</v>
      </c>
      <c r="C480" s="54">
        <f>'DHS2021'!C479</f>
        <v>17310</v>
      </c>
      <c r="D480" s="55">
        <f>'DHS2022'!C479</f>
        <v>13455</v>
      </c>
      <c r="E480" s="55">
        <f>'DHS2023'!C479</f>
        <v>12607</v>
      </c>
      <c r="F480" s="55">
        <f>'DHS2024'!C479</f>
        <v>13272</v>
      </c>
      <c r="G480" s="56">
        <f t="shared" si="35"/>
        <v>14161</v>
      </c>
      <c r="H480" s="75">
        <f t="shared" si="36"/>
        <v>3.5402499999999999</v>
      </c>
      <c r="I480" s="76">
        <v>1</v>
      </c>
      <c r="J480" s="75">
        <f t="shared" si="37"/>
        <v>4.5402500000000003</v>
      </c>
      <c r="K480" s="81">
        <f t="shared" si="38"/>
        <v>5</v>
      </c>
      <c r="L480" s="11"/>
      <c r="M480" s="11"/>
      <c r="N480" s="11"/>
      <c r="O480" s="28">
        <f>'DHS2025'!C479</f>
        <v>21119</v>
      </c>
      <c r="P480" s="29">
        <f>'DHS2025'!D479</f>
        <v>4299</v>
      </c>
      <c r="Q480" s="29">
        <f>'DHS2025'!E479</f>
        <v>8070</v>
      </c>
      <c r="R480" s="62">
        <v>224.7</v>
      </c>
      <c r="S480" s="61">
        <f>(Porovnavanie!J482*0.99-1.9)*Porovnavanie!I482</f>
        <v>1779.8627099999999</v>
      </c>
    </row>
    <row r="481" spans="1:19" ht="15.75" thickBot="1">
      <c r="A481" s="101">
        <f t="shared" si="39"/>
        <v>45708</v>
      </c>
      <c r="B481" s="25" t="s">
        <v>39</v>
      </c>
      <c r="C481" s="54">
        <f>'DHS2021'!C480</f>
        <v>16319</v>
      </c>
      <c r="D481" s="55">
        <f>'DHS2022'!C480</f>
        <v>11989</v>
      </c>
      <c r="E481" s="55">
        <f>'DHS2023'!C480</f>
        <v>11330</v>
      </c>
      <c r="F481" s="55">
        <f>'DHS2024'!C480</f>
        <v>11675</v>
      </c>
      <c r="G481" s="56">
        <f t="shared" si="35"/>
        <v>12828.25</v>
      </c>
      <c r="H481" s="75">
        <f t="shared" si="36"/>
        <v>3.2070625000000001</v>
      </c>
      <c r="I481" s="76">
        <v>1</v>
      </c>
      <c r="J481" s="75">
        <f t="shared" si="37"/>
        <v>4.2070625000000001</v>
      </c>
      <c r="K481" s="81">
        <f t="shared" si="38"/>
        <v>5</v>
      </c>
      <c r="L481" s="11"/>
      <c r="M481" s="11"/>
      <c r="N481" s="11"/>
      <c r="O481" s="28">
        <f>'DHS2025'!C480</f>
        <v>16824</v>
      </c>
      <c r="P481" s="29">
        <f>'DHS2025'!D480</f>
        <v>8077</v>
      </c>
      <c r="Q481" s="29">
        <f>'DHS2025'!E480</f>
        <v>8051</v>
      </c>
      <c r="R481" s="62">
        <v>221.4</v>
      </c>
      <c r="S481" s="61">
        <f>(Porovnavanie!J483*0.99-1.9)*Porovnavanie!I483</f>
        <v>1749.369586</v>
      </c>
    </row>
    <row r="482" spans="1:19" ht="15.75" thickBot="1">
      <c r="A482" s="101">
        <f t="shared" si="39"/>
        <v>45708</v>
      </c>
      <c r="B482" s="25" t="s">
        <v>40</v>
      </c>
      <c r="C482" s="54">
        <f>'DHS2021'!C481</f>
        <v>8391</v>
      </c>
      <c r="D482" s="55">
        <f>'DHS2022'!C481</f>
        <v>9166</v>
      </c>
      <c r="E482" s="55">
        <f>'DHS2023'!C481</f>
        <v>4887</v>
      </c>
      <c r="F482" s="55">
        <f>'DHS2024'!C481</f>
        <v>6773</v>
      </c>
      <c r="G482" s="56">
        <f t="shared" si="35"/>
        <v>7304.25</v>
      </c>
      <c r="H482" s="75">
        <f t="shared" si="36"/>
        <v>1.8260624999999999</v>
      </c>
      <c r="I482" s="76">
        <v>1</v>
      </c>
      <c r="J482" s="75">
        <f t="shared" si="37"/>
        <v>2.8260624999999999</v>
      </c>
      <c r="K482" s="81">
        <f t="shared" si="38"/>
        <v>3</v>
      </c>
      <c r="L482" s="11"/>
      <c r="M482" s="11"/>
      <c r="N482" s="11"/>
      <c r="O482" s="28">
        <f>'DHS2025'!C481</f>
        <v>10341</v>
      </c>
      <c r="P482" s="29">
        <f>'DHS2025'!D481</f>
        <v>14479</v>
      </c>
      <c r="Q482" s="29">
        <f>'DHS2025'!E481</f>
        <v>8049</v>
      </c>
      <c r="R482" s="62">
        <v>182.94</v>
      </c>
      <c r="S482" s="61">
        <f>(Porovnavanie!J484*0.99-1.9)*Porovnavanie!I484</f>
        <v>1442.4661193999998</v>
      </c>
    </row>
    <row r="483" spans="1:19" ht="15.75" thickBot="1">
      <c r="A483" s="100">
        <f t="shared" si="39"/>
        <v>45709</v>
      </c>
      <c r="B483" s="24" t="s">
        <v>17</v>
      </c>
      <c r="C483" s="54">
        <f>'DHS2021'!C482</f>
        <v>9379</v>
      </c>
      <c r="D483" s="55">
        <f>'DHS2022'!C482</f>
        <v>7805</v>
      </c>
      <c r="E483" s="55">
        <f>'DHS2023'!C482</f>
        <v>3874</v>
      </c>
      <c r="F483" s="55">
        <f>'DHS2024'!C482</f>
        <v>5522</v>
      </c>
      <c r="G483" s="56">
        <f t="shared" si="35"/>
        <v>6645</v>
      </c>
      <c r="H483" s="75">
        <f t="shared" si="36"/>
        <v>1.6612499999999999</v>
      </c>
      <c r="I483" s="76">
        <v>1</v>
      </c>
      <c r="J483" s="75">
        <f t="shared" si="37"/>
        <v>2.6612499999999999</v>
      </c>
      <c r="K483" s="81">
        <f t="shared" si="38"/>
        <v>3</v>
      </c>
      <c r="L483" s="11"/>
      <c r="M483" s="11"/>
      <c r="N483" s="11"/>
      <c r="O483" s="28">
        <f>'DHS2025'!C482</f>
        <v>12312</v>
      </c>
      <c r="P483" s="29">
        <f>'DHS2025'!D482</f>
        <v>11666</v>
      </c>
      <c r="Q483" s="29">
        <f>'DHS2025'!E482</f>
        <v>7448</v>
      </c>
      <c r="R483" s="62">
        <v>117.42</v>
      </c>
      <c r="S483" s="61">
        <f>(Porovnavanie!J485*0.99-1.9)*Porovnavanie!I485</f>
        <v>851.64751839999997</v>
      </c>
    </row>
    <row r="484" spans="1:19" ht="15.75" thickBot="1">
      <c r="A484" s="100">
        <f t="shared" si="39"/>
        <v>45709</v>
      </c>
      <c r="B484" s="24" t="s">
        <v>18</v>
      </c>
      <c r="C484" s="54">
        <f>'DHS2021'!C483</f>
        <v>10092</v>
      </c>
      <c r="D484" s="55">
        <f>'DHS2022'!C483</f>
        <v>8339</v>
      </c>
      <c r="E484" s="55">
        <f>'DHS2023'!C483</f>
        <v>2353</v>
      </c>
      <c r="F484" s="55">
        <f>'DHS2024'!C483</f>
        <v>7148</v>
      </c>
      <c r="G484" s="56">
        <f t="shared" si="35"/>
        <v>6983</v>
      </c>
      <c r="H484" s="75">
        <f t="shared" si="36"/>
        <v>1.7457499999999999</v>
      </c>
      <c r="I484" s="76">
        <v>1</v>
      </c>
      <c r="J484" s="75">
        <f t="shared" si="37"/>
        <v>2.7457500000000001</v>
      </c>
      <c r="K484" s="81">
        <f t="shared" si="38"/>
        <v>3</v>
      </c>
      <c r="L484" s="11"/>
      <c r="M484" s="11"/>
      <c r="N484" s="11"/>
      <c r="O484" s="28">
        <f>'DHS2025'!C483</f>
        <v>15597</v>
      </c>
      <c r="P484" s="29">
        <f>'DHS2025'!D483</f>
        <v>8265</v>
      </c>
      <c r="Q484" s="29">
        <f>'DHS2025'!E483</f>
        <v>7842</v>
      </c>
      <c r="R484" s="62">
        <v>96.1</v>
      </c>
      <c r="S484" s="61">
        <f>(Porovnavanie!J486*0.99-1.9)*Porovnavanie!I486</f>
        <v>731.18023799999992</v>
      </c>
    </row>
    <row r="485" spans="1:19" ht="15.75" thickBot="1">
      <c r="A485" s="100">
        <f t="shared" si="39"/>
        <v>45709</v>
      </c>
      <c r="B485" s="24" t="s">
        <v>19</v>
      </c>
      <c r="C485" s="54">
        <f>'DHS2021'!C484</f>
        <v>11459</v>
      </c>
      <c r="D485" s="55">
        <f>'DHS2022'!C484</f>
        <v>6681</v>
      </c>
      <c r="E485" s="55">
        <f>'DHS2023'!C484</f>
        <v>2298</v>
      </c>
      <c r="F485" s="55">
        <f>'DHS2024'!C484</f>
        <v>7006</v>
      </c>
      <c r="G485" s="56">
        <f t="shared" si="35"/>
        <v>6861</v>
      </c>
      <c r="H485" s="75">
        <f t="shared" si="36"/>
        <v>1.7152499999999999</v>
      </c>
      <c r="I485" s="76">
        <v>1</v>
      </c>
      <c r="J485" s="75">
        <f t="shared" si="37"/>
        <v>2.7152500000000002</v>
      </c>
      <c r="K485" s="81">
        <f t="shared" si="38"/>
        <v>3</v>
      </c>
      <c r="L485" s="11"/>
      <c r="M485" s="11"/>
      <c r="N485" s="11"/>
      <c r="O485" s="28">
        <f>'DHS2025'!C484</f>
        <v>18153</v>
      </c>
      <c r="P485" s="29">
        <f>'DHS2025'!D484</f>
        <v>7043</v>
      </c>
      <c r="Q485" s="29">
        <f>'DHS2025'!E484</f>
        <v>8072</v>
      </c>
      <c r="R485" s="62">
        <v>144.26</v>
      </c>
      <c r="S485" s="61">
        <f>(Porovnavanie!J487*0.99-1.9)*Porovnavanie!I487</f>
        <v>1137.4852527999997</v>
      </c>
    </row>
    <row r="486" spans="1:19" ht="15.75" thickBot="1">
      <c r="A486" s="100">
        <f t="shared" si="39"/>
        <v>45709</v>
      </c>
      <c r="B486" s="24" t="s">
        <v>20</v>
      </c>
      <c r="C486" s="54">
        <f>'DHS2021'!C485</f>
        <v>11143</v>
      </c>
      <c r="D486" s="55">
        <f>'DHS2022'!C485</f>
        <v>7815</v>
      </c>
      <c r="E486" s="55">
        <f>'DHS2023'!C485</f>
        <v>2630</v>
      </c>
      <c r="F486" s="55">
        <f>'DHS2024'!C485</f>
        <v>8901</v>
      </c>
      <c r="G486" s="56">
        <f t="shared" si="35"/>
        <v>7622.25</v>
      </c>
      <c r="H486" s="75">
        <f t="shared" si="36"/>
        <v>1.9055625</v>
      </c>
      <c r="I486" s="76">
        <v>1</v>
      </c>
      <c r="J486" s="75">
        <f t="shared" si="37"/>
        <v>2.9055625000000003</v>
      </c>
      <c r="K486" s="81">
        <f t="shared" si="38"/>
        <v>3</v>
      </c>
      <c r="L486" s="11"/>
      <c r="M486" s="11"/>
      <c r="N486" s="11"/>
      <c r="O486" s="28">
        <f>'DHS2025'!C485</f>
        <v>15249</v>
      </c>
      <c r="P486" s="29">
        <f>'DHS2025'!D485</f>
        <v>7579</v>
      </c>
      <c r="Q486" s="29">
        <f>'DHS2025'!E485</f>
        <v>8047</v>
      </c>
      <c r="R486" s="62">
        <v>144.47999999999999</v>
      </c>
      <c r="S486" s="61">
        <f>(Porovnavanie!J488*0.99-1.9)*Porovnavanie!I488</f>
        <v>1135.7149543999999</v>
      </c>
    </row>
    <row r="487" spans="1:19" ht="15.75" thickBot="1">
      <c r="A487" s="100">
        <f t="shared" si="39"/>
        <v>45709</v>
      </c>
      <c r="B487" s="24" t="s">
        <v>21</v>
      </c>
      <c r="C487" s="54">
        <f>'DHS2021'!C486</f>
        <v>18564</v>
      </c>
      <c r="D487" s="55">
        <f>'DHS2022'!C486</f>
        <v>12333</v>
      </c>
      <c r="E487" s="55">
        <f>'DHS2023'!C486</f>
        <v>8319</v>
      </c>
      <c r="F487" s="55">
        <f>'DHS2024'!C486</f>
        <v>12017</v>
      </c>
      <c r="G487" s="56">
        <f t="shared" si="35"/>
        <v>12808.25</v>
      </c>
      <c r="H487" s="75">
        <f t="shared" si="36"/>
        <v>3.2020624999999998</v>
      </c>
      <c r="I487" s="76">
        <v>1</v>
      </c>
      <c r="J487" s="75">
        <f t="shared" si="37"/>
        <v>4.2020625000000003</v>
      </c>
      <c r="K487" s="81">
        <f t="shared" si="38"/>
        <v>5</v>
      </c>
      <c r="L487" s="11"/>
      <c r="M487" s="11"/>
      <c r="N487" s="11"/>
      <c r="O487" s="28">
        <f>'DHS2025'!C486</f>
        <v>21099</v>
      </c>
      <c r="P487" s="29">
        <f>'DHS2025'!D486</f>
        <v>4091</v>
      </c>
      <c r="Q487" s="29">
        <f>'DHS2025'!E486</f>
        <v>8031</v>
      </c>
      <c r="R487" s="62">
        <v>117.42</v>
      </c>
      <c r="S487" s="61">
        <f>(Porovnavanie!J489*0.99-1.9)*Porovnavanie!I489</f>
        <v>918.31111980000003</v>
      </c>
    </row>
    <row r="488" spans="1:19" ht="15.75" thickBot="1">
      <c r="A488" s="100">
        <f t="shared" si="39"/>
        <v>45709</v>
      </c>
      <c r="B488" s="24" t="s">
        <v>22</v>
      </c>
      <c r="C488" s="54">
        <f>'DHS2021'!C487</f>
        <v>19023</v>
      </c>
      <c r="D488" s="55">
        <f>'DHS2022'!C487</f>
        <v>14866</v>
      </c>
      <c r="E488" s="55">
        <f>'DHS2023'!C487</f>
        <v>14841</v>
      </c>
      <c r="F488" s="55">
        <f>'DHS2024'!C487</f>
        <v>13480</v>
      </c>
      <c r="G488" s="56">
        <f t="shared" si="35"/>
        <v>15552.5</v>
      </c>
      <c r="H488" s="75">
        <f t="shared" si="36"/>
        <v>3.8881250000000001</v>
      </c>
      <c r="I488" s="76">
        <v>1</v>
      </c>
      <c r="J488" s="75">
        <f t="shared" si="37"/>
        <v>4.8881250000000005</v>
      </c>
      <c r="K488" s="81">
        <f t="shared" si="38"/>
        <v>5</v>
      </c>
      <c r="L488" s="11"/>
      <c r="M488" s="11"/>
      <c r="N488" s="11"/>
      <c r="O488" s="28">
        <f>'DHS2025'!C487</f>
        <v>21688</v>
      </c>
      <c r="P488" s="29">
        <f>'DHS2025'!D487</f>
        <v>4656</v>
      </c>
      <c r="Q488" s="29">
        <f>'DHS2025'!E487</f>
        <v>8083</v>
      </c>
      <c r="R488" s="62">
        <v>162.1</v>
      </c>
      <c r="S488" s="61">
        <f>(Porovnavanie!J490*0.99-1.9)*Porovnavanie!I490</f>
        <v>1281.7940569999998</v>
      </c>
    </row>
    <row r="489" spans="1:19" ht="15.75" thickBot="1">
      <c r="A489" s="100">
        <f t="shared" si="39"/>
        <v>45709</v>
      </c>
      <c r="B489" s="24" t="s">
        <v>23</v>
      </c>
      <c r="C489" s="54">
        <f>'DHS2021'!C488</f>
        <v>17462</v>
      </c>
      <c r="D489" s="55">
        <f>'DHS2022'!C488</f>
        <v>14559</v>
      </c>
      <c r="E489" s="55">
        <f>'DHS2023'!C488</f>
        <v>12370</v>
      </c>
      <c r="F489" s="55">
        <f>'DHS2024'!C488</f>
        <v>15703</v>
      </c>
      <c r="G489" s="56">
        <f t="shared" si="35"/>
        <v>15023.5</v>
      </c>
      <c r="H489" s="75">
        <f t="shared" si="36"/>
        <v>3.7558750000000001</v>
      </c>
      <c r="I489" s="76">
        <v>1</v>
      </c>
      <c r="J489" s="75">
        <f t="shared" si="37"/>
        <v>4.7558749999999996</v>
      </c>
      <c r="K489" s="81">
        <f t="shared" si="38"/>
        <v>5</v>
      </c>
      <c r="L489" s="11"/>
      <c r="M489" s="11"/>
      <c r="N489" s="11"/>
      <c r="O489" s="28">
        <f>'DHS2025'!C488</f>
        <v>21497</v>
      </c>
      <c r="P489" s="29">
        <f>'DHS2025'!D488</f>
        <v>3200</v>
      </c>
      <c r="Q489" s="29">
        <f>'DHS2025'!E488</f>
        <v>8012</v>
      </c>
      <c r="R489" s="62">
        <v>125.8</v>
      </c>
      <c r="S489" s="61">
        <f>(Porovnavanie!J491*0.99-1.9)*Porovnavanie!I491</f>
        <v>982.60770400000001</v>
      </c>
    </row>
    <row r="490" spans="1:19" ht="15.75" thickBot="1">
      <c r="A490" s="100">
        <f t="shared" si="39"/>
        <v>45709</v>
      </c>
      <c r="B490" s="24" t="s">
        <v>24</v>
      </c>
      <c r="C490" s="54">
        <f>'DHS2021'!C489</f>
        <v>15525</v>
      </c>
      <c r="D490" s="55">
        <f>'DHS2022'!C489</f>
        <v>13583</v>
      </c>
      <c r="E490" s="55">
        <f>'DHS2023'!C489</f>
        <v>10745</v>
      </c>
      <c r="F490" s="55">
        <f>'DHS2024'!C489</f>
        <v>14387</v>
      </c>
      <c r="G490" s="56">
        <f t="shared" si="35"/>
        <v>13560</v>
      </c>
      <c r="H490" s="75">
        <f t="shared" si="36"/>
        <v>3.39</v>
      </c>
      <c r="I490" s="76">
        <v>1</v>
      </c>
      <c r="J490" s="75">
        <f t="shared" si="37"/>
        <v>4.3900000000000006</v>
      </c>
      <c r="K490" s="81">
        <f t="shared" si="38"/>
        <v>5</v>
      </c>
      <c r="L490" s="11"/>
      <c r="M490" s="11"/>
      <c r="N490" s="11"/>
      <c r="O490" s="28">
        <f>'DHS2025'!C489</f>
        <v>21472</v>
      </c>
      <c r="P490" s="29">
        <f>'DHS2025'!D489</f>
        <v>3279</v>
      </c>
      <c r="Q490" s="29">
        <f>'DHS2025'!E489</f>
        <v>8030</v>
      </c>
      <c r="R490" s="62">
        <v>165.71</v>
      </c>
      <c r="S490" s="61">
        <f>(Porovnavanie!J492*0.99-1.9)*Porovnavanie!I492</f>
        <v>1302.0877869999997</v>
      </c>
    </row>
    <row r="491" spans="1:19" ht="15.75" thickBot="1">
      <c r="A491" s="100">
        <f t="shared" si="39"/>
        <v>45709</v>
      </c>
      <c r="B491" s="24" t="s">
        <v>25</v>
      </c>
      <c r="C491" s="54">
        <f>'DHS2021'!C490</f>
        <v>16730</v>
      </c>
      <c r="D491" s="55">
        <f>'DHS2022'!C490</f>
        <v>13549</v>
      </c>
      <c r="E491" s="55">
        <f>'DHS2023'!C490</f>
        <v>13040</v>
      </c>
      <c r="F491" s="55">
        <f>'DHS2024'!C490</f>
        <v>14172</v>
      </c>
      <c r="G491" s="56">
        <f t="shared" si="35"/>
        <v>14372.75</v>
      </c>
      <c r="H491" s="75">
        <f t="shared" si="36"/>
        <v>3.5931875</v>
      </c>
      <c r="I491" s="76">
        <v>1</v>
      </c>
      <c r="J491" s="75">
        <f t="shared" si="37"/>
        <v>4.5931875</v>
      </c>
      <c r="K491" s="81">
        <f t="shared" si="38"/>
        <v>5</v>
      </c>
      <c r="L491" s="11"/>
      <c r="M491" s="11"/>
      <c r="N491" s="11"/>
      <c r="O491" s="28">
        <f>'DHS2025'!C490</f>
        <v>20178</v>
      </c>
      <c r="P491" s="29">
        <f>'DHS2025'!D490</f>
        <v>5153</v>
      </c>
      <c r="Q491" s="29">
        <f>'DHS2025'!E490</f>
        <v>8078</v>
      </c>
      <c r="R491" s="62">
        <v>151.03</v>
      </c>
      <c r="S491" s="61">
        <f>(Porovnavanie!J493*0.99-1.9)*Porovnavanie!I493</f>
        <v>1192.4719365999999</v>
      </c>
    </row>
    <row r="492" spans="1:19" ht="15.75" thickBot="1">
      <c r="A492" s="100">
        <f t="shared" si="39"/>
        <v>45709</v>
      </c>
      <c r="B492" s="24" t="s">
        <v>26</v>
      </c>
      <c r="C492" s="54">
        <f>'DHS2021'!C491</f>
        <v>16971</v>
      </c>
      <c r="D492" s="55">
        <f>'DHS2022'!C491</f>
        <v>12947</v>
      </c>
      <c r="E492" s="55">
        <f>'DHS2023'!C491</f>
        <v>13001</v>
      </c>
      <c r="F492" s="55">
        <f>'DHS2024'!C491</f>
        <v>14775</v>
      </c>
      <c r="G492" s="56">
        <f t="shared" si="35"/>
        <v>14423.5</v>
      </c>
      <c r="H492" s="75">
        <f t="shared" si="36"/>
        <v>3.6058750000000002</v>
      </c>
      <c r="I492" s="76">
        <v>1</v>
      </c>
      <c r="J492" s="75">
        <f t="shared" si="37"/>
        <v>4.6058750000000002</v>
      </c>
      <c r="K492" s="81">
        <f t="shared" si="38"/>
        <v>5</v>
      </c>
      <c r="L492" s="11"/>
      <c r="M492" s="11"/>
      <c r="N492" s="11"/>
      <c r="O492" s="28">
        <f>'DHS2025'!C491</f>
        <v>19977</v>
      </c>
      <c r="P492" s="29">
        <f>'DHS2025'!D491</f>
        <v>5322</v>
      </c>
      <c r="Q492" s="29">
        <f>'DHS2025'!E491</f>
        <v>8065</v>
      </c>
      <c r="R492" s="62">
        <v>129.59</v>
      </c>
      <c r="S492" s="61">
        <f>(Porovnavanie!J494*0.99-1.9)*Porovnavanie!I494</f>
        <v>1019.3684165</v>
      </c>
    </row>
    <row r="493" spans="1:19" ht="15.75" thickBot="1">
      <c r="A493" s="100">
        <f t="shared" si="39"/>
        <v>45709</v>
      </c>
      <c r="B493" s="24" t="s">
        <v>27</v>
      </c>
      <c r="C493" s="54">
        <f>'DHS2021'!C492</f>
        <v>16379</v>
      </c>
      <c r="D493" s="55">
        <f>'DHS2022'!C492</f>
        <v>12837</v>
      </c>
      <c r="E493" s="55">
        <f>'DHS2023'!C492</f>
        <v>11556</v>
      </c>
      <c r="F493" s="55">
        <f>'DHS2024'!C492</f>
        <v>15316</v>
      </c>
      <c r="G493" s="56">
        <f t="shared" si="35"/>
        <v>14022</v>
      </c>
      <c r="H493" s="75">
        <f t="shared" si="36"/>
        <v>3.5055000000000001</v>
      </c>
      <c r="I493" s="76">
        <v>1</v>
      </c>
      <c r="J493" s="75">
        <f t="shared" si="37"/>
        <v>4.5054999999999996</v>
      </c>
      <c r="K493" s="81">
        <f t="shared" si="38"/>
        <v>5</v>
      </c>
      <c r="L493" s="11"/>
      <c r="M493" s="11"/>
      <c r="N493" s="11"/>
      <c r="O493" s="28">
        <f>'DHS2025'!C492</f>
        <v>17682</v>
      </c>
      <c r="P493" s="29">
        <f>'DHS2025'!D492</f>
        <v>2261</v>
      </c>
      <c r="Q493" s="29">
        <f>'DHS2025'!E492</f>
        <v>6672</v>
      </c>
      <c r="R493" s="62">
        <v>103.6</v>
      </c>
      <c r="S493" s="61">
        <f>(Porovnavanie!J495*0.99-1.9)*Porovnavanie!I495</f>
        <v>671.63020799999993</v>
      </c>
    </row>
    <row r="494" spans="1:19" ht="15.75" thickBot="1">
      <c r="A494" s="100">
        <f t="shared" si="39"/>
        <v>45709</v>
      </c>
      <c r="B494" s="24" t="s">
        <v>28</v>
      </c>
      <c r="C494" s="54">
        <f>'DHS2021'!C493</f>
        <v>16317</v>
      </c>
      <c r="D494" s="55">
        <f>'DHS2022'!C493</f>
        <v>13187</v>
      </c>
      <c r="E494" s="55">
        <f>'DHS2023'!C493</f>
        <v>10108</v>
      </c>
      <c r="F494" s="55">
        <f>'DHS2024'!C493</f>
        <v>15854</v>
      </c>
      <c r="G494" s="56">
        <f t="shared" si="35"/>
        <v>13866.5</v>
      </c>
      <c r="H494" s="75">
        <f t="shared" si="36"/>
        <v>3.4666250000000001</v>
      </c>
      <c r="I494" s="76">
        <v>1</v>
      </c>
      <c r="J494" s="75">
        <f t="shared" si="37"/>
        <v>4.4666250000000005</v>
      </c>
      <c r="K494" s="81">
        <f t="shared" si="38"/>
        <v>5</v>
      </c>
      <c r="L494" s="11"/>
      <c r="M494" s="11"/>
      <c r="N494" s="11"/>
      <c r="O494" s="28">
        <f>'DHS2025'!C493</f>
        <v>15511</v>
      </c>
      <c r="P494" s="29">
        <f>'DHS2025'!D493</f>
        <v>727</v>
      </c>
      <c r="Q494" s="29">
        <f>'DHS2025'!E493</f>
        <v>5058</v>
      </c>
      <c r="R494" s="62">
        <v>87.17</v>
      </c>
      <c r="S494" s="61">
        <f>(Porovnavanie!J496*0.99-1.9)*Porovnavanie!I496</f>
        <v>426.88660139999996</v>
      </c>
    </row>
    <row r="495" spans="1:19" ht="15.75" thickBot="1">
      <c r="A495" s="100">
        <f t="shared" si="39"/>
        <v>45709</v>
      </c>
      <c r="B495" s="24" t="s">
        <v>29</v>
      </c>
      <c r="C495" s="54">
        <f>'DHS2021'!C494</f>
        <v>16496</v>
      </c>
      <c r="D495" s="55">
        <f>'DHS2022'!C494</f>
        <v>13158</v>
      </c>
      <c r="E495" s="55">
        <f>'DHS2023'!C494</f>
        <v>10298</v>
      </c>
      <c r="F495" s="55">
        <f>'DHS2024'!C494</f>
        <v>10896</v>
      </c>
      <c r="G495" s="56">
        <f t="shared" si="35"/>
        <v>12712</v>
      </c>
      <c r="H495" s="75">
        <f t="shared" si="36"/>
        <v>3.1779999999999999</v>
      </c>
      <c r="I495" s="76">
        <v>1</v>
      </c>
      <c r="J495" s="75">
        <f t="shared" si="37"/>
        <v>4.1779999999999999</v>
      </c>
      <c r="K495" s="81">
        <f t="shared" si="38"/>
        <v>5</v>
      </c>
      <c r="L495" s="11"/>
      <c r="M495" s="11"/>
      <c r="N495" s="11"/>
      <c r="O495" s="28">
        <f>'DHS2025'!C494</f>
        <v>13730</v>
      </c>
      <c r="P495" s="29">
        <f>'DHS2025'!D494</f>
        <v>2622</v>
      </c>
      <c r="Q495" s="29">
        <f>'DHS2025'!E494</f>
        <v>5065</v>
      </c>
      <c r="R495" s="62">
        <v>79.430000000000007</v>
      </c>
      <c r="S495" s="61">
        <f>(Porovnavanie!J497*0.99-1.9)*Porovnavanie!I497</f>
        <v>388.66632049999998</v>
      </c>
    </row>
    <row r="496" spans="1:19" ht="15.75" thickBot="1">
      <c r="A496" s="100">
        <f t="shared" si="39"/>
        <v>45709</v>
      </c>
      <c r="B496" s="24" t="s">
        <v>30</v>
      </c>
      <c r="C496" s="54">
        <f>'DHS2021'!C495</f>
        <v>15543</v>
      </c>
      <c r="D496" s="55">
        <f>'DHS2022'!C495</f>
        <v>13452</v>
      </c>
      <c r="E496" s="55">
        <f>'DHS2023'!C495</f>
        <v>11291</v>
      </c>
      <c r="F496" s="55">
        <f>'DHS2024'!C495</f>
        <v>9099</v>
      </c>
      <c r="G496" s="56">
        <f t="shared" si="35"/>
        <v>12346.25</v>
      </c>
      <c r="H496" s="75">
        <f t="shared" si="36"/>
        <v>3.0865624999999999</v>
      </c>
      <c r="I496" s="76">
        <v>1</v>
      </c>
      <c r="J496" s="75">
        <f t="shared" si="37"/>
        <v>4.0865624999999994</v>
      </c>
      <c r="K496" s="81">
        <f t="shared" si="38"/>
        <v>5</v>
      </c>
      <c r="L496" s="11"/>
      <c r="M496" s="11"/>
      <c r="N496" s="11"/>
      <c r="O496" s="28">
        <f>'DHS2025'!C495</f>
        <v>14718</v>
      </c>
      <c r="P496" s="29">
        <f>'DHS2025'!D495</f>
        <v>2130</v>
      </c>
      <c r="Q496" s="29">
        <f>'DHS2025'!E495</f>
        <v>5075</v>
      </c>
      <c r="R496" s="62">
        <v>78.42</v>
      </c>
      <c r="S496" s="61">
        <f>(Porovnavanie!J498*0.99-1.9)*Porovnavanie!I498</f>
        <v>384.35918500000002</v>
      </c>
    </row>
    <row r="497" spans="1:19" ht="15.75" thickBot="1">
      <c r="A497" s="100">
        <f t="shared" si="39"/>
        <v>45709</v>
      </c>
      <c r="B497" s="24" t="s">
        <v>31</v>
      </c>
      <c r="C497" s="54">
        <f>'DHS2021'!C496</f>
        <v>14694</v>
      </c>
      <c r="D497" s="55">
        <f>'DHS2022'!C496</f>
        <v>13879</v>
      </c>
      <c r="E497" s="55">
        <f>'DHS2023'!C496</f>
        <v>10959</v>
      </c>
      <c r="F497" s="55">
        <f>'DHS2024'!C496</f>
        <v>10493</v>
      </c>
      <c r="G497" s="56">
        <f t="shared" si="35"/>
        <v>12506.25</v>
      </c>
      <c r="H497" s="75">
        <f t="shared" si="36"/>
        <v>3.1265624999999999</v>
      </c>
      <c r="I497" s="76">
        <v>1</v>
      </c>
      <c r="J497" s="75">
        <f t="shared" si="37"/>
        <v>4.1265625000000004</v>
      </c>
      <c r="K497" s="81">
        <f t="shared" si="38"/>
        <v>5</v>
      </c>
      <c r="L497" s="11"/>
      <c r="M497" s="11"/>
      <c r="N497" s="11"/>
      <c r="O497" s="28">
        <f>'DHS2025'!C496</f>
        <v>14357</v>
      </c>
      <c r="P497" s="29">
        <f>'DHS2025'!D496</f>
        <v>1831</v>
      </c>
      <c r="Q497" s="29">
        <f>'DHS2025'!E496</f>
        <v>5063</v>
      </c>
      <c r="R497" s="62">
        <v>97.22</v>
      </c>
      <c r="S497" s="61">
        <f>(Porovnavanie!J499*0.99-1.9)*Porovnavanie!I499</f>
        <v>477.68291139999991</v>
      </c>
    </row>
    <row r="498" spans="1:19" ht="15.75" thickBot="1">
      <c r="A498" s="100">
        <f t="shared" si="39"/>
        <v>45709</v>
      </c>
      <c r="B498" s="24" t="s">
        <v>32</v>
      </c>
      <c r="C498" s="54">
        <f>'DHS2021'!C497</f>
        <v>15455</v>
      </c>
      <c r="D498" s="55">
        <f>'DHS2022'!C497</f>
        <v>12825</v>
      </c>
      <c r="E498" s="55">
        <f>'DHS2023'!C497</f>
        <v>11414</v>
      </c>
      <c r="F498" s="55">
        <f>'DHS2024'!C497</f>
        <v>11489</v>
      </c>
      <c r="G498" s="56">
        <f t="shared" si="35"/>
        <v>12795.75</v>
      </c>
      <c r="H498" s="75">
        <f t="shared" si="36"/>
        <v>3.1989375</v>
      </c>
      <c r="I498" s="76">
        <v>1</v>
      </c>
      <c r="J498" s="75">
        <f t="shared" si="37"/>
        <v>4.1989374999999995</v>
      </c>
      <c r="K498" s="81">
        <f t="shared" si="38"/>
        <v>5</v>
      </c>
      <c r="L498" s="11"/>
      <c r="M498" s="11"/>
      <c r="N498" s="11"/>
      <c r="O498" s="28">
        <f>'DHS2025'!C497</f>
        <v>14915</v>
      </c>
      <c r="P498" s="29">
        <f>'DHS2025'!D497</f>
        <v>1585</v>
      </c>
      <c r="Q498" s="29">
        <f>'DHS2025'!E497</f>
        <v>5322</v>
      </c>
      <c r="R498" s="62">
        <v>102.69</v>
      </c>
      <c r="S498" s="61">
        <f>(Porovnavanie!J500*0.99-1.9)*Porovnavanie!I500</f>
        <v>530.93921820000003</v>
      </c>
    </row>
    <row r="499" spans="1:19" ht="15.75" thickBot="1">
      <c r="A499" s="100">
        <f t="shared" si="39"/>
        <v>45709</v>
      </c>
      <c r="B499" s="24" t="s">
        <v>33</v>
      </c>
      <c r="C499" s="54">
        <f>'DHS2021'!C498</f>
        <v>16066</v>
      </c>
      <c r="D499" s="55">
        <f>'DHS2022'!C498</f>
        <v>12738</v>
      </c>
      <c r="E499" s="55">
        <f>'DHS2023'!C498</f>
        <v>11213</v>
      </c>
      <c r="F499" s="55">
        <f>'DHS2024'!C498</f>
        <v>10978</v>
      </c>
      <c r="G499" s="56">
        <f t="shared" si="35"/>
        <v>12748.75</v>
      </c>
      <c r="H499" s="75">
        <f t="shared" si="36"/>
        <v>3.1871874999999998</v>
      </c>
      <c r="I499" s="76">
        <v>1</v>
      </c>
      <c r="J499" s="75">
        <f t="shared" si="37"/>
        <v>4.1871875000000003</v>
      </c>
      <c r="K499" s="81">
        <f t="shared" si="38"/>
        <v>5</v>
      </c>
      <c r="L499" s="11"/>
      <c r="M499" s="11"/>
      <c r="N499" s="11"/>
      <c r="O499" s="28">
        <f>'DHS2025'!C498</f>
        <v>14765</v>
      </c>
      <c r="P499" s="29">
        <f>'DHS2025'!D498</f>
        <v>2359</v>
      </c>
      <c r="Q499" s="29">
        <f>'DHS2025'!E498</f>
        <v>5465</v>
      </c>
      <c r="R499" s="62">
        <v>145</v>
      </c>
      <c r="S499" s="61">
        <f>(Porovnavanie!J501*0.99-1.9)*Porovnavanie!I501</f>
        <v>774.11725000000001</v>
      </c>
    </row>
    <row r="500" spans="1:19" ht="15.75" thickBot="1">
      <c r="A500" s="100">
        <f t="shared" si="39"/>
        <v>45709</v>
      </c>
      <c r="B500" s="24" t="s">
        <v>34</v>
      </c>
      <c r="C500" s="54">
        <f>'DHS2021'!C499</f>
        <v>16633</v>
      </c>
      <c r="D500" s="55">
        <f>'DHS2022'!C499</f>
        <v>13212</v>
      </c>
      <c r="E500" s="55">
        <f>'DHS2023'!C499</f>
        <v>10714</v>
      </c>
      <c r="F500" s="55">
        <f>'DHS2024'!C499</f>
        <v>10783</v>
      </c>
      <c r="G500" s="56">
        <f t="shared" si="35"/>
        <v>12835.5</v>
      </c>
      <c r="H500" s="75">
        <f t="shared" si="36"/>
        <v>3.2088749999999999</v>
      </c>
      <c r="I500" s="76">
        <v>1</v>
      </c>
      <c r="J500" s="75">
        <f t="shared" si="37"/>
        <v>4.2088749999999999</v>
      </c>
      <c r="K500" s="81">
        <f t="shared" si="38"/>
        <v>5</v>
      </c>
      <c r="L500" s="11"/>
      <c r="M500" s="11"/>
      <c r="N500" s="11"/>
      <c r="O500" s="28">
        <f>'DHS2025'!C499</f>
        <v>16257</v>
      </c>
      <c r="P500" s="29">
        <f>'DHS2025'!D499</f>
        <v>25</v>
      </c>
      <c r="Q500" s="29">
        <f>'DHS2025'!E499</f>
        <v>5055</v>
      </c>
      <c r="R500" s="62">
        <v>123.28</v>
      </c>
      <c r="S500" s="61">
        <f>(Porovnavanie!J502*0.99-1.9)*Porovnavanie!I502</f>
        <v>607.34409599999992</v>
      </c>
    </row>
    <row r="501" spans="1:19" ht="15.75" thickBot="1">
      <c r="A501" s="100">
        <f t="shared" si="39"/>
        <v>45709</v>
      </c>
      <c r="B501" s="24" t="s">
        <v>35</v>
      </c>
      <c r="C501" s="54">
        <f>'DHS2021'!C500</f>
        <v>16873</v>
      </c>
      <c r="D501" s="55">
        <f>'DHS2022'!C500</f>
        <v>14825</v>
      </c>
      <c r="E501" s="55">
        <f>'DHS2023'!C500</f>
        <v>11693</v>
      </c>
      <c r="F501" s="55">
        <f>'DHS2024'!C500</f>
        <v>11824</v>
      </c>
      <c r="G501" s="56">
        <f t="shared" si="35"/>
        <v>13803.75</v>
      </c>
      <c r="H501" s="75">
        <f t="shared" si="36"/>
        <v>3.4509375000000002</v>
      </c>
      <c r="I501" s="76">
        <v>1</v>
      </c>
      <c r="J501" s="75">
        <f t="shared" si="37"/>
        <v>4.4509375000000002</v>
      </c>
      <c r="K501" s="81">
        <f t="shared" si="38"/>
        <v>5</v>
      </c>
      <c r="L501" s="11"/>
      <c r="M501" s="11"/>
      <c r="N501" s="11"/>
      <c r="O501" s="28">
        <f>'DHS2025'!C500</f>
        <v>15870</v>
      </c>
      <c r="P501" s="29">
        <f>'DHS2025'!D500</f>
        <v>27</v>
      </c>
      <c r="Q501" s="29">
        <f>'DHS2025'!E500</f>
        <v>5051</v>
      </c>
      <c r="R501" s="62">
        <v>115.81</v>
      </c>
      <c r="S501" s="61">
        <f>(Porovnavanie!J503*0.99-1.9)*Porovnavanie!I503</f>
        <v>569.50984689999996</v>
      </c>
    </row>
    <row r="502" spans="1:19" ht="15.75" thickBot="1">
      <c r="A502" s="100">
        <f t="shared" si="39"/>
        <v>45709</v>
      </c>
      <c r="B502" s="24" t="s">
        <v>36</v>
      </c>
      <c r="C502" s="54">
        <f>'DHS2021'!C501</f>
        <v>16858</v>
      </c>
      <c r="D502" s="55">
        <f>'DHS2022'!C501</f>
        <v>14417</v>
      </c>
      <c r="E502" s="55">
        <f>'DHS2023'!C501</f>
        <v>12020</v>
      </c>
      <c r="F502" s="55">
        <f>'DHS2024'!C501</f>
        <v>12460</v>
      </c>
      <c r="G502" s="56">
        <f t="shared" si="35"/>
        <v>13938.75</v>
      </c>
      <c r="H502" s="75">
        <f t="shared" si="36"/>
        <v>3.4846875000000002</v>
      </c>
      <c r="I502" s="76">
        <v>1</v>
      </c>
      <c r="J502" s="75">
        <f t="shared" si="37"/>
        <v>4.4846874999999997</v>
      </c>
      <c r="K502" s="81">
        <f t="shared" si="38"/>
        <v>5</v>
      </c>
      <c r="L502" s="11"/>
      <c r="M502" s="11"/>
      <c r="N502" s="11"/>
      <c r="O502" s="28">
        <f>'DHS2025'!C501</f>
        <v>19420</v>
      </c>
      <c r="P502" s="29">
        <f>'DHS2025'!D501</f>
        <v>619</v>
      </c>
      <c r="Q502" s="29">
        <f>'DHS2025'!E501</f>
        <v>6465</v>
      </c>
      <c r="R502" s="62">
        <v>152.5</v>
      </c>
      <c r="S502" s="61">
        <f>(Porovnavanie!J504*0.99-1.9)*Porovnavanie!I504</f>
        <v>963.76987499999996</v>
      </c>
    </row>
    <row r="503" spans="1:19" ht="15.75" thickBot="1">
      <c r="A503" s="100">
        <f t="shared" si="39"/>
        <v>45709</v>
      </c>
      <c r="B503" s="24" t="s">
        <v>37</v>
      </c>
      <c r="C503" s="54">
        <f>'DHS2021'!C502</f>
        <v>16783</v>
      </c>
      <c r="D503" s="55">
        <f>'DHS2022'!C502</f>
        <v>14156</v>
      </c>
      <c r="E503" s="55">
        <f>'DHS2023'!C502</f>
        <v>12237</v>
      </c>
      <c r="F503" s="55">
        <f>'DHS2024'!C502</f>
        <v>13042</v>
      </c>
      <c r="G503" s="56">
        <f t="shared" si="35"/>
        <v>14054.5</v>
      </c>
      <c r="H503" s="75">
        <f t="shared" si="36"/>
        <v>3.5136250000000002</v>
      </c>
      <c r="I503" s="76">
        <v>1</v>
      </c>
      <c r="J503" s="75">
        <f t="shared" si="37"/>
        <v>4.5136250000000002</v>
      </c>
      <c r="K503" s="81">
        <f t="shared" si="38"/>
        <v>5</v>
      </c>
      <c r="L503" s="11"/>
      <c r="M503" s="11"/>
      <c r="N503" s="11"/>
      <c r="O503" s="28">
        <f>'DHS2025'!C502</f>
        <v>18928</v>
      </c>
      <c r="P503" s="29">
        <f>'DHS2025'!D502</f>
        <v>3289</v>
      </c>
      <c r="Q503" s="29">
        <f>'DHS2025'!E502</f>
        <v>8049</v>
      </c>
      <c r="R503" s="62">
        <v>194</v>
      </c>
      <c r="S503" s="61">
        <f>(Porovnavanie!J505*0.99-1.9)*Porovnavanie!I505</f>
        <v>1530.5978399999999</v>
      </c>
    </row>
    <row r="504" spans="1:19" ht="15.75" thickBot="1">
      <c r="A504" s="100">
        <f t="shared" si="39"/>
        <v>45709</v>
      </c>
      <c r="B504" s="24" t="s">
        <v>38</v>
      </c>
      <c r="C504" s="54">
        <f>'DHS2021'!C503</f>
        <v>17370</v>
      </c>
      <c r="D504" s="55">
        <f>'DHS2022'!C503</f>
        <v>14657</v>
      </c>
      <c r="E504" s="55">
        <f>'DHS2023'!C503</f>
        <v>11842</v>
      </c>
      <c r="F504" s="55">
        <f>'DHS2024'!C503</f>
        <v>12218</v>
      </c>
      <c r="G504" s="56">
        <f t="shared" si="35"/>
        <v>14021.75</v>
      </c>
      <c r="H504" s="75">
        <f t="shared" si="36"/>
        <v>3.5054375000000002</v>
      </c>
      <c r="I504" s="76">
        <v>1</v>
      </c>
      <c r="J504" s="75">
        <f t="shared" si="37"/>
        <v>4.5054375000000002</v>
      </c>
      <c r="K504" s="81">
        <f t="shared" si="38"/>
        <v>5</v>
      </c>
      <c r="L504" s="11"/>
      <c r="M504" s="11"/>
      <c r="N504" s="11"/>
      <c r="O504" s="28">
        <f>'DHS2025'!C503</f>
        <v>19813</v>
      </c>
      <c r="P504" s="29">
        <f>'DHS2025'!D503</f>
        <v>4735</v>
      </c>
      <c r="Q504" s="29">
        <f>'DHS2025'!E503</f>
        <v>8045</v>
      </c>
      <c r="R504" s="62">
        <v>203.96</v>
      </c>
      <c r="S504" s="61">
        <f>(Porovnavanie!J506*0.99-1.9)*Porovnavanie!I506</f>
        <v>1609.1641179999999</v>
      </c>
    </row>
    <row r="505" spans="1:19" ht="15.75" thickBot="1">
      <c r="A505" s="100">
        <f t="shared" si="39"/>
        <v>45709</v>
      </c>
      <c r="B505" s="24" t="s">
        <v>39</v>
      </c>
      <c r="C505" s="54">
        <f>'DHS2021'!C504</f>
        <v>14876</v>
      </c>
      <c r="D505" s="55">
        <f>'DHS2022'!C504</f>
        <v>11504</v>
      </c>
      <c r="E505" s="55">
        <f>'DHS2023'!C504</f>
        <v>9357</v>
      </c>
      <c r="F505" s="55">
        <f>'DHS2024'!C504</f>
        <v>9926</v>
      </c>
      <c r="G505" s="56">
        <f t="shared" si="35"/>
        <v>11415.75</v>
      </c>
      <c r="H505" s="75">
        <f t="shared" si="36"/>
        <v>2.8539374999999998</v>
      </c>
      <c r="I505" s="76">
        <v>1</v>
      </c>
      <c r="J505" s="75">
        <f t="shared" si="37"/>
        <v>3.8539374999999998</v>
      </c>
      <c r="K505" s="81">
        <f t="shared" si="38"/>
        <v>4</v>
      </c>
      <c r="L505" s="11"/>
      <c r="M505" s="11"/>
      <c r="N505" s="11"/>
      <c r="O505" s="28">
        <f>'DHS2025'!C504</f>
        <v>15177</v>
      </c>
      <c r="P505" s="29">
        <f>'DHS2025'!D504</f>
        <v>8991</v>
      </c>
      <c r="Q505" s="29">
        <f>'DHS2025'!E504</f>
        <v>8061</v>
      </c>
      <c r="R505" s="62">
        <v>193.84</v>
      </c>
      <c r="S505" s="61">
        <f>(Porovnavanie!J507*0.99-1.9)*Porovnavanie!I507</f>
        <v>1531.6028976</v>
      </c>
    </row>
    <row r="506" spans="1:19" ht="15.75" thickBot="1">
      <c r="A506" s="100">
        <f t="shared" si="39"/>
        <v>45709</v>
      </c>
      <c r="B506" s="24" t="s">
        <v>40</v>
      </c>
      <c r="C506" s="54">
        <f>'DHS2021'!C505</f>
        <v>7180</v>
      </c>
      <c r="D506" s="55">
        <f>'DHS2022'!C505</f>
        <v>7667</v>
      </c>
      <c r="E506" s="55">
        <f>'DHS2023'!C505</f>
        <v>4403</v>
      </c>
      <c r="F506" s="55">
        <f>'DHS2024'!C505</f>
        <v>5714</v>
      </c>
      <c r="G506" s="56">
        <f t="shared" si="35"/>
        <v>6241</v>
      </c>
      <c r="H506" s="75">
        <f t="shared" si="36"/>
        <v>1.5602499999999999</v>
      </c>
      <c r="I506" s="76">
        <v>1</v>
      </c>
      <c r="J506" s="75">
        <f t="shared" si="37"/>
        <v>2.5602499999999999</v>
      </c>
      <c r="K506" s="81">
        <f t="shared" si="38"/>
        <v>3</v>
      </c>
      <c r="L506" s="11"/>
      <c r="M506" s="11"/>
      <c r="N506" s="11"/>
      <c r="O506" s="28">
        <f>'DHS2025'!C505</f>
        <v>9869</v>
      </c>
      <c r="P506" s="29">
        <f>'DHS2025'!D505</f>
        <v>14384</v>
      </c>
      <c r="Q506" s="29">
        <f>'DHS2025'!E505</f>
        <v>8081</v>
      </c>
      <c r="R506" s="62">
        <v>119.64</v>
      </c>
      <c r="S506" s="61">
        <f>(Porovnavanie!J508*0.99-1.9)*Porovnavanie!I508</f>
        <v>941.78883159999998</v>
      </c>
    </row>
    <row r="507" spans="1:19" ht="15.75" thickBot="1">
      <c r="A507" s="101">
        <f t="shared" si="39"/>
        <v>45710</v>
      </c>
      <c r="B507" s="25" t="s">
        <v>17</v>
      </c>
      <c r="C507" s="54">
        <f>'DHS2021'!C506</f>
        <v>7029</v>
      </c>
      <c r="D507" s="55">
        <f>'DHS2022'!C506</f>
        <v>5590</v>
      </c>
      <c r="E507" s="55">
        <f>'DHS2023'!C506</f>
        <v>1818</v>
      </c>
      <c r="F507" s="55">
        <f>'DHS2024'!C506</f>
        <v>4846</v>
      </c>
      <c r="G507" s="56">
        <f t="shared" si="35"/>
        <v>4820.75</v>
      </c>
      <c r="H507" s="75">
        <f t="shared" si="36"/>
        <v>1.2051875000000001</v>
      </c>
      <c r="I507" s="76">
        <v>1</v>
      </c>
      <c r="J507" s="75">
        <f t="shared" si="37"/>
        <v>2.2051875000000001</v>
      </c>
      <c r="K507" s="81">
        <f t="shared" si="38"/>
        <v>3</v>
      </c>
      <c r="L507" s="11"/>
      <c r="M507" s="11"/>
      <c r="N507" s="11"/>
      <c r="O507" s="28">
        <f>'DHS2025'!C506</f>
        <v>11541</v>
      </c>
      <c r="P507" s="29">
        <f>'DHS2025'!D506</f>
        <v>13219</v>
      </c>
      <c r="Q507" s="29">
        <f>'DHS2025'!E506</f>
        <v>8050</v>
      </c>
      <c r="R507" s="62">
        <v>184.67</v>
      </c>
      <c r="S507" s="61">
        <f>(Porovnavanie!J509*0.99-1.9)*Porovnavanie!I509</f>
        <v>1456.4325650000001</v>
      </c>
    </row>
    <row r="508" spans="1:19" ht="15.75" thickBot="1">
      <c r="A508" s="101">
        <f t="shared" si="39"/>
        <v>45710</v>
      </c>
      <c r="B508" s="25" t="s">
        <v>18</v>
      </c>
      <c r="C508" s="54">
        <f>'DHS2021'!C507</f>
        <v>7529</v>
      </c>
      <c r="D508" s="55">
        <f>'DHS2022'!C507</f>
        <v>7018</v>
      </c>
      <c r="E508" s="55">
        <f>'DHS2023'!C507</f>
        <v>2319</v>
      </c>
      <c r="F508" s="55">
        <f>'DHS2024'!C507</f>
        <v>5575</v>
      </c>
      <c r="G508" s="56">
        <f t="shared" si="35"/>
        <v>5610.25</v>
      </c>
      <c r="H508" s="75">
        <f t="shared" si="36"/>
        <v>1.4025624999999999</v>
      </c>
      <c r="I508" s="76">
        <v>1</v>
      </c>
      <c r="J508" s="75">
        <f t="shared" si="37"/>
        <v>2.4025625000000002</v>
      </c>
      <c r="K508" s="81">
        <f t="shared" si="38"/>
        <v>3</v>
      </c>
      <c r="L508" s="11"/>
      <c r="M508" s="11"/>
      <c r="N508" s="11"/>
      <c r="O508" s="28">
        <f>'DHS2025'!C507</f>
        <v>12874</v>
      </c>
      <c r="P508" s="29">
        <f>'DHS2025'!D507</f>
        <v>11963</v>
      </c>
      <c r="Q508" s="29">
        <f>'DHS2025'!E507</f>
        <v>8039</v>
      </c>
      <c r="R508" s="62">
        <v>173.98</v>
      </c>
      <c r="S508" s="61">
        <f>(Porovnavanie!J510*0.99-1.9)*Porovnavanie!I510</f>
        <v>1369.3648677999997</v>
      </c>
    </row>
    <row r="509" spans="1:19" ht="15.75" thickBot="1">
      <c r="A509" s="101">
        <f t="shared" si="39"/>
        <v>45710</v>
      </c>
      <c r="B509" s="25" t="s">
        <v>19</v>
      </c>
      <c r="C509" s="54">
        <f>'DHS2021'!C508</f>
        <v>9402</v>
      </c>
      <c r="D509" s="55">
        <f>'DHS2022'!C508</f>
        <v>7666</v>
      </c>
      <c r="E509" s="55">
        <f>'DHS2023'!C508</f>
        <v>3619</v>
      </c>
      <c r="F509" s="55">
        <f>'DHS2024'!C508</f>
        <v>7392</v>
      </c>
      <c r="G509" s="56">
        <f t="shared" si="35"/>
        <v>7019.75</v>
      </c>
      <c r="H509" s="75">
        <f t="shared" si="36"/>
        <v>1.7549375</v>
      </c>
      <c r="I509" s="76">
        <v>1</v>
      </c>
      <c r="J509" s="75">
        <f t="shared" si="37"/>
        <v>2.7549375</v>
      </c>
      <c r="K509" s="81">
        <f t="shared" si="38"/>
        <v>3</v>
      </c>
      <c r="L509" s="11"/>
      <c r="M509" s="11"/>
      <c r="N509" s="11"/>
      <c r="O509" s="28">
        <f>'DHS2025'!C508</f>
        <v>15145</v>
      </c>
      <c r="P509" s="29">
        <f>'DHS2025'!D508</f>
        <v>10340</v>
      </c>
      <c r="Q509" s="29">
        <f>'DHS2025'!E508</f>
        <v>8085</v>
      </c>
      <c r="R509" s="62">
        <v>169.22</v>
      </c>
      <c r="S509" s="61">
        <f>(Porovnavanie!J511*0.99-1.9)*Porovnavanie!I511</f>
        <v>1339.1007629999999</v>
      </c>
    </row>
    <row r="510" spans="1:19" ht="15.75" thickBot="1">
      <c r="A510" s="101">
        <f t="shared" si="39"/>
        <v>45710</v>
      </c>
      <c r="B510" s="25" t="s">
        <v>20</v>
      </c>
      <c r="C510" s="54">
        <f>'DHS2021'!C509</f>
        <v>10265</v>
      </c>
      <c r="D510" s="55">
        <f>'DHS2022'!C509</f>
        <v>8490</v>
      </c>
      <c r="E510" s="55">
        <f>'DHS2023'!C509</f>
        <v>3263</v>
      </c>
      <c r="F510" s="55">
        <f>'DHS2024'!C509</f>
        <v>9236</v>
      </c>
      <c r="G510" s="56">
        <f t="shared" si="35"/>
        <v>7813.5</v>
      </c>
      <c r="H510" s="75">
        <f t="shared" si="36"/>
        <v>1.9533750000000001</v>
      </c>
      <c r="I510" s="76">
        <v>1</v>
      </c>
      <c r="J510" s="75">
        <f t="shared" si="37"/>
        <v>2.9533750000000003</v>
      </c>
      <c r="K510" s="81">
        <f t="shared" si="38"/>
        <v>3</v>
      </c>
      <c r="L510" s="11"/>
      <c r="M510" s="11"/>
      <c r="N510" s="11"/>
      <c r="O510" s="28">
        <f>'DHS2025'!C509</f>
        <v>15070</v>
      </c>
      <c r="P510" s="29">
        <f>'DHS2025'!D509</f>
        <v>10095</v>
      </c>
      <c r="Q510" s="29">
        <f>'DHS2025'!E509</f>
        <v>8040</v>
      </c>
      <c r="R510" s="62">
        <v>160.72</v>
      </c>
      <c r="S510" s="61">
        <f>(Porovnavanie!J512*0.99-1.9)*Porovnavanie!I512</f>
        <v>1263.9909119999998</v>
      </c>
    </row>
    <row r="511" spans="1:19" ht="15.75" thickBot="1">
      <c r="A511" s="101">
        <f t="shared" si="39"/>
        <v>45710</v>
      </c>
      <c r="B511" s="25" t="s">
        <v>21</v>
      </c>
      <c r="C511" s="54">
        <f>'DHS2021'!C510</f>
        <v>20067</v>
      </c>
      <c r="D511" s="55">
        <f>'DHS2022'!C510</f>
        <v>14926</v>
      </c>
      <c r="E511" s="55">
        <f>'DHS2023'!C510</f>
        <v>12148</v>
      </c>
      <c r="F511" s="55">
        <f>'DHS2024'!C510</f>
        <v>14884</v>
      </c>
      <c r="G511" s="56">
        <f t="shared" si="35"/>
        <v>15506.25</v>
      </c>
      <c r="H511" s="75">
        <f t="shared" si="36"/>
        <v>3.8765624999999999</v>
      </c>
      <c r="I511" s="76">
        <v>1</v>
      </c>
      <c r="J511" s="75">
        <f t="shared" si="37"/>
        <v>4.8765625000000004</v>
      </c>
      <c r="K511" s="81">
        <f t="shared" si="38"/>
        <v>5</v>
      </c>
      <c r="L511" s="11"/>
      <c r="M511" s="11"/>
      <c r="N511" s="11"/>
      <c r="O511" s="28">
        <f>'DHS2025'!C510</f>
        <v>22421</v>
      </c>
      <c r="P511" s="29">
        <f>'DHS2025'!D510</f>
        <v>2834</v>
      </c>
      <c r="Q511" s="29">
        <f>'DHS2025'!E510</f>
        <v>8066</v>
      </c>
      <c r="R511" s="62">
        <v>164.83</v>
      </c>
      <c r="S511" s="61">
        <f>(Porovnavanie!J513*0.99-1.9)*Porovnavanie!I513</f>
        <v>1300.8981922</v>
      </c>
    </row>
    <row r="512" spans="1:19" ht="15.75" thickBot="1">
      <c r="A512" s="101">
        <f t="shared" si="39"/>
        <v>45710</v>
      </c>
      <c r="B512" s="25" t="s">
        <v>22</v>
      </c>
      <c r="C512" s="54">
        <f>'DHS2021'!C511</f>
        <v>19352</v>
      </c>
      <c r="D512" s="55">
        <f>'DHS2022'!C511</f>
        <v>16618</v>
      </c>
      <c r="E512" s="55">
        <f>'DHS2023'!C511</f>
        <v>15505</v>
      </c>
      <c r="F512" s="55">
        <f>'DHS2024'!C511</f>
        <v>15828</v>
      </c>
      <c r="G512" s="56">
        <f t="shared" si="35"/>
        <v>16825.75</v>
      </c>
      <c r="H512" s="75">
        <f t="shared" si="36"/>
        <v>4.2064374999999998</v>
      </c>
      <c r="I512" s="76">
        <v>1</v>
      </c>
      <c r="J512" s="75">
        <f t="shared" si="37"/>
        <v>5.2064374999999998</v>
      </c>
      <c r="K512" s="81">
        <f t="shared" si="38"/>
        <v>6</v>
      </c>
      <c r="L512" s="11"/>
      <c r="M512" s="11"/>
      <c r="N512" s="11"/>
      <c r="O512" s="28">
        <f>'DHS2025'!C511</f>
        <v>22928</v>
      </c>
      <c r="P512" s="29">
        <f>'DHS2025'!D511</f>
        <v>2366</v>
      </c>
      <c r="Q512" s="29">
        <f>'DHS2025'!E511</f>
        <v>8054</v>
      </c>
      <c r="R512" s="62">
        <v>171.8</v>
      </c>
      <c r="S512" s="61">
        <f>(Porovnavanie!J514*0.99-1.9)*Porovnavanie!I514</f>
        <v>1354.5378280000002</v>
      </c>
    </row>
    <row r="513" spans="1:19" ht="15.75" thickBot="1">
      <c r="A513" s="101">
        <f t="shared" si="39"/>
        <v>45710</v>
      </c>
      <c r="B513" s="25" t="s">
        <v>23</v>
      </c>
      <c r="C513" s="54">
        <f>'DHS2021'!C512</f>
        <v>18439</v>
      </c>
      <c r="D513" s="55">
        <f>'DHS2022'!C512</f>
        <v>16088</v>
      </c>
      <c r="E513" s="55">
        <f>'DHS2023'!C512</f>
        <v>15390</v>
      </c>
      <c r="F513" s="55">
        <f>'DHS2024'!C512</f>
        <v>15568</v>
      </c>
      <c r="G513" s="56">
        <f t="shared" si="35"/>
        <v>16371.25</v>
      </c>
      <c r="H513" s="75">
        <f t="shared" si="36"/>
        <v>4.0928125</v>
      </c>
      <c r="I513" s="76">
        <v>1</v>
      </c>
      <c r="J513" s="75">
        <f t="shared" si="37"/>
        <v>5.0928125</v>
      </c>
      <c r="K513" s="81">
        <f t="shared" si="38"/>
        <v>6</v>
      </c>
      <c r="L513" s="11"/>
      <c r="M513" s="11"/>
      <c r="N513" s="11"/>
      <c r="O513" s="28">
        <f>'DHS2025'!C512</f>
        <v>21749</v>
      </c>
      <c r="P513" s="29">
        <f>'DHS2025'!D512</f>
        <v>3294</v>
      </c>
      <c r="Q513" s="29">
        <f>'DHS2025'!E512</f>
        <v>8035</v>
      </c>
      <c r="R513" s="62">
        <v>204.42</v>
      </c>
      <c r="S513" s="61">
        <f>(Porovnavanie!J515*0.99-1.9)*Porovnavanie!I515</f>
        <v>1610.8230530000001</v>
      </c>
    </row>
    <row r="514" spans="1:19" ht="15.75" thickBot="1">
      <c r="A514" s="101">
        <f t="shared" si="39"/>
        <v>45710</v>
      </c>
      <c r="B514" s="25" t="s">
        <v>24</v>
      </c>
      <c r="C514" s="54">
        <f>'DHS2021'!C513</f>
        <v>16119</v>
      </c>
      <c r="D514" s="55">
        <f>'DHS2022'!C513</f>
        <v>16479</v>
      </c>
      <c r="E514" s="55">
        <f>'DHS2023'!C513</f>
        <v>12492</v>
      </c>
      <c r="F514" s="55">
        <f>'DHS2024'!C513</f>
        <v>14774</v>
      </c>
      <c r="G514" s="56">
        <f t="shared" si="35"/>
        <v>14966</v>
      </c>
      <c r="H514" s="75">
        <f t="shared" si="36"/>
        <v>3.7414999999999998</v>
      </c>
      <c r="I514" s="76">
        <v>1</v>
      </c>
      <c r="J514" s="75">
        <f t="shared" si="37"/>
        <v>4.7415000000000003</v>
      </c>
      <c r="K514" s="81">
        <f t="shared" si="38"/>
        <v>5</v>
      </c>
      <c r="L514" s="11"/>
      <c r="M514" s="11"/>
      <c r="N514" s="11"/>
      <c r="O514" s="28">
        <f>'DHS2025'!C513</f>
        <v>19364</v>
      </c>
      <c r="P514" s="29">
        <f>'DHS2025'!D513</f>
        <v>6280</v>
      </c>
      <c r="Q514" s="29">
        <f>'DHS2025'!E513</f>
        <v>8078</v>
      </c>
      <c r="R514" s="62">
        <v>169.74</v>
      </c>
      <c r="S514" s="61">
        <f>(Porovnavanie!J516*0.99-1.9)*Porovnavanie!I516</f>
        <v>1342.0999228000001</v>
      </c>
    </row>
    <row r="515" spans="1:19" ht="15.75" thickBot="1">
      <c r="A515" s="101">
        <f t="shared" si="39"/>
        <v>45710</v>
      </c>
      <c r="B515" s="25" t="s">
        <v>25</v>
      </c>
      <c r="C515" s="54">
        <f>'DHS2021'!C514</f>
        <v>16508</v>
      </c>
      <c r="D515" s="55">
        <f>'DHS2022'!C514</f>
        <v>16569</v>
      </c>
      <c r="E515" s="55">
        <f>'DHS2023'!C514</f>
        <v>15017</v>
      </c>
      <c r="F515" s="55">
        <f>'DHS2024'!C514</f>
        <v>14033</v>
      </c>
      <c r="G515" s="56">
        <f t="shared" si="35"/>
        <v>15531.75</v>
      </c>
      <c r="H515" s="75">
        <f t="shared" si="36"/>
        <v>3.8829375000000002</v>
      </c>
      <c r="I515" s="76">
        <v>1</v>
      </c>
      <c r="J515" s="75">
        <f t="shared" si="37"/>
        <v>4.8829375000000006</v>
      </c>
      <c r="K515" s="81">
        <f t="shared" si="38"/>
        <v>5</v>
      </c>
      <c r="L515" s="11"/>
      <c r="M515" s="11"/>
      <c r="N515" s="11"/>
      <c r="O515" s="28">
        <f>'DHS2025'!C514</f>
        <v>19536</v>
      </c>
      <c r="P515" s="29">
        <f>'DHS2025'!D514</f>
        <v>5982</v>
      </c>
      <c r="Q515" s="29">
        <f>'DHS2025'!E514</f>
        <v>8077</v>
      </c>
      <c r="R515" s="62">
        <v>108.67</v>
      </c>
      <c r="S515" s="61">
        <f>(Porovnavanie!J517*0.99-1.9)*Porovnavanie!I517</f>
        <v>853.60401409999986</v>
      </c>
    </row>
    <row r="516" spans="1:19" ht="15.75" thickBot="1">
      <c r="A516" s="101">
        <f t="shared" si="39"/>
        <v>45710</v>
      </c>
      <c r="B516" s="25" t="s">
        <v>26</v>
      </c>
      <c r="C516" s="54">
        <f>'DHS2021'!C515</f>
        <v>15418</v>
      </c>
      <c r="D516" s="55">
        <f>'DHS2022'!C515</f>
        <v>16540</v>
      </c>
      <c r="E516" s="55">
        <f>'DHS2023'!C515</f>
        <v>11881</v>
      </c>
      <c r="F516" s="55">
        <f>'DHS2024'!C515</f>
        <v>13201</v>
      </c>
      <c r="G516" s="56">
        <f t="shared" ref="G516:G579" si="40">AVERAGE(C516:F516)</f>
        <v>14260</v>
      </c>
      <c r="H516" s="75">
        <f t="shared" ref="H516:H579" si="41">G516/$M$2/1000</f>
        <v>3.5649999999999999</v>
      </c>
      <c r="I516" s="76">
        <v>1</v>
      </c>
      <c r="J516" s="75">
        <f t="shared" ref="J516:J579" si="42">H516+I516</f>
        <v>4.5649999999999995</v>
      </c>
      <c r="K516" s="81">
        <f t="shared" ref="K516:K579" si="43">ROUNDUP(J516,0)</f>
        <v>5</v>
      </c>
      <c r="L516" s="11"/>
      <c r="M516" s="11"/>
      <c r="N516" s="11"/>
      <c r="O516" s="28">
        <f>'DHS2025'!C515</f>
        <v>15746</v>
      </c>
      <c r="P516" s="29">
        <f>'DHS2025'!D515</f>
        <v>8097</v>
      </c>
      <c r="Q516" s="29">
        <f>'DHS2025'!E515</f>
        <v>8037</v>
      </c>
      <c r="R516" s="62">
        <v>70.680000000000007</v>
      </c>
      <c r="S516" s="61">
        <f>(Porovnavanie!J518*0.99-1.9)*Porovnavanie!I518</f>
        <v>547.10430840000004</v>
      </c>
    </row>
    <row r="517" spans="1:19" ht="15.75" thickBot="1">
      <c r="A517" s="101">
        <f t="shared" ref="A517:A580" si="44">$A$3+INT((ROW()-3)/24)</f>
        <v>45710</v>
      </c>
      <c r="B517" s="25" t="s">
        <v>27</v>
      </c>
      <c r="C517" s="54">
        <f>'DHS2021'!C516</f>
        <v>15055</v>
      </c>
      <c r="D517" s="55">
        <f>'DHS2022'!C516</f>
        <v>13814</v>
      </c>
      <c r="E517" s="55">
        <f>'DHS2023'!C516</f>
        <v>10094</v>
      </c>
      <c r="F517" s="55">
        <f>'DHS2024'!C516</f>
        <v>12641</v>
      </c>
      <c r="G517" s="56">
        <f t="shared" si="40"/>
        <v>12901</v>
      </c>
      <c r="H517" s="75">
        <f t="shared" si="41"/>
        <v>3.22525</v>
      </c>
      <c r="I517" s="76">
        <v>1</v>
      </c>
      <c r="J517" s="75">
        <f t="shared" si="42"/>
        <v>4.22525</v>
      </c>
      <c r="K517" s="81">
        <f t="shared" si="43"/>
        <v>5</v>
      </c>
      <c r="L517" s="11"/>
      <c r="M517" s="11"/>
      <c r="N517" s="11"/>
      <c r="O517" s="28">
        <f>'DHS2025'!C516</f>
        <v>13741</v>
      </c>
      <c r="P517" s="29">
        <f>'DHS2025'!D516</f>
        <v>7186</v>
      </c>
      <c r="Q517" s="29">
        <f>'DHS2025'!E516</f>
        <v>7194</v>
      </c>
      <c r="R517" s="62">
        <v>58.3</v>
      </c>
      <c r="S517" s="61">
        <f>(Porovnavanie!J519*0.99-1.9)*Porovnavanie!I519</f>
        <v>401.54749800000002</v>
      </c>
    </row>
    <row r="518" spans="1:19" ht="15.75" thickBot="1">
      <c r="A518" s="101">
        <f t="shared" si="44"/>
        <v>45710</v>
      </c>
      <c r="B518" s="25" t="s">
        <v>28</v>
      </c>
      <c r="C518" s="54">
        <f>'DHS2021'!C517</f>
        <v>13458</v>
      </c>
      <c r="D518" s="55">
        <f>'DHS2022'!C517</f>
        <v>11569</v>
      </c>
      <c r="E518" s="55">
        <f>'DHS2023'!C517</f>
        <v>10429</v>
      </c>
      <c r="F518" s="55">
        <f>'DHS2024'!C517</f>
        <v>13789</v>
      </c>
      <c r="G518" s="56">
        <f t="shared" si="40"/>
        <v>12311.25</v>
      </c>
      <c r="H518" s="75">
        <f t="shared" si="41"/>
        <v>3.0778124999999998</v>
      </c>
      <c r="I518" s="76">
        <v>1</v>
      </c>
      <c r="J518" s="75">
        <f t="shared" si="42"/>
        <v>4.0778125000000003</v>
      </c>
      <c r="K518" s="81">
        <f t="shared" si="43"/>
        <v>5</v>
      </c>
      <c r="L518" s="11"/>
      <c r="M518" s="11"/>
      <c r="N518" s="11"/>
      <c r="O518" s="28">
        <f>'DHS2025'!C517</f>
        <v>14557</v>
      </c>
      <c r="P518" s="29">
        <f>'DHS2025'!D517</f>
        <v>5621</v>
      </c>
      <c r="Q518" s="29">
        <f>'DHS2025'!E517</f>
        <v>6655</v>
      </c>
      <c r="R518" s="62">
        <v>56.77</v>
      </c>
      <c r="S518" s="61">
        <f>(Porovnavanie!J520*0.99-1.9)*Porovnavanie!I520</f>
        <v>361.38180650000004</v>
      </c>
    </row>
    <row r="519" spans="1:19" ht="15.75" thickBot="1">
      <c r="A519" s="101">
        <f t="shared" si="44"/>
        <v>45710</v>
      </c>
      <c r="B519" s="25" t="s">
        <v>29</v>
      </c>
      <c r="C519" s="54">
        <f>'DHS2021'!C518</f>
        <v>13635</v>
      </c>
      <c r="D519" s="55">
        <f>'DHS2022'!C518</f>
        <v>11864</v>
      </c>
      <c r="E519" s="55">
        <f>'DHS2023'!C518</f>
        <v>10902</v>
      </c>
      <c r="F519" s="55">
        <f>'DHS2024'!C518</f>
        <v>13043</v>
      </c>
      <c r="G519" s="56">
        <f t="shared" si="40"/>
        <v>12361</v>
      </c>
      <c r="H519" s="75">
        <f t="shared" si="41"/>
        <v>3.0902500000000002</v>
      </c>
      <c r="I519" s="76">
        <v>1</v>
      </c>
      <c r="J519" s="75">
        <f t="shared" si="42"/>
        <v>4.0902500000000002</v>
      </c>
      <c r="K519" s="81">
        <f t="shared" si="43"/>
        <v>5</v>
      </c>
      <c r="L519" s="11"/>
      <c r="M519" s="11"/>
      <c r="N519" s="11"/>
      <c r="O519" s="28">
        <f>'DHS2025'!C518</f>
        <v>14829</v>
      </c>
      <c r="P519" s="29">
        <f>'DHS2025'!D518</f>
        <v>4155</v>
      </c>
      <c r="Q519" s="29">
        <f>'DHS2025'!E518</f>
        <v>6055</v>
      </c>
      <c r="R519" s="62">
        <v>53.09</v>
      </c>
      <c r="S519" s="61">
        <f>(Porovnavanie!J521*0.99-1.9)*Porovnavanie!I521</f>
        <v>306.74085050000002</v>
      </c>
    </row>
    <row r="520" spans="1:19" ht="15.75" thickBot="1">
      <c r="A520" s="101">
        <f t="shared" si="44"/>
        <v>45710</v>
      </c>
      <c r="B520" s="25" t="s">
        <v>30</v>
      </c>
      <c r="C520" s="54">
        <f>'DHS2021'!C519</f>
        <v>12358</v>
      </c>
      <c r="D520" s="55">
        <f>'DHS2022'!C519</f>
        <v>12718</v>
      </c>
      <c r="E520" s="55">
        <f>'DHS2023'!C519</f>
        <v>12228</v>
      </c>
      <c r="F520" s="55">
        <f>'DHS2024'!C519</f>
        <v>12130</v>
      </c>
      <c r="G520" s="56">
        <f t="shared" si="40"/>
        <v>12358.5</v>
      </c>
      <c r="H520" s="75">
        <f t="shared" si="41"/>
        <v>3.0896249999999998</v>
      </c>
      <c r="I520" s="76">
        <v>1</v>
      </c>
      <c r="J520" s="75">
        <f t="shared" si="42"/>
        <v>4.0896249999999998</v>
      </c>
      <c r="K520" s="81">
        <f t="shared" si="43"/>
        <v>5</v>
      </c>
      <c r="L520" s="11"/>
      <c r="M520" s="11"/>
      <c r="N520" s="11"/>
      <c r="O520" s="28">
        <f>'DHS2025'!C519</f>
        <v>13670</v>
      </c>
      <c r="P520" s="29">
        <f>'DHS2025'!D519</f>
        <v>5120</v>
      </c>
      <c r="Q520" s="29">
        <f>'DHS2025'!E519</f>
        <v>6065</v>
      </c>
      <c r="R520" s="62">
        <v>56.26</v>
      </c>
      <c r="S520" s="61">
        <f>(Porovnavanie!J522*0.99-1.9)*Porovnavanie!I522</f>
        <v>326.28123099999999</v>
      </c>
    </row>
    <row r="521" spans="1:19" ht="15.75" thickBot="1">
      <c r="A521" s="101">
        <f t="shared" si="44"/>
        <v>45710</v>
      </c>
      <c r="B521" s="25" t="s">
        <v>31</v>
      </c>
      <c r="C521" s="54">
        <f>'DHS2021'!C520</f>
        <v>13829</v>
      </c>
      <c r="D521" s="55">
        <f>'DHS2022'!C520</f>
        <v>12460</v>
      </c>
      <c r="E521" s="55">
        <f>'DHS2023'!C520</f>
        <v>11510</v>
      </c>
      <c r="F521" s="55">
        <f>'DHS2024'!C520</f>
        <v>10758</v>
      </c>
      <c r="G521" s="56">
        <f t="shared" si="40"/>
        <v>12139.25</v>
      </c>
      <c r="H521" s="75">
        <f t="shared" si="41"/>
        <v>3.0348125000000001</v>
      </c>
      <c r="I521" s="76">
        <v>1</v>
      </c>
      <c r="J521" s="75">
        <f t="shared" si="42"/>
        <v>4.0348125000000001</v>
      </c>
      <c r="K521" s="81">
        <f t="shared" si="43"/>
        <v>5</v>
      </c>
      <c r="L521" s="11"/>
      <c r="M521" s="11"/>
      <c r="N521" s="11"/>
      <c r="O521" s="28">
        <f>'DHS2025'!C520</f>
        <v>14083</v>
      </c>
      <c r="P521" s="29">
        <f>'DHS2025'!D520</f>
        <v>4976</v>
      </c>
      <c r="Q521" s="29">
        <f>'DHS2025'!E520</f>
        <v>6068</v>
      </c>
      <c r="R521" s="62">
        <v>68.150000000000006</v>
      </c>
      <c r="S521" s="61">
        <f>(Porovnavanie!J523*0.99-1.9)*Porovnavanie!I523</f>
        <v>397.86965799999996</v>
      </c>
    </row>
    <row r="522" spans="1:19" ht="15.75" thickBot="1">
      <c r="A522" s="101">
        <f t="shared" si="44"/>
        <v>45710</v>
      </c>
      <c r="B522" s="25" t="s">
        <v>32</v>
      </c>
      <c r="C522" s="54">
        <f>'DHS2021'!C521</f>
        <v>13716</v>
      </c>
      <c r="D522" s="55">
        <f>'DHS2022'!C521</f>
        <v>12097</v>
      </c>
      <c r="E522" s="55">
        <f>'DHS2023'!C521</f>
        <v>10699</v>
      </c>
      <c r="F522" s="55">
        <f>'DHS2024'!C521</f>
        <v>12449</v>
      </c>
      <c r="G522" s="56">
        <f t="shared" si="40"/>
        <v>12240.25</v>
      </c>
      <c r="H522" s="75">
        <f t="shared" si="41"/>
        <v>3.0600624999999999</v>
      </c>
      <c r="I522" s="76">
        <v>1</v>
      </c>
      <c r="J522" s="75">
        <f t="shared" si="42"/>
        <v>4.0600624999999999</v>
      </c>
      <c r="K522" s="81">
        <f t="shared" si="43"/>
        <v>5</v>
      </c>
      <c r="L522" s="11"/>
      <c r="M522" s="11"/>
      <c r="N522" s="11"/>
      <c r="O522" s="28">
        <f>'DHS2025'!C521</f>
        <v>14235</v>
      </c>
      <c r="P522" s="29">
        <f>'DHS2025'!D521</f>
        <v>7496</v>
      </c>
      <c r="Q522" s="29">
        <f>'DHS2025'!E521</f>
        <v>6987</v>
      </c>
      <c r="R522" s="62">
        <v>154.66999999999999</v>
      </c>
      <c r="S522" s="61">
        <f>(Porovnavanie!J524*0.99-1.9)*Porovnavanie!I524</f>
        <v>1056.5971970999999</v>
      </c>
    </row>
    <row r="523" spans="1:19" ht="15.75" thickBot="1">
      <c r="A523" s="101">
        <f t="shared" si="44"/>
        <v>45710</v>
      </c>
      <c r="B523" s="25" t="s">
        <v>33</v>
      </c>
      <c r="C523" s="54">
        <f>'DHS2021'!C522</f>
        <v>13998</v>
      </c>
      <c r="D523" s="55">
        <f>'DHS2022'!C522</f>
        <v>12377</v>
      </c>
      <c r="E523" s="55">
        <f>'DHS2023'!C522</f>
        <v>11611</v>
      </c>
      <c r="F523" s="55">
        <f>'DHS2024'!C522</f>
        <v>12106</v>
      </c>
      <c r="G523" s="56">
        <f t="shared" si="40"/>
        <v>12523</v>
      </c>
      <c r="H523" s="75">
        <f t="shared" si="41"/>
        <v>3.1307499999999999</v>
      </c>
      <c r="I523" s="76">
        <v>1</v>
      </c>
      <c r="J523" s="75">
        <f t="shared" si="42"/>
        <v>4.1307499999999999</v>
      </c>
      <c r="K523" s="81">
        <f t="shared" si="43"/>
        <v>5</v>
      </c>
      <c r="L523" s="11"/>
      <c r="M523" s="11"/>
      <c r="N523" s="11"/>
      <c r="O523" s="28">
        <f>'DHS2025'!C522</f>
        <v>14290</v>
      </c>
      <c r="P523" s="29">
        <f>'DHS2025'!D522</f>
        <v>10652</v>
      </c>
      <c r="Q523" s="29">
        <f>'DHS2025'!E522</f>
        <v>8006</v>
      </c>
      <c r="R523" s="62">
        <v>226.8</v>
      </c>
      <c r="S523" s="61">
        <f>(Porovnavanie!J525*0.99-1.9)*Porovnavanie!I525</f>
        <v>1782.3917920000001</v>
      </c>
    </row>
    <row r="524" spans="1:19" ht="15.75" thickBot="1">
      <c r="A524" s="101">
        <f t="shared" si="44"/>
        <v>45710</v>
      </c>
      <c r="B524" s="25" t="s">
        <v>34</v>
      </c>
      <c r="C524" s="54">
        <f>'DHS2021'!C523</f>
        <v>14698</v>
      </c>
      <c r="D524" s="55">
        <f>'DHS2022'!C523</f>
        <v>12343</v>
      </c>
      <c r="E524" s="55">
        <f>'DHS2023'!C523</f>
        <v>11823</v>
      </c>
      <c r="F524" s="55">
        <f>'DHS2024'!C523</f>
        <v>11766</v>
      </c>
      <c r="G524" s="56">
        <f t="shared" si="40"/>
        <v>12657.5</v>
      </c>
      <c r="H524" s="75">
        <f t="shared" si="41"/>
        <v>3.1643750000000002</v>
      </c>
      <c r="I524" s="76">
        <v>1</v>
      </c>
      <c r="J524" s="75">
        <f t="shared" si="42"/>
        <v>4.1643749999999997</v>
      </c>
      <c r="K524" s="81">
        <f t="shared" si="43"/>
        <v>5</v>
      </c>
      <c r="L524" s="11"/>
      <c r="M524" s="11"/>
      <c r="N524" s="11"/>
      <c r="O524" s="28">
        <f>'DHS2025'!C523</f>
        <v>15750</v>
      </c>
      <c r="P524" s="29">
        <f>'DHS2025'!D523</f>
        <v>8314</v>
      </c>
      <c r="Q524" s="29">
        <f>'DHS2025'!E523</f>
        <v>8065</v>
      </c>
      <c r="R524" s="62">
        <v>126.31</v>
      </c>
      <c r="S524" s="61">
        <f>(Porovnavanie!J526*0.99-1.9)*Porovnavanie!I526</f>
        <v>993.17974849999996</v>
      </c>
    </row>
    <row r="525" spans="1:19" ht="15.75" thickBot="1">
      <c r="A525" s="101">
        <f t="shared" si="44"/>
        <v>45710</v>
      </c>
      <c r="B525" s="25" t="s">
        <v>35</v>
      </c>
      <c r="C525" s="54">
        <f>'DHS2021'!C524</f>
        <v>16545</v>
      </c>
      <c r="D525" s="55">
        <f>'DHS2022'!C524</f>
        <v>14186</v>
      </c>
      <c r="E525" s="55">
        <f>'DHS2023'!C524</f>
        <v>12490</v>
      </c>
      <c r="F525" s="55">
        <f>'DHS2024'!C524</f>
        <v>13567</v>
      </c>
      <c r="G525" s="56">
        <f t="shared" si="40"/>
        <v>14197</v>
      </c>
      <c r="H525" s="75">
        <f t="shared" si="41"/>
        <v>3.5492499999999998</v>
      </c>
      <c r="I525" s="76">
        <v>1</v>
      </c>
      <c r="J525" s="75">
        <f t="shared" si="42"/>
        <v>4.5492499999999998</v>
      </c>
      <c r="K525" s="81">
        <f t="shared" si="43"/>
        <v>5</v>
      </c>
      <c r="L525" s="11"/>
      <c r="M525" s="11"/>
      <c r="N525" s="11"/>
      <c r="O525" s="28">
        <f>'DHS2025'!C524</f>
        <v>17722</v>
      </c>
      <c r="P525" s="29">
        <f>'DHS2025'!D524</f>
        <v>6396</v>
      </c>
      <c r="Q525" s="29">
        <f>'DHS2025'!E524</f>
        <v>8062</v>
      </c>
      <c r="R525" s="62">
        <v>180</v>
      </c>
      <c r="S525" s="61">
        <f>(Porovnavanie!J527*0.99-1.9)*Porovnavanie!I527</f>
        <v>1421.3305999999998</v>
      </c>
    </row>
    <row r="526" spans="1:19" ht="15.75" thickBot="1">
      <c r="A526" s="101">
        <f t="shared" si="44"/>
        <v>45710</v>
      </c>
      <c r="B526" s="25" t="s">
        <v>36</v>
      </c>
      <c r="C526" s="54">
        <f>'DHS2021'!C525</f>
        <v>17536</v>
      </c>
      <c r="D526" s="55">
        <f>'DHS2022'!C525</f>
        <v>13607</v>
      </c>
      <c r="E526" s="55">
        <f>'DHS2023'!C525</f>
        <v>12930</v>
      </c>
      <c r="F526" s="55">
        <f>'DHS2024'!C525</f>
        <v>12540</v>
      </c>
      <c r="G526" s="56">
        <f t="shared" si="40"/>
        <v>14153.25</v>
      </c>
      <c r="H526" s="75">
        <f t="shared" si="41"/>
        <v>3.5383125</v>
      </c>
      <c r="I526" s="76">
        <v>1</v>
      </c>
      <c r="J526" s="75">
        <f t="shared" si="42"/>
        <v>4.5383125</v>
      </c>
      <c r="K526" s="81">
        <f t="shared" si="43"/>
        <v>5</v>
      </c>
      <c r="L526" s="11"/>
      <c r="M526" s="11"/>
      <c r="N526" s="11"/>
      <c r="O526" s="28">
        <f>'DHS2025'!C525</f>
        <v>19255</v>
      </c>
      <c r="P526" s="29">
        <f>'DHS2025'!D525</f>
        <v>5409</v>
      </c>
      <c r="Q526" s="29">
        <f>'DHS2025'!E525</f>
        <v>8063</v>
      </c>
      <c r="R526" s="62">
        <v>165.2</v>
      </c>
      <c r="S526" s="61">
        <f>(Porovnavanie!J528*0.99-1.9)*Porovnavanie!I528</f>
        <v>1303.3678239999999</v>
      </c>
    </row>
    <row r="527" spans="1:19" ht="15.75" thickBot="1">
      <c r="A527" s="101">
        <f t="shared" si="44"/>
        <v>45710</v>
      </c>
      <c r="B527" s="25" t="s">
        <v>37</v>
      </c>
      <c r="C527" s="54">
        <f>'DHS2021'!C526</f>
        <v>16245</v>
      </c>
      <c r="D527" s="55">
        <f>'DHS2022'!C526</f>
        <v>14215</v>
      </c>
      <c r="E527" s="55">
        <f>'DHS2023'!C526</f>
        <v>13612</v>
      </c>
      <c r="F527" s="55">
        <f>'DHS2024'!C526</f>
        <v>11976</v>
      </c>
      <c r="G527" s="56">
        <f t="shared" si="40"/>
        <v>14012</v>
      </c>
      <c r="H527" s="75">
        <f t="shared" si="41"/>
        <v>3.5030000000000001</v>
      </c>
      <c r="I527" s="76">
        <v>1</v>
      </c>
      <c r="J527" s="75">
        <f t="shared" si="42"/>
        <v>4.5030000000000001</v>
      </c>
      <c r="K527" s="81">
        <f t="shared" si="43"/>
        <v>5</v>
      </c>
      <c r="L527" s="11"/>
      <c r="M527" s="11"/>
      <c r="N527" s="11"/>
      <c r="O527" s="28">
        <f>'DHS2025'!C526</f>
        <v>18478</v>
      </c>
      <c r="P527" s="29">
        <f>'DHS2025'!D526</f>
        <v>5487</v>
      </c>
      <c r="Q527" s="29">
        <f>'DHS2025'!E526</f>
        <v>8066</v>
      </c>
      <c r="R527" s="62">
        <v>193</v>
      </c>
      <c r="S527" s="61">
        <f>(Porovnavanie!J529*0.99-1.9)*Porovnavanie!I529</f>
        <v>1525.8452199999999</v>
      </c>
    </row>
    <row r="528" spans="1:19" ht="15.75" thickBot="1">
      <c r="A528" s="101">
        <f t="shared" si="44"/>
        <v>45710</v>
      </c>
      <c r="B528" s="25" t="s">
        <v>38</v>
      </c>
      <c r="C528" s="54">
        <f>'DHS2021'!C527</f>
        <v>17586</v>
      </c>
      <c r="D528" s="55">
        <f>'DHS2022'!C527</f>
        <v>14727</v>
      </c>
      <c r="E528" s="55">
        <f>'DHS2023'!C527</f>
        <v>13978</v>
      </c>
      <c r="F528" s="55">
        <f>'DHS2024'!C527</f>
        <v>12064</v>
      </c>
      <c r="G528" s="56">
        <f t="shared" si="40"/>
        <v>14588.75</v>
      </c>
      <c r="H528" s="75">
        <f t="shared" si="41"/>
        <v>3.6471874999999998</v>
      </c>
      <c r="I528" s="76">
        <v>1</v>
      </c>
      <c r="J528" s="75">
        <f t="shared" si="42"/>
        <v>4.6471874999999994</v>
      </c>
      <c r="K528" s="81">
        <f t="shared" si="43"/>
        <v>5</v>
      </c>
      <c r="L528" s="11"/>
      <c r="M528" s="11"/>
      <c r="N528" s="11"/>
      <c r="O528" s="28">
        <f>'DHS2025'!C527</f>
        <v>18532</v>
      </c>
      <c r="P528" s="29">
        <f>'DHS2025'!D527</f>
        <v>5862</v>
      </c>
      <c r="Q528" s="29">
        <f>'DHS2025'!E527</f>
        <v>8017</v>
      </c>
      <c r="R528" s="62">
        <v>168.1</v>
      </c>
      <c r="S528" s="61">
        <f>(Porovnavanie!J530*0.99-1.9)*Porovnavanie!I530</f>
        <v>1318.9488229999997</v>
      </c>
    </row>
    <row r="529" spans="1:19" ht="15.75" thickBot="1">
      <c r="A529" s="101">
        <f t="shared" si="44"/>
        <v>45710</v>
      </c>
      <c r="B529" s="25" t="s">
        <v>39</v>
      </c>
      <c r="C529" s="54">
        <f>'DHS2021'!C528</f>
        <v>15245</v>
      </c>
      <c r="D529" s="55">
        <f>'DHS2022'!C528</f>
        <v>12626</v>
      </c>
      <c r="E529" s="55">
        <f>'DHS2023'!C528</f>
        <v>12359</v>
      </c>
      <c r="F529" s="55">
        <f>'DHS2024'!C528</f>
        <v>9548</v>
      </c>
      <c r="G529" s="56">
        <f t="shared" si="40"/>
        <v>12444.5</v>
      </c>
      <c r="H529" s="75">
        <f t="shared" si="41"/>
        <v>3.1111249999999999</v>
      </c>
      <c r="I529" s="76">
        <v>1</v>
      </c>
      <c r="J529" s="75">
        <f t="shared" si="42"/>
        <v>4.1111249999999995</v>
      </c>
      <c r="K529" s="81">
        <f t="shared" si="43"/>
        <v>5</v>
      </c>
      <c r="L529" s="11"/>
      <c r="M529" s="11"/>
      <c r="N529" s="11"/>
      <c r="O529" s="28">
        <f>'DHS2025'!C528</f>
        <v>16205</v>
      </c>
      <c r="P529" s="29">
        <f>'DHS2025'!D528</f>
        <v>8286</v>
      </c>
      <c r="Q529" s="29">
        <f>'DHS2025'!E528</f>
        <v>8052</v>
      </c>
      <c r="R529" s="62">
        <v>180.23</v>
      </c>
      <c r="S529" s="61">
        <f>(Porovnavanie!J531*0.99-1.9)*Porovnavanie!I531</f>
        <v>1421.4010403999998</v>
      </c>
    </row>
    <row r="530" spans="1:19" ht="15.75" thickBot="1">
      <c r="A530" s="101">
        <f t="shared" si="44"/>
        <v>45710</v>
      </c>
      <c r="B530" s="25" t="s">
        <v>40</v>
      </c>
      <c r="C530" s="54">
        <f>'DHS2021'!C529</f>
        <v>7575</v>
      </c>
      <c r="D530" s="55">
        <f>'DHS2022'!C529</f>
        <v>7093</v>
      </c>
      <c r="E530" s="55">
        <f>'DHS2023'!C529</f>
        <v>6492</v>
      </c>
      <c r="F530" s="55">
        <f>'DHS2024'!C529</f>
        <v>4226</v>
      </c>
      <c r="G530" s="56">
        <f t="shared" si="40"/>
        <v>6346.5</v>
      </c>
      <c r="H530" s="75">
        <f t="shared" si="41"/>
        <v>1.586625</v>
      </c>
      <c r="I530" s="76">
        <v>1</v>
      </c>
      <c r="J530" s="75">
        <f t="shared" si="42"/>
        <v>2.5866249999999997</v>
      </c>
      <c r="K530" s="81">
        <f t="shared" si="43"/>
        <v>3</v>
      </c>
      <c r="L530" s="11"/>
      <c r="M530" s="11"/>
      <c r="N530" s="11"/>
      <c r="O530" s="28">
        <f>'DHS2025'!C529</f>
        <v>9517</v>
      </c>
      <c r="P530" s="29">
        <f>'DHS2025'!D529</f>
        <v>14634</v>
      </c>
      <c r="Q530" s="29">
        <f>'DHS2025'!E529</f>
        <v>8065</v>
      </c>
      <c r="R530" s="62">
        <v>211.27</v>
      </c>
      <c r="S530" s="61">
        <f>(Porovnavanie!J532*0.99-1.9)*Porovnavanie!I532</f>
        <v>1671.5301245000001</v>
      </c>
    </row>
    <row r="531" spans="1:19" ht="15.75" thickBot="1">
      <c r="A531" s="100">
        <f t="shared" si="44"/>
        <v>45711</v>
      </c>
      <c r="B531" s="24" t="s">
        <v>17</v>
      </c>
      <c r="C531" s="54">
        <f>'DHS2021'!C530</f>
        <v>8420</v>
      </c>
      <c r="D531" s="55">
        <f>'DHS2022'!C530</f>
        <v>6508</v>
      </c>
      <c r="E531" s="55">
        <f>'DHS2023'!C530</f>
        <v>6572</v>
      </c>
      <c r="F531" s="55">
        <f>'DHS2024'!C530</f>
        <v>3288</v>
      </c>
      <c r="G531" s="56">
        <f t="shared" si="40"/>
        <v>6197</v>
      </c>
      <c r="H531" s="75">
        <f t="shared" si="41"/>
        <v>1.54925</v>
      </c>
      <c r="I531" s="76">
        <v>1</v>
      </c>
      <c r="J531" s="75">
        <f t="shared" si="42"/>
        <v>2.5492499999999998</v>
      </c>
      <c r="K531" s="81">
        <f t="shared" si="43"/>
        <v>3</v>
      </c>
      <c r="L531" s="11"/>
      <c r="M531" s="11"/>
      <c r="N531" s="11"/>
      <c r="O531" s="28">
        <f>'DHS2025'!C530</f>
        <v>10762</v>
      </c>
      <c r="P531" s="29">
        <f>'DHS2025'!D530</f>
        <v>13883</v>
      </c>
      <c r="Q531" s="29">
        <f>'DHS2025'!E530</f>
        <v>8078</v>
      </c>
      <c r="R531" s="62">
        <v>164.1</v>
      </c>
      <c r="S531" s="61">
        <f>(Porovnavanie!J533*0.99-1.9)*Porovnavanie!I533</f>
        <v>1296.995602</v>
      </c>
    </row>
    <row r="532" spans="1:19" ht="15.75" thickBot="1">
      <c r="A532" s="100">
        <f t="shared" si="44"/>
        <v>45711</v>
      </c>
      <c r="B532" s="24" t="s">
        <v>18</v>
      </c>
      <c r="C532" s="54">
        <f>'DHS2021'!C531</f>
        <v>8888</v>
      </c>
      <c r="D532" s="55">
        <f>'DHS2022'!C531</f>
        <v>9765</v>
      </c>
      <c r="E532" s="55">
        <f>'DHS2023'!C531</f>
        <v>8596</v>
      </c>
      <c r="F532" s="55">
        <f>'DHS2024'!C531</f>
        <v>3156</v>
      </c>
      <c r="G532" s="56">
        <f t="shared" si="40"/>
        <v>7601.25</v>
      </c>
      <c r="H532" s="75">
        <f t="shared" si="41"/>
        <v>1.9003125000000001</v>
      </c>
      <c r="I532" s="76">
        <v>1</v>
      </c>
      <c r="J532" s="75">
        <f t="shared" si="42"/>
        <v>2.9003125000000001</v>
      </c>
      <c r="K532" s="81">
        <f t="shared" si="43"/>
        <v>3</v>
      </c>
      <c r="L532" s="11"/>
      <c r="M532" s="11"/>
      <c r="N532" s="11"/>
      <c r="O532" s="28">
        <f>'DHS2025'!C531</f>
        <v>11004</v>
      </c>
      <c r="P532" s="29">
        <f>'DHS2025'!D531</f>
        <v>13860</v>
      </c>
      <c r="Q532" s="29">
        <f>'DHS2025'!E531</f>
        <v>8056</v>
      </c>
      <c r="R532" s="62">
        <v>177.88</v>
      </c>
      <c r="S532" s="61">
        <f>(Porovnavanie!J534*0.99-1.9)*Porovnavanie!I534</f>
        <v>1403.3648671999999</v>
      </c>
    </row>
    <row r="533" spans="1:19" ht="15.75" thickBot="1">
      <c r="A533" s="100">
        <f t="shared" si="44"/>
        <v>45711</v>
      </c>
      <c r="B533" s="24" t="s">
        <v>19</v>
      </c>
      <c r="C533" s="54">
        <f>'DHS2021'!C532</f>
        <v>9833</v>
      </c>
      <c r="D533" s="55">
        <f>'DHS2022'!C532</f>
        <v>10318</v>
      </c>
      <c r="E533" s="55">
        <f>'DHS2023'!C532</f>
        <v>8400</v>
      </c>
      <c r="F533" s="55">
        <f>'DHS2024'!C532</f>
        <v>2565</v>
      </c>
      <c r="G533" s="56">
        <f t="shared" si="40"/>
        <v>7779</v>
      </c>
      <c r="H533" s="75">
        <f t="shared" si="41"/>
        <v>1.94475</v>
      </c>
      <c r="I533" s="76">
        <v>1</v>
      </c>
      <c r="J533" s="75">
        <f t="shared" si="42"/>
        <v>2.94475</v>
      </c>
      <c r="K533" s="81">
        <f t="shared" si="43"/>
        <v>3</v>
      </c>
      <c r="L533" s="11"/>
      <c r="M533" s="11"/>
      <c r="N533" s="11"/>
      <c r="O533" s="28">
        <f>'DHS2025'!C532</f>
        <v>12128</v>
      </c>
      <c r="P533" s="29">
        <f>'DHS2025'!D532</f>
        <v>11701</v>
      </c>
      <c r="Q533" s="29">
        <f>'DHS2025'!E532</f>
        <v>8014</v>
      </c>
      <c r="R533" s="62">
        <v>159.02000000000001</v>
      </c>
      <c r="S533" s="61">
        <f>(Porovnavanie!J535*0.99-1.9)*Porovnavanie!I535</f>
        <v>1246.4158171999998</v>
      </c>
    </row>
    <row r="534" spans="1:19" ht="15.75" thickBot="1">
      <c r="A534" s="100">
        <f t="shared" si="44"/>
        <v>45711</v>
      </c>
      <c r="B534" s="24" t="s">
        <v>20</v>
      </c>
      <c r="C534" s="54">
        <f>'DHS2021'!C533</f>
        <v>10066</v>
      </c>
      <c r="D534" s="55">
        <f>'DHS2022'!C533</f>
        <v>12185</v>
      </c>
      <c r="E534" s="55">
        <f>'DHS2023'!C533</f>
        <v>13470</v>
      </c>
      <c r="F534" s="55">
        <f>'DHS2024'!C533</f>
        <v>3692</v>
      </c>
      <c r="G534" s="56">
        <f t="shared" si="40"/>
        <v>9853.25</v>
      </c>
      <c r="H534" s="75">
        <f t="shared" si="41"/>
        <v>2.4633124999999998</v>
      </c>
      <c r="I534" s="76">
        <v>1</v>
      </c>
      <c r="J534" s="75">
        <f t="shared" si="42"/>
        <v>3.4633124999999998</v>
      </c>
      <c r="K534" s="81">
        <f t="shared" si="43"/>
        <v>4</v>
      </c>
      <c r="L534" s="11"/>
      <c r="M534" s="11"/>
      <c r="N534" s="11"/>
      <c r="O534" s="28">
        <f>'DHS2025'!C533</f>
        <v>13575</v>
      </c>
      <c r="P534" s="29">
        <f>'DHS2025'!D533</f>
        <v>11225</v>
      </c>
      <c r="Q534" s="29">
        <f>'DHS2025'!E533</f>
        <v>8047</v>
      </c>
      <c r="R534" s="62">
        <v>159.27000000000001</v>
      </c>
      <c r="S534" s="61">
        <f>(Porovnavanie!J536*0.99-1.9)*Porovnavanie!I536</f>
        <v>1253.5399331000001</v>
      </c>
    </row>
    <row r="535" spans="1:19" ht="15.75" thickBot="1">
      <c r="A535" s="100">
        <f t="shared" si="44"/>
        <v>45711</v>
      </c>
      <c r="B535" s="24" t="s">
        <v>21</v>
      </c>
      <c r="C535" s="54">
        <f>'DHS2021'!C534</f>
        <v>19611</v>
      </c>
      <c r="D535" s="55">
        <f>'DHS2022'!C534</f>
        <v>12416</v>
      </c>
      <c r="E535" s="55">
        <f>'DHS2023'!C534</f>
        <v>15678</v>
      </c>
      <c r="F535" s="55">
        <f>'DHS2024'!C534</f>
        <v>11614</v>
      </c>
      <c r="G535" s="56">
        <f t="shared" si="40"/>
        <v>14829.75</v>
      </c>
      <c r="H535" s="75">
        <f t="shared" si="41"/>
        <v>3.7074375000000002</v>
      </c>
      <c r="I535" s="76">
        <v>1</v>
      </c>
      <c r="J535" s="75">
        <f t="shared" si="42"/>
        <v>4.7074375000000002</v>
      </c>
      <c r="K535" s="81">
        <f t="shared" si="43"/>
        <v>5</v>
      </c>
      <c r="L535" s="11"/>
      <c r="M535" s="11"/>
      <c r="N535" s="11"/>
      <c r="O535" s="28">
        <f>'DHS2025'!C534</f>
        <v>23139</v>
      </c>
      <c r="P535" s="29">
        <f>'DHS2025'!D534</f>
        <v>2244</v>
      </c>
      <c r="Q535" s="29">
        <f>'DHS2025'!E534</f>
        <v>8072</v>
      </c>
      <c r="R535" s="62">
        <v>157.25</v>
      </c>
      <c r="S535" s="61">
        <f>(Porovnavanie!J537*0.99-1.9)*Porovnavanie!I537</f>
        <v>1241.29198</v>
      </c>
    </row>
    <row r="536" spans="1:19" ht="15.75" thickBot="1">
      <c r="A536" s="100">
        <f t="shared" si="44"/>
        <v>45711</v>
      </c>
      <c r="B536" s="24" t="s">
        <v>22</v>
      </c>
      <c r="C536" s="54">
        <f>'DHS2021'!C535</f>
        <v>18857</v>
      </c>
      <c r="D536" s="55">
        <f>'DHS2022'!C535</f>
        <v>17443</v>
      </c>
      <c r="E536" s="55">
        <f>'DHS2023'!C535</f>
        <v>17060</v>
      </c>
      <c r="F536" s="55">
        <f>'DHS2024'!C535</f>
        <v>13702</v>
      </c>
      <c r="G536" s="56">
        <f t="shared" si="40"/>
        <v>16765.5</v>
      </c>
      <c r="H536" s="75">
        <f t="shared" si="41"/>
        <v>4.1913749999999999</v>
      </c>
      <c r="I536" s="76">
        <v>1</v>
      </c>
      <c r="J536" s="75">
        <f t="shared" si="42"/>
        <v>5.1913749999999999</v>
      </c>
      <c r="K536" s="81">
        <f t="shared" si="43"/>
        <v>6</v>
      </c>
      <c r="L536" s="11"/>
      <c r="M536" s="11"/>
      <c r="N536" s="11"/>
      <c r="O536" s="28">
        <f>'DHS2025'!C535</f>
        <v>21842</v>
      </c>
      <c r="P536" s="29">
        <f>'DHS2025'!D535</f>
        <v>3046</v>
      </c>
      <c r="Q536" s="29">
        <f>'DHS2025'!E535</f>
        <v>8090</v>
      </c>
      <c r="R536" s="62">
        <v>168.62</v>
      </c>
      <c r="S536" s="61">
        <f>(Porovnavanie!J538*0.99-1.9)*Porovnavanie!I538</f>
        <v>1335.1234419999998</v>
      </c>
    </row>
    <row r="537" spans="1:19" ht="15.75" thickBot="1">
      <c r="A537" s="100">
        <f t="shared" si="44"/>
        <v>45711</v>
      </c>
      <c r="B537" s="24" t="s">
        <v>23</v>
      </c>
      <c r="C537" s="54">
        <f>'DHS2021'!C536</f>
        <v>17718</v>
      </c>
      <c r="D537" s="55">
        <f>'DHS2022'!C536</f>
        <v>16398</v>
      </c>
      <c r="E537" s="55">
        <f>'DHS2023'!C536</f>
        <v>18826</v>
      </c>
      <c r="F537" s="55">
        <f>'DHS2024'!C536</f>
        <v>14998</v>
      </c>
      <c r="G537" s="56">
        <f t="shared" si="40"/>
        <v>16985</v>
      </c>
      <c r="H537" s="75">
        <f t="shared" si="41"/>
        <v>4.2462499999999999</v>
      </c>
      <c r="I537" s="76">
        <v>1</v>
      </c>
      <c r="J537" s="75">
        <f t="shared" si="42"/>
        <v>5.2462499999999999</v>
      </c>
      <c r="K537" s="81">
        <f t="shared" si="43"/>
        <v>6</v>
      </c>
      <c r="L537" s="11"/>
      <c r="M537" s="11"/>
      <c r="N537" s="11"/>
      <c r="O537" s="28">
        <f>'DHS2025'!C536</f>
        <v>19767</v>
      </c>
      <c r="P537" s="29">
        <f>'DHS2025'!D536</f>
        <v>5208</v>
      </c>
      <c r="Q537" s="29">
        <f>'DHS2025'!E536</f>
        <v>8060</v>
      </c>
      <c r="R537" s="62">
        <v>158.82</v>
      </c>
      <c r="S537" s="61">
        <f>(Porovnavanie!J539*0.99-1.9)*Porovnavanie!I539</f>
        <v>1251.9743080000001</v>
      </c>
    </row>
    <row r="538" spans="1:19" ht="15.75" thickBot="1">
      <c r="A538" s="100">
        <f t="shared" si="44"/>
        <v>45711</v>
      </c>
      <c r="B538" s="24" t="s">
        <v>24</v>
      </c>
      <c r="C538" s="54">
        <f>'DHS2021'!C537</f>
        <v>16602</v>
      </c>
      <c r="D538" s="55">
        <f>'DHS2022'!C537</f>
        <v>15057</v>
      </c>
      <c r="E538" s="55">
        <f>'DHS2023'!C537</f>
        <v>16888</v>
      </c>
      <c r="F538" s="55">
        <f>'DHS2024'!C537</f>
        <v>14849</v>
      </c>
      <c r="G538" s="56">
        <f t="shared" si="40"/>
        <v>15849</v>
      </c>
      <c r="H538" s="75">
        <f t="shared" si="41"/>
        <v>3.96225</v>
      </c>
      <c r="I538" s="76">
        <v>1</v>
      </c>
      <c r="J538" s="75">
        <f t="shared" si="42"/>
        <v>4.96225</v>
      </c>
      <c r="K538" s="81">
        <f t="shared" si="43"/>
        <v>5</v>
      </c>
      <c r="L538" s="11"/>
      <c r="M538" s="11"/>
      <c r="N538" s="11"/>
      <c r="O538" s="28">
        <f>'DHS2025'!C537</f>
        <v>18118</v>
      </c>
      <c r="P538" s="29">
        <f>'DHS2025'!D537</f>
        <v>6559</v>
      </c>
      <c r="Q538" s="29">
        <f>'DHS2025'!E537</f>
        <v>8069</v>
      </c>
      <c r="R538" s="62">
        <v>153</v>
      </c>
      <c r="S538" s="61">
        <f>(Porovnavanie!J540*0.99-1.9)*Porovnavanie!I540</f>
        <v>1206.88033</v>
      </c>
    </row>
    <row r="539" spans="1:19" ht="15.75" thickBot="1">
      <c r="A539" s="100">
        <f t="shared" si="44"/>
        <v>45711</v>
      </c>
      <c r="B539" s="24" t="s">
        <v>25</v>
      </c>
      <c r="C539" s="54">
        <f>'DHS2021'!C538</f>
        <v>17052</v>
      </c>
      <c r="D539" s="55">
        <f>'DHS2022'!C538</f>
        <v>14548</v>
      </c>
      <c r="E539" s="55">
        <f>'DHS2023'!C538</f>
        <v>14653</v>
      </c>
      <c r="F539" s="55">
        <f>'DHS2024'!C538</f>
        <v>13666</v>
      </c>
      <c r="G539" s="56">
        <f t="shared" si="40"/>
        <v>14979.75</v>
      </c>
      <c r="H539" s="75">
        <f t="shared" si="41"/>
        <v>3.7449374999999998</v>
      </c>
      <c r="I539" s="76">
        <v>1</v>
      </c>
      <c r="J539" s="75">
        <f t="shared" si="42"/>
        <v>4.7449374999999998</v>
      </c>
      <c r="K539" s="81">
        <f t="shared" si="43"/>
        <v>5</v>
      </c>
      <c r="L539" s="11"/>
      <c r="M539" s="11"/>
      <c r="N539" s="11"/>
      <c r="O539" s="28">
        <f>'DHS2025'!C538</f>
        <v>17452</v>
      </c>
      <c r="P539" s="29">
        <f>'DHS2025'!D538</f>
        <v>6801</v>
      </c>
      <c r="Q539" s="29">
        <f>'DHS2025'!E538</f>
        <v>8045</v>
      </c>
      <c r="R539" s="62">
        <v>118.8</v>
      </c>
      <c r="S539" s="61">
        <f>(Porovnavanie!J541*0.99-1.9)*Porovnavanie!I541</f>
        <v>930.90303999999992</v>
      </c>
    </row>
    <row r="540" spans="1:19" ht="15.75" thickBot="1">
      <c r="A540" s="100">
        <f t="shared" si="44"/>
        <v>45711</v>
      </c>
      <c r="B540" s="24" t="s">
        <v>26</v>
      </c>
      <c r="C540" s="54">
        <f>'DHS2021'!C539</f>
        <v>16649</v>
      </c>
      <c r="D540" s="55">
        <f>'DHS2022'!C539</f>
        <v>16192</v>
      </c>
      <c r="E540" s="55">
        <f>'DHS2023'!C539</f>
        <v>14141</v>
      </c>
      <c r="F540" s="55">
        <f>'DHS2024'!C539</f>
        <v>13852</v>
      </c>
      <c r="G540" s="56">
        <f t="shared" si="40"/>
        <v>15208.5</v>
      </c>
      <c r="H540" s="75">
        <f t="shared" si="41"/>
        <v>3.8021250000000002</v>
      </c>
      <c r="I540" s="76">
        <v>1</v>
      </c>
      <c r="J540" s="75">
        <f t="shared" si="42"/>
        <v>4.8021250000000002</v>
      </c>
      <c r="K540" s="81">
        <f t="shared" si="43"/>
        <v>5</v>
      </c>
      <c r="L540" s="11"/>
      <c r="M540" s="11"/>
      <c r="N540" s="11"/>
      <c r="O540" s="28">
        <f>'DHS2025'!C539</f>
        <v>16553</v>
      </c>
      <c r="P540" s="29">
        <f>'DHS2025'!D539</f>
        <v>5343</v>
      </c>
      <c r="Q540" s="29">
        <f>'DHS2025'!E539</f>
        <v>7250</v>
      </c>
      <c r="R540" s="62">
        <v>101.3</v>
      </c>
      <c r="S540" s="61">
        <f>(Porovnavanie!J542*0.99-1.9)*Porovnavanie!I542</f>
        <v>713.30574999999988</v>
      </c>
    </row>
    <row r="541" spans="1:19" ht="15.75" thickBot="1">
      <c r="A541" s="100">
        <f t="shared" si="44"/>
        <v>45711</v>
      </c>
      <c r="B541" s="24" t="s">
        <v>27</v>
      </c>
      <c r="C541" s="54">
        <f>'DHS2021'!C540</f>
        <v>15309</v>
      </c>
      <c r="D541" s="55">
        <f>'DHS2022'!C540</f>
        <v>15863</v>
      </c>
      <c r="E541" s="55">
        <f>'DHS2023'!C540</f>
        <v>12328</v>
      </c>
      <c r="F541" s="55">
        <f>'DHS2024'!C540</f>
        <v>12805</v>
      </c>
      <c r="G541" s="56">
        <f t="shared" si="40"/>
        <v>14076.25</v>
      </c>
      <c r="H541" s="75">
        <f t="shared" si="41"/>
        <v>3.5190625</v>
      </c>
      <c r="I541" s="76">
        <v>1</v>
      </c>
      <c r="J541" s="75">
        <f t="shared" si="42"/>
        <v>4.5190625000000004</v>
      </c>
      <c r="K541" s="81">
        <f t="shared" si="43"/>
        <v>5</v>
      </c>
      <c r="L541" s="11"/>
      <c r="M541" s="11"/>
      <c r="N541" s="11"/>
      <c r="O541" s="28">
        <f>'DHS2025'!C540</f>
        <v>14606</v>
      </c>
      <c r="P541" s="29">
        <f>'DHS2025'!D540</f>
        <v>3623</v>
      </c>
      <c r="Q541" s="29">
        <f>'DHS2025'!E540</f>
        <v>6102</v>
      </c>
      <c r="R541" s="62">
        <v>86.11</v>
      </c>
      <c r="S541" s="61">
        <f>(Porovnavanie!J543*0.99-1.9)*Porovnavanie!I543</f>
        <v>508.59498779999996</v>
      </c>
    </row>
    <row r="542" spans="1:19" ht="15.75" thickBot="1">
      <c r="A542" s="100">
        <f t="shared" si="44"/>
        <v>45711</v>
      </c>
      <c r="B542" s="24" t="s">
        <v>28</v>
      </c>
      <c r="C542" s="54">
        <f>'DHS2021'!C541</f>
        <v>13879</v>
      </c>
      <c r="D542" s="55">
        <f>'DHS2022'!C541</f>
        <v>12760</v>
      </c>
      <c r="E542" s="55">
        <f>'DHS2023'!C541</f>
        <v>12005</v>
      </c>
      <c r="F542" s="55">
        <f>'DHS2024'!C541</f>
        <v>11914</v>
      </c>
      <c r="G542" s="56">
        <f t="shared" si="40"/>
        <v>12639.5</v>
      </c>
      <c r="H542" s="75">
        <f t="shared" si="41"/>
        <v>3.159875</v>
      </c>
      <c r="I542" s="76">
        <v>1</v>
      </c>
      <c r="J542" s="75">
        <f t="shared" si="42"/>
        <v>4.1598749999999995</v>
      </c>
      <c r="K542" s="81">
        <f t="shared" si="43"/>
        <v>5</v>
      </c>
      <c r="L542" s="11"/>
      <c r="M542" s="11"/>
      <c r="N542" s="11"/>
      <c r="O542" s="28">
        <f>'DHS2025'!C541</f>
        <v>13641</v>
      </c>
      <c r="P542" s="29">
        <f>'DHS2025'!D541</f>
        <v>2413</v>
      </c>
      <c r="Q542" s="29">
        <f>'DHS2025'!E541</f>
        <v>5119</v>
      </c>
      <c r="R542" s="62">
        <v>87.81</v>
      </c>
      <c r="S542" s="61">
        <f>(Porovnavanie!J544*0.99-1.9)*Porovnavanie!I544</f>
        <v>435.27829609999992</v>
      </c>
    </row>
    <row r="543" spans="1:19" ht="15.75" thickBot="1">
      <c r="A543" s="100">
        <f t="shared" si="44"/>
        <v>45711</v>
      </c>
      <c r="B543" s="24" t="s">
        <v>29</v>
      </c>
      <c r="C543" s="54">
        <f>'DHS2021'!C542</f>
        <v>13901</v>
      </c>
      <c r="D543" s="55">
        <f>'DHS2022'!C542</f>
        <v>13897</v>
      </c>
      <c r="E543" s="55">
        <f>'DHS2023'!C542</f>
        <v>11505</v>
      </c>
      <c r="F543" s="55">
        <f>'DHS2024'!C542</f>
        <v>12271</v>
      </c>
      <c r="G543" s="56">
        <f t="shared" si="40"/>
        <v>12893.5</v>
      </c>
      <c r="H543" s="75">
        <f t="shared" si="41"/>
        <v>3.2233749999999999</v>
      </c>
      <c r="I543" s="76">
        <v>1</v>
      </c>
      <c r="J543" s="75">
        <f t="shared" si="42"/>
        <v>4.2233749999999999</v>
      </c>
      <c r="K543" s="81">
        <f t="shared" si="43"/>
        <v>5</v>
      </c>
      <c r="L543" s="11"/>
      <c r="M543" s="11"/>
      <c r="N543" s="11"/>
      <c r="O543" s="28">
        <f>'DHS2025'!C542</f>
        <v>11402</v>
      </c>
      <c r="P543" s="29">
        <f>'DHS2025'!D542</f>
        <v>1220</v>
      </c>
      <c r="Q543" s="29">
        <f>'DHS2025'!E542</f>
        <v>4961</v>
      </c>
      <c r="R543" s="62">
        <v>74.02</v>
      </c>
      <c r="S543" s="61">
        <f>(Porovnavanie!J545*0.99-1.9)*Porovnavanie!I545</f>
        <v>354.11518779999994</v>
      </c>
    </row>
    <row r="544" spans="1:19" ht="15.75" thickBot="1">
      <c r="A544" s="100">
        <f t="shared" si="44"/>
        <v>45711</v>
      </c>
      <c r="B544" s="24" t="s">
        <v>30</v>
      </c>
      <c r="C544" s="54">
        <f>'DHS2021'!C543</f>
        <v>12819</v>
      </c>
      <c r="D544" s="55">
        <f>'DHS2022'!C543</f>
        <v>12826</v>
      </c>
      <c r="E544" s="55">
        <f>'DHS2023'!C543</f>
        <v>10317</v>
      </c>
      <c r="F544" s="55">
        <f>'DHS2024'!C543</f>
        <v>12496</v>
      </c>
      <c r="G544" s="56">
        <f t="shared" si="40"/>
        <v>12114.5</v>
      </c>
      <c r="H544" s="75">
        <f t="shared" si="41"/>
        <v>3.0286249999999999</v>
      </c>
      <c r="I544" s="76">
        <v>1</v>
      </c>
      <c r="J544" s="75">
        <f t="shared" si="42"/>
        <v>4.0286249999999999</v>
      </c>
      <c r="K544" s="81">
        <f t="shared" si="43"/>
        <v>5</v>
      </c>
      <c r="L544" s="11"/>
      <c r="M544" s="11"/>
      <c r="N544" s="11"/>
      <c r="O544" s="28">
        <f>'DHS2025'!C543</f>
        <v>12581</v>
      </c>
      <c r="P544" s="29">
        <f>'DHS2025'!D543</f>
        <v>3637</v>
      </c>
      <c r="Q544" s="29">
        <f>'DHS2025'!E543</f>
        <v>5065</v>
      </c>
      <c r="R544" s="62">
        <v>73.400000000000006</v>
      </c>
      <c r="S544" s="61">
        <f>(Porovnavanie!J546*0.99-1.9)*Porovnavanie!I546</f>
        <v>358.42979000000008</v>
      </c>
    </row>
    <row r="545" spans="1:19" ht="15.75" thickBot="1">
      <c r="A545" s="100">
        <f t="shared" si="44"/>
        <v>45711</v>
      </c>
      <c r="B545" s="24" t="s">
        <v>31</v>
      </c>
      <c r="C545" s="54">
        <f>'DHS2021'!C544</f>
        <v>11793</v>
      </c>
      <c r="D545" s="55">
        <f>'DHS2022'!C544</f>
        <v>11389</v>
      </c>
      <c r="E545" s="55">
        <f>'DHS2023'!C544</f>
        <v>10074</v>
      </c>
      <c r="F545" s="55">
        <f>'DHS2024'!C544</f>
        <v>11567</v>
      </c>
      <c r="G545" s="56">
        <f t="shared" si="40"/>
        <v>11205.75</v>
      </c>
      <c r="H545" s="75">
        <f t="shared" si="41"/>
        <v>2.8014375</v>
      </c>
      <c r="I545" s="76">
        <v>1</v>
      </c>
      <c r="J545" s="75">
        <f t="shared" si="42"/>
        <v>3.8014375</v>
      </c>
      <c r="K545" s="81">
        <f t="shared" si="43"/>
        <v>4</v>
      </c>
      <c r="L545" s="11"/>
      <c r="M545" s="11"/>
      <c r="N545" s="11"/>
      <c r="O545" s="28">
        <f>'DHS2025'!C544</f>
        <v>13086</v>
      </c>
      <c r="P545" s="29">
        <f>'DHS2025'!D544</f>
        <v>2774</v>
      </c>
      <c r="Q545" s="29">
        <f>'DHS2025'!E544</f>
        <v>5051</v>
      </c>
      <c r="R545" s="62">
        <v>101.32</v>
      </c>
      <c r="S545" s="61">
        <f>(Porovnavanie!J547*0.99-1.9)*Porovnavanie!I547</f>
        <v>497.05274679999997</v>
      </c>
    </row>
    <row r="546" spans="1:19" ht="15.75" thickBot="1">
      <c r="A546" s="100">
        <f t="shared" si="44"/>
        <v>45711</v>
      </c>
      <c r="B546" s="24" t="s">
        <v>32</v>
      </c>
      <c r="C546" s="54">
        <f>'DHS2021'!C545</f>
        <v>12687</v>
      </c>
      <c r="D546" s="55">
        <f>'DHS2022'!C545</f>
        <v>12152</v>
      </c>
      <c r="E546" s="55">
        <f>'DHS2023'!C545</f>
        <v>11040</v>
      </c>
      <c r="F546" s="55">
        <f>'DHS2024'!C545</f>
        <v>11165</v>
      </c>
      <c r="G546" s="56">
        <f t="shared" si="40"/>
        <v>11761</v>
      </c>
      <c r="H546" s="75">
        <f t="shared" si="41"/>
        <v>2.9402499999999998</v>
      </c>
      <c r="I546" s="76">
        <v>1</v>
      </c>
      <c r="J546" s="75">
        <f t="shared" si="42"/>
        <v>3.9402499999999998</v>
      </c>
      <c r="K546" s="81">
        <f t="shared" si="43"/>
        <v>4</v>
      </c>
      <c r="L546" s="11"/>
      <c r="M546" s="11"/>
      <c r="N546" s="11"/>
      <c r="O546" s="28">
        <f>'DHS2025'!C545</f>
        <v>13151</v>
      </c>
      <c r="P546" s="29">
        <f>'DHS2025'!D545</f>
        <v>2601</v>
      </c>
      <c r="Q546" s="29">
        <f>'DHS2025'!E545</f>
        <v>5040</v>
      </c>
      <c r="R546" s="62">
        <v>134.66</v>
      </c>
      <c r="S546" s="61">
        <f>(Porovnavanie!J548*0.99-1.9)*Porovnavanie!I548</f>
        <v>662.32353599999999</v>
      </c>
    </row>
    <row r="547" spans="1:19" ht="15.75" thickBot="1">
      <c r="A547" s="100">
        <f t="shared" si="44"/>
        <v>45711</v>
      </c>
      <c r="B547" s="24" t="s">
        <v>33</v>
      </c>
      <c r="C547" s="54">
        <f>'DHS2021'!C546</f>
        <v>12694</v>
      </c>
      <c r="D547" s="55">
        <f>'DHS2022'!C546</f>
        <v>13331</v>
      </c>
      <c r="E547" s="55">
        <f>'DHS2023'!C546</f>
        <v>11649</v>
      </c>
      <c r="F547" s="55">
        <f>'DHS2024'!C546</f>
        <v>12360</v>
      </c>
      <c r="G547" s="56">
        <f t="shared" si="40"/>
        <v>12508.5</v>
      </c>
      <c r="H547" s="75">
        <f t="shared" si="41"/>
        <v>3.1271249999999999</v>
      </c>
      <c r="I547" s="76">
        <v>1</v>
      </c>
      <c r="J547" s="75">
        <f t="shared" si="42"/>
        <v>4.1271249999999995</v>
      </c>
      <c r="K547" s="81">
        <f t="shared" si="43"/>
        <v>5</v>
      </c>
      <c r="L547" s="11"/>
      <c r="M547" s="11"/>
      <c r="N547" s="11"/>
      <c r="O547" s="28">
        <f>'DHS2025'!C546</f>
        <v>13126</v>
      </c>
      <c r="P547" s="29">
        <f>'DHS2025'!D546</f>
        <v>7431</v>
      </c>
      <c r="Q547" s="29">
        <f>'DHS2025'!E546</f>
        <v>6976</v>
      </c>
      <c r="R547" s="62">
        <v>161.24</v>
      </c>
      <c r="S547" s="61">
        <f>(Porovnavanie!J549*0.99-1.9)*Porovnavanie!I549</f>
        <v>1100.3077375999999</v>
      </c>
    </row>
    <row r="548" spans="1:19" ht="15.75" thickBot="1">
      <c r="A548" s="100">
        <f t="shared" si="44"/>
        <v>45711</v>
      </c>
      <c r="B548" s="24" t="s">
        <v>34</v>
      </c>
      <c r="C548" s="54">
        <f>'DHS2021'!C547</f>
        <v>14731</v>
      </c>
      <c r="D548" s="55">
        <f>'DHS2022'!C547</f>
        <v>13333</v>
      </c>
      <c r="E548" s="55">
        <f>'DHS2023'!C547</f>
        <v>11826</v>
      </c>
      <c r="F548" s="55">
        <f>'DHS2024'!C547</f>
        <v>11999</v>
      </c>
      <c r="G548" s="56">
        <f t="shared" si="40"/>
        <v>12972.25</v>
      </c>
      <c r="H548" s="75">
        <f t="shared" si="41"/>
        <v>3.2430625000000002</v>
      </c>
      <c r="I548" s="76">
        <v>1</v>
      </c>
      <c r="J548" s="75">
        <f t="shared" si="42"/>
        <v>4.2430625000000006</v>
      </c>
      <c r="K548" s="81">
        <f t="shared" si="43"/>
        <v>5</v>
      </c>
      <c r="L548" s="11"/>
      <c r="M548" s="11"/>
      <c r="N548" s="11"/>
      <c r="O548" s="28">
        <f>'DHS2025'!C547</f>
        <v>15447</v>
      </c>
      <c r="P548" s="29">
        <f>'DHS2025'!D547</f>
        <v>9565</v>
      </c>
      <c r="Q548" s="29">
        <f>'DHS2025'!E547</f>
        <v>8029</v>
      </c>
      <c r="R548" s="62">
        <v>118.64</v>
      </c>
      <c r="S548" s="61">
        <f>(Porovnavanie!J550*0.99-1.9)*Porovnavanie!I550</f>
        <v>927.77985439999986</v>
      </c>
    </row>
    <row r="549" spans="1:19" ht="15.75" thickBot="1">
      <c r="A549" s="100">
        <f t="shared" si="44"/>
        <v>45711</v>
      </c>
      <c r="B549" s="24" t="s">
        <v>35</v>
      </c>
      <c r="C549" s="54">
        <f>'DHS2021'!C548</f>
        <v>15501</v>
      </c>
      <c r="D549" s="55">
        <f>'DHS2022'!C548</f>
        <v>14721</v>
      </c>
      <c r="E549" s="55">
        <f>'DHS2023'!C548</f>
        <v>12911</v>
      </c>
      <c r="F549" s="55">
        <f>'DHS2024'!C548</f>
        <v>11245</v>
      </c>
      <c r="G549" s="56">
        <f t="shared" si="40"/>
        <v>13594.5</v>
      </c>
      <c r="H549" s="75">
        <f t="shared" si="41"/>
        <v>3.398625</v>
      </c>
      <c r="I549" s="76">
        <v>1</v>
      </c>
      <c r="J549" s="75">
        <f t="shared" si="42"/>
        <v>4.398625</v>
      </c>
      <c r="K549" s="81">
        <f t="shared" si="43"/>
        <v>5</v>
      </c>
      <c r="L549" s="11"/>
      <c r="M549" s="11"/>
      <c r="N549" s="11"/>
      <c r="O549" s="28">
        <f>'DHS2025'!C548</f>
        <v>16842</v>
      </c>
      <c r="P549" s="29">
        <f>'DHS2025'!D548</f>
        <v>7483</v>
      </c>
      <c r="Q549" s="29">
        <f>'DHS2025'!E548</f>
        <v>8054</v>
      </c>
      <c r="R549" s="62">
        <v>131.41999999999999</v>
      </c>
      <c r="S549" s="61">
        <f>(Porovnavanie!J551*0.99-1.9)*Porovnavanie!I551</f>
        <v>1032.5695131999998</v>
      </c>
    </row>
    <row r="550" spans="1:19" ht="15.75" thickBot="1">
      <c r="A550" s="100">
        <f t="shared" si="44"/>
        <v>45711</v>
      </c>
      <c r="B550" s="24" t="s">
        <v>36</v>
      </c>
      <c r="C550" s="54">
        <f>'DHS2021'!C549</f>
        <v>15979</v>
      </c>
      <c r="D550" s="55">
        <f>'DHS2022'!C549</f>
        <v>14272</v>
      </c>
      <c r="E550" s="55">
        <f>'DHS2023'!C549</f>
        <v>13199</v>
      </c>
      <c r="F550" s="55">
        <f>'DHS2024'!C549</f>
        <v>12070</v>
      </c>
      <c r="G550" s="56">
        <f t="shared" si="40"/>
        <v>13880</v>
      </c>
      <c r="H550" s="75">
        <f t="shared" si="41"/>
        <v>3.47</v>
      </c>
      <c r="I550" s="76">
        <v>1</v>
      </c>
      <c r="J550" s="75">
        <f t="shared" si="42"/>
        <v>4.4700000000000006</v>
      </c>
      <c r="K550" s="81">
        <f t="shared" si="43"/>
        <v>5</v>
      </c>
      <c r="L550" s="11"/>
      <c r="M550" s="11"/>
      <c r="N550" s="11"/>
      <c r="O550" s="28">
        <f>'DHS2025'!C549</f>
        <v>17472</v>
      </c>
      <c r="P550" s="29">
        <f>'DHS2025'!D549</f>
        <v>6868</v>
      </c>
      <c r="Q550" s="29">
        <f>'DHS2025'!E549</f>
        <v>8080</v>
      </c>
      <c r="R550" s="62">
        <v>121.58</v>
      </c>
      <c r="S550" s="61">
        <f>(Porovnavanie!J552*0.99-1.9)*Porovnavanie!I552</f>
        <v>957.1907359999999</v>
      </c>
    </row>
    <row r="551" spans="1:19" ht="15.75" thickBot="1">
      <c r="A551" s="100">
        <f t="shared" si="44"/>
        <v>45711</v>
      </c>
      <c r="B551" s="24" t="s">
        <v>37</v>
      </c>
      <c r="C551" s="54">
        <f>'DHS2021'!C550</f>
        <v>16882</v>
      </c>
      <c r="D551" s="55">
        <f>'DHS2022'!C550</f>
        <v>15361</v>
      </c>
      <c r="E551" s="55">
        <f>'DHS2023'!C550</f>
        <v>13901</v>
      </c>
      <c r="F551" s="55">
        <f>'DHS2024'!C550</f>
        <v>11968</v>
      </c>
      <c r="G551" s="56">
        <f t="shared" si="40"/>
        <v>14528</v>
      </c>
      <c r="H551" s="75">
        <f t="shared" si="41"/>
        <v>3.6320000000000001</v>
      </c>
      <c r="I551" s="76">
        <v>1</v>
      </c>
      <c r="J551" s="75">
        <f t="shared" si="42"/>
        <v>4.6319999999999997</v>
      </c>
      <c r="K551" s="81">
        <f t="shared" si="43"/>
        <v>5</v>
      </c>
      <c r="L551" s="11"/>
      <c r="M551" s="11"/>
      <c r="N551" s="11"/>
      <c r="O551" s="28">
        <f>'DHS2025'!C550</f>
        <v>16640</v>
      </c>
      <c r="P551" s="29">
        <f>'DHS2025'!D550</f>
        <v>7158</v>
      </c>
      <c r="Q551" s="29">
        <f>'DHS2025'!E550</f>
        <v>8082</v>
      </c>
      <c r="R551" s="62">
        <v>155</v>
      </c>
      <c r="S551" s="61">
        <f>(Porovnavanie!J553*0.99-1.9)*Porovnavanie!I553</f>
        <v>1224.8271</v>
      </c>
    </row>
    <row r="552" spans="1:19" ht="15.75" thickBot="1">
      <c r="A552" s="100">
        <f t="shared" si="44"/>
        <v>45711</v>
      </c>
      <c r="B552" s="24" t="s">
        <v>38</v>
      </c>
      <c r="C552" s="54">
        <f>'DHS2021'!C551</f>
        <v>16572</v>
      </c>
      <c r="D552" s="55">
        <f>'DHS2022'!C551</f>
        <v>14814</v>
      </c>
      <c r="E552" s="55">
        <f>'DHS2023'!C551</f>
        <v>12497</v>
      </c>
      <c r="F552" s="55">
        <f>'DHS2024'!C551</f>
        <v>11622</v>
      </c>
      <c r="G552" s="56">
        <f t="shared" si="40"/>
        <v>13876.25</v>
      </c>
      <c r="H552" s="75">
        <f t="shared" si="41"/>
        <v>3.4690625000000002</v>
      </c>
      <c r="I552" s="76">
        <v>1</v>
      </c>
      <c r="J552" s="75">
        <f t="shared" si="42"/>
        <v>4.4690624999999997</v>
      </c>
      <c r="K552" s="81">
        <f t="shared" si="43"/>
        <v>5</v>
      </c>
      <c r="L552" s="11"/>
      <c r="M552" s="11"/>
      <c r="N552" s="11"/>
      <c r="O552" s="28">
        <f>'DHS2025'!C551</f>
        <v>17181</v>
      </c>
      <c r="P552" s="29">
        <f>'DHS2025'!D551</f>
        <v>7018</v>
      </c>
      <c r="Q552" s="29">
        <f>'DHS2025'!E551</f>
        <v>8044</v>
      </c>
      <c r="R552" s="62">
        <v>150</v>
      </c>
      <c r="S552" s="61">
        <f>(Porovnavanie!J554*0.99-1.9)*Porovnavanie!I554</f>
        <v>1179.2504000000001</v>
      </c>
    </row>
    <row r="553" spans="1:19" ht="15.75" thickBot="1">
      <c r="A553" s="100">
        <f t="shared" si="44"/>
        <v>45711</v>
      </c>
      <c r="B553" s="24" t="s">
        <v>39</v>
      </c>
      <c r="C553" s="54">
        <f>'DHS2021'!C552</f>
        <v>14069</v>
      </c>
      <c r="D553" s="55">
        <f>'DHS2022'!C552</f>
        <v>12250</v>
      </c>
      <c r="E553" s="55">
        <f>'DHS2023'!C552</f>
        <v>12036</v>
      </c>
      <c r="F553" s="55">
        <f>'DHS2024'!C552</f>
        <v>10082</v>
      </c>
      <c r="G553" s="56">
        <f t="shared" si="40"/>
        <v>12109.25</v>
      </c>
      <c r="H553" s="75">
        <f t="shared" si="41"/>
        <v>3.0273124999999999</v>
      </c>
      <c r="I553" s="76">
        <v>1</v>
      </c>
      <c r="J553" s="75">
        <f t="shared" si="42"/>
        <v>4.0273124999999999</v>
      </c>
      <c r="K553" s="81">
        <f t="shared" si="43"/>
        <v>5</v>
      </c>
      <c r="L553" s="11"/>
      <c r="M553" s="11"/>
      <c r="N553" s="11"/>
      <c r="O553" s="28">
        <f>'DHS2025'!C552</f>
        <v>14132</v>
      </c>
      <c r="P553" s="29">
        <f>'DHS2025'!D552</f>
        <v>10359</v>
      </c>
      <c r="Q553" s="29">
        <f>'DHS2025'!E552</f>
        <v>8044</v>
      </c>
      <c r="R553" s="62">
        <v>184.21</v>
      </c>
      <c r="S553" s="61">
        <f>(Porovnavanie!J555*0.99-1.9)*Porovnavanie!I555</f>
        <v>1451.6837876000002</v>
      </c>
    </row>
    <row r="554" spans="1:19" ht="15.75" thickBot="1">
      <c r="A554" s="100">
        <f t="shared" si="44"/>
        <v>45711</v>
      </c>
      <c r="B554" s="24" t="s">
        <v>40</v>
      </c>
      <c r="C554" s="54">
        <f>'DHS2021'!C553</f>
        <v>7337</v>
      </c>
      <c r="D554" s="55">
        <f>'DHS2022'!C553</f>
        <v>7098</v>
      </c>
      <c r="E554" s="55">
        <f>'DHS2023'!C553</f>
        <v>5482</v>
      </c>
      <c r="F554" s="55">
        <f>'DHS2024'!C553</f>
        <v>5646</v>
      </c>
      <c r="G554" s="56">
        <f t="shared" si="40"/>
        <v>6390.75</v>
      </c>
      <c r="H554" s="75">
        <f t="shared" si="41"/>
        <v>1.5976874999999999</v>
      </c>
      <c r="I554" s="76">
        <v>1</v>
      </c>
      <c r="J554" s="75">
        <f t="shared" si="42"/>
        <v>2.5976875000000001</v>
      </c>
      <c r="K554" s="81">
        <f t="shared" si="43"/>
        <v>3</v>
      </c>
      <c r="L554" s="11"/>
      <c r="M554" s="11"/>
      <c r="N554" s="11"/>
      <c r="O554" s="28">
        <f>'DHS2025'!C553</f>
        <v>7213</v>
      </c>
      <c r="P554" s="29">
        <f>'DHS2025'!D553</f>
        <v>16884</v>
      </c>
      <c r="Q554" s="29">
        <f>'DHS2025'!E553</f>
        <v>8046</v>
      </c>
      <c r="R554" s="62">
        <v>130.44</v>
      </c>
      <c r="S554" s="61">
        <f>(Porovnavanie!J556*0.99-1.9)*Porovnavanie!I556</f>
        <v>1023.7376375999997</v>
      </c>
    </row>
    <row r="555" spans="1:19" ht="15.75" thickBot="1">
      <c r="A555" s="101">
        <f t="shared" si="44"/>
        <v>45712</v>
      </c>
      <c r="B555" s="25" t="s">
        <v>17</v>
      </c>
      <c r="C555" s="54">
        <f>'DHS2021'!C554</f>
        <v>7954</v>
      </c>
      <c r="D555" s="55">
        <f>'DHS2022'!C554</f>
        <v>6602</v>
      </c>
      <c r="E555" s="55">
        <f>'DHS2023'!C554</f>
        <v>6238</v>
      </c>
      <c r="F555" s="55">
        <f>'DHS2024'!C554</f>
        <v>2775</v>
      </c>
      <c r="G555" s="56">
        <f t="shared" si="40"/>
        <v>5892.25</v>
      </c>
      <c r="H555" s="75">
        <f t="shared" si="41"/>
        <v>1.4730624999999999</v>
      </c>
      <c r="I555" s="76">
        <v>1</v>
      </c>
      <c r="J555" s="75">
        <f t="shared" si="42"/>
        <v>2.4730625000000002</v>
      </c>
      <c r="K555" s="81">
        <f t="shared" si="43"/>
        <v>3</v>
      </c>
      <c r="L555" s="11"/>
      <c r="M555" s="11"/>
      <c r="N555" s="11"/>
      <c r="O555" s="28">
        <f>'DHS2025'!C554</f>
        <v>7297</v>
      </c>
      <c r="P555" s="29">
        <f>'DHS2025'!D554</f>
        <v>16834</v>
      </c>
      <c r="Q555" s="29">
        <f>'DHS2025'!E554</f>
        <v>8076</v>
      </c>
      <c r="R555" s="62">
        <v>165.93</v>
      </c>
      <c r="S555" s="61">
        <f>(Porovnavanie!J557*0.99-1.9)*Porovnavanie!I557</f>
        <v>1311.3057732</v>
      </c>
    </row>
    <row r="556" spans="1:19" ht="15.75" thickBot="1">
      <c r="A556" s="101">
        <f t="shared" si="44"/>
        <v>45712</v>
      </c>
      <c r="B556" s="25" t="s">
        <v>18</v>
      </c>
      <c r="C556" s="54">
        <f>'DHS2021'!C555</f>
        <v>8511</v>
      </c>
      <c r="D556" s="55">
        <f>'DHS2022'!C555</f>
        <v>8548</v>
      </c>
      <c r="E556" s="55">
        <f>'DHS2023'!C555</f>
        <v>7869</v>
      </c>
      <c r="F556" s="55">
        <f>'DHS2024'!C555</f>
        <v>2695</v>
      </c>
      <c r="G556" s="56">
        <f t="shared" si="40"/>
        <v>6905.75</v>
      </c>
      <c r="H556" s="75">
        <f t="shared" si="41"/>
        <v>1.7264375000000001</v>
      </c>
      <c r="I556" s="76">
        <v>1</v>
      </c>
      <c r="J556" s="75">
        <f t="shared" si="42"/>
        <v>2.7264375000000003</v>
      </c>
      <c r="K556" s="81">
        <f t="shared" si="43"/>
        <v>3</v>
      </c>
      <c r="L556" s="11"/>
      <c r="M556" s="11"/>
      <c r="N556" s="11"/>
      <c r="O556" s="28">
        <f>'DHS2025'!C555</f>
        <v>8008</v>
      </c>
      <c r="P556" s="29">
        <f>'DHS2025'!D555</f>
        <v>15879</v>
      </c>
      <c r="Q556" s="29">
        <f>'DHS2025'!E555</f>
        <v>8055</v>
      </c>
      <c r="R556" s="62">
        <v>143.24</v>
      </c>
      <c r="S556" s="61">
        <f>(Porovnavanie!J558*0.99-1.9)*Porovnavanie!I558</f>
        <v>1126.9557179999999</v>
      </c>
    </row>
    <row r="557" spans="1:19" ht="15.75" thickBot="1">
      <c r="A557" s="101">
        <f t="shared" si="44"/>
        <v>45712</v>
      </c>
      <c r="B557" s="25" t="s">
        <v>19</v>
      </c>
      <c r="C557" s="54">
        <f>'DHS2021'!C556</f>
        <v>10330</v>
      </c>
      <c r="D557" s="55">
        <f>'DHS2022'!C556</f>
        <v>10289</v>
      </c>
      <c r="E557" s="55">
        <f>'DHS2023'!C556</f>
        <v>7530</v>
      </c>
      <c r="F557" s="55">
        <f>'DHS2024'!C556</f>
        <v>2608</v>
      </c>
      <c r="G557" s="56">
        <f t="shared" si="40"/>
        <v>7689.25</v>
      </c>
      <c r="H557" s="75">
        <f t="shared" si="41"/>
        <v>1.9223125000000001</v>
      </c>
      <c r="I557" s="76">
        <v>1</v>
      </c>
      <c r="J557" s="75">
        <f t="shared" si="42"/>
        <v>2.9223125000000003</v>
      </c>
      <c r="K557" s="81">
        <f t="shared" si="43"/>
        <v>3</v>
      </c>
      <c r="L557" s="11"/>
      <c r="M557" s="11"/>
      <c r="N557" s="11"/>
      <c r="O557" s="28">
        <f>'DHS2025'!C556</f>
        <v>10450</v>
      </c>
      <c r="P557" s="29">
        <f>'DHS2025'!D556</f>
        <v>14125</v>
      </c>
      <c r="Q557" s="29">
        <f>'DHS2025'!E556</f>
        <v>8075</v>
      </c>
      <c r="R557" s="62">
        <v>139.19</v>
      </c>
      <c r="S557" s="61">
        <f>(Porovnavanie!J559*0.99-1.9)*Porovnavanie!I559</f>
        <v>1097.3771574999998</v>
      </c>
    </row>
    <row r="558" spans="1:19" ht="15.75" thickBot="1">
      <c r="A558" s="101">
        <f t="shared" si="44"/>
        <v>45712</v>
      </c>
      <c r="B558" s="25" t="s">
        <v>20</v>
      </c>
      <c r="C558" s="54">
        <f>'DHS2021'!C557</f>
        <v>10867</v>
      </c>
      <c r="D558" s="55">
        <f>'DHS2022'!C557</f>
        <v>12492</v>
      </c>
      <c r="E558" s="55">
        <f>'DHS2023'!C557</f>
        <v>8314</v>
      </c>
      <c r="F558" s="55">
        <f>'DHS2024'!C557</f>
        <v>2742</v>
      </c>
      <c r="G558" s="56">
        <f t="shared" si="40"/>
        <v>8603.75</v>
      </c>
      <c r="H558" s="75">
        <f t="shared" si="41"/>
        <v>2.1509374999999999</v>
      </c>
      <c r="I558" s="76">
        <v>1</v>
      </c>
      <c r="J558" s="75">
        <f t="shared" si="42"/>
        <v>3.1509374999999999</v>
      </c>
      <c r="K558" s="81">
        <f t="shared" si="43"/>
        <v>4</v>
      </c>
      <c r="L558" s="11"/>
      <c r="M558" s="11"/>
      <c r="N558" s="11"/>
      <c r="O558" s="28">
        <f>'DHS2025'!C557</f>
        <v>11915</v>
      </c>
      <c r="P558" s="29">
        <f>'DHS2025'!D557</f>
        <v>12334</v>
      </c>
      <c r="Q558" s="29">
        <f>'DHS2025'!E557</f>
        <v>8054</v>
      </c>
      <c r="R558" s="62">
        <v>142.46</v>
      </c>
      <c r="S558" s="61">
        <f>(Porovnavanie!J560*0.99-1.9)*Porovnavanie!I560</f>
        <v>1120.5965116</v>
      </c>
    </row>
    <row r="559" spans="1:19" ht="15.75" thickBot="1">
      <c r="A559" s="101">
        <f t="shared" si="44"/>
        <v>45712</v>
      </c>
      <c r="B559" s="25" t="s">
        <v>21</v>
      </c>
      <c r="C559" s="54">
        <f>'DHS2021'!C558</f>
        <v>20368</v>
      </c>
      <c r="D559" s="55">
        <f>'DHS2022'!C558</f>
        <v>14327</v>
      </c>
      <c r="E559" s="55">
        <f>'DHS2023'!C558</f>
        <v>13445</v>
      </c>
      <c r="F559" s="55">
        <f>'DHS2024'!C558</f>
        <v>8367</v>
      </c>
      <c r="G559" s="56">
        <f t="shared" si="40"/>
        <v>14126.75</v>
      </c>
      <c r="H559" s="75">
        <f t="shared" si="41"/>
        <v>3.5316874999999999</v>
      </c>
      <c r="I559" s="76">
        <v>1</v>
      </c>
      <c r="J559" s="75">
        <f t="shared" si="42"/>
        <v>4.5316875000000003</v>
      </c>
      <c r="K559" s="81">
        <f t="shared" si="43"/>
        <v>5</v>
      </c>
      <c r="L559" s="11"/>
      <c r="M559" s="11"/>
      <c r="N559" s="11"/>
      <c r="O559" s="28">
        <f>'DHS2025'!C558</f>
        <v>19941</v>
      </c>
      <c r="P559" s="29">
        <f>'DHS2025'!D558</f>
        <v>4662</v>
      </c>
      <c r="Q559" s="29">
        <f>'DHS2025'!E558</f>
        <v>8085</v>
      </c>
      <c r="R559" s="62">
        <v>143.88999999999999</v>
      </c>
      <c r="S559" s="61">
        <f>(Porovnavanie!J561*0.99-1.9)*Porovnavanie!I561</f>
        <v>1136.3556435</v>
      </c>
    </row>
    <row r="560" spans="1:19" ht="15.75" thickBot="1">
      <c r="A560" s="101">
        <f t="shared" si="44"/>
        <v>45712</v>
      </c>
      <c r="B560" s="25" t="s">
        <v>22</v>
      </c>
      <c r="C560" s="54">
        <f>'DHS2021'!C559</f>
        <v>18778</v>
      </c>
      <c r="D560" s="55">
        <f>'DHS2022'!C559</f>
        <v>17094</v>
      </c>
      <c r="E560" s="55">
        <f>'DHS2023'!C559</f>
        <v>14887</v>
      </c>
      <c r="F560" s="55">
        <f>'DHS2024'!C559</f>
        <v>12058</v>
      </c>
      <c r="G560" s="56">
        <f t="shared" si="40"/>
        <v>15704.25</v>
      </c>
      <c r="H560" s="75">
        <f t="shared" si="41"/>
        <v>3.9260625</v>
      </c>
      <c r="I560" s="76">
        <v>1</v>
      </c>
      <c r="J560" s="75">
        <f t="shared" si="42"/>
        <v>4.9260625000000005</v>
      </c>
      <c r="K560" s="81">
        <f t="shared" si="43"/>
        <v>5</v>
      </c>
      <c r="L560" s="11"/>
      <c r="M560" s="11"/>
      <c r="N560" s="11"/>
      <c r="O560" s="28">
        <f>'DHS2025'!C559</f>
        <v>18781</v>
      </c>
      <c r="P560" s="29">
        <f>'DHS2025'!D559</f>
        <v>5374</v>
      </c>
      <c r="Q560" s="29">
        <f>'DHS2025'!E559</f>
        <v>8080</v>
      </c>
      <c r="R560" s="62">
        <v>217.49</v>
      </c>
      <c r="S560" s="61">
        <f>(Porovnavanie!J562*0.99-1.9)*Porovnavanie!I562</f>
        <v>1724.394008</v>
      </c>
    </row>
    <row r="561" spans="1:19" ht="15.75" thickBot="1">
      <c r="A561" s="101">
        <f t="shared" si="44"/>
        <v>45712</v>
      </c>
      <c r="B561" s="25" t="s">
        <v>23</v>
      </c>
      <c r="C561" s="54">
        <f>'DHS2021'!C560</f>
        <v>18665</v>
      </c>
      <c r="D561" s="55">
        <f>'DHS2022'!C560</f>
        <v>15850</v>
      </c>
      <c r="E561" s="55">
        <f>'DHS2023'!C560</f>
        <v>17441</v>
      </c>
      <c r="F561" s="55">
        <f>'DHS2024'!C560</f>
        <v>13121</v>
      </c>
      <c r="G561" s="56">
        <f t="shared" si="40"/>
        <v>16269.25</v>
      </c>
      <c r="H561" s="75">
        <f t="shared" si="41"/>
        <v>4.0673124999999999</v>
      </c>
      <c r="I561" s="76">
        <v>1</v>
      </c>
      <c r="J561" s="75">
        <f t="shared" si="42"/>
        <v>5.0673124999999999</v>
      </c>
      <c r="K561" s="81">
        <f t="shared" si="43"/>
        <v>6</v>
      </c>
      <c r="L561" s="11"/>
      <c r="M561" s="11"/>
      <c r="N561" s="11"/>
      <c r="O561" s="28">
        <f>'DHS2025'!C560</f>
        <v>19379</v>
      </c>
      <c r="P561" s="29">
        <f>'DHS2025'!D560</f>
        <v>5507</v>
      </c>
      <c r="Q561" s="29">
        <f>'DHS2025'!E560</f>
        <v>8115</v>
      </c>
      <c r="R561" s="62">
        <v>305.87</v>
      </c>
      <c r="S561" s="61">
        <f>(Porovnavanie!J563*0.99-1.9)*Porovnavanie!I563</f>
        <v>2441.8951995000002</v>
      </c>
    </row>
    <row r="562" spans="1:19" ht="15.75" thickBot="1">
      <c r="A562" s="101">
        <f t="shared" si="44"/>
        <v>45712</v>
      </c>
      <c r="B562" s="25" t="s">
        <v>24</v>
      </c>
      <c r="C562" s="54">
        <f>'DHS2021'!C561</f>
        <v>17581</v>
      </c>
      <c r="D562" s="55">
        <f>'DHS2022'!C561</f>
        <v>16065</v>
      </c>
      <c r="E562" s="55">
        <f>'DHS2023'!C561</f>
        <v>14277</v>
      </c>
      <c r="F562" s="55">
        <f>'DHS2024'!C561</f>
        <v>13690</v>
      </c>
      <c r="G562" s="56">
        <f t="shared" si="40"/>
        <v>15403.25</v>
      </c>
      <c r="H562" s="75">
        <f t="shared" si="41"/>
        <v>3.8508125</v>
      </c>
      <c r="I562" s="76">
        <v>1</v>
      </c>
      <c r="J562" s="75">
        <f t="shared" si="42"/>
        <v>4.8508125</v>
      </c>
      <c r="K562" s="81">
        <f t="shared" si="43"/>
        <v>5</v>
      </c>
      <c r="L562" s="11"/>
      <c r="M562" s="11"/>
      <c r="N562" s="11"/>
      <c r="O562" s="28">
        <f>'DHS2025'!C561</f>
        <v>17836</v>
      </c>
      <c r="P562" s="29">
        <f>'DHS2025'!D561</f>
        <v>6474</v>
      </c>
      <c r="Q562" s="29">
        <f>'DHS2025'!E561</f>
        <v>8053</v>
      </c>
      <c r="R562" s="62">
        <v>300</v>
      </c>
      <c r="S562" s="61">
        <f>(Porovnavanie!J564*0.99-1.9)*Porovnavanie!I564</f>
        <v>2376.4403000000002</v>
      </c>
    </row>
    <row r="563" spans="1:19" ht="15.75" thickBot="1">
      <c r="A563" s="101">
        <f t="shared" si="44"/>
        <v>45712</v>
      </c>
      <c r="B563" s="25" t="s">
        <v>25</v>
      </c>
      <c r="C563" s="54">
        <f>'DHS2021'!C562</f>
        <v>16483</v>
      </c>
      <c r="D563" s="55">
        <f>'DHS2022'!C562</f>
        <v>16014</v>
      </c>
      <c r="E563" s="55">
        <f>'DHS2023'!C562</f>
        <v>14076</v>
      </c>
      <c r="F563" s="55">
        <f>'DHS2024'!C562</f>
        <v>12894</v>
      </c>
      <c r="G563" s="56">
        <f t="shared" si="40"/>
        <v>14866.75</v>
      </c>
      <c r="H563" s="75">
        <f t="shared" si="41"/>
        <v>3.7166874999999999</v>
      </c>
      <c r="I563" s="76">
        <v>1</v>
      </c>
      <c r="J563" s="75">
        <f t="shared" si="42"/>
        <v>4.7166874999999999</v>
      </c>
      <c r="K563" s="81">
        <f t="shared" si="43"/>
        <v>5</v>
      </c>
      <c r="L563" s="11"/>
      <c r="M563" s="11"/>
      <c r="N563" s="11"/>
      <c r="O563" s="28">
        <f>'DHS2025'!C562</f>
        <v>17254</v>
      </c>
      <c r="P563" s="29">
        <f>'DHS2025'!D562</f>
        <v>6554</v>
      </c>
      <c r="Q563" s="29">
        <f>'DHS2025'!E562</f>
        <v>8033</v>
      </c>
      <c r="R563" s="62">
        <v>196.24</v>
      </c>
      <c r="S563" s="61">
        <f>(Porovnavanie!J565*0.99-1.9)*Porovnavanie!I565</f>
        <v>1545.3692607999999</v>
      </c>
    </row>
    <row r="564" spans="1:19" ht="15.75" thickBot="1">
      <c r="A564" s="101">
        <f t="shared" si="44"/>
        <v>45712</v>
      </c>
      <c r="B564" s="25" t="s">
        <v>26</v>
      </c>
      <c r="C564" s="54">
        <f>'DHS2021'!C563</f>
        <v>15583</v>
      </c>
      <c r="D564" s="55">
        <f>'DHS2022'!C563</f>
        <v>15804</v>
      </c>
      <c r="E564" s="55">
        <f>'DHS2023'!C563</f>
        <v>13539</v>
      </c>
      <c r="F564" s="55">
        <f>'DHS2024'!C563</f>
        <v>13929</v>
      </c>
      <c r="G564" s="56">
        <f t="shared" si="40"/>
        <v>14713.75</v>
      </c>
      <c r="H564" s="75">
        <f t="shared" si="41"/>
        <v>3.6784374999999998</v>
      </c>
      <c r="I564" s="76">
        <v>1</v>
      </c>
      <c r="J564" s="75">
        <f t="shared" si="42"/>
        <v>4.6784374999999994</v>
      </c>
      <c r="K564" s="81">
        <f t="shared" si="43"/>
        <v>5</v>
      </c>
      <c r="L564" s="11"/>
      <c r="M564" s="11"/>
      <c r="N564" s="11"/>
      <c r="O564" s="28">
        <f>'DHS2025'!C563</f>
        <v>17316</v>
      </c>
      <c r="P564" s="29">
        <f>'DHS2025'!D563</f>
        <v>6572</v>
      </c>
      <c r="Q564" s="29">
        <f>'DHS2025'!E563</f>
        <v>8055</v>
      </c>
      <c r="R564" s="62">
        <v>204.28</v>
      </c>
      <c r="S564" s="61">
        <f>(Porovnavanie!J566*0.99-1.9)*Porovnavanie!I566</f>
        <v>1613.716146</v>
      </c>
    </row>
    <row r="565" spans="1:19" ht="15.75" thickBot="1">
      <c r="A565" s="101">
        <f t="shared" si="44"/>
        <v>45712</v>
      </c>
      <c r="B565" s="25" t="s">
        <v>27</v>
      </c>
      <c r="C565" s="54">
        <f>'DHS2021'!C564</f>
        <v>13704</v>
      </c>
      <c r="D565" s="55">
        <f>'DHS2022'!C564</f>
        <v>12692</v>
      </c>
      <c r="E565" s="55">
        <f>'DHS2023'!C564</f>
        <v>12968</v>
      </c>
      <c r="F565" s="55">
        <f>'DHS2024'!C564</f>
        <v>12566</v>
      </c>
      <c r="G565" s="56">
        <f t="shared" si="40"/>
        <v>12982.5</v>
      </c>
      <c r="H565" s="75">
        <f t="shared" si="41"/>
        <v>3.245625</v>
      </c>
      <c r="I565" s="76">
        <v>1</v>
      </c>
      <c r="J565" s="75">
        <f t="shared" si="42"/>
        <v>4.2456250000000004</v>
      </c>
      <c r="K565" s="81">
        <f t="shared" si="43"/>
        <v>5</v>
      </c>
      <c r="L565" s="11"/>
      <c r="M565" s="11"/>
      <c r="N565" s="11"/>
      <c r="O565" s="28">
        <f>'DHS2025'!C564</f>
        <v>17328</v>
      </c>
      <c r="P565" s="29">
        <f>'DHS2025'!D564</f>
        <v>7037</v>
      </c>
      <c r="Q565" s="29">
        <f>'DHS2025'!E564</f>
        <v>8063</v>
      </c>
      <c r="R565" s="62">
        <v>164.76</v>
      </c>
      <c r="S565" s="61">
        <f>(Porovnavanie!J567*0.99-1.9)*Porovnavanie!I567</f>
        <v>1299.8555812</v>
      </c>
    </row>
    <row r="566" spans="1:19" ht="15.75" thickBot="1">
      <c r="A566" s="101">
        <f t="shared" si="44"/>
        <v>45712</v>
      </c>
      <c r="B566" s="25" t="s">
        <v>28</v>
      </c>
      <c r="C566" s="54">
        <f>'DHS2021'!C565</f>
        <v>12332</v>
      </c>
      <c r="D566" s="55">
        <f>'DHS2022'!C565</f>
        <v>11664</v>
      </c>
      <c r="E566" s="55">
        <f>'DHS2023'!C565</f>
        <v>12100</v>
      </c>
      <c r="F566" s="55">
        <f>'DHS2024'!C565</f>
        <v>9844</v>
      </c>
      <c r="G566" s="56">
        <f t="shared" si="40"/>
        <v>11485</v>
      </c>
      <c r="H566" s="75">
        <f t="shared" si="41"/>
        <v>2.8712499999999999</v>
      </c>
      <c r="I566" s="76">
        <v>1</v>
      </c>
      <c r="J566" s="75">
        <f t="shared" si="42"/>
        <v>3.8712499999999999</v>
      </c>
      <c r="K566" s="81">
        <f t="shared" si="43"/>
        <v>4</v>
      </c>
      <c r="L566" s="11"/>
      <c r="M566" s="11"/>
      <c r="N566" s="11"/>
      <c r="O566" s="28">
        <f>'DHS2025'!C565</f>
        <v>16592</v>
      </c>
      <c r="P566" s="29">
        <f>'DHS2025'!D565</f>
        <v>7095</v>
      </c>
      <c r="Q566" s="29">
        <f>'DHS2025'!E565</f>
        <v>8072</v>
      </c>
      <c r="R566" s="62">
        <v>166.71</v>
      </c>
      <c r="S566" s="61">
        <f>(Porovnavanie!J568*0.99-1.9)*Porovnavanie!I568</f>
        <v>1316.8894887999998</v>
      </c>
    </row>
    <row r="567" spans="1:19" ht="15.75" thickBot="1">
      <c r="A567" s="101">
        <f t="shared" si="44"/>
        <v>45712</v>
      </c>
      <c r="B567" s="25" t="s">
        <v>29</v>
      </c>
      <c r="C567" s="54">
        <f>'DHS2021'!C566</f>
        <v>11351</v>
      </c>
      <c r="D567" s="55">
        <f>'DHS2022'!C566</f>
        <v>11393</v>
      </c>
      <c r="E567" s="55">
        <f>'DHS2023'!C566</f>
        <v>12425</v>
      </c>
      <c r="F567" s="55">
        <f>'DHS2024'!C566</f>
        <v>10637</v>
      </c>
      <c r="G567" s="56">
        <f t="shared" si="40"/>
        <v>11451.5</v>
      </c>
      <c r="H567" s="75">
        <f t="shared" si="41"/>
        <v>2.8628749999999998</v>
      </c>
      <c r="I567" s="76">
        <v>1</v>
      </c>
      <c r="J567" s="75">
        <f t="shared" si="42"/>
        <v>3.8628749999999998</v>
      </c>
      <c r="K567" s="81">
        <f t="shared" si="43"/>
        <v>4</v>
      </c>
      <c r="L567" s="11"/>
      <c r="M567" s="11"/>
      <c r="N567" s="11"/>
      <c r="O567" s="28">
        <f>'DHS2025'!C566</f>
        <v>16037</v>
      </c>
      <c r="P567" s="29">
        <f>'DHS2025'!D566</f>
        <v>8441</v>
      </c>
      <c r="Q567" s="29">
        <f>'DHS2025'!E566</f>
        <v>8074</v>
      </c>
      <c r="R567" s="62">
        <v>159.55000000000001</v>
      </c>
      <c r="S567" s="61">
        <f>(Porovnavanie!J569*0.99-1.9)*Porovnavanie!I569</f>
        <v>1259.984033</v>
      </c>
    </row>
    <row r="568" spans="1:19" ht="15.75" thickBot="1">
      <c r="A568" s="101">
        <f t="shared" si="44"/>
        <v>45712</v>
      </c>
      <c r="B568" s="25" t="s">
        <v>30</v>
      </c>
      <c r="C568" s="54">
        <f>'DHS2021'!C567</f>
        <v>10957</v>
      </c>
      <c r="D568" s="55">
        <f>'DHS2022'!C567</f>
        <v>11046</v>
      </c>
      <c r="E568" s="55">
        <f>'DHS2023'!C567</f>
        <v>12150</v>
      </c>
      <c r="F568" s="55">
        <f>'DHS2024'!C567</f>
        <v>10225</v>
      </c>
      <c r="G568" s="56">
        <f t="shared" si="40"/>
        <v>11094.5</v>
      </c>
      <c r="H568" s="75">
        <f t="shared" si="41"/>
        <v>2.773625</v>
      </c>
      <c r="I568" s="76">
        <v>1</v>
      </c>
      <c r="J568" s="75">
        <f t="shared" si="42"/>
        <v>3.773625</v>
      </c>
      <c r="K568" s="81">
        <f t="shared" si="43"/>
        <v>4</v>
      </c>
      <c r="L568" s="11"/>
      <c r="M568" s="11"/>
      <c r="N568" s="11"/>
      <c r="O568" s="28">
        <f>'DHS2025'!C567</f>
        <v>15590</v>
      </c>
      <c r="P568" s="29">
        <f>'DHS2025'!D567</f>
        <v>7816</v>
      </c>
      <c r="Q568" s="29">
        <f>'DHS2025'!E567</f>
        <v>8072</v>
      </c>
      <c r="R568" s="62">
        <v>164.69</v>
      </c>
      <c r="S568" s="61">
        <f>(Porovnavanie!J570*0.99-1.9)*Porovnavanie!I570</f>
        <v>1300.7471031999999</v>
      </c>
    </row>
    <row r="569" spans="1:19" ht="15.75" thickBot="1">
      <c r="A569" s="101">
        <f t="shared" si="44"/>
        <v>45712</v>
      </c>
      <c r="B569" s="25" t="s">
        <v>31</v>
      </c>
      <c r="C569" s="54">
        <f>'DHS2021'!C568</f>
        <v>11558</v>
      </c>
      <c r="D569" s="55">
        <f>'DHS2022'!C568</f>
        <v>11246</v>
      </c>
      <c r="E569" s="55">
        <f>'DHS2023'!C568</f>
        <v>11046</v>
      </c>
      <c r="F569" s="55">
        <f>'DHS2024'!C568</f>
        <v>9640</v>
      </c>
      <c r="G569" s="56">
        <f t="shared" si="40"/>
        <v>10872.5</v>
      </c>
      <c r="H569" s="75">
        <f t="shared" si="41"/>
        <v>2.7181250000000001</v>
      </c>
      <c r="I569" s="76">
        <v>1</v>
      </c>
      <c r="J569" s="75">
        <f t="shared" si="42"/>
        <v>3.7181250000000001</v>
      </c>
      <c r="K569" s="81">
        <f t="shared" si="43"/>
        <v>4</v>
      </c>
      <c r="L569" s="11"/>
      <c r="M569" s="11"/>
      <c r="N569" s="11"/>
      <c r="O569" s="28">
        <f>'DHS2025'!C568</f>
        <v>16772</v>
      </c>
      <c r="P569" s="29">
        <f>'DHS2025'!D568</f>
        <v>7040</v>
      </c>
      <c r="Q569" s="29">
        <f>'DHS2025'!E568</f>
        <v>8053</v>
      </c>
      <c r="R569" s="62">
        <v>201.56</v>
      </c>
      <c r="S569" s="61">
        <f>(Porovnavanie!J571*0.99-1.9)*Porovnavanie!I571</f>
        <v>1591.6303532000002</v>
      </c>
    </row>
    <row r="570" spans="1:19" ht="15.75" thickBot="1">
      <c r="A570" s="101">
        <f t="shared" si="44"/>
        <v>45712</v>
      </c>
      <c r="B570" s="25" t="s">
        <v>32</v>
      </c>
      <c r="C570" s="54">
        <f>'DHS2021'!C569</f>
        <v>11867</v>
      </c>
      <c r="D570" s="55">
        <f>'DHS2022'!C569</f>
        <v>11407</v>
      </c>
      <c r="E570" s="55">
        <f>'DHS2023'!C569</f>
        <v>12527</v>
      </c>
      <c r="F570" s="55">
        <f>'DHS2024'!C569</f>
        <v>9693</v>
      </c>
      <c r="G570" s="56">
        <f t="shared" si="40"/>
        <v>11373.5</v>
      </c>
      <c r="H570" s="75">
        <f t="shared" si="41"/>
        <v>2.843375</v>
      </c>
      <c r="I570" s="76">
        <v>1</v>
      </c>
      <c r="J570" s="75">
        <f t="shared" si="42"/>
        <v>3.843375</v>
      </c>
      <c r="K570" s="81">
        <f t="shared" si="43"/>
        <v>4</v>
      </c>
      <c r="L570" s="11"/>
      <c r="M570" s="11"/>
      <c r="N570" s="11"/>
      <c r="O570" s="28">
        <f>'DHS2025'!C569</f>
        <v>16748</v>
      </c>
      <c r="P570" s="29">
        <f>'DHS2025'!D569</f>
        <v>6859</v>
      </c>
      <c r="Q570" s="29">
        <f>'DHS2025'!E569</f>
        <v>8047</v>
      </c>
      <c r="R570" s="62">
        <v>280.3</v>
      </c>
      <c r="S570" s="61">
        <f>(Porovnavanie!J572*0.99-1.9)*Porovnavanie!I572</f>
        <v>2217.7290590000002</v>
      </c>
    </row>
    <row r="571" spans="1:19" ht="15.75" thickBot="1">
      <c r="A571" s="101">
        <f t="shared" si="44"/>
        <v>45712</v>
      </c>
      <c r="B571" s="25" t="s">
        <v>33</v>
      </c>
      <c r="C571" s="54">
        <f>'DHS2021'!C570</f>
        <v>12998</v>
      </c>
      <c r="D571" s="55">
        <f>'DHS2022'!C570</f>
        <v>11066</v>
      </c>
      <c r="E571" s="55">
        <f>'DHS2023'!C570</f>
        <v>12695</v>
      </c>
      <c r="F571" s="55">
        <f>'DHS2024'!C570</f>
        <v>9908</v>
      </c>
      <c r="G571" s="56">
        <f t="shared" si="40"/>
        <v>11666.75</v>
      </c>
      <c r="H571" s="75">
        <f t="shared" si="41"/>
        <v>2.9166875000000001</v>
      </c>
      <c r="I571" s="76">
        <v>1</v>
      </c>
      <c r="J571" s="75">
        <f t="shared" si="42"/>
        <v>3.9166875000000001</v>
      </c>
      <c r="K571" s="81">
        <f t="shared" si="43"/>
        <v>4</v>
      </c>
      <c r="L571" s="11"/>
      <c r="M571" s="11"/>
      <c r="N571" s="11"/>
      <c r="O571" s="28">
        <f>'DHS2025'!C570</f>
        <v>16351</v>
      </c>
      <c r="P571" s="29">
        <f>'DHS2025'!D570</f>
        <v>7122</v>
      </c>
      <c r="Q571" s="29">
        <f>'DHS2025'!E570</f>
        <v>8039</v>
      </c>
      <c r="R571" s="62">
        <v>290</v>
      </c>
      <c r="S571" s="61">
        <f>(Porovnavanie!J573*0.99-1.9)*Porovnavanie!I573</f>
        <v>2292.7228000000005</v>
      </c>
    </row>
    <row r="572" spans="1:19" ht="15.75" thickBot="1">
      <c r="A572" s="101">
        <f t="shared" si="44"/>
        <v>45712</v>
      </c>
      <c r="B572" s="25" t="s">
        <v>34</v>
      </c>
      <c r="C572" s="54">
        <f>'DHS2021'!C571</f>
        <v>14268</v>
      </c>
      <c r="D572" s="55">
        <f>'DHS2022'!C571</f>
        <v>13020</v>
      </c>
      <c r="E572" s="55">
        <f>'DHS2023'!C571</f>
        <v>12169</v>
      </c>
      <c r="F572" s="55">
        <f>'DHS2024'!C571</f>
        <v>9995</v>
      </c>
      <c r="G572" s="56">
        <f t="shared" si="40"/>
        <v>12363</v>
      </c>
      <c r="H572" s="75">
        <f t="shared" si="41"/>
        <v>3.0907499999999999</v>
      </c>
      <c r="I572" s="76">
        <v>1</v>
      </c>
      <c r="J572" s="75">
        <f t="shared" si="42"/>
        <v>4.0907499999999999</v>
      </c>
      <c r="K572" s="81">
        <f t="shared" si="43"/>
        <v>5</v>
      </c>
      <c r="L572" s="11"/>
      <c r="M572" s="11"/>
      <c r="N572" s="11"/>
      <c r="O572" s="28">
        <f>'DHS2025'!C571</f>
        <v>16433</v>
      </c>
      <c r="P572" s="29">
        <f>'DHS2025'!D571</f>
        <v>7463</v>
      </c>
      <c r="Q572" s="29">
        <f>'DHS2025'!E571</f>
        <v>8045</v>
      </c>
      <c r="R572" s="62">
        <v>190</v>
      </c>
      <c r="S572" s="61">
        <f>(Porovnavanie!J574*0.99-1.9)*Porovnavanie!I574</f>
        <v>1497.9789999999998</v>
      </c>
    </row>
    <row r="573" spans="1:19" ht="15.75" thickBot="1">
      <c r="A573" s="101">
        <f t="shared" si="44"/>
        <v>45712</v>
      </c>
      <c r="B573" s="25" t="s">
        <v>35</v>
      </c>
      <c r="C573" s="54">
        <f>'DHS2021'!C572</f>
        <v>15062</v>
      </c>
      <c r="D573" s="55">
        <f>'DHS2022'!C572</f>
        <v>14950</v>
      </c>
      <c r="E573" s="55">
        <f>'DHS2023'!C572</f>
        <v>11960</v>
      </c>
      <c r="F573" s="55">
        <f>'DHS2024'!C572</f>
        <v>11039</v>
      </c>
      <c r="G573" s="56">
        <f t="shared" si="40"/>
        <v>13252.75</v>
      </c>
      <c r="H573" s="75">
        <f t="shared" si="41"/>
        <v>3.3131875000000002</v>
      </c>
      <c r="I573" s="76">
        <v>1</v>
      </c>
      <c r="J573" s="75">
        <f t="shared" si="42"/>
        <v>4.3131874999999997</v>
      </c>
      <c r="K573" s="81">
        <f t="shared" si="43"/>
        <v>5</v>
      </c>
      <c r="L573" s="11"/>
      <c r="M573" s="11"/>
      <c r="N573" s="11"/>
      <c r="O573" s="28">
        <f>'DHS2025'!C572</f>
        <v>16548</v>
      </c>
      <c r="P573" s="29">
        <f>'DHS2025'!D572</f>
        <v>7032</v>
      </c>
      <c r="Q573" s="29">
        <f>'DHS2025'!E572</f>
        <v>8047</v>
      </c>
      <c r="R573" s="62">
        <v>290</v>
      </c>
      <c r="S573" s="61">
        <f>(Porovnavanie!J575*0.99-1.9)*Porovnavanie!I575</f>
        <v>2295.0044000000007</v>
      </c>
    </row>
    <row r="574" spans="1:19" ht="15.75" thickBot="1">
      <c r="A574" s="101">
        <f t="shared" si="44"/>
        <v>45712</v>
      </c>
      <c r="B574" s="25" t="s">
        <v>36</v>
      </c>
      <c r="C574" s="54">
        <f>'DHS2021'!C573</f>
        <v>15169</v>
      </c>
      <c r="D574" s="55">
        <f>'DHS2022'!C573</f>
        <v>14194</v>
      </c>
      <c r="E574" s="55">
        <f>'DHS2023'!C573</f>
        <v>12385</v>
      </c>
      <c r="F574" s="55">
        <f>'DHS2024'!C573</f>
        <v>10972</v>
      </c>
      <c r="G574" s="56">
        <f t="shared" si="40"/>
        <v>13180</v>
      </c>
      <c r="H574" s="75">
        <f t="shared" si="41"/>
        <v>3.2949999999999999</v>
      </c>
      <c r="I574" s="76">
        <v>1</v>
      </c>
      <c r="J574" s="75">
        <f t="shared" si="42"/>
        <v>4.2949999999999999</v>
      </c>
      <c r="K574" s="81">
        <f t="shared" si="43"/>
        <v>5</v>
      </c>
      <c r="L574" s="11"/>
      <c r="M574" s="11"/>
      <c r="N574" s="11"/>
      <c r="O574" s="28">
        <f>'DHS2025'!C573</f>
        <v>17152</v>
      </c>
      <c r="P574" s="29">
        <f>'DHS2025'!D573</f>
        <v>6613</v>
      </c>
      <c r="Q574" s="29">
        <f>'DHS2025'!E573</f>
        <v>8085</v>
      </c>
      <c r="R574" s="62">
        <v>300</v>
      </c>
      <c r="S574" s="61">
        <f>(Porovnavanie!J576*0.99-1.9)*Porovnavanie!I576</f>
        <v>2385.8835000000004</v>
      </c>
    </row>
    <row r="575" spans="1:19" ht="15.75" thickBot="1">
      <c r="A575" s="101">
        <f t="shared" si="44"/>
        <v>45712</v>
      </c>
      <c r="B575" s="25" t="s">
        <v>37</v>
      </c>
      <c r="C575" s="54">
        <f>'DHS2021'!C574</f>
        <v>16435</v>
      </c>
      <c r="D575" s="55">
        <f>'DHS2022'!C574</f>
        <v>15392</v>
      </c>
      <c r="E575" s="55">
        <f>'DHS2023'!C574</f>
        <v>13978</v>
      </c>
      <c r="F575" s="55">
        <f>'DHS2024'!C574</f>
        <v>11388</v>
      </c>
      <c r="G575" s="56">
        <f t="shared" si="40"/>
        <v>14298.25</v>
      </c>
      <c r="H575" s="75">
        <f t="shared" si="41"/>
        <v>3.5745624999999999</v>
      </c>
      <c r="I575" s="76">
        <v>1</v>
      </c>
      <c r="J575" s="75">
        <f t="shared" si="42"/>
        <v>4.5745624999999999</v>
      </c>
      <c r="K575" s="81">
        <f t="shared" si="43"/>
        <v>5</v>
      </c>
      <c r="L575" s="11"/>
      <c r="M575" s="11"/>
      <c r="N575" s="11"/>
      <c r="O575" s="28">
        <f>'DHS2025'!C574</f>
        <v>17634</v>
      </c>
      <c r="P575" s="29">
        <f>'DHS2025'!D574</f>
        <v>6080</v>
      </c>
      <c r="Q575" s="29">
        <f>'DHS2025'!E574</f>
        <v>8050</v>
      </c>
      <c r="R575" s="62">
        <v>256.77999999999997</v>
      </c>
      <c r="S575" s="61">
        <f>(Porovnavanie!J577*0.99-1.9)*Porovnavanie!I577</f>
        <v>2031.11321</v>
      </c>
    </row>
    <row r="576" spans="1:19" ht="15.75" thickBot="1">
      <c r="A576" s="101">
        <f t="shared" si="44"/>
        <v>45712</v>
      </c>
      <c r="B576" s="25" t="s">
        <v>38</v>
      </c>
      <c r="C576" s="54">
        <f>'DHS2021'!C575</f>
        <v>16863</v>
      </c>
      <c r="D576" s="55">
        <f>'DHS2022'!C575</f>
        <v>15078</v>
      </c>
      <c r="E576" s="55">
        <f>'DHS2023'!C575</f>
        <v>12435</v>
      </c>
      <c r="F576" s="55">
        <f>'DHS2024'!C575</f>
        <v>11767</v>
      </c>
      <c r="G576" s="56">
        <f t="shared" si="40"/>
        <v>14035.75</v>
      </c>
      <c r="H576" s="75">
        <f t="shared" si="41"/>
        <v>3.5089375</v>
      </c>
      <c r="I576" s="76">
        <v>1</v>
      </c>
      <c r="J576" s="75">
        <f t="shared" si="42"/>
        <v>4.5089375</v>
      </c>
      <c r="K576" s="81">
        <f t="shared" si="43"/>
        <v>5</v>
      </c>
      <c r="L576" s="11"/>
      <c r="M576" s="11"/>
      <c r="N576" s="11"/>
      <c r="O576" s="28">
        <f>'DHS2025'!C575</f>
        <v>18084</v>
      </c>
      <c r="P576" s="29">
        <f>'DHS2025'!D575</f>
        <v>6492</v>
      </c>
      <c r="Q576" s="29">
        <f>'DHS2025'!E575</f>
        <v>8060</v>
      </c>
      <c r="R576" s="62">
        <v>230.28</v>
      </c>
      <c r="S576" s="61">
        <f>(Porovnavanie!J578*0.99-1.9)*Porovnavanie!I578</f>
        <v>1822.1822320000001</v>
      </c>
    </row>
    <row r="577" spans="1:19" ht="15.75" thickBot="1">
      <c r="A577" s="101">
        <f t="shared" si="44"/>
        <v>45712</v>
      </c>
      <c r="B577" s="25" t="s">
        <v>39</v>
      </c>
      <c r="C577" s="54">
        <f>'DHS2021'!C576</f>
        <v>14285</v>
      </c>
      <c r="D577" s="55">
        <f>'DHS2022'!C576</f>
        <v>12485</v>
      </c>
      <c r="E577" s="55">
        <f>'DHS2023'!C576</f>
        <v>9726</v>
      </c>
      <c r="F577" s="55">
        <f>'DHS2024'!C576</f>
        <v>10368</v>
      </c>
      <c r="G577" s="56">
        <f t="shared" si="40"/>
        <v>11716</v>
      </c>
      <c r="H577" s="75">
        <f t="shared" si="41"/>
        <v>2.9289999999999998</v>
      </c>
      <c r="I577" s="76">
        <v>1</v>
      </c>
      <c r="J577" s="75">
        <f t="shared" si="42"/>
        <v>3.9289999999999998</v>
      </c>
      <c r="K577" s="81">
        <f t="shared" si="43"/>
        <v>4</v>
      </c>
      <c r="L577" s="11"/>
      <c r="M577" s="11"/>
      <c r="N577" s="11"/>
      <c r="O577" s="28">
        <f>'DHS2025'!C576</f>
        <v>14619</v>
      </c>
      <c r="P577" s="29">
        <f>'DHS2025'!D576</f>
        <v>9713</v>
      </c>
      <c r="Q577" s="29">
        <f>'DHS2025'!E576</f>
        <v>8082</v>
      </c>
      <c r="R577" s="62">
        <v>208.35</v>
      </c>
      <c r="S577" s="61">
        <f>(Porovnavanie!J579*0.99-1.9)*Porovnavanie!I579</f>
        <v>1651.690053</v>
      </c>
    </row>
    <row r="578" spans="1:19" ht="15.75" thickBot="1">
      <c r="A578" s="101">
        <f t="shared" si="44"/>
        <v>45712</v>
      </c>
      <c r="B578" s="25" t="s">
        <v>40</v>
      </c>
      <c r="C578" s="54">
        <f>'DHS2021'!C577</f>
        <v>7476</v>
      </c>
      <c r="D578" s="55">
        <f>'DHS2022'!C577</f>
        <v>7149</v>
      </c>
      <c r="E578" s="55">
        <f>'DHS2023'!C577</f>
        <v>4636</v>
      </c>
      <c r="F578" s="55">
        <f>'DHS2024'!C577</f>
        <v>5417</v>
      </c>
      <c r="G578" s="56">
        <f t="shared" si="40"/>
        <v>6169.5</v>
      </c>
      <c r="H578" s="75">
        <f t="shared" si="41"/>
        <v>1.5423750000000001</v>
      </c>
      <c r="I578" s="76">
        <v>1</v>
      </c>
      <c r="J578" s="75">
        <f t="shared" si="42"/>
        <v>2.5423749999999998</v>
      </c>
      <c r="K578" s="81">
        <f t="shared" si="43"/>
        <v>3</v>
      </c>
      <c r="L578" s="11"/>
      <c r="M578" s="11"/>
      <c r="N578" s="11"/>
      <c r="O578" s="28">
        <f>'DHS2025'!C577</f>
        <v>8116</v>
      </c>
      <c r="P578" s="29">
        <f>'DHS2025'!D577</f>
        <v>15810</v>
      </c>
      <c r="Q578" s="29">
        <f>'DHS2025'!E577</f>
        <v>8059</v>
      </c>
      <c r="R578" s="62">
        <v>165.08</v>
      </c>
      <c r="S578" s="61">
        <f>(Porovnavanie!J580*0.99-1.9)*Porovnavanie!I580</f>
        <v>1301.7638227999998</v>
      </c>
    </row>
    <row r="579" spans="1:19" ht="15.75" thickBot="1">
      <c r="A579" s="100">
        <f t="shared" si="44"/>
        <v>45713</v>
      </c>
      <c r="B579" s="24" t="s">
        <v>17</v>
      </c>
      <c r="C579" s="54">
        <f>'DHS2021'!C578</f>
        <v>7430</v>
      </c>
      <c r="D579" s="55">
        <f>'DHS2022'!C578</f>
        <v>5786</v>
      </c>
      <c r="E579" s="55">
        <f>'DHS2023'!C578</f>
        <v>3523</v>
      </c>
      <c r="F579" s="55">
        <f>'DHS2024'!C578</f>
        <v>2080</v>
      </c>
      <c r="G579" s="56">
        <f t="shared" si="40"/>
        <v>4704.75</v>
      </c>
      <c r="H579" s="75">
        <f t="shared" si="41"/>
        <v>1.1761874999999999</v>
      </c>
      <c r="I579" s="76">
        <v>1</v>
      </c>
      <c r="J579" s="75">
        <f t="shared" si="42"/>
        <v>2.1761875000000002</v>
      </c>
      <c r="K579" s="81">
        <f t="shared" si="43"/>
        <v>3</v>
      </c>
      <c r="L579" s="11"/>
      <c r="M579" s="11"/>
      <c r="N579" s="11"/>
      <c r="O579" s="28">
        <f>'DHS2025'!C578</f>
        <v>7956</v>
      </c>
      <c r="P579" s="29">
        <f>'DHS2025'!D578</f>
        <v>15628</v>
      </c>
      <c r="Q579" s="29">
        <f>'DHS2025'!E578</f>
        <v>8043</v>
      </c>
      <c r="R579" s="62">
        <v>200.09</v>
      </c>
      <c r="S579" s="61">
        <f>(Porovnavanie!J581*0.99-1.9)*Porovnavanie!I581</f>
        <v>1577.9489312999999</v>
      </c>
    </row>
    <row r="580" spans="1:19" ht="15.75" thickBot="1">
      <c r="A580" s="100">
        <f t="shared" si="44"/>
        <v>45713</v>
      </c>
      <c r="B580" s="24" t="s">
        <v>18</v>
      </c>
      <c r="C580" s="54">
        <f>'DHS2021'!C579</f>
        <v>8840</v>
      </c>
      <c r="D580" s="55">
        <f>'DHS2022'!C579</f>
        <v>7071</v>
      </c>
      <c r="E580" s="55">
        <f>'DHS2023'!C579</f>
        <v>2964</v>
      </c>
      <c r="F580" s="55">
        <f>'DHS2024'!C579</f>
        <v>3568</v>
      </c>
      <c r="G580" s="56">
        <f t="shared" ref="G580:G643" si="45">AVERAGE(C580:F580)</f>
        <v>5610.75</v>
      </c>
      <c r="H580" s="75">
        <f t="shared" ref="H580:H643" si="46">G580/$M$2/1000</f>
        <v>1.4026875000000001</v>
      </c>
      <c r="I580" s="76">
        <v>1</v>
      </c>
      <c r="J580" s="75">
        <f t="shared" ref="J580:J643" si="47">H580+I580</f>
        <v>2.4026874999999999</v>
      </c>
      <c r="K580" s="81">
        <f t="shared" ref="K580:K643" si="48">ROUNDUP(J580,0)</f>
        <v>3</v>
      </c>
      <c r="L580" s="11"/>
      <c r="M580" s="11"/>
      <c r="N580" s="11"/>
      <c r="O580" s="28">
        <f>'DHS2025'!C579</f>
        <v>9028</v>
      </c>
      <c r="P580" s="29">
        <f>'DHS2025'!D579</f>
        <v>15205</v>
      </c>
      <c r="Q580" s="29">
        <f>'DHS2025'!E579</f>
        <v>8032</v>
      </c>
      <c r="R580" s="62">
        <v>166.94</v>
      </c>
      <c r="S580" s="61">
        <f>(Porovnavanie!J582*0.99-1.9)*Porovnavanie!I582</f>
        <v>1312.1926592</v>
      </c>
    </row>
    <row r="581" spans="1:19" ht="15.75" thickBot="1">
      <c r="A581" s="100">
        <f t="shared" ref="A581:A644" si="49">$A$3+INT((ROW()-3)/24)</f>
        <v>45713</v>
      </c>
      <c r="B581" s="24" t="s">
        <v>19</v>
      </c>
      <c r="C581" s="54">
        <f>'DHS2021'!C580</f>
        <v>10642</v>
      </c>
      <c r="D581" s="55">
        <f>'DHS2022'!C580</f>
        <v>6500</v>
      </c>
      <c r="E581" s="55">
        <f>'DHS2023'!C580</f>
        <v>2598</v>
      </c>
      <c r="F581" s="55">
        <f>'DHS2024'!C580</f>
        <v>3129</v>
      </c>
      <c r="G581" s="56">
        <f t="shared" si="45"/>
        <v>5717.25</v>
      </c>
      <c r="H581" s="75">
        <f t="shared" si="46"/>
        <v>1.4293125</v>
      </c>
      <c r="I581" s="76">
        <v>1</v>
      </c>
      <c r="J581" s="75">
        <f t="shared" si="47"/>
        <v>2.4293125</v>
      </c>
      <c r="K581" s="81">
        <f t="shared" si="48"/>
        <v>3</v>
      </c>
      <c r="L581" s="11"/>
      <c r="M581" s="11"/>
      <c r="N581" s="11"/>
      <c r="O581" s="28">
        <f>'DHS2025'!C580</f>
        <v>11007</v>
      </c>
      <c r="P581" s="29">
        <f>'DHS2025'!D580</f>
        <v>13767</v>
      </c>
      <c r="Q581" s="29">
        <f>'DHS2025'!E580</f>
        <v>7800</v>
      </c>
      <c r="R581" s="62">
        <v>159.63999999999999</v>
      </c>
      <c r="S581" s="61">
        <f>(Porovnavanie!J583*0.99-1.9)*Porovnavanie!I583</f>
        <v>1217.9200799999999</v>
      </c>
    </row>
    <row r="582" spans="1:19" ht="15.75" thickBot="1">
      <c r="A582" s="100">
        <f t="shared" si="49"/>
        <v>45713</v>
      </c>
      <c r="B582" s="24" t="s">
        <v>20</v>
      </c>
      <c r="C582" s="54">
        <f>'DHS2021'!C581</f>
        <v>11516</v>
      </c>
      <c r="D582" s="55">
        <f>'DHS2022'!C581</f>
        <v>6829</v>
      </c>
      <c r="E582" s="55">
        <f>'DHS2023'!C581</f>
        <v>2740</v>
      </c>
      <c r="F582" s="55">
        <f>'DHS2024'!C581</f>
        <v>7937</v>
      </c>
      <c r="G582" s="56">
        <f t="shared" si="45"/>
        <v>7255.5</v>
      </c>
      <c r="H582" s="75">
        <f t="shared" si="46"/>
        <v>1.8138749999999999</v>
      </c>
      <c r="I582" s="76">
        <v>1</v>
      </c>
      <c r="J582" s="75">
        <f t="shared" si="47"/>
        <v>2.8138749999999999</v>
      </c>
      <c r="K582" s="81">
        <f t="shared" si="48"/>
        <v>3</v>
      </c>
      <c r="L582" s="11"/>
      <c r="M582" s="11"/>
      <c r="N582" s="11"/>
      <c r="O582" s="28">
        <f>'DHS2025'!C581</f>
        <v>11025</v>
      </c>
      <c r="P582" s="29">
        <f>'DHS2025'!D581</f>
        <v>12659</v>
      </c>
      <c r="Q582" s="29">
        <f>'DHS2025'!E581</f>
        <v>8041</v>
      </c>
      <c r="R582" s="62">
        <v>156.72</v>
      </c>
      <c r="S582" s="61">
        <f>(Porovnavanie!J584*0.99-1.9)*Porovnavanie!I584</f>
        <v>1232.3057647999999</v>
      </c>
    </row>
    <row r="583" spans="1:19" ht="15.75" thickBot="1">
      <c r="A583" s="100">
        <f t="shared" si="49"/>
        <v>45713</v>
      </c>
      <c r="B583" s="24" t="s">
        <v>21</v>
      </c>
      <c r="C583" s="54">
        <f>'DHS2021'!C582</f>
        <v>20560</v>
      </c>
      <c r="D583" s="55">
        <f>'DHS2022'!C582</f>
        <v>12582</v>
      </c>
      <c r="E583" s="55">
        <f>'DHS2023'!C582</f>
        <v>11201</v>
      </c>
      <c r="F583" s="55">
        <f>'DHS2024'!C582</f>
        <v>10861</v>
      </c>
      <c r="G583" s="56">
        <f t="shared" si="45"/>
        <v>13801</v>
      </c>
      <c r="H583" s="75">
        <f t="shared" si="46"/>
        <v>3.45025</v>
      </c>
      <c r="I583" s="76">
        <v>1</v>
      </c>
      <c r="J583" s="75">
        <f t="shared" si="47"/>
        <v>4.4502500000000005</v>
      </c>
      <c r="K583" s="81">
        <f t="shared" si="48"/>
        <v>5</v>
      </c>
      <c r="L583" s="11"/>
      <c r="M583" s="11"/>
      <c r="N583" s="11"/>
      <c r="O583" s="28">
        <f>'DHS2025'!C582</f>
        <v>18499</v>
      </c>
      <c r="P583" s="29">
        <f>'DHS2025'!D582</f>
        <v>5466</v>
      </c>
      <c r="Q583" s="29">
        <f>'DHS2025'!E582</f>
        <v>8060</v>
      </c>
      <c r="R583" s="62">
        <v>159.52000000000001</v>
      </c>
      <c r="S583" s="61">
        <f>(Porovnavanie!J585*0.99-1.9)*Porovnavanie!I585</f>
        <v>1257.559888</v>
      </c>
    </row>
    <row r="584" spans="1:19" ht="15.75" thickBot="1">
      <c r="A584" s="100">
        <f t="shared" si="49"/>
        <v>45713</v>
      </c>
      <c r="B584" s="24" t="s">
        <v>22</v>
      </c>
      <c r="C584" s="54">
        <f>'DHS2021'!C583</f>
        <v>19671</v>
      </c>
      <c r="D584" s="55">
        <f>'DHS2022'!C583</f>
        <v>15203</v>
      </c>
      <c r="E584" s="55">
        <f>'DHS2023'!C583</f>
        <v>12180</v>
      </c>
      <c r="F584" s="55">
        <f>'DHS2024'!C583</f>
        <v>11551</v>
      </c>
      <c r="G584" s="56">
        <f t="shared" si="45"/>
        <v>14651.25</v>
      </c>
      <c r="H584" s="75">
        <f t="shared" si="46"/>
        <v>3.6628124999999998</v>
      </c>
      <c r="I584" s="76">
        <v>1</v>
      </c>
      <c r="J584" s="75">
        <f t="shared" si="47"/>
        <v>4.6628124999999994</v>
      </c>
      <c r="K584" s="81">
        <f t="shared" si="48"/>
        <v>5</v>
      </c>
      <c r="L584" s="11"/>
      <c r="M584" s="11"/>
      <c r="N584" s="11"/>
      <c r="O584" s="28">
        <f>'DHS2025'!C583</f>
        <v>18456</v>
      </c>
      <c r="P584" s="29">
        <f>'DHS2025'!D583</f>
        <v>5668</v>
      </c>
      <c r="Q584" s="29">
        <f>'DHS2025'!E583</f>
        <v>8014</v>
      </c>
      <c r="R584" s="62">
        <v>193.03</v>
      </c>
      <c r="S584" s="61">
        <f>(Porovnavanie!J586*0.99-1.9)*Porovnavanie!I586</f>
        <v>1516.2463957999998</v>
      </c>
    </row>
    <row r="585" spans="1:19" ht="15.75" thickBot="1">
      <c r="A585" s="100">
        <f t="shared" si="49"/>
        <v>45713</v>
      </c>
      <c r="B585" s="24" t="s">
        <v>23</v>
      </c>
      <c r="C585" s="54">
        <f>'DHS2021'!C584</f>
        <v>18749</v>
      </c>
      <c r="D585" s="55">
        <f>'DHS2022'!C584</f>
        <v>16431</v>
      </c>
      <c r="E585" s="55">
        <f>'DHS2023'!C584</f>
        <v>15686</v>
      </c>
      <c r="F585" s="55">
        <f>'DHS2024'!C584</f>
        <v>14143</v>
      </c>
      <c r="G585" s="56">
        <f t="shared" si="45"/>
        <v>16252.25</v>
      </c>
      <c r="H585" s="75">
        <f t="shared" si="46"/>
        <v>4.0630625</v>
      </c>
      <c r="I585" s="76">
        <v>1</v>
      </c>
      <c r="J585" s="75">
        <f t="shared" si="47"/>
        <v>5.0630625</v>
      </c>
      <c r="K585" s="81">
        <f t="shared" si="48"/>
        <v>6</v>
      </c>
      <c r="L585" s="11"/>
      <c r="M585" s="11"/>
      <c r="N585" s="11"/>
      <c r="O585" s="28">
        <f>'DHS2025'!C584</f>
        <v>17562</v>
      </c>
      <c r="P585" s="29">
        <f>'DHS2025'!D584</f>
        <v>5744</v>
      </c>
      <c r="Q585" s="29">
        <f>'DHS2025'!E584</f>
        <v>8049</v>
      </c>
      <c r="R585" s="62">
        <v>169.4</v>
      </c>
      <c r="S585" s="61">
        <f>(Porovnavanie!J587*0.99-1.9)*Porovnavanie!I587</f>
        <v>1334.572494</v>
      </c>
    </row>
    <row r="586" spans="1:19" ht="15.75" thickBot="1">
      <c r="A586" s="100">
        <f t="shared" si="49"/>
        <v>45713</v>
      </c>
      <c r="B586" s="24" t="s">
        <v>24</v>
      </c>
      <c r="C586" s="54">
        <f>'DHS2021'!C585</f>
        <v>14343</v>
      </c>
      <c r="D586" s="55">
        <f>'DHS2022'!C585</f>
        <v>15631</v>
      </c>
      <c r="E586" s="55">
        <f>'DHS2023'!C585</f>
        <v>11979</v>
      </c>
      <c r="F586" s="55">
        <f>'DHS2024'!C585</f>
        <v>11337</v>
      </c>
      <c r="G586" s="56">
        <f t="shared" si="45"/>
        <v>13322.5</v>
      </c>
      <c r="H586" s="75">
        <f t="shared" si="46"/>
        <v>3.3306249999999999</v>
      </c>
      <c r="I586" s="76">
        <v>1</v>
      </c>
      <c r="J586" s="75">
        <f t="shared" si="47"/>
        <v>4.3306249999999995</v>
      </c>
      <c r="K586" s="81">
        <f t="shared" si="48"/>
        <v>5</v>
      </c>
      <c r="L586" s="11"/>
      <c r="M586" s="11"/>
      <c r="N586" s="11"/>
      <c r="O586" s="28">
        <f>'DHS2025'!C585</f>
        <v>17678</v>
      </c>
      <c r="P586" s="29">
        <f>'DHS2025'!D585</f>
        <v>6160</v>
      </c>
      <c r="Q586" s="29">
        <f>'DHS2025'!E585</f>
        <v>8052</v>
      </c>
      <c r="R586" s="62">
        <v>86.76</v>
      </c>
      <c r="S586" s="61">
        <f>(Porovnavanie!J588*0.99-1.9)*Porovnavanie!I588</f>
        <v>676.30680480000001</v>
      </c>
    </row>
    <row r="587" spans="1:19" ht="15.75" thickBot="1">
      <c r="A587" s="100">
        <f t="shared" si="49"/>
        <v>45713</v>
      </c>
      <c r="B587" s="24" t="s">
        <v>25</v>
      </c>
      <c r="C587" s="54">
        <f>'DHS2021'!C586</f>
        <v>16077</v>
      </c>
      <c r="D587" s="55">
        <f>'DHS2022'!C586</f>
        <v>16179</v>
      </c>
      <c r="E587" s="55">
        <f>'DHS2023'!C586</f>
        <v>11829</v>
      </c>
      <c r="F587" s="55">
        <f>'DHS2024'!C586</f>
        <v>10971</v>
      </c>
      <c r="G587" s="56">
        <f t="shared" si="45"/>
        <v>13764</v>
      </c>
      <c r="H587" s="75">
        <f t="shared" si="46"/>
        <v>3.4409999999999998</v>
      </c>
      <c r="I587" s="76">
        <v>1</v>
      </c>
      <c r="J587" s="75">
        <f t="shared" si="47"/>
        <v>4.4409999999999998</v>
      </c>
      <c r="K587" s="81">
        <f t="shared" si="48"/>
        <v>5</v>
      </c>
      <c r="L587" s="11"/>
      <c r="M587" s="11"/>
      <c r="N587" s="11"/>
      <c r="O587" s="28">
        <f>'DHS2025'!C586</f>
        <v>17757</v>
      </c>
      <c r="P587" s="29">
        <f>'DHS2025'!D586</f>
        <v>6445</v>
      </c>
      <c r="Q587" s="29">
        <f>'DHS2025'!E586</f>
        <v>8074</v>
      </c>
      <c r="R587" s="62">
        <v>172.71</v>
      </c>
      <c r="S587" s="61">
        <f>(Porovnavanie!J589*0.99-1.9)*Porovnavanie!I589</f>
        <v>1365.1753346</v>
      </c>
    </row>
    <row r="588" spans="1:19" ht="15.75" thickBot="1">
      <c r="A588" s="100">
        <f t="shared" si="49"/>
        <v>45713</v>
      </c>
      <c r="B588" s="24" t="s">
        <v>26</v>
      </c>
      <c r="C588" s="54">
        <f>'DHS2021'!C587</f>
        <v>15984</v>
      </c>
      <c r="D588" s="55">
        <f>'DHS2022'!C587</f>
        <v>16437</v>
      </c>
      <c r="E588" s="55">
        <f>'DHS2023'!C587</f>
        <v>15377</v>
      </c>
      <c r="F588" s="55">
        <f>'DHS2024'!C587</f>
        <v>12336</v>
      </c>
      <c r="G588" s="56">
        <f t="shared" si="45"/>
        <v>15033.5</v>
      </c>
      <c r="H588" s="75">
        <f t="shared" si="46"/>
        <v>3.758375</v>
      </c>
      <c r="I588" s="76">
        <v>1</v>
      </c>
      <c r="J588" s="75">
        <f t="shared" si="47"/>
        <v>4.758375</v>
      </c>
      <c r="K588" s="81">
        <f t="shared" si="48"/>
        <v>5</v>
      </c>
      <c r="L588" s="11"/>
      <c r="M588" s="11"/>
      <c r="N588" s="11"/>
      <c r="O588" s="28">
        <f>'DHS2025'!C587</f>
        <v>17263</v>
      </c>
      <c r="P588" s="29">
        <f>'DHS2025'!D587</f>
        <v>6335</v>
      </c>
      <c r="Q588" s="29">
        <f>'DHS2025'!E587</f>
        <v>8057</v>
      </c>
      <c r="R588" s="62">
        <v>155.06</v>
      </c>
      <c r="S588" s="61">
        <f>(Porovnavanie!J590*0.99-1.9)*Porovnavanie!I590</f>
        <v>1221.5169358000001</v>
      </c>
    </row>
    <row r="589" spans="1:19" ht="15.75" thickBot="1">
      <c r="A589" s="100">
        <f t="shared" si="49"/>
        <v>45713</v>
      </c>
      <c r="B589" s="24" t="s">
        <v>27</v>
      </c>
      <c r="C589" s="54">
        <f>'DHS2021'!C588</f>
        <v>15036</v>
      </c>
      <c r="D589" s="55">
        <f>'DHS2022'!C588</f>
        <v>15909</v>
      </c>
      <c r="E589" s="55">
        <f>'DHS2023'!C588</f>
        <v>15038</v>
      </c>
      <c r="F589" s="55">
        <f>'DHS2024'!C588</f>
        <v>11514</v>
      </c>
      <c r="G589" s="56">
        <f t="shared" si="45"/>
        <v>14374.25</v>
      </c>
      <c r="H589" s="75">
        <f t="shared" si="46"/>
        <v>3.5935625</v>
      </c>
      <c r="I589" s="76">
        <v>1</v>
      </c>
      <c r="J589" s="75">
        <f t="shared" si="47"/>
        <v>4.5935625</v>
      </c>
      <c r="K589" s="81">
        <f t="shared" si="48"/>
        <v>5</v>
      </c>
      <c r="L589" s="11"/>
      <c r="M589" s="11"/>
      <c r="N589" s="11"/>
      <c r="O589" s="28">
        <f>'DHS2025'!C588</f>
        <v>15822</v>
      </c>
      <c r="P589" s="29">
        <f>'DHS2025'!D588</f>
        <v>8265</v>
      </c>
      <c r="Q589" s="29">
        <f>'DHS2025'!E588</f>
        <v>8052</v>
      </c>
      <c r="R589" s="62">
        <v>141.96</v>
      </c>
      <c r="S589" s="61">
        <f>(Porovnavanie!J591*0.99-1.9)*Porovnavanie!I591</f>
        <v>1116.3325007999999</v>
      </c>
    </row>
    <row r="590" spans="1:19" ht="15.75" thickBot="1">
      <c r="A590" s="100">
        <f t="shared" si="49"/>
        <v>45713</v>
      </c>
      <c r="B590" s="24" t="s">
        <v>28</v>
      </c>
      <c r="C590" s="54">
        <f>'DHS2021'!C589</f>
        <v>15272</v>
      </c>
      <c r="D590" s="55">
        <f>'DHS2022'!C589</f>
        <v>11821</v>
      </c>
      <c r="E590" s="55">
        <f>'DHS2023'!C589</f>
        <v>10287</v>
      </c>
      <c r="F590" s="55">
        <f>'DHS2024'!C589</f>
        <v>11143</v>
      </c>
      <c r="G590" s="56">
        <f t="shared" si="45"/>
        <v>12130.75</v>
      </c>
      <c r="H590" s="75">
        <f t="shared" si="46"/>
        <v>3.0326875000000002</v>
      </c>
      <c r="I590" s="76">
        <v>1</v>
      </c>
      <c r="J590" s="75">
        <f t="shared" si="47"/>
        <v>4.0326874999999998</v>
      </c>
      <c r="K590" s="81">
        <f t="shared" si="48"/>
        <v>5</v>
      </c>
      <c r="L590" s="11"/>
      <c r="M590" s="11"/>
      <c r="N590" s="11"/>
      <c r="O590" s="28">
        <f>'DHS2025'!C589</f>
        <v>15067</v>
      </c>
      <c r="P590" s="29">
        <f>'DHS2025'!D589</f>
        <v>8596</v>
      </c>
      <c r="Q590" s="29">
        <f>'DHS2025'!E589</f>
        <v>8084</v>
      </c>
      <c r="R590" s="62">
        <v>128.16</v>
      </c>
      <c r="S590" s="61">
        <f>(Porovnavanie!J592*0.99-1.9)*Porovnavanie!I592</f>
        <v>1010.3253855999999</v>
      </c>
    </row>
    <row r="591" spans="1:19" ht="15.75" thickBot="1">
      <c r="A591" s="100">
        <f t="shared" si="49"/>
        <v>45713</v>
      </c>
      <c r="B591" s="24" t="s">
        <v>29</v>
      </c>
      <c r="C591" s="54">
        <f>'DHS2021'!C590</f>
        <v>13335</v>
      </c>
      <c r="D591" s="55">
        <f>'DHS2022'!C590</f>
        <v>14452</v>
      </c>
      <c r="E591" s="55">
        <f>'DHS2023'!C590</f>
        <v>11985</v>
      </c>
      <c r="F591" s="55">
        <f>'DHS2024'!C590</f>
        <v>10654</v>
      </c>
      <c r="G591" s="56">
        <f t="shared" si="45"/>
        <v>12606.5</v>
      </c>
      <c r="H591" s="75">
        <f t="shared" si="46"/>
        <v>3.1516250000000001</v>
      </c>
      <c r="I591" s="76">
        <v>1</v>
      </c>
      <c r="J591" s="75">
        <f t="shared" si="47"/>
        <v>4.1516250000000001</v>
      </c>
      <c r="K591" s="81">
        <f t="shared" si="48"/>
        <v>5</v>
      </c>
      <c r="L591" s="11"/>
      <c r="M591" s="11"/>
      <c r="N591" s="11"/>
      <c r="O591" s="28">
        <f>'DHS2025'!C590</f>
        <v>14026</v>
      </c>
      <c r="P591" s="29">
        <f>'DHS2025'!D590</f>
        <v>9355</v>
      </c>
      <c r="Q591" s="29">
        <f>'DHS2025'!E590</f>
        <v>8056</v>
      </c>
      <c r="R591" s="62">
        <v>126.5</v>
      </c>
      <c r="S591" s="61">
        <f>(Porovnavanie!J593*0.99-1.9)*Porovnavanie!I593</f>
        <v>993.5867599999998</v>
      </c>
    </row>
    <row r="592" spans="1:19" ht="15.75" thickBot="1">
      <c r="A592" s="100">
        <f t="shared" si="49"/>
        <v>45713</v>
      </c>
      <c r="B592" s="24" t="s">
        <v>30</v>
      </c>
      <c r="C592" s="54">
        <f>'DHS2021'!C591</f>
        <v>12108</v>
      </c>
      <c r="D592" s="55">
        <f>'DHS2022'!C591</f>
        <v>14863</v>
      </c>
      <c r="E592" s="55">
        <f>'DHS2023'!C591</f>
        <v>12106</v>
      </c>
      <c r="F592" s="55">
        <f>'DHS2024'!C591</f>
        <v>9770</v>
      </c>
      <c r="G592" s="56">
        <f t="shared" si="45"/>
        <v>12211.75</v>
      </c>
      <c r="H592" s="75">
        <f t="shared" si="46"/>
        <v>3.0529375000000001</v>
      </c>
      <c r="I592" s="76">
        <v>1</v>
      </c>
      <c r="J592" s="75">
        <f t="shared" si="47"/>
        <v>4.0529375000000005</v>
      </c>
      <c r="K592" s="81">
        <f t="shared" si="48"/>
        <v>5</v>
      </c>
      <c r="L592" s="11"/>
      <c r="M592" s="11"/>
      <c r="N592" s="11"/>
      <c r="O592" s="28">
        <f>'DHS2025'!C591</f>
        <v>14883</v>
      </c>
      <c r="P592" s="29">
        <f>'DHS2025'!D591</f>
        <v>8520</v>
      </c>
      <c r="Q592" s="29">
        <f>'DHS2025'!E591</f>
        <v>8046</v>
      </c>
      <c r="R592" s="62">
        <v>128.33000000000001</v>
      </c>
      <c r="S592" s="61">
        <f>(Porovnavanie!J594*0.99-1.9)*Porovnavanie!I594</f>
        <v>1006.9303482</v>
      </c>
    </row>
    <row r="593" spans="1:19" ht="15.75" thickBot="1">
      <c r="A593" s="100">
        <f t="shared" si="49"/>
        <v>45713</v>
      </c>
      <c r="B593" s="24" t="s">
        <v>31</v>
      </c>
      <c r="C593" s="54">
        <f>'DHS2021'!C592</f>
        <v>12798</v>
      </c>
      <c r="D593" s="55">
        <f>'DHS2022'!C592</f>
        <v>14270</v>
      </c>
      <c r="E593" s="55">
        <f>'DHS2023'!C592</f>
        <v>12558</v>
      </c>
      <c r="F593" s="55">
        <f>'DHS2024'!C592</f>
        <v>9158</v>
      </c>
      <c r="G593" s="56">
        <f t="shared" si="45"/>
        <v>12196</v>
      </c>
      <c r="H593" s="75">
        <f t="shared" si="46"/>
        <v>3.0489999999999999</v>
      </c>
      <c r="I593" s="76">
        <v>1</v>
      </c>
      <c r="J593" s="75">
        <f t="shared" si="47"/>
        <v>4.0489999999999995</v>
      </c>
      <c r="K593" s="81">
        <f t="shared" si="48"/>
        <v>5</v>
      </c>
      <c r="L593" s="11"/>
      <c r="M593" s="11"/>
      <c r="N593" s="11"/>
      <c r="O593" s="28">
        <f>'DHS2025'!C592</f>
        <v>15326</v>
      </c>
      <c r="P593" s="29">
        <f>'DHS2025'!D592</f>
        <v>7938</v>
      </c>
      <c r="Q593" s="29">
        <f>'DHS2025'!E592</f>
        <v>8067</v>
      </c>
      <c r="R593" s="62">
        <v>137.38</v>
      </c>
      <c r="S593" s="61">
        <f>(Porovnavanie!J595*0.99-1.9)*Porovnavanie!I595</f>
        <v>1081.8347154000001</v>
      </c>
    </row>
    <row r="594" spans="1:19" ht="15.75" thickBot="1">
      <c r="A594" s="100">
        <f t="shared" si="49"/>
        <v>45713</v>
      </c>
      <c r="B594" s="24" t="s">
        <v>32</v>
      </c>
      <c r="C594" s="54">
        <f>'DHS2021'!C593</f>
        <v>12210</v>
      </c>
      <c r="D594" s="55">
        <f>'DHS2022'!C593</f>
        <v>14498</v>
      </c>
      <c r="E594" s="55">
        <f>'DHS2023'!C593</f>
        <v>12584</v>
      </c>
      <c r="F594" s="55">
        <f>'DHS2024'!C593</f>
        <v>8545</v>
      </c>
      <c r="G594" s="56">
        <f t="shared" si="45"/>
        <v>11959.25</v>
      </c>
      <c r="H594" s="75">
        <f t="shared" si="46"/>
        <v>2.9898125000000002</v>
      </c>
      <c r="I594" s="76">
        <v>1</v>
      </c>
      <c r="J594" s="75">
        <f t="shared" si="47"/>
        <v>3.9898125000000002</v>
      </c>
      <c r="K594" s="81">
        <f t="shared" si="48"/>
        <v>4</v>
      </c>
      <c r="L594" s="11"/>
      <c r="M594" s="11"/>
      <c r="N594" s="11"/>
      <c r="O594" s="28">
        <f>'DHS2025'!C593</f>
        <v>14534</v>
      </c>
      <c r="P594" s="29">
        <f>'DHS2025'!D593</f>
        <v>8461</v>
      </c>
      <c r="Q594" s="29">
        <f>'DHS2025'!E593</f>
        <v>8035</v>
      </c>
      <c r="R594" s="62">
        <v>151.85</v>
      </c>
      <c r="S594" s="61">
        <f>(Porovnavanie!J596*0.99-1.9)*Porovnavanie!I596</f>
        <v>1192.6471025000001</v>
      </c>
    </row>
    <row r="595" spans="1:19" ht="15.75" thickBot="1">
      <c r="A595" s="100">
        <f t="shared" si="49"/>
        <v>45713</v>
      </c>
      <c r="B595" s="24" t="s">
        <v>33</v>
      </c>
      <c r="C595" s="54">
        <f>'DHS2021'!C594</f>
        <v>12393</v>
      </c>
      <c r="D595" s="55">
        <f>'DHS2022'!C594</f>
        <v>14115</v>
      </c>
      <c r="E595" s="55">
        <f>'DHS2023'!C594</f>
        <v>12673</v>
      </c>
      <c r="F595" s="55">
        <f>'DHS2024'!C594</f>
        <v>8980</v>
      </c>
      <c r="G595" s="56">
        <f t="shared" si="45"/>
        <v>12040.25</v>
      </c>
      <c r="H595" s="75">
        <f t="shared" si="46"/>
        <v>3.0100625000000001</v>
      </c>
      <c r="I595" s="76">
        <v>1</v>
      </c>
      <c r="J595" s="75">
        <f t="shared" si="47"/>
        <v>4.0100625000000001</v>
      </c>
      <c r="K595" s="81">
        <f t="shared" si="48"/>
        <v>5</v>
      </c>
      <c r="L595" s="11"/>
      <c r="M595" s="11"/>
      <c r="N595" s="11"/>
      <c r="O595" s="28">
        <f>'DHS2025'!C594</f>
        <v>14710</v>
      </c>
      <c r="P595" s="29">
        <f>'DHS2025'!D594</f>
        <v>9384</v>
      </c>
      <c r="Q595" s="29">
        <f>'DHS2025'!E594</f>
        <v>8089</v>
      </c>
      <c r="R595" s="62">
        <v>127.44</v>
      </c>
      <c r="S595" s="61">
        <f>(Porovnavanie!J597*0.99-1.9)*Porovnavanie!I597</f>
        <v>1005.1844384</v>
      </c>
    </row>
    <row r="596" spans="1:19" ht="15.75" thickBot="1">
      <c r="A596" s="100">
        <f t="shared" si="49"/>
        <v>45713</v>
      </c>
      <c r="B596" s="24" t="s">
        <v>34</v>
      </c>
      <c r="C596" s="54">
        <f>'DHS2021'!C595</f>
        <v>14105</v>
      </c>
      <c r="D596" s="55">
        <f>'DHS2022'!C595</f>
        <v>13382</v>
      </c>
      <c r="E596" s="55">
        <f>'DHS2023'!C595</f>
        <v>12696</v>
      </c>
      <c r="F596" s="55">
        <f>'DHS2024'!C595</f>
        <v>9722</v>
      </c>
      <c r="G596" s="56">
        <f t="shared" si="45"/>
        <v>12476.25</v>
      </c>
      <c r="H596" s="75">
        <f t="shared" si="46"/>
        <v>3.1190625000000001</v>
      </c>
      <c r="I596" s="76">
        <v>1</v>
      </c>
      <c r="J596" s="75">
        <f t="shared" si="47"/>
        <v>4.1190625000000001</v>
      </c>
      <c r="K596" s="81">
        <f t="shared" si="48"/>
        <v>5</v>
      </c>
      <c r="L596" s="11"/>
      <c r="M596" s="11"/>
      <c r="N596" s="11"/>
      <c r="O596" s="28">
        <f>'DHS2025'!C595</f>
        <v>15620</v>
      </c>
      <c r="P596" s="29">
        <f>'DHS2025'!D595</f>
        <v>7955</v>
      </c>
      <c r="Q596" s="29">
        <f>'DHS2025'!E595</f>
        <v>8056</v>
      </c>
      <c r="R596" s="62">
        <v>140.33000000000001</v>
      </c>
      <c r="S596" s="61">
        <f>(Porovnavanie!J598*0.99-1.9)*Porovnavanie!I598</f>
        <v>1103.8870952</v>
      </c>
    </row>
    <row r="597" spans="1:19" ht="15.75" thickBot="1">
      <c r="A597" s="100">
        <f t="shared" si="49"/>
        <v>45713</v>
      </c>
      <c r="B597" s="24" t="s">
        <v>35</v>
      </c>
      <c r="C597" s="54">
        <f>'DHS2021'!C596</f>
        <v>15665</v>
      </c>
      <c r="D597" s="55">
        <f>'DHS2022'!C596</f>
        <v>14948</v>
      </c>
      <c r="E597" s="55">
        <f>'DHS2023'!C596</f>
        <v>12545</v>
      </c>
      <c r="F597" s="55">
        <f>'DHS2024'!C596</f>
        <v>10357</v>
      </c>
      <c r="G597" s="56">
        <f t="shared" si="45"/>
        <v>13378.75</v>
      </c>
      <c r="H597" s="75">
        <f t="shared" si="46"/>
        <v>3.3446875</v>
      </c>
      <c r="I597" s="76">
        <v>1</v>
      </c>
      <c r="J597" s="75">
        <f t="shared" si="47"/>
        <v>4.3446875</v>
      </c>
      <c r="K597" s="81">
        <f t="shared" si="48"/>
        <v>5</v>
      </c>
      <c r="L597" s="11"/>
      <c r="M597" s="11"/>
      <c r="N597" s="11"/>
      <c r="O597" s="28">
        <f>'DHS2025'!C596</f>
        <v>17313</v>
      </c>
      <c r="P597" s="29">
        <f>'DHS2025'!D596</f>
        <v>6795</v>
      </c>
      <c r="Q597" s="29">
        <f>'DHS2025'!E596</f>
        <v>8073</v>
      </c>
      <c r="R597" s="62">
        <v>170.15</v>
      </c>
      <c r="S597" s="61">
        <f>(Porovnavanie!J599*0.99-1.9)*Porovnavanie!I599</f>
        <v>1344.5460404999999</v>
      </c>
    </row>
    <row r="598" spans="1:19" ht="15.75" thickBot="1">
      <c r="A598" s="100">
        <f t="shared" si="49"/>
        <v>45713</v>
      </c>
      <c r="B598" s="24" t="s">
        <v>36</v>
      </c>
      <c r="C598" s="54">
        <f>'DHS2021'!C597</f>
        <v>16265</v>
      </c>
      <c r="D598" s="55">
        <f>'DHS2022'!C597</f>
        <v>15508</v>
      </c>
      <c r="E598" s="55">
        <f>'DHS2023'!C597</f>
        <v>12946</v>
      </c>
      <c r="F598" s="55">
        <f>'DHS2024'!C597</f>
        <v>10467</v>
      </c>
      <c r="G598" s="56">
        <f t="shared" si="45"/>
        <v>13796.5</v>
      </c>
      <c r="H598" s="75">
        <f t="shared" si="46"/>
        <v>3.449125</v>
      </c>
      <c r="I598" s="76">
        <v>1</v>
      </c>
      <c r="J598" s="75">
        <f t="shared" si="47"/>
        <v>4.4491250000000004</v>
      </c>
      <c r="K598" s="81">
        <f t="shared" si="48"/>
        <v>5</v>
      </c>
      <c r="L598" s="11"/>
      <c r="M598" s="11"/>
      <c r="N598" s="11"/>
      <c r="O598" s="28">
        <f>'DHS2025'!C597</f>
        <v>17250</v>
      </c>
      <c r="P598" s="29">
        <f>'DHS2025'!D597</f>
        <v>6658</v>
      </c>
      <c r="Q598" s="29">
        <f>'DHS2025'!E597</f>
        <v>8056</v>
      </c>
      <c r="R598" s="62">
        <v>135.31</v>
      </c>
      <c r="S598" s="61">
        <f>(Porovnavanie!J600*0.99-1.9)*Porovnavanie!I600</f>
        <v>1063.8503863999997</v>
      </c>
    </row>
    <row r="599" spans="1:19" ht="15.75" thickBot="1">
      <c r="A599" s="100">
        <f t="shared" si="49"/>
        <v>45713</v>
      </c>
      <c r="B599" s="24" t="s">
        <v>37</v>
      </c>
      <c r="C599" s="54">
        <f>'DHS2021'!C598</f>
        <v>16123</v>
      </c>
      <c r="D599" s="55">
        <f>'DHS2022'!C598</f>
        <v>14345</v>
      </c>
      <c r="E599" s="55">
        <f>'DHS2023'!C598</f>
        <v>12640</v>
      </c>
      <c r="F599" s="55">
        <f>'DHS2024'!C598</f>
        <v>10934</v>
      </c>
      <c r="G599" s="56">
        <f t="shared" si="45"/>
        <v>13510.5</v>
      </c>
      <c r="H599" s="75">
        <f t="shared" si="46"/>
        <v>3.3776250000000001</v>
      </c>
      <c r="I599" s="76">
        <v>1</v>
      </c>
      <c r="J599" s="75">
        <f t="shared" si="47"/>
        <v>4.3776250000000001</v>
      </c>
      <c r="K599" s="81">
        <f t="shared" si="48"/>
        <v>5</v>
      </c>
      <c r="L599" s="11"/>
      <c r="M599" s="11"/>
      <c r="N599" s="11"/>
      <c r="O599" s="28">
        <f>'DHS2025'!C598</f>
        <v>16565</v>
      </c>
      <c r="P599" s="29">
        <f>'DHS2025'!D598</f>
        <v>7066</v>
      </c>
      <c r="Q599" s="29">
        <f>'DHS2025'!E598</f>
        <v>8057</v>
      </c>
      <c r="R599" s="62">
        <v>127.38</v>
      </c>
      <c r="S599" s="61">
        <f>(Porovnavanie!J601*0.99-1.9)*Porovnavanie!I601</f>
        <v>1000.7293534</v>
      </c>
    </row>
    <row r="600" spans="1:19" ht="15.75" thickBot="1">
      <c r="A600" s="100">
        <f t="shared" si="49"/>
        <v>45713</v>
      </c>
      <c r="B600" s="24" t="s">
        <v>38</v>
      </c>
      <c r="C600" s="54">
        <f>'DHS2021'!C599</f>
        <v>16681</v>
      </c>
      <c r="D600" s="55">
        <f>'DHS2022'!C599</f>
        <v>11712</v>
      </c>
      <c r="E600" s="55">
        <f>'DHS2023'!C599</f>
        <v>11444</v>
      </c>
      <c r="F600" s="55">
        <f>'DHS2024'!C599</f>
        <v>10452</v>
      </c>
      <c r="G600" s="56">
        <f t="shared" si="45"/>
        <v>12572.25</v>
      </c>
      <c r="H600" s="75">
        <f t="shared" si="46"/>
        <v>3.1430625000000001</v>
      </c>
      <c r="I600" s="76">
        <v>1</v>
      </c>
      <c r="J600" s="75">
        <f t="shared" si="47"/>
        <v>4.1430625000000001</v>
      </c>
      <c r="K600" s="81">
        <f t="shared" si="48"/>
        <v>5</v>
      </c>
      <c r="L600" s="11"/>
      <c r="M600" s="11"/>
      <c r="N600" s="11"/>
      <c r="O600" s="28">
        <f>'DHS2025'!C599</f>
        <v>17452</v>
      </c>
      <c r="P600" s="29">
        <f>'DHS2025'!D599</f>
        <v>6483</v>
      </c>
      <c r="Q600" s="29">
        <f>'DHS2025'!E599</f>
        <v>8056</v>
      </c>
      <c r="R600" s="62">
        <v>125.3</v>
      </c>
      <c r="S600" s="61">
        <f>(Porovnavanie!J602*0.99-1.9)*Porovnavanie!I602</f>
        <v>984.01623199999983</v>
      </c>
    </row>
    <row r="601" spans="1:19" ht="15.75" thickBot="1">
      <c r="A601" s="100">
        <f t="shared" si="49"/>
        <v>45713</v>
      </c>
      <c r="B601" s="24" t="s">
        <v>39</v>
      </c>
      <c r="C601" s="54">
        <f>'DHS2021'!C600</f>
        <v>14520</v>
      </c>
      <c r="D601" s="55">
        <f>'DHS2022'!C600</f>
        <v>13916</v>
      </c>
      <c r="E601" s="55">
        <f>'DHS2023'!C600</f>
        <v>11681</v>
      </c>
      <c r="F601" s="55">
        <f>'DHS2024'!C600</f>
        <v>9671</v>
      </c>
      <c r="G601" s="56">
        <f t="shared" si="45"/>
        <v>12447</v>
      </c>
      <c r="H601" s="75">
        <f t="shared" si="46"/>
        <v>3.1117499999999998</v>
      </c>
      <c r="I601" s="76">
        <v>1</v>
      </c>
      <c r="J601" s="75">
        <f t="shared" si="47"/>
        <v>4.1117499999999998</v>
      </c>
      <c r="K601" s="81">
        <f t="shared" si="48"/>
        <v>5</v>
      </c>
      <c r="L601" s="11"/>
      <c r="M601" s="11"/>
      <c r="N601" s="11"/>
      <c r="O601" s="28">
        <f>'DHS2025'!C600</f>
        <v>13457</v>
      </c>
      <c r="P601" s="29">
        <f>'DHS2025'!D600</f>
        <v>10024</v>
      </c>
      <c r="Q601" s="29">
        <f>'DHS2025'!E600</f>
        <v>8058</v>
      </c>
      <c r="R601" s="62">
        <v>119.42</v>
      </c>
      <c r="S601" s="61">
        <f>(Porovnavanie!J603*0.99-1.9)*Porovnavanie!I603</f>
        <v>937.35329639999998</v>
      </c>
    </row>
    <row r="602" spans="1:19" ht="15.75" thickBot="1">
      <c r="A602" s="100">
        <f t="shared" si="49"/>
        <v>45713</v>
      </c>
      <c r="B602" s="24" t="s">
        <v>40</v>
      </c>
      <c r="C602" s="54">
        <f>'DHS2021'!C601</f>
        <v>7338</v>
      </c>
      <c r="D602" s="55">
        <f>'DHS2022'!C601</f>
        <v>13648</v>
      </c>
      <c r="E602" s="55">
        <f>'DHS2023'!C601</f>
        <v>8079</v>
      </c>
      <c r="F602" s="55">
        <f>'DHS2024'!C601</f>
        <v>5341</v>
      </c>
      <c r="G602" s="56">
        <f t="shared" si="45"/>
        <v>8601.5</v>
      </c>
      <c r="H602" s="75">
        <f t="shared" si="46"/>
        <v>2.1503749999999999</v>
      </c>
      <c r="I602" s="76">
        <v>1</v>
      </c>
      <c r="J602" s="75">
        <f t="shared" si="47"/>
        <v>3.1503749999999999</v>
      </c>
      <c r="K602" s="81">
        <f t="shared" si="48"/>
        <v>4</v>
      </c>
      <c r="L602" s="11"/>
      <c r="M602" s="11"/>
      <c r="N602" s="11"/>
      <c r="O602" s="28">
        <f>'DHS2025'!C601</f>
        <v>7939</v>
      </c>
      <c r="P602" s="29">
        <f>'DHS2025'!D601</f>
        <v>15848</v>
      </c>
      <c r="Q602" s="29">
        <f>'DHS2025'!E601</f>
        <v>8079</v>
      </c>
      <c r="R602" s="62">
        <v>147.51</v>
      </c>
      <c r="S602" s="61">
        <f>(Porovnavanie!J604*0.99-1.9)*Porovnavanie!I604</f>
        <v>1164.4658571</v>
      </c>
    </row>
    <row r="603" spans="1:19" ht="15.75" thickBot="1">
      <c r="A603" s="101">
        <f t="shared" si="49"/>
        <v>45714</v>
      </c>
      <c r="B603" s="25" t="s">
        <v>17</v>
      </c>
      <c r="C603" s="54">
        <f>'DHS2021'!C602</f>
        <v>6860</v>
      </c>
      <c r="D603" s="55">
        <f>'DHS2022'!C602</f>
        <v>9907</v>
      </c>
      <c r="E603" s="55">
        <f>'DHS2023'!C602</f>
        <v>8341</v>
      </c>
      <c r="F603" s="55">
        <f>'DHS2024'!C602</f>
        <v>2355</v>
      </c>
      <c r="G603" s="56">
        <f t="shared" si="45"/>
        <v>6865.75</v>
      </c>
      <c r="H603" s="75">
        <f t="shared" si="46"/>
        <v>1.7164375000000001</v>
      </c>
      <c r="I603" s="76">
        <v>1</v>
      </c>
      <c r="J603" s="75">
        <f t="shared" si="47"/>
        <v>2.7164375000000001</v>
      </c>
      <c r="K603" s="81">
        <f t="shared" si="48"/>
        <v>3</v>
      </c>
      <c r="L603" s="11"/>
      <c r="M603" s="11"/>
      <c r="N603" s="11"/>
      <c r="O603" s="28">
        <f>'DHS2025'!C602</f>
        <v>7450</v>
      </c>
      <c r="P603" s="29">
        <f>'DHS2025'!D602</f>
        <v>16147</v>
      </c>
      <c r="Q603" s="29">
        <f>'DHS2025'!E602</f>
        <v>8060</v>
      </c>
      <c r="R603" s="62">
        <v>124.12</v>
      </c>
      <c r="S603" s="61">
        <f>(Porovnavanie!J605*0.99-1.9)*Porovnavanie!I605</f>
        <v>975.08912799999996</v>
      </c>
    </row>
    <row r="604" spans="1:19" ht="15.75" thickBot="1">
      <c r="A604" s="101">
        <f t="shared" si="49"/>
        <v>45714</v>
      </c>
      <c r="B604" s="25" t="s">
        <v>18</v>
      </c>
      <c r="C604" s="54">
        <f>'DHS2021'!C603</f>
        <v>6819</v>
      </c>
      <c r="D604" s="55">
        <f>'DHS2022'!C603</f>
        <v>9078</v>
      </c>
      <c r="E604" s="55">
        <f>'DHS2023'!C603</f>
        <v>9436</v>
      </c>
      <c r="F604" s="55">
        <f>'DHS2024'!C603</f>
        <v>2772</v>
      </c>
      <c r="G604" s="56">
        <f t="shared" si="45"/>
        <v>7026.25</v>
      </c>
      <c r="H604" s="75">
        <f t="shared" si="46"/>
        <v>1.7565625</v>
      </c>
      <c r="I604" s="76">
        <v>1</v>
      </c>
      <c r="J604" s="75">
        <f t="shared" si="47"/>
        <v>2.7565625000000002</v>
      </c>
      <c r="K604" s="81">
        <f t="shared" si="48"/>
        <v>3</v>
      </c>
      <c r="L604" s="11"/>
      <c r="M604" s="11"/>
      <c r="N604" s="11"/>
      <c r="O604" s="28">
        <f>'DHS2025'!C603</f>
        <v>8016</v>
      </c>
      <c r="P604" s="29">
        <f>'DHS2025'!D603</f>
        <v>15961</v>
      </c>
      <c r="Q604" s="29">
        <f>'DHS2025'!E603</f>
        <v>8079</v>
      </c>
      <c r="R604" s="62">
        <v>121.61</v>
      </c>
      <c r="S604" s="61">
        <f>(Porovnavanie!J606*0.99-1.9)*Porovnavanie!I606</f>
        <v>957.3122181</v>
      </c>
    </row>
    <row r="605" spans="1:19" ht="15.75" thickBot="1">
      <c r="A605" s="101">
        <f t="shared" si="49"/>
        <v>45714</v>
      </c>
      <c r="B605" s="25" t="s">
        <v>19</v>
      </c>
      <c r="C605" s="54">
        <f>'DHS2021'!C604</f>
        <v>8633</v>
      </c>
      <c r="D605" s="55">
        <f>'DHS2022'!C604</f>
        <v>10563</v>
      </c>
      <c r="E605" s="55">
        <f>'DHS2023'!C604</f>
        <v>11316</v>
      </c>
      <c r="F605" s="55">
        <f>'DHS2024'!C604</f>
        <v>3990</v>
      </c>
      <c r="G605" s="56">
        <f t="shared" si="45"/>
        <v>8625.5</v>
      </c>
      <c r="H605" s="75">
        <f t="shared" si="46"/>
        <v>2.1563750000000002</v>
      </c>
      <c r="I605" s="76">
        <v>1</v>
      </c>
      <c r="J605" s="75">
        <f t="shared" si="47"/>
        <v>3.1563750000000002</v>
      </c>
      <c r="K605" s="81">
        <f t="shared" si="48"/>
        <v>4</v>
      </c>
      <c r="L605" s="11"/>
      <c r="M605" s="11"/>
      <c r="N605" s="11"/>
      <c r="O605" s="28">
        <f>'DHS2025'!C604</f>
        <v>9234</v>
      </c>
      <c r="P605" s="29">
        <f>'DHS2025'!D604</f>
        <v>14580</v>
      </c>
      <c r="Q605" s="29">
        <f>'DHS2025'!E604</f>
        <v>8070</v>
      </c>
      <c r="R605" s="62">
        <v>118.24</v>
      </c>
      <c r="S605" s="61">
        <f>(Porovnavanie!J607*0.99-1.9)*Porovnavanie!I607</f>
        <v>929.32183199999997</v>
      </c>
    </row>
    <row r="606" spans="1:19" ht="15.75" thickBot="1">
      <c r="A606" s="101">
        <f t="shared" si="49"/>
        <v>45714</v>
      </c>
      <c r="B606" s="25" t="s">
        <v>20</v>
      </c>
      <c r="C606" s="54">
        <f>'DHS2021'!C605</f>
        <v>9393</v>
      </c>
      <c r="D606" s="55">
        <f>'DHS2022'!C605</f>
        <v>12944</v>
      </c>
      <c r="E606" s="55">
        <f>'DHS2023'!C605</f>
        <v>11606</v>
      </c>
      <c r="F606" s="55">
        <f>'DHS2024'!C605</f>
        <v>6261</v>
      </c>
      <c r="G606" s="56">
        <f t="shared" si="45"/>
        <v>10051</v>
      </c>
      <c r="H606" s="75">
        <f t="shared" si="46"/>
        <v>2.51275</v>
      </c>
      <c r="I606" s="76">
        <v>1</v>
      </c>
      <c r="J606" s="75">
        <f t="shared" si="47"/>
        <v>3.51275</v>
      </c>
      <c r="K606" s="81">
        <f t="shared" si="48"/>
        <v>4</v>
      </c>
      <c r="L606" s="11"/>
      <c r="M606" s="11"/>
      <c r="N606" s="11"/>
      <c r="O606" s="28">
        <f>'DHS2025'!C605</f>
        <v>11390</v>
      </c>
      <c r="P606" s="29">
        <f>'DHS2025'!D605</f>
        <v>13215</v>
      </c>
      <c r="Q606" s="29">
        <f>'DHS2025'!E605</f>
        <v>8060</v>
      </c>
      <c r="R606" s="62">
        <v>117.74</v>
      </c>
      <c r="S606" s="61">
        <f>(Porovnavanie!J608*0.99-1.9)*Porovnavanie!I608</f>
        <v>924.18055599999991</v>
      </c>
    </row>
    <row r="607" spans="1:19" ht="15.75" thickBot="1">
      <c r="A607" s="101">
        <f t="shared" si="49"/>
        <v>45714</v>
      </c>
      <c r="B607" s="25" t="s">
        <v>21</v>
      </c>
      <c r="C607" s="54">
        <f>'DHS2021'!C606</f>
        <v>18964</v>
      </c>
      <c r="D607" s="55">
        <f>'DHS2022'!C606</f>
        <v>16378</v>
      </c>
      <c r="E607" s="55">
        <f>'DHS2023'!C606</f>
        <v>13249</v>
      </c>
      <c r="F607" s="55">
        <f>'DHS2024'!C606</f>
        <v>12248</v>
      </c>
      <c r="G607" s="56">
        <f t="shared" si="45"/>
        <v>15209.75</v>
      </c>
      <c r="H607" s="75">
        <f t="shared" si="46"/>
        <v>3.8024374999999999</v>
      </c>
      <c r="I607" s="76">
        <v>1</v>
      </c>
      <c r="J607" s="75">
        <f t="shared" si="47"/>
        <v>4.8024374999999999</v>
      </c>
      <c r="K607" s="81">
        <f t="shared" si="48"/>
        <v>5</v>
      </c>
      <c r="L607" s="11"/>
      <c r="M607" s="11"/>
      <c r="N607" s="11"/>
      <c r="O607" s="28">
        <f>'DHS2025'!C606</f>
        <v>18904</v>
      </c>
      <c r="P607" s="29">
        <f>'DHS2025'!D606</f>
        <v>4771</v>
      </c>
      <c r="Q607" s="29">
        <f>'DHS2025'!E606</f>
        <v>8065</v>
      </c>
      <c r="R607" s="62">
        <v>118.08</v>
      </c>
      <c r="S607" s="61">
        <f>(Porovnavanie!J609*0.99-1.9)*Porovnavanie!I609</f>
        <v>927.46854799999983</v>
      </c>
    </row>
    <row r="608" spans="1:19" ht="15.75" thickBot="1">
      <c r="A608" s="101">
        <f t="shared" si="49"/>
        <v>45714</v>
      </c>
      <c r="B608" s="25" t="s">
        <v>22</v>
      </c>
      <c r="C608" s="54">
        <f>'DHS2021'!C607</f>
        <v>18620</v>
      </c>
      <c r="D608" s="55">
        <f>'DHS2022'!C607</f>
        <v>17450</v>
      </c>
      <c r="E608" s="55">
        <f>'DHS2023'!C607</f>
        <v>10764</v>
      </c>
      <c r="F608" s="55">
        <f>'DHS2024'!C607</f>
        <v>10901</v>
      </c>
      <c r="G608" s="56">
        <f t="shared" si="45"/>
        <v>14433.75</v>
      </c>
      <c r="H608" s="75">
        <f t="shared" si="46"/>
        <v>3.6084375</v>
      </c>
      <c r="I608" s="76">
        <v>1</v>
      </c>
      <c r="J608" s="75">
        <f t="shared" si="47"/>
        <v>4.6084375</v>
      </c>
      <c r="K608" s="81">
        <f t="shared" si="48"/>
        <v>5</v>
      </c>
      <c r="L608" s="11"/>
      <c r="M608" s="11"/>
      <c r="N608" s="11"/>
      <c r="O608" s="28">
        <f>'DHS2025'!C607</f>
        <v>18993</v>
      </c>
      <c r="P608" s="29">
        <f>'DHS2025'!D607</f>
        <v>4947</v>
      </c>
      <c r="Q608" s="29">
        <f>'DHS2025'!E607</f>
        <v>8083</v>
      </c>
      <c r="R608" s="62">
        <v>127.34</v>
      </c>
      <c r="S608" s="61">
        <f>(Porovnavanie!J610*0.99-1.9)*Porovnavanie!I610</f>
        <v>1003.6386278</v>
      </c>
    </row>
    <row r="609" spans="1:19" ht="15.75" thickBot="1">
      <c r="A609" s="101">
        <f t="shared" si="49"/>
        <v>45714</v>
      </c>
      <c r="B609" s="25" t="s">
        <v>23</v>
      </c>
      <c r="C609" s="54">
        <f>'DHS2021'!C608</f>
        <v>16693</v>
      </c>
      <c r="D609" s="55">
        <f>'DHS2022'!C608</f>
        <v>16617</v>
      </c>
      <c r="E609" s="55">
        <f>'DHS2023'!C608</f>
        <v>11873</v>
      </c>
      <c r="F609" s="55">
        <f>'DHS2024'!C608</f>
        <v>12066</v>
      </c>
      <c r="G609" s="56">
        <f t="shared" si="45"/>
        <v>14312.25</v>
      </c>
      <c r="H609" s="75">
        <f t="shared" si="46"/>
        <v>3.5780625000000001</v>
      </c>
      <c r="I609" s="76">
        <v>1</v>
      </c>
      <c r="J609" s="75">
        <f t="shared" si="47"/>
        <v>4.5780624999999997</v>
      </c>
      <c r="K609" s="81">
        <f t="shared" si="48"/>
        <v>5</v>
      </c>
      <c r="L609" s="11"/>
      <c r="M609" s="11"/>
      <c r="N609" s="11"/>
      <c r="O609" s="28">
        <f>'DHS2025'!C608</f>
        <v>19284</v>
      </c>
      <c r="P609" s="29">
        <f>'DHS2025'!D608</f>
        <v>4938</v>
      </c>
      <c r="Q609" s="29">
        <f>'DHS2025'!E608</f>
        <v>8078</v>
      </c>
      <c r="R609" s="62">
        <v>146.41999999999999</v>
      </c>
      <c r="S609" s="61">
        <f>(Porovnavanie!J611*0.99-1.9)*Porovnavanie!I611</f>
        <v>1155.6047523999998</v>
      </c>
    </row>
    <row r="610" spans="1:19" ht="15.75" thickBot="1">
      <c r="A610" s="101">
        <f t="shared" si="49"/>
        <v>45714</v>
      </c>
      <c r="B610" s="25" t="s">
        <v>24</v>
      </c>
      <c r="C610" s="54">
        <f>'DHS2021'!C609</f>
        <v>15834</v>
      </c>
      <c r="D610" s="55">
        <f>'DHS2022'!C609</f>
        <v>16448</v>
      </c>
      <c r="E610" s="55">
        <f>'DHS2023'!C609</f>
        <v>12153</v>
      </c>
      <c r="F610" s="55">
        <f>'DHS2024'!C609</f>
        <v>10601</v>
      </c>
      <c r="G610" s="56">
        <f t="shared" si="45"/>
        <v>13759</v>
      </c>
      <c r="H610" s="75">
        <f t="shared" si="46"/>
        <v>3.4397500000000001</v>
      </c>
      <c r="I610" s="76">
        <v>1</v>
      </c>
      <c r="J610" s="75">
        <f t="shared" si="47"/>
        <v>4.4397500000000001</v>
      </c>
      <c r="K610" s="81">
        <f t="shared" si="48"/>
        <v>5</v>
      </c>
      <c r="L610" s="11"/>
      <c r="M610" s="11"/>
      <c r="N610" s="11"/>
      <c r="O610" s="28">
        <f>'DHS2025'!C609</f>
        <v>17936</v>
      </c>
      <c r="P610" s="29">
        <f>'DHS2025'!D609</f>
        <v>6099</v>
      </c>
      <c r="Q610" s="29">
        <f>'DHS2025'!E609</f>
        <v>8041</v>
      </c>
      <c r="R610" s="62">
        <v>207.98</v>
      </c>
      <c r="S610" s="61">
        <f>(Porovnavanie!J612*0.99-1.9)*Porovnavanie!I612</f>
        <v>1640.3656082</v>
      </c>
    </row>
    <row r="611" spans="1:19" ht="15.75" thickBot="1">
      <c r="A611" s="101">
        <f t="shared" si="49"/>
        <v>45714</v>
      </c>
      <c r="B611" s="25" t="s">
        <v>25</v>
      </c>
      <c r="C611" s="54">
        <f>'DHS2021'!C610</f>
        <v>16421</v>
      </c>
      <c r="D611" s="55">
        <f>'DHS2022'!C610</f>
        <v>16097</v>
      </c>
      <c r="E611" s="55">
        <f>'DHS2023'!C610</f>
        <v>12289</v>
      </c>
      <c r="F611" s="55">
        <f>'DHS2024'!C610</f>
        <v>11085</v>
      </c>
      <c r="G611" s="56">
        <f t="shared" si="45"/>
        <v>13973</v>
      </c>
      <c r="H611" s="75">
        <f t="shared" si="46"/>
        <v>3.4932500000000002</v>
      </c>
      <c r="I611" s="76">
        <v>1</v>
      </c>
      <c r="J611" s="75">
        <f t="shared" si="47"/>
        <v>4.4932499999999997</v>
      </c>
      <c r="K611" s="81">
        <f t="shared" si="48"/>
        <v>5</v>
      </c>
      <c r="L611" s="11"/>
      <c r="M611" s="11"/>
      <c r="N611" s="11"/>
      <c r="O611" s="28">
        <f>'DHS2025'!C610</f>
        <v>18186</v>
      </c>
      <c r="P611" s="29">
        <f>'DHS2025'!D610</f>
        <v>5870</v>
      </c>
      <c r="Q611" s="29">
        <f>'DHS2025'!E610</f>
        <v>8062</v>
      </c>
      <c r="R611" s="62">
        <v>179.26</v>
      </c>
      <c r="S611" s="61">
        <f>(Porovnavanie!J613*0.99-1.9)*Porovnavanie!I613</f>
        <v>1415.4243787999999</v>
      </c>
    </row>
    <row r="612" spans="1:19" ht="15.75" thickBot="1">
      <c r="A612" s="101">
        <f t="shared" si="49"/>
        <v>45714</v>
      </c>
      <c r="B612" s="25" t="s">
        <v>26</v>
      </c>
      <c r="C612" s="54">
        <f>'DHS2021'!C611</f>
        <v>16192</v>
      </c>
      <c r="D612" s="55">
        <f>'DHS2022'!C611</f>
        <v>16371</v>
      </c>
      <c r="E612" s="55">
        <f>'DHS2023'!C611</f>
        <v>11963</v>
      </c>
      <c r="F612" s="55">
        <f>'DHS2024'!C611</f>
        <v>11269</v>
      </c>
      <c r="G612" s="56">
        <f t="shared" si="45"/>
        <v>13948.75</v>
      </c>
      <c r="H612" s="75">
        <f t="shared" si="46"/>
        <v>3.4871875000000001</v>
      </c>
      <c r="I612" s="76">
        <v>1</v>
      </c>
      <c r="J612" s="75">
        <f t="shared" si="47"/>
        <v>4.4871875000000001</v>
      </c>
      <c r="K612" s="81">
        <f t="shared" si="48"/>
        <v>5</v>
      </c>
      <c r="L612" s="11"/>
      <c r="M612" s="11"/>
      <c r="N612" s="11"/>
      <c r="O612" s="28">
        <f>'DHS2025'!C611</f>
        <v>17103</v>
      </c>
      <c r="P612" s="29">
        <f>'DHS2025'!D611</f>
        <v>7141</v>
      </c>
      <c r="Q612" s="29">
        <f>'DHS2025'!E611</f>
        <v>8054</v>
      </c>
      <c r="R612" s="62">
        <v>158.99</v>
      </c>
      <c r="S612" s="61">
        <f>(Porovnavanie!J614*0.99-1.9)*Porovnavanie!I614</f>
        <v>1252.3978054000002</v>
      </c>
    </row>
    <row r="613" spans="1:19" ht="15.75" thickBot="1">
      <c r="A613" s="101">
        <f t="shared" si="49"/>
        <v>45714</v>
      </c>
      <c r="B613" s="25" t="s">
        <v>27</v>
      </c>
      <c r="C613" s="54">
        <f>'DHS2021'!C612</f>
        <v>15142</v>
      </c>
      <c r="D613" s="55">
        <f>'DHS2022'!C612</f>
        <v>14130</v>
      </c>
      <c r="E613" s="55">
        <f>'DHS2023'!C612</f>
        <v>13137</v>
      </c>
      <c r="F613" s="55">
        <f>'DHS2024'!C612</f>
        <v>10886</v>
      </c>
      <c r="G613" s="56">
        <f t="shared" si="45"/>
        <v>13323.75</v>
      </c>
      <c r="H613" s="75">
        <f t="shared" si="46"/>
        <v>3.3309375000000001</v>
      </c>
      <c r="I613" s="76">
        <v>1</v>
      </c>
      <c r="J613" s="75">
        <f t="shared" si="47"/>
        <v>4.3309375000000001</v>
      </c>
      <c r="K613" s="81">
        <f t="shared" si="48"/>
        <v>5</v>
      </c>
      <c r="L613" s="11"/>
      <c r="M613" s="11"/>
      <c r="N613" s="11"/>
      <c r="O613" s="28">
        <f>'DHS2025'!C612</f>
        <v>15500</v>
      </c>
      <c r="P613" s="29">
        <f>'DHS2025'!D612</f>
        <v>7827</v>
      </c>
      <c r="Q613" s="29">
        <f>'DHS2025'!E612</f>
        <v>8064</v>
      </c>
      <c r="R613" s="62">
        <v>143.87</v>
      </c>
      <c r="S613" s="61">
        <f>(Porovnavanie!J615*0.99-1.9)*Porovnavanie!I615</f>
        <v>1133.2444031999999</v>
      </c>
    </row>
    <row r="614" spans="1:19" ht="15.75" thickBot="1">
      <c r="A614" s="101">
        <f t="shared" si="49"/>
        <v>45714</v>
      </c>
      <c r="B614" s="25" t="s">
        <v>28</v>
      </c>
      <c r="C614" s="54">
        <f>'DHS2021'!C613</f>
        <v>14685</v>
      </c>
      <c r="D614" s="55">
        <f>'DHS2022'!C613</f>
        <v>12510</v>
      </c>
      <c r="E614" s="55">
        <f>'DHS2023'!C613</f>
        <v>13015</v>
      </c>
      <c r="F614" s="55">
        <f>'DHS2024'!C613</f>
        <v>10654</v>
      </c>
      <c r="G614" s="56">
        <f t="shared" si="45"/>
        <v>12716</v>
      </c>
      <c r="H614" s="75">
        <f t="shared" si="46"/>
        <v>3.1789999999999998</v>
      </c>
      <c r="I614" s="76">
        <v>1</v>
      </c>
      <c r="J614" s="75">
        <f t="shared" si="47"/>
        <v>4.1790000000000003</v>
      </c>
      <c r="K614" s="81">
        <f t="shared" si="48"/>
        <v>5</v>
      </c>
      <c r="L614" s="11"/>
      <c r="M614" s="11"/>
      <c r="N614" s="11"/>
      <c r="O614" s="28">
        <f>'DHS2025'!C613</f>
        <v>14124</v>
      </c>
      <c r="P614" s="29">
        <f>'DHS2025'!D613</f>
        <v>9812</v>
      </c>
      <c r="Q614" s="29">
        <f>'DHS2025'!E613</f>
        <v>8071</v>
      </c>
      <c r="R614" s="62">
        <v>131.29</v>
      </c>
      <c r="S614" s="61">
        <f>(Porovnavanie!J616*0.99-1.9)*Porovnavanie!I616</f>
        <v>1033.7102740999997</v>
      </c>
    </row>
    <row r="615" spans="1:19" ht="15.75" thickBot="1">
      <c r="A615" s="101">
        <f t="shared" si="49"/>
        <v>45714</v>
      </c>
      <c r="B615" s="25" t="s">
        <v>29</v>
      </c>
      <c r="C615" s="54">
        <f>'DHS2021'!C614</f>
        <v>13688</v>
      </c>
      <c r="D615" s="55">
        <f>'DHS2022'!C614</f>
        <v>12802</v>
      </c>
      <c r="E615" s="55">
        <f>'DHS2023'!C614</f>
        <v>14654</v>
      </c>
      <c r="F615" s="55">
        <f>'DHS2024'!C614</f>
        <v>10284</v>
      </c>
      <c r="G615" s="56">
        <f t="shared" si="45"/>
        <v>12857</v>
      </c>
      <c r="H615" s="75">
        <f t="shared" si="46"/>
        <v>3.2142499999999998</v>
      </c>
      <c r="I615" s="76">
        <v>1</v>
      </c>
      <c r="J615" s="75">
        <f t="shared" si="47"/>
        <v>4.2142499999999998</v>
      </c>
      <c r="K615" s="81">
        <f t="shared" si="48"/>
        <v>5</v>
      </c>
      <c r="L615" s="11"/>
      <c r="M615" s="11"/>
      <c r="N615" s="11"/>
      <c r="O615" s="28">
        <f>'DHS2025'!C614</f>
        <v>12582</v>
      </c>
      <c r="P615" s="29">
        <f>'DHS2025'!D614</f>
        <v>10458</v>
      </c>
      <c r="Q615" s="29">
        <f>'DHS2025'!E614</f>
        <v>8057</v>
      </c>
      <c r="R615" s="62">
        <v>120.83</v>
      </c>
      <c r="S615" s="61">
        <f>(Porovnavanie!J617*0.99-1.9)*Porovnavanie!I617</f>
        <v>948.48373690000005</v>
      </c>
    </row>
    <row r="616" spans="1:19" ht="15.75" thickBot="1">
      <c r="A616" s="101">
        <f t="shared" si="49"/>
        <v>45714</v>
      </c>
      <c r="B616" s="25" t="s">
        <v>30</v>
      </c>
      <c r="C616" s="54">
        <f>'DHS2021'!C615</f>
        <v>13216</v>
      </c>
      <c r="D616" s="55">
        <f>'DHS2022'!C615</f>
        <v>13478</v>
      </c>
      <c r="E616" s="55">
        <f>'DHS2023'!C615</f>
        <v>15491</v>
      </c>
      <c r="F616" s="55">
        <f>'DHS2024'!C615</f>
        <v>9381</v>
      </c>
      <c r="G616" s="56">
        <f t="shared" si="45"/>
        <v>12891.5</v>
      </c>
      <c r="H616" s="75">
        <f t="shared" si="46"/>
        <v>3.2228750000000002</v>
      </c>
      <c r="I616" s="76">
        <v>1</v>
      </c>
      <c r="J616" s="75">
        <f t="shared" si="47"/>
        <v>4.2228750000000002</v>
      </c>
      <c r="K616" s="81">
        <f t="shared" si="48"/>
        <v>5</v>
      </c>
      <c r="L616" s="11"/>
      <c r="M616" s="11"/>
      <c r="N616" s="11"/>
      <c r="O616" s="28">
        <f>'DHS2025'!C615</f>
        <v>12595</v>
      </c>
      <c r="P616" s="29">
        <f>'DHS2025'!D615</f>
        <v>10661</v>
      </c>
      <c r="Q616" s="29">
        <f>'DHS2025'!E615</f>
        <v>8070</v>
      </c>
      <c r="R616" s="62">
        <v>121.24</v>
      </c>
      <c r="S616" s="61">
        <f>(Porovnavanie!J618*0.99-1.9)*Porovnavanie!I618</f>
        <v>953.28973199999996</v>
      </c>
    </row>
    <row r="617" spans="1:19" ht="15.75" thickBot="1">
      <c r="A617" s="101">
        <f t="shared" si="49"/>
        <v>45714</v>
      </c>
      <c r="B617" s="25" t="s">
        <v>31</v>
      </c>
      <c r="C617" s="54">
        <f>'DHS2021'!C616</f>
        <v>13401</v>
      </c>
      <c r="D617" s="55">
        <f>'DHS2022'!C616</f>
        <v>14065</v>
      </c>
      <c r="E617" s="55">
        <f>'DHS2023'!C616</f>
        <v>15511</v>
      </c>
      <c r="F617" s="55">
        <f>'DHS2024'!C616</f>
        <v>9023</v>
      </c>
      <c r="G617" s="56">
        <f t="shared" si="45"/>
        <v>13000</v>
      </c>
      <c r="H617" s="75">
        <f t="shared" si="46"/>
        <v>3.25</v>
      </c>
      <c r="I617" s="76">
        <v>1</v>
      </c>
      <c r="J617" s="75">
        <f t="shared" si="47"/>
        <v>4.25</v>
      </c>
      <c r="K617" s="81">
        <f t="shared" si="48"/>
        <v>5</v>
      </c>
      <c r="L617" s="11"/>
      <c r="M617" s="11"/>
      <c r="N617" s="11"/>
      <c r="O617" s="28">
        <f>'DHS2025'!C616</f>
        <v>12525</v>
      </c>
      <c r="P617" s="29">
        <f>'DHS2025'!D616</f>
        <v>10926</v>
      </c>
      <c r="Q617" s="29">
        <f>'DHS2025'!E616</f>
        <v>8058</v>
      </c>
      <c r="R617" s="62">
        <v>128.51</v>
      </c>
      <c r="S617" s="61">
        <f>(Porovnavanie!J619*0.99-1.9)*Porovnavanie!I619</f>
        <v>1009.8680441999999</v>
      </c>
    </row>
    <row r="618" spans="1:19" ht="15.75" thickBot="1">
      <c r="A618" s="101">
        <f t="shared" si="49"/>
        <v>45714</v>
      </c>
      <c r="B618" s="25" t="s">
        <v>32</v>
      </c>
      <c r="C618" s="54">
        <f>'DHS2021'!C617</f>
        <v>13255</v>
      </c>
      <c r="D618" s="55">
        <f>'DHS2022'!C617</f>
        <v>13563</v>
      </c>
      <c r="E618" s="55">
        <f>'DHS2023'!C617</f>
        <v>15816</v>
      </c>
      <c r="F618" s="55">
        <f>'DHS2024'!C617</f>
        <v>9167</v>
      </c>
      <c r="G618" s="56">
        <f t="shared" si="45"/>
        <v>12950.25</v>
      </c>
      <c r="H618" s="75">
        <f t="shared" si="46"/>
        <v>3.2375625000000001</v>
      </c>
      <c r="I618" s="76">
        <v>1</v>
      </c>
      <c r="J618" s="75">
        <f t="shared" si="47"/>
        <v>4.2375625000000001</v>
      </c>
      <c r="K618" s="81">
        <f t="shared" si="48"/>
        <v>5</v>
      </c>
      <c r="L618" s="11"/>
      <c r="M618" s="11"/>
      <c r="N618" s="11"/>
      <c r="O618" s="28">
        <f>'DHS2025'!C617</f>
        <v>11641</v>
      </c>
      <c r="P618" s="29">
        <f>'DHS2025'!D617</f>
        <v>11937</v>
      </c>
      <c r="Q618" s="29">
        <f>'DHS2025'!E617</f>
        <v>8053</v>
      </c>
      <c r="R618" s="62">
        <v>156.97</v>
      </c>
      <c r="S618" s="61">
        <f>(Porovnavanie!J620*0.99-1.9)*Porovnavanie!I620</f>
        <v>1236.1379159000001</v>
      </c>
    </row>
    <row r="619" spans="1:19" ht="15.75" thickBot="1">
      <c r="A619" s="101">
        <f t="shared" si="49"/>
        <v>45714</v>
      </c>
      <c r="B619" s="25" t="s">
        <v>33</v>
      </c>
      <c r="C619" s="54">
        <f>'DHS2021'!C618</f>
        <v>13313</v>
      </c>
      <c r="D619" s="55">
        <f>'DHS2022'!C618</f>
        <v>13316</v>
      </c>
      <c r="E619" s="55">
        <f>'DHS2023'!C618</f>
        <v>16122</v>
      </c>
      <c r="F619" s="55">
        <f>'DHS2024'!C618</f>
        <v>8252</v>
      </c>
      <c r="G619" s="56">
        <f t="shared" si="45"/>
        <v>12750.75</v>
      </c>
      <c r="H619" s="75">
        <f t="shared" si="46"/>
        <v>3.1876875</v>
      </c>
      <c r="I619" s="76">
        <v>1</v>
      </c>
      <c r="J619" s="75">
        <f t="shared" si="47"/>
        <v>4.1876875</v>
      </c>
      <c r="K619" s="81">
        <f t="shared" si="48"/>
        <v>5</v>
      </c>
      <c r="L619" s="11"/>
      <c r="M619" s="11"/>
      <c r="N619" s="11"/>
      <c r="O619" s="28">
        <f>'DHS2025'!C618</f>
        <v>12452</v>
      </c>
      <c r="P619" s="29">
        <f>'DHS2025'!D618</f>
        <v>11107</v>
      </c>
      <c r="Q619" s="29">
        <f>'DHS2025'!E618</f>
        <v>8066</v>
      </c>
      <c r="R619" s="62">
        <v>191</v>
      </c>
      <c r="S619" s="61">
        <f>(Porovnavanie!J621*0.99-1.9)*Porovnavanie!I621</f>
        <v>1509.87454</v>
      </c>
    </row>
    <row r="620" spans="1:19" ht="15.75" thickBot="1">
      <c r="A620" s="101">
        <f t="shared" si="49"/>
        <v>45714</v>
      </c>
      <c r="B620" s="25" t="s">
        <v>34</v>
      </c>
      <c r="C620" s="54">
        <f>'DHS2021'!C619</f>
        <v>14248</v>
      </c>
      <c r="D620" s="55">
        <f>'DHS2022'!C619</f>
        <v>13573</v>
      </c>
      <c r="E620" s="55">
        <f>'DHS2023'!C619</f>
        <v>17665</v>
      </c>
      <c r="F620" s="55">
        <f>'DHS2024'!C619</f>
        <v>9106</v>
      </c>
      <c r="G620" s="56">
        <f t="shared" si="45"/>
        <v>13648</v>
      </c>
      <c r="H620" s="75">
        <f t="shared" si="46"/>
        <v>3.4119999999999999</v>
      </c>
      <c r="I620" s="76">
        <v>1</v>
      </c>
      <c r="J620" s="75">
        <f t="shared" si="47"/>
        <v>4.4119999999999999</v>
      </c>
      <c r="K620" s="81">
        <f t="shared" si="48"/>
        <v>5</v>
      </c>
      <c r="L620" s="11"/>
      <c r="M620" s="11"/>
      <c r="N620" s="11"/>
      <c r="O620" s="28">
        <f>'DHS2025'!C619</f>
        <v>14349</v>
      </c>
      <c r="P620" s="29">
        <f>'DHS2025'!D619</f>
        <v>9254</v>
      </c>
      <c r="Q620" s="29">
        <f>'DHS2025'!E619</f>
        <v>8053</v>
      </c>
      <c r="R620" s="62">
        <v>132.47999999999999</v>
      </c>
      <c r="S620" s="61">
        <f>(Porovnavanie!J622*0.99-1.9)*Porovnavanie!I622</f>
        <v>1040.8921255999999</v>
      </c>
    </row>
    <row r="621" spans="1:19" ht="15.75" thickBot="1">
      <c r="A621" s="101">
        <f t="shared" si="49"/>
        <v>45714</v>
      </c>
      <c r="B621" s="25" t="s">
        <v>35</v>
      </c>
      <c r="C621" s="54">
        <f>'DHS2021'!C620</f>
        <v>16363</v>
      </c>
      <c r="D621" s="55">
        <f>'DHS2022'!C620</f>
        <v>15526</v>
      </c>
      <c r="E621" s="55">
        <f>'DHS2023'!C620</f>
        <v>16029</v>
      </c>
      <c r="F621" s="55">
        <f>'DHS2024'!C620</f>
        <v>10128</v>
      </c>
      <c r="G621" s="56">
        <f t="shared" si="45"/>
        <v>14511.5</v>
      </c>
      <c r="H621" s="75">
        <f t="shared" si="46"/>
        <v>3.627875</v>
      </c>
      <c r="I621" s="76">
        <v>1</v>
      </c>
      <c r="J621" s="75">
        <f t="shared" si="47"/>
        <v>4.6278749999999995</v>
      </c>
      <c r="K621" s="81">
        <f t="shared" si="48"/>
        <v>5</v>
      </c>
      <c r="L621" s="11"/>
      <c r="M621" s="11"/>
      <c r="N621" s="11"/>
      <c r="O621" s="28">
        <f>'DHS2025'!C620</f>
        <v>15537</v>
      </c>
      <c r="P621" s="29">
        <f>'DHS2025'!D620</f>
        <v>7985</v>
      </c>
      <c r="Q621" s="29">
        <f>'DHS2025'!E620</f>
        <v>8059</v>
      </c>
      <c r="R621" s="62">
        <v>194</v>
      </c>
      <c r="S621" s="61">
        <f>(Porovnavanie!J623*0.99-1.9)*Porovnavanie!I623</f>
        <v>1532.4994399999998</v>
      </c>
    </row>
    <row r="622" spans="1:19" ht="15.75" thickBot="1">
      <c r="A622" s="101">
        <f t="shared" si="49"/>
        <v>45714</v>
      </c>
      <c r="B622" s="25" t="s">
        <v>36</v>
      </c>
      <c r="C622" s="54">
        <f>'DHS2021'!C621</f>
        <v>15876</v>
      </c>
      <c r="D622" s="55">
        <f>'DHS2022'!C621</f>
        <v>15396</v>
      </c>
      <c r="E622" s="55">
        <f>'DHS2023'!C621</f>
        <v>14618</v>
      </c>
      <c r="F622" s="55">
        <f>'DHS2024'!C621</f>
        <v>11431</v>
      </c>
      <c r="G622" s="56">
        <f t="shared" si="45"/>
        <v>14330.25</v>
      </c>
      <c r="H622" s="75">
        <f t="shared" si="46"/>
        <v>3.5825624999999999</v>
      </c>
      <c r="I622" s="76">
        <v>1</v>
      </c>
      <c r="J622" s="75">
        <f t="shared" si="47"/>
        <v>4.5825624999999999</v>
      </c>
      <c r="K622" s="81">
        <f t="shared" si="48"/>
        <v>5</v>
      </c>
      <c r="L622" s="11"/>
      <c r="M622" s="11"/>
      <c r="N622" s="11"/>
      <c r="O622" s="28">
        <f>'DHS2025'!C621</f>
        <v>15907</v>
      </c>
      <c r="P622" s="29">
        <f>'DHS2025'!D621</f>
        <v>7289</v>
      </c>
      <c r="Q622" s="29">
        <f>'DHS2025'!E621</f>
        <v>8057</v>
      </c>
      <c r="R622" s="62">
        <v>197.37</v>
      </c>
      <c r="S622" s="61">
        <f>(Porovnavanie!J624*0.99-1.9)*Porovnavanie!I624</f>
        <v>1558.9996891000001</v>
      </c>
    </row>
    <row r="623" spans="1:19" ht="15.75" thickBot="1">
      <c r="A623" s="101">
        <f t="shared" si="49"/>
        <v>45714</v>
      </c>
      <c r="B623" s="25" t="s">
        <v>37</v>
      </c>
      <c r="C623" s="54">
        <f>'DHS2021'!C622</f>
        <v>16898</v>
      </c>
      <c r="D623" s="55">
        <f>'DHS2022'!C622</f>
        <v>14607</v>
      </c>
      <c r="E623" s="55">
        <f>'DHS2023'!C622</f>
        <v>14856</v>
      </c>
      <c r="F623" s="55">
        <f>'DHS2024'!C622</f>
        <v>10152</v>
      </c>
      <c r="G623" s="56">
        <f t="shared" si="45"/>
        <v>14128.25</v>
      </c>
      <c r="H623" s="75">
        <f t="shared" si="46"/>
        <v>3.5320624999999999</v>
      </c>
      <c r="I623" s="76">
        <v>1</v>
      </c>
      <c r="J623" s="75">
        <f t="shared" si="47"/>
        <v>4.5320625000000003</v>
      </c>
      <c r="K623" s="81">
        <f t="shared" si="48"/>
        <v>5</v>
      </c>
      <c r="L623" s="11"/>
      <c r="M623" s="11"/>
      <c r="N623" s="11"/>
      <c r="O623" s="28">
        <f>'DHS2025'!C622</f>
        <v>16811</v>
      </c>
      <c r="P623" s="29">
        <f>'DHS2025'!D622</f>
        <v>6626</v>
      </c>
      <c r="Q623" s="29">
        <f>'DHS2025'!E622</f>
        <v>8060</v>
      </c>
      <c r="R623" s="62">
        <v>201.14</v>
      </c>
      <c r="S623" s="61">
        <f>(Porovnavanie!J625*0.99-1.9)*Porovnavanie!I625</f>
        <v>1589.6625159999999</v>
      </c>
    </row>
    <row r="624" spans="1:19" ht="15.75" thickBot="1">
      <c r="A624" s="101">
        <f t="shared" si="49"/>
        <v>45714</v>
      </c>
      <c r="B624" s="25" t="s">
        <v>38</v>
      </c>
      <c r="C624" s="54">
        <f>'DHS2021'!C623</f>
        <v>15740</v>
      </c>
      <c r="D624" s="55">
        <f>'DHS2022'!C623</f>
        <v>15145</v>
      </c>
      <c r="E624" s="55">
        <f>'DHS2023'!C623</f>
        <v>12989</v>
      </c>
      <c r="F624" s="55">
        <f>'DHS2024'!C623</f>
        <v>10840</v>
      </c>
      <c r="G624" s="56">
        <f t="shared" si="45"/>
        <v>13678.5</v>
      </c>
      <c r="H624" s="75">
        <f t="shared" si="46"/>
        <v>3.4196249999999999</v>
      </c>
      <c r="I624" s="76">
        <v>1</v>
      </c>
      <c r="J624" s="75">
        <f t="shared" si="47"/>
        <v>4.4196249999999999</v>
      </c>
      <c r="K624" s="81">
        <f t="shared" si="48"/>
        <v>5</v>
      </c>
      <c r="L624" s="11"/>
      <c r="M624" s="11"/>
      <c r="N624" s="11"/>
      <c r="O624" s="28">
        <f>'DHS2025'!C623</f>
        <v>17220</v>
      </c>
      <c r="P624" s="29">
        <f>'DHS2025'!D623</f>
        <v>6559</v>
      </c>
      <c r="Q624" s="29">
        <f>'DHS2025'!E623</f>
        <v>8056</v>
      </c>
      <c r="R624" s="62">
        <v>177.75</v>
      </c>
      <c r="S624" s="61">
        <f>(Porovnavanie!J626*0.99-1.9)*Porovnavanie!I626</f>
        <v>1402.3280599999998</v>
      </c>
    </row>
    <row r="625" spans="1:19" ht="15.75" thickBot="1">
      <c r="A625" s="101">
        <f t="shared" si="49"/>
        <v>45714</v>
      </c>
      <c r="B625" s="25" t="s">
        <v>39</v>
      </c>
      <c r="C625" s="54">
        <f>'DHS2021'!C624</f>
        <v>14284</v>
      </c>
      <c r="D625" s="55">
        <f>'DHS2022'!C624</f>
        <v>15025</v>
      </c>
      <c r="E625" s="55">
        <f>'DHS2023'!C624</f>
        <v>12121</v>
      </c>
      <c r="F625" s="55">
        <f>'DHS2024'!C624</f>
        <v>9394</v>
      </c>
      <c r="G625" s="56">
        <f t="shared" si="45"/>
        <v>12706</v>
      </c>
      <c r="H625" s="75">
        <f t="shared" si="46"/>
        <v>3.1764999999999999</v>
      </c>
      <c r="I625" s="76">
        <v>1</v>
      </c>
      <c r="J625" s="75">
        <f t="shared" si="47"/>
        <v>4.1764999999999999</v>
      </c>
      <c r="K625" s="81">
        <f t="shared" si="48"/>
        <v>5</v>
      </c>
      <c r="L625" s="11"/>
      <c r="M625" s="11"/>
      <c r="N625" s="11"/>
      <c r="O625" s="28">
        <f>'DHS2025'!C624</f>
        <v>13701</v>
      </c>
      <c r="P625" s="29">
        <f>'DHS2025'!D624</f>
        <v>10623</v>
      </c>
      <c r="Q625" s="29">
        <f>'DHS2025'!E624</f>
        <v>8058</v>
      </c>
      <c r="R625" s="62">
        <v>147.81</v>
      </c>
      <c r="S625" s="61">
        <f>(Porovnavanie!J627*0.99-1.9)*Porovnavanie!I627</f>
        <v>1163.8322501999999</v>
      </c>
    </row>
    <row r="626" spans="1:19" ht="15.75" thickBot="1">
      <c r="A626" s="101">
        <f t="shared" si="49"/>
        <v>45714</v>
      </c>
      <c r="B626" s="25" t="s">
        <v>40</v>
      </c>
      <c r="C626" s="54">
        <f>'DHS2021'!C625</f>
        <v>6165</v>
      </c>
      <c r="D626" s="55">
        <f>'DHS2022'!C625</f>
        <v>11348</v>
      </c>
      <c r="E626" s="55">
        <f>'DHS2023'!C625</f>
        <v>10158</v>
      </c>
      <c r="F626" s="55">
        <f>'DHS2024'!C625</f>
        <v>4768</v>
      </c>
      <c r="G626" s="56">
        <f t="shared" si="45"/>
        <v>8109.75</v>
      </c>
      <c r="H626" s="75">
        <f t="shared" si="46"/>
        <v>2.0274375</v>
      </c>
      <c r="I626" s="76">
        <v>1</v>
      </c>
      <c r="J626" s="75">
        <f t="shared" si="47"/>
        <v>3.0274375</v>
      </c>
      <c r="K626" s="81">
        <f t="shared" si="48"/>
        <v>4</v>
      </c>
      <c r="L626" s="11"/>
      <c r="M626" s="11"/>
      <c r="N626" s="11"/>
      <c r="O626" s="28">
        <f>'DHS2025'!C625</f>
        <v>7741</v>
      </c>
      <c r="P626" s="29">
        <f>'DHS2025'!D625</f>
        <v>16069</v>
      </c>
      <c r="Q626" s="29">
        <f>'DHS2025'!E625</f>
        <v>8074</v>
      </c>
      <c r="R626" s="62">
        <v>128.94999999999999</v>
      </c>
      <c r="S626" s="61">
        <f>(Porovnavanie!J628*0.99-1.9)*Porovnavanie!I628</f>
        <v>1015.3902769999999</v>
      </c>
    </row>
    <row r="627" spans="1:19" ht="15.75" thickBot="1">
      <c r="A627" s="100">
        <f t="shared" si="49"/>
        <v>45715</v>
      </c>
      <c r="B627" s="24" t="s">
        <v>17</v>
      </c>
      <c r="C627" s="54">
        <f>'DHS2021'!C626</f>
        <v>4576</v>
      </c>
      <c r="D627" s="55">
        <f>'DHS2022'!C626</f>
        <v>7625</v>
      </c>
      <c r="E627" s="55">
        <f>'DHS2023'!C626</f>
        <v>10276</v>
      </c>
      <c r="F627" s="55">
        <f>'DHS2024'!C626</f>
        <v>2485</v>
      </c>
      <c r="G627" s="56">
        <f t="shared" si="45"/>
        <v>6240.5</v>
      </c>
      <c r="H627" s="75">
        <f t="shared" si="46"/>
        <v>1.560125</v>
      </c>
      <c r="I627" s="76">
        <v>1</v>
      </c>
      <c r="J627" s="75">
        <f t="shared" si="47"/>
        <v>2.5601250000000002</v>
      </c>
      <c r="K627" s="81">
        <f t="shared" si="48"/>
        <v>3</v>
      </c>
      <c r="L627" s="11"/>
      <c r="M627" s="11"/>
      <c r="N627" s="11"/>
      <c r="O627" s="28">
        <f>'DHS2025'!C626</f>
        <v>6953</v>
      </c>
      <c r="P627" s="29">
        <f>'DHS2025'!D626</f>
        <v>16412</v>
      </c>
      <c r="Q627" s="29">
        <f>'DHS2025'!E626</f>
        <v>8070</v>
      </c>
      <c r="R627" s="62">
        <v>123.04</v>
      </c>
      <c r="S627" s="61">
        <f>(Porovnavanie!J629*0.99-1.9)*Porovnavanie!I629</f>
        <v>967.67047200000002</v>
      </c>
    </row>
    <row r="628" spans="1:19" ht="15.75" thickBot="1">
      <c r="A628" s="100">
        <f t="shared" si="49"/>
        <v>45715</v>
      </c>
      <c r="B628" s="24" t="s">
        <v>18</v>
      </c>
      <c r="C628" s="54">
        <f>'DHS2021'!C627</f>
        <v>6611</v>
      </c>
      <c r="D628" s="55">
        <f>'DHS2022'!C627</f>
        <v>7897</v>
      </c>
      <c r="E628" s="55">
        <f>'DHS2023'!C627</f>
        <v>10630</v>
      </c>
      <c r="F628" s="55">
        <f>'DHS2024'!C627</f>
        <v>2485</v>
      </c>
      <c r="G628" s="56">
        <f t="shared" si="45"/>
        <v>6905.75</v>
      </c>
      <c r="H628" s="75">
        <f t="shared" si="46"/>
        <v>1.7264375000000001</v>
      </c>
      <c r="I628" s="76">
        <v>1</v>
      </c>
      <c r="J628" s="75">
        <f t="shared" si="47"/>
        <v>2.7264375000000003</v>
      </c>
      <c r="K628" s="81">
        <f t="shared" si="48"/>
        <v>3</v>
      </c>
      <c r="L628" s="11"/>
      <c r="M628" s="11"/>
      <c r="N628" s="11"/>
      <c r="O628" s="28">
        <f>'DHS2025'!C627</f>
        <v>7302</v>
      </c>
      <c r="P628" s="29">
        <f>'DHS2025'!D627</f>
        <v>16341</v>
      </c>
      <c r="Q628" s="29">
        <f>'DHS2025'!E627</f>
        <v>8057</v>
      </c>
      <c r="R628" s="62">
        <v>103.81</v>
      </c>
      <c r="S628" s="61">
        <f>(Porovnavanie!J630*0.99-1.9)*Porovnavanie!I630</f>
        <v>812.72489830000006</v>
      </c>
    </row>
    <row r="629" spans="1:19" ht="15.75" thickBot="1">
      <c r="A629" s="100">
        <f t="shared" si="49"/>
        <v>45715</v>
      </c>
      <c r="B629" s="24" t="s">
        <v>19</v>
      </c>
      <c r="C629" s="54">
        <f>'DHS2021'!C628</f>
        <v>8303</v>
      </c>
      <c r="D629" s="55">
        <f>'DHS2022'!C628</f>
        <v>7173</v>
      </c>
      <c r="E629" s="55">
        <f>'DHS2023'!C628</f>
        <v>11828</v>
      </c>
      <c r="F629" s="55">
        <f>'DHS2024'!C628</f>
        <v>2789</v>
      </c>
      <c r="G629" s="56">
        <f t="shared" si="45"/>
        <v>7523.25</v>
      </c>
      <c r="H629" s="75">
        <f t="shared" si="46"/>
        <v>1.8808125</v>
      </c>
      <c r="I629" s="76">
        <v>1</v>
      </c>
      <c r="J629" s="75">
        <f t="shared" si="47"/>
        <v>2.8808125000000002</v>
      </c>
      <c r="K629" s="81">
        <f t="shared" si="48"/>
        <v>3</v>
      </c>
      <c r="L629" s="11"/>
      <c r="M629" s="11"/>
      <c r="N629" s="11"/>
      <c r="O629" s="28">
        <f>'DHS2025'!C628</f>
        <v>8549</v>
      </c>
      <c r="P629" s="29">
        <f>'DHS2025'!D628</f>
        <v>14857</v>
      </c>
      <c r="Q629" s="29">
        <f>'DHS2025'!E628</f>
        <v>8056</v>
      </c>
      <c r="R629" s="62">
        <v>102.53</v>
      </c>
      <c r="S629" s="61">
        <f>(Porovnavanie!J631*0.99-1.9)*Porovnavanie!I631</f>
        <v>802.41546319999986</v>
      </c>
    </row>
    <row r="630" spans="1:19" ht="15.75" thickBot="1">
      <c r="A630" s="100">
        <f t="shared" si="49"/>
        <v>45715</v>
      </c>
      <c r="B630" s="24" t="s">
        <v>20</v>
      </c>
      <c r="C630" s="54">
        <f>'DHS2021'!C629</f>
        <v>9986</v>
      </c>
      <c r="D630" s="55">
        <f>'DHS2022'!C629</f>
        <v>9316</v>
      </c>
      <c r="E630" s="55">
        <f>'DHS2023'!C629</f>
        <v>13059</v>
      </c>
      <c r="F630" s="55">
        <f>'DHS2024'!C629</f>
        <v>3070</v>
      </c>
      <c r="G630" s="56">
        <f t="shared" si="45"/>
        <v>8857.75</v>
      </c>
      <c r="H630" s="75">
        <f t="shared" si="46"/>
        <v>2.2144374999999998</v>
      </c>
      <c r="I630" s="76">
        <v>1</v>
      </c>
      <c r="J630" s="75">
        <f t="shared" si="47"/>
        <v>3.2144374999999998</v>
      </c>
      <c r="K630" s="81">
        <f t="shared" si="48"/>
        <v>4</v>
      </c>
      <c r="L630" s="11"/>
      <c r="M630" s="11"/>
      <c r="N630" s="11"/>
      <c r="O630" s="28">
        <f>'DHS2025'!C629</f>
        <v>10271</v>
      </c>
      <c r="P630" s="29">
        <f>'DHS2025'!D629</f>
        <v>14235</v>
      </c>
      <c r="Q630" s="29">
        <f>'DHS2025'!E629</f>
        <v>8063</v>
      </c>
      <c r="R630" s="62">
        <v>101.28</v>
      </c>
      <c r="S630" s="61">
        <f>(Porovnavanie!J632*0.99-1.9)*Porovnavanie!I632</f>
        <v>793.1347336</v>
      </c>
    </row>
    <row r="631" spans="1:19" ht="15.75" thickBot="1">
      <c r="A631" s="100">
        <f t="shared" si="49"/>
        <v>45715</v>
      </c>
      <c r="B631" s="24" t="s">
        <v>21</v>
      </c>
      <c r="C631" s="54">
        <f>'DHS2021'!C630</f>
        <v>17586</v>
      </c>
      <c r="D631" s="55">
        <f>'DHS2022'!C630</f>
        <v>15742</v>
      </c>
      <c r="E631" s="55">
        <f>'DHS2023'!C630</f>
        <v>12552</v>
      </c>
      <c r="F631" s="55">
        <f>'DHS2024'!C630</f>
        <v>9393</v>
      </c>
      <c r="G631" s="56">
        <f t="shared" si="45"/>
        <v>13818.25</v>
      </c>
      <c r="H631" s="75">
        <f t="shared" si="46"/>
        <v>3.4545625000000002</v>
      </c>
      <c r="I631" s="76">
        <v>1</v>
      </c>
      <c r="J631" s="75">
        <f t="shared" si="47"/>
        <v>4.4545624999999998</v>
      </c>
      <c r="K631" s="81">
        <f t="shared" si="48"/>
        <v>5</v>
      </c>
      <c r="L631" s="11"/>
      <c r="M631" s="11"/>
      <c r="N631" s="11"/>
      <c r="O631" s="28">
        <f>'DHS2025'!C630</f>
        <v>18269</v>
      </c>
      <c r="P631" s="29">
        <f>'DHS2025'!D630</f>
        <v>5799</v>
      </c>
      <c r="Q631" s="29">
        <f>'DHS2025'!E630</f>
        <v>8049</v>
      </c>
      <c r="R631" s="62">
        <v>101.38</v>
      </c>
      <c r="S631" s="61">
        <f>(Porovnavanie!J633*0.99-1.9)*Porovnavanie!I633</f>
        <v>792.55444379999983</v>
      </c>
    </row>
    <row r="632" spans="1:19" ht="15.75" thickBot="1">
      <c r="A632" s="100">
        <f t="shared" si="49"/>
        <v>45715</v>
      </c>
      <c r="B632" s="24" t="s">
        <v>22</v>
      </c>
      <c r="C632" s="54">
        <f>'DHS2021'!C631</f>
        <v>17918</v>
      </c>
      <c r="D632" s="55">
        <f>'DHS2022'!C631</f>
        <v>16765</v>
      </c>
      <c r="E632" s="55">
        <f>'DHS2023'!C631</f>
        <v>14203</v>
      </c>
      <c r="F632" s="55">
        <f>'DHS2024'!C631</f>
        <v>13990</v>
      </c>
      <c r="G632" s="56">
        <f t="shared" si="45"/>
        <v>15719</v>
      </c>
      <c r="H632" s="75">
        <f t="shared" si="46"/>
        <v>3.9297499999999999</v>
      </c>
      <c r="I632" s="76">
        <v>1</v>
      </c>
      <c r="J632" s="75">
        <f t="shared" si="47"/>
        <v>4.9297500000000003</v>
      </c>
      <c r="K632" s="81">
        <f t="shared" si="48"/>
        <v>5</v>
      </c>
      <c r="L632" s="11"/>
      <c r="M632" s="11"/>
      <c r="N632" s="11"/>
      <c r="O632" s="28">
        <f>'DHS2025'!C631</f>
        <v>18405</v>
      </c>
      <c r="P632" s="29">
        <f>'DHS2025'!D631</f>
        <v>5504</v>
      </c>
      <c r="Q632" s="29">
        <f>'DHS2025'!E631</f>
        <v>8056</v>
      </c>
      <c r="R632" s="62">
        <v>102.66</v>
      </c>
      <c r="S632" s="61">
        <f>(Porovnavanie!J634*0.99-1.9)*Porovnavanie!I634</f>
        <v>803.45227039999986</v>
      </c>
    </row>
    <row r="633" spans="1:19" ht="15.75" thickBot="1">
      <c r="A633" s="100">
        <f t="shared" si="49"/>
        <v>45715</v>
      </c>
      <c r="B633" s="24" t="s">
        <v>23</v>
      </c>
      <c r="C633" s="54">
        <f>'DHS2021'!C632</f>
        <v>17093</v>
      </c>
      <c r="D633" s="55">
        <f>'DHS2022'!C632</f>
        <v>17165</v>
      </c>
      <c r="E633" s="55">
        <f>'DHS2023'!C632</f>
        <v>12616</v>
      </c>
      <c r="F633" s="55">
        <f>'DHS2024'!C632</f>
        <v>15288</v>
      </c>
      <c r="G633" s="56">
        <f t="shared" si="45"/>
        <v>15540.5</v>
      </c>
      <c r="H633" s="75">
        <f t="shared" si="46"/>
        <v>3.8851249999999999</v>
      </c>
      <c r="I633" s="76">
        <v>1</v>
      </c>
      <c r="J633" s="75">
        <f t="shared" si="47"/>
        <v>4.8851250000000004</v>
      </c>
      <c r="K633" s="81">
        <f t="shared" si="48"/>
        <v>5</v>
      </c>
      <c r="L633" s="11"/>
      <c r="M633" s="11"/>
      <c r="N633" s="11"/>
      <c r="O633" s="28">
        <f>'DHS2025'!C632</f>
        <v>17184</v>
      </c>
      <c r="P633" s="29">
        <f>'DHS2025'!D632</f>
        <v>7251</v>
      </c>
      <c r="Q633" s="29">
        <f>'DHS2025'!E632</f>
        <v>8075</v>
      </c>
      <c r="R633" s="62">
        <v>129.18</v>
      </c>
      <c r="S633" s="61">
        <f>(Porovnavanie!J635*0.99-1.9)*Porovnavanie!I635</f>
        <v>1017.3547149999999</v>
      </c>
    </row>
    <row r="634" spans="1:19" ht="15.75" thickBot="1">
      <c r="A634" s="100">
        <f t="shared" si="49"/>
        <v>45715</v>
      </c>
      <c r="B634" s="24" t="s">
        <v>24</v>
      </c>
      <c r="C634" s="54">
        <f>'DHS2021'!C633</f>
        <v>13951</v>
      </c>
      <c r="D634" s="55">
        <f>'DHS2022'!C633</f>
        <v>16163</v>
      </c>
      <c r="E634" s="55">
        <f>'DHS2023'!C633</f>
        <v>14261</v>
      </c>
      <c r="F634" s="55">
        <f>'DHS2024'!C633</f>
        <v>13564</v>
      </c>
      <c r="G634" s="56">
        <f t="shared" si="45"/>
        <v>14484.75</v>
      </c>
      <c r="H634" s="75">
        <f t="shared" si="46"/>
        <v>3.6211875</v>
      </c>
      <c r="I634" s="76">
        <v>1</v>
      </c>
      <c r="J634" s="75">
        <f t="shared" si="47"/>
        <v>4.6211874999999996</v>
      </c>
      <c r="K634" s="81">
        <f t="shared" si="48"/>
        <v>5</v>
      </c>
      <c r="L634" s="11"/>
      <c r="M634" s="11"/>
      <c r="N634" s="11"/>
      <c r="O634" s="28">
        <f>'DHS2025'!C633</f>
        <v>16167</v>
      </c>
      <c r="P634" s="29">
        <f>'DHS2025'!D633</f>
        <v>6956</v>
      </c>
      <c r="Q634" s="29">
        <f>'DHS2025'!E633</f>
        <v>8030</v>
      </c>
      <c r="R634" s="62">
        <v>169.18</v>
      </c>
      <c r="S634" s="61">
        <f>(Porovnavanie!J636*0.99-1.9)*Porovnavanie!I636</f>
        <v>1329.6732459999998</v>
      </c>
    </row>
    <row r="635" spans="1:19" ht="15.75" thickBot="1">
      <c r="A635" s="100">
        <f t="shared" si="49"/>
        <v>45715</v>
      </c>
      <c r="B635" s="24" t="s">
        <v>25</v>
      </c>
      <c r="C635" s="54">
        <f>'DHS2021'!C634</f>
        <v>14396</v>
      </c>
      <c r="D635" s="55">
        <f>'DHS2022'!C634</f>
        <v>16732</v>
      </c>
      <c r="E635" s="55">
        <f>'DHS2023'!C634</f>
        <v>15652</v>
      </c>
      <c r="F635" s="55">
        <f>'DHS2024'!C634</f>
        <v>11352</v>
      </c>
      <c r="G635" s="56">
        <f t="shared" si="45"/>
        <v>14533</v>
      </c>
      <c r="H635" s="75">
        <f t="shared" si="46"/>
        <v>3.6332499999999999</v>
      </c>
      <c r="I635" s="76">
        <v>1</v>
      </c>
      <c r="J635" s="75">
        <f t="shared" si="47"/>
        <v>4.6332500000000003</v>
      </c>
      <c r="K635" s="81">
        <f t="shared" si="48"/>
        <v>5</v>
      </c>
      <c r="L635" s="11"/>
      <c r="M635" s="11"/>
      <c r="N635" s="11"/>
      <c r="O635" s="28">
        <f>'DHS2025'!C634</f>
        <v>15926</v>
      </c>
      <c r="P635" s="29">
        <f>'DHS2025'!D634</f>
        <v>7007</v>
      </c>
      <c r="Q635" s="29">
        <f>'DHS2025'!E634</f>
        <v>8049</v>
      </c>
      <c r="R635" s="62">
        <v>173.96</v>
      </c>
      <c r="S635" s="61">
        <f>(Porovnavanie!J637*0.99-1.9)*Porovnavanie!I637</f>
        <v>1370.9088996</v>
      </c>
    </row>
    <row r="636" spans="1:19" ht="15.75" thickBot="1">
      <c r="A636" s="100">
        <f t="shared" si="49"/>
        <v>45715</v>
      </c>
      <c r="B636" s="24" t="s">
        <v>26</v>
      </c>
      <c r="C636" s="54">
        <f>'DHS2021'!C635</f>
        <v>15464</v>
      </c>
      <c r="D636" s="55">
        <f>'DHS2022'!C635</f>
        <v>15898</v>
      </c>
      <c r="E636" s="55">
        <f>'DHS2023'!C635</f>
        <v>16370</v>
      </c>
      <c r="F636" s="55">
        <f>'DHS2024'!C635</f>
        <v>10479</v>
      </c>
      <c r="G636" s="56">
        <f t="shared" si="45"/>
        <v>14552.75</v>
      </c>
      <c r="H636" s="75">
        <f t="shared" si="46"/>
        <v>3.6381874999999999</v>
      </c>
      <c r="I636" s="76">
        <v>1</v>
      </c>
      <c r="J636" s="75">
        <f t="shared" si="47"/>
        <v>4.6381874999999999</v>
      </c>
      <c r="K636" s="81">
        <f t="shared" si="48"/>
        <v>5</v>
      </c>
      <c r="L636" s="11"/>
      <c r="M636" s="11"/>
      <c r="N636" s="11"/>
      <c r="O636" s="28">
        <f>'DHS2025'!C635</f>
        <v>14943</v>
      </c>
      <c r="P636" s="29">
        <f>'DHS2025'!D635</f>
        <v>8848</v>
      </c>
      <c r="Q636" s="29">
        <f>'DHS2025'!E635</f>
        <v>8060</v>
      </c>
      <c r="R636" s="62">
        <v>157.19</v>
      </c>
      <c r="S636" s="61">
        <f>(Porovnavanie!J638*0.99-1.9)*Porovnavanie!I638</f>
        <v>1238.9678859999999</v>
      </c>
    </row>
    <row r="637" spans="1:19" ht="15.75" thickBot="1">
      <c r="A637" s="100">
        <f t="shared" si="49"/>
        <v>45715</v>
      </c>
      <c r="B637" s="24" t="s">
        <v>27</v>
      </c>
      <c r="C637" s="54">
        <f>'DHS2021'!C636</f>
        <v>15418</v>
      </c>
      <c r="D637" s="55">
        <f>'DHS2022'!C636</f>
        <v>15281</v>
      </c>
      <c r="E637" s="55">
        <f>'DHS2023'!C636</f>
        <v>16477</v>
      </c>
      <c r="F637" s="55">
        <f>'DHS2024'!C636</f>
        <v>9259</v>
      </c>
      <c r="G637" s="56">
        <f t="shared" si="45"/>
        <v>14108.75</v>
      </c>
      <c r="H637" s="75">
        <f t="shared" si="46"/>
        <v>3.5271875000000001</v>
      </c>
      <c r="I637" s="76">
        <v>1</v>
      </c>
      <c r="J637" s="75">
        <f t="shared" si="47"/>
        <v>4.5271875000000001</v>
      </c>
      <c r="K637" s="81">
        <f t="shared" si="48"/>
        <v>5</v>
      </c>
      <c r="L637" s="11"/>
      <c r="M637" s="11"/>
      <c r="N637" s="11"/>
      <c r="O637" s="28">
        <f>'DHS2025'!C636</f>
        <v>12858</v>
      </c>
      <c r="P637" s="29">
        <f>'DHS2025'!D636</f>
        <v>10785</v>
      </c>
      <c r="Q637" s="29">
        <f>'DHS2025'!E636</f>
        <v>8064</v>
      </c>
      <c r="R637" s="62">
        <v>138.94999999999999</v>
      </c>
      <c r="S637" s="61">
        <f>(Porovnavanie!J639*0.99-1.9)*Porovnavanie!I639</f>
        <v>1093.9662719999999</v>
      </c>
    </row>
    <row r="638" spans="1:19" ht="15.75" thickBot="1">
      <c r="A638" s="100">
        <f t="shared" si="49"/>
        <v>45715</v>
      </c>
      <c r="B638" s="24" t="s">
        <v>28</v>
      </c>
      <c r="C638" s="54">
        <f>'DHS2021'!C637</f>
        <v>14695</v>
      </c>
      <c r="D638" s="55">
        <f>'DHS2022'!C637</f>
        <v>15578</v>
      </c>
      <c r="E638" s="55">
        <f>'DHS2023'!C637</f>
        <v>16173</v>
      </c>
      <c r="F638" s="55">
        <f>'DHS2024'!C637</f>
        <v>8998</v>
      </c>
      <c r="G638" s="56">
        <f t="shared" si="45"/>
        <v>13861</v>
      </c>
      <c r="H638" s="75">
        <f t="shared" si="46"/>
        <v>3.4652500000000002</v>
      </c>
      <c r="I638" s="76">
        <v>1</v>
      </c>
      <c r="J638" s="75">
        <f t="shared" si="47"/>
        <v>4.4652500000000002</v>
      </c>
      <c r="K638" s="81">
        <f t="shared" si="48"/>
        <v>5</v>
      </c>
      <c r="L638" s="11"/>
      <c r="M638" s="11"/>
      <c r="N638" s="11"/>
      <c r="O638" s="28">
        <f>'DHS2025'!C637</f>
        <v>13105</v>
      </c>
      <c r="P638" s="29">
        <f>'DHS2025'!D637</f>
        <v>10178</v>
      </c>
      <c r="Q638" s="29">
        <f>'DHS2025'!E637</f>
        <v>8070</v>
      </c>
      <c r="R638" s="62">
        <v>146.1</v>
      </c>
      <c r="S638" s="61">
        <f>(Porovnavanie!J640*0.99-1.9)*Porovnavanie!I640</f>
        <v>1151.9037299999998</v>
      </c>
    </row>
    <row r="639" spans="1:19" ht="15.75" thickBot="1">
      <c r="A639" s="100">
        <f t="shared" si="49"/>
        <v>45715</v>
      </c>
      <c r="B639" s="24" t="s">
        <v>29</v>
      </c>
      <c r="C639" s="54">
        <f>'DHS2021'!C638</f>
        <v>14315</v>
      </c>
      <c r="D639" s="55">
        <f>'DHS2022'!C638</f>
        <v>15856</v>
      </c>
      <c r="E639" s="55">
        <f>'DHS2023'!C638</f>
        <v>14491</v>
      </c>
      <c r="F639" s="55">
        <f>'DHS2024'!C638</f>
        <v>6831</v>
      </c>
      <c r="G639" s="56">
        <f t="shared" si="45"/>
        <v>12873.25</v>
      </c>
      <c r="H639" s="75">
        <f t="shared" si="46"/>
        <v>3.2183125000000001</v>
      </c>
      <c r="I639" s="76">
        <v>1</v>
      </c>
      <c r="J639" s="75">
        <f t="shared" si="47"/>
        <v>4.2183124999999997</v>
      </c>
      <c r="K639" s="81">
        <f t="shared" si="48"/>
        <v>5</v>
      </c>
      <c r="L639" s="11"/>
      <c r="M639" s="11"/>
      <c r="N639" s="11"/>
      <c r="O639" s="28">
        <f>'DHS2025'!C638</f>
        <v>12063</v>
      </c>
      <c r="P639" s="29">
        <f>'DHS2025'!D638</f>
        <v>11423</v>
      </c>
      <c r="Q639" s="29">
        <f>'DHS2025'!E638</f>
        <v>8042</v>
      </c>
      <c r="R639" s="62">
        <v>136.63999999999999</v>
      </c>
      <c r="S639" s="61">
        <f>(Porovnavanie!J641*0.99-1.9)*Porovnavanie!I641</f>
        <v>1072.5904911999999</v>
      </c>
    </row>
    <row r="640" spans="1:19" ht="15.75" thickBot="1">
      <c r="A640" s="100">
        <f t="shared" si="49"/>
        <v>45715</v>
      </c>
      <c r="B640" s="24" t="s">
        <v>30</v>
      </c>
      <c r="C640" s="54">
        <f>'DHS2021'!C639</f>
        <v>14922</v>
      </c>
      <c r="D640" s="55">
        <f>'DHS2022'!C639</f>
        <v>15487</v>
      </c>
      <c r="E640" s="55">
        <f>'DHS2023'!C639</f>
        <v>18712</v>
      </c>
      <c r="F640" s="55">
        <f>'DHS2024'!C639</f>
        <v>6072</v>
      </c>
      <c r="G640" s="56">
        <f t="shared" si="45"/>
        <v>13798.25</v>
      </c>
      <c r="H640" s="75">
        <f t="shared" si="46"/>
        <v>3.4495624999999999</v>
      </c>
      <c r="I640" s="76">
        <v>1</v>
      </c>
      <c r="J640" s="75">
        <f t="shared" si="47"/>
        <v>4.4495624999999999</v>
      </c>
      <c r="K640" s="81">
        <f t="shared" si="48"/>
        <v>5</v>
      </c>
      <c r="L640" s="11"/>
      <c r="M640" s="11"/>
      <c r="N640" s="11"/>
      <c r="O640" s="28">
        <f>'DHS2025'!C639</f>
        <v>10813</v>
      </c>
      <c r="P640" s="29">
        <f>'DHS2025'!D639</f>
        <v>10405</v>
      </c>
      <c r="Q640" s="29">
        <f>'DHS2025'!E639</f>
        <v>8067</v>
      </c>
      <c r="R640" s="62">
        <v>118.39</v>
      </c>
      <c r="S640" s="61">
        <f>(Porovnavanie!J642*0.99-1.9)*Porovnavanie!I642</f>
        <v>930.17430869999998</v>
      </c>
    </row>
    <row r="641" spans="1:19" ht="15.75" thickBot="1">
      <c r="A641" s="100">
        <f t="shared" si="49"/>
        <v>45715</v>
      </c>
      <c r="B641" s="24" t="s">
        <v>31</v>
      </c>
      <c r="C641" s="54">
        <f>'DHS2021'!C640</f>
        <v>14015</v>
      </c>
      <c r="D641" s="55">
        <f>'DHS2022'!C640</f>
        <v>12305</v>
      </c>
      <c r="E641" s="55">
        <f>'DHS2023'!C640</f>
        <v>15294</v>
      </c>
      <c r="F641" s="55">
        <f>'DHS2024'!C640</f>
        <v>5248</v>
      </c>
      <c r="G641" s="56">
        <f t="shared" si="45"/>
        <v>11715.5</v>
      </c>
      <c r="H641" s="75">
        <f t="shared" si="46"/>
        <v>2.9288750000000001</v>
      </c>
      <c r="I641" s="76">
        <v>1</v>
      </c>
      <c r="J641" s="75">
        <f t="shared" si="47"/>
        <v>3.9288750000000001</v>
      </c>
      <c r="K641" s="81">
        <f t="shared" si="48"/>
        <v>4</v>
      </c>
      <c r="L641" s="11"/>
      <c r="M641" s="11"/>
      <c r="N641" s="11"/>
      <c r="O641" s="28">
        <f>'DHS2025'!C640</f>
        <v>13689</v>
      </c>
      <c r="P641" s="29">
        <f>'DHS2025'!D640</f>
        <v>9525</v>
      </c>
      <c r="Q641" s="29">
        <f>'DHS2025'!E640</f>
        <v>8083</v>
      </c>
      <c r="R641" s="62">
        <v>121.65</v>
      </c>
      <c r="S641" s="61">
        <f>(Porovnavanie!J643*0.99-1.9)*Porovnavanie!I643</f>
        <v>958.10628050000003</v>
      </c>
    </row>
    <row r="642" spans="1:19" ht="15.75" thickBot="1">
      <c r="A642" s="100">
        <f t="shared" si="49"/>
        <v>45715</v>
      </c>
      <c r="B642" s="24" t="s">
        <v>32</v>
      </c>
      <c r="C642" s="54">
        <f>'DHS2021'!C641</f>
        <v>13763</v>
      </c>
      <c r="D642" s="55">
        <f>'DHS2022'!C641</f>
        <v>12670</v>
      </c>
      <c r="E642" s="55">
        <f>'DHS2023'!C641</f>
        <v>13727</v>
      </c>
      <c r="F642" s="55">
        <f>'DHS2024'!C641</f>
        <v>4548</v>
      </c>
      <c r="G642" s="56">
        <f t="shared" si="45"/>
        <v>11177</v>
      </c>
      <c r="H642" s="75">
        <f t="shared" si="46"/>
        <v>2.7942499999999999</v>
      </c>
      <c r="I642" s="76">
        <v>1</v>
      </c>
      <c r="J642" s="75">
        <f t="shared" si="47"/>
        <v>3.7942499999999999</v>
      </c>
      <c r="K642" s="81">
        <f t="shared" si="48"/>
        <v>4</v>
      </c>
      <c r="L642" s="11"/>
      <c r="M642" s="11"/>
      <c r="N642" s="11"/>
      <c r="O642" s="28">
        <f>'DHS2025'!C641</f>
        <v>12938</v>
      </c>
      <c r="P642" s="29">
        <f>'DHS2025'!D641</f>
        <v>10237</v>
      </c>
      <c r="Q642" s="29">
        <f>'DHS2025'!E641</f>
        <v>8066</v>
      </c>
      <c r="R642" s="62">
        <v>139.28</v>
      </c>
      <c r="S642" s="61">
        <f>(Porovnavanie!J644*0.99-1.9)*Porovnavanie!I644</f>
        <v>1096.8727552</v>
      </c>
    </row>
    <row r="643" spans="1:19" ht="15.75" thickBot="1">
      <c r="A643" s="100">
        <f t="shared" si="49"/>
        <v>45715</v>
      </c>
      <c r="B643" s="24" t="s">
        <v>33</v>
      </c>
      <c r="C643" s="54">
        <f>'DHS2021'!C642</f>
        <v>14779</v>
      </c>
      <c r="D643" s="55">
        <f>'DHS2022'!C642</f>
        <v>14211</v>
      </c>
      <c r="E643" s="55">
        <f>'DHS2023'!C642</f>
        <v>10764</v>
      </c>
      <c r="F643" s="55">
        <f>'DHS2024'!C642</f>
        <v>5796</v>
      </c>
      <c r="G643" s="56">
        <f t="shared" si="45"/>
        <v>11387.5</v>
      </c>
      <c r="H643" s="75">
        <f t="shared" si="46"/>
        <v>2.8468749999999998</v>
      </c>
      <c r="I643" s="76">
        <v>1</v>
      </c>
      <c r="J643" s="75">
        <f t="shared" si="47"/>
        <v>3.8468749999999998</v>
      </c>
      <c r="K643" s="81">
        <f t="shared" si="48"/>
        <v>4</v>
      </c>
      <c r="L643" s="11"/>
      <c r="M643" s="11"/>
      <c r="N643" s="11"/>
      <c r="O643" s="28">
        <f>'DHS2025'!C642</f>
        <v>12732</v>
      </c>
      <c r="P643" s="29">
        <f>'DHS2025'!D642</f>
        <v>10823</v>
      </c>
      <c r="Q643" s="29">
        <f>'DHS2025'!E642</f>
        <v>8063</v>
      </c>
      <c r="R643" s="62">
        <v>161.06</v>
      </c>
      <c r="S643" s="61">
        <f>(Porovnavanie!J645*0.99-1.9)*Porovnavanie!I645</f>
        <v>1270.3208122000001</v>
      </c>
    </row>
    <row r="644" spans="1:19" ht="15.75" thickBot="1">
      <c r="A644" s="100">
        <f t="shared" si="49"/>
        <v>45715</v>
      </c>
      <c r="B644" s="24" t="s">
        <v>34</v>
      </c>
      <c r="C644" s="54">
        <f>'DHS2021'!C643</f>
        <v>15121</v>
      </c>
      <c r="D644" s="55">
        <f>'DHS2022'!C643</f>
        <v>14358</v>
      </c>
      <c r="E644" s="55">
        <f>'DHS2023'!C643</f>
        <v>13642</v>
      </c>
      <c r="F644" s="55">
        <f>'DHS2024'!C643</f>
        <v>7548</v>
      </c>
      <c r="G644" s="56">
        <f t="shared" ref="G644:G674" si="50">AVERAGE(C644:F644)</f>
        <v>12667.25</v>
      </c>
      <c r="H644" s="75">
        <f t="shared" ref="H644:H674" si="51">G644/$M$2/1000</f>
        <v>3.1668124999999998</v>
      </c>
      <c r="I644" s="76">
        <v>1</v>
      </c>
      <c r="J644" s="75">
        <f t="shared" ref="J644:J674" si="52">H644+I644</f>
        <v>4.1668124999999998</v>
      </c>
      <c r="K644" s="81">
        <f t="shared" ref="K644:K674" si="53">ROUNDUP(J644,0)</f>
        <v>5</v>
      </c>
      <c r="L644" s="11"/>
      <c r="M644" s="11"/>
      <c r="N644" s="11"/>
      <c r="O644" s="28">
        <f>'DHS2025'!C643</f>
        <v>13176</v>
      </c>
      <c r="P644" s="29">
        <f>'DHS2025'!D643</f>
        <v>10484</v>
      </c>
      <c r="Q644" s="29">
        <f>'DHS2025'!E643</f>
        <v>8070</v>
      </c>
      <c r="R644" s="62">
        <v>173.45</v>
      </c>
      <c r="S644" s="61">
        <f>(Porovnavanie!J646*0.99-1.9)*Porovnavanie!I646</f>
        <v>1370.411085</v>
      </c>
    </row>
    <row r="645" spans="1:19" ht="15.75" thickBot="1">
      <c r="A645" s="100">
        <f t="shared" ref="A645:A674" si="54">$A$3+INT((ROW()-3)/24)</f>
        <v>45715</v>
      </c>
      <c r="B645" s="24" t="s">
        <v>35</v>
      </c>
      <c r="C645" s="54">
        <f>'DHS2021'!C644</f>
        <v>15617</v>
      </c>
      <c r="D645" s="55">
        <f>'DHS2022'!C644</f>
        <v>15487</v>
      </c>
      <c r="E645" s="55">
        <f>'DHS2023'!C644</f>
        <v>16278</v>
      </c>
      <c r="F645" s="55">
        <f>'DHS2024'!C644</f>
        <v>9719</v>
      </c>
      <c r="G645" s="56">
        <f t="shared" si="50"/>
        <v>14275.25</v>
      </c>
      <c r="H645" s="75">
        <f t="shared" si="51"/>
        <v>3.5688124999999999</v>
      </c>
      <c r="I645" s="76">
        <v>1</v>
      </c>
      <c r="J645" s="75">
        <f t="shared" si="52"/>
        <v>4.5688124999999999</v>
      </c>
      <c r="K645" s="81">
        <f t="shared" si="53"/>
        <v>5</v>
      </c>
      <c r="L645" s="11"/>
      <c r="M645" s="11"/>
      <c r="N645" s="11"/>
      <c r="O645" s="28">
        <f>'DHS2025'!C644</f>
        <v>14687</v>
      </c>
      <c r="P645" s="29">
        <f>'DHS2025'!D644</f>
        <v>8926</v>
      </c>
      <c r="Q645" s="29">
        <f>'DHS2025'!E644</f>
        <v>8061</v>
      </c>
      <c r="R645" s="62">
        <v>168.44</v>
      </c>
      <c r="S645" s="61">
        <f>(Porovnavanie!J647*0.99-1.9)*Porovnavanie!I647</f>
        <v>1328.9009915999998</v>
      </c>
    </row>
    <row r="646" spans="1:19" ht="15.75" thickBot="1">
      <c r="A646" s="100">
        <f t="shared" si="54"/>
        <v>45715</v>
      </c>
      <c r="B646" s="24" t="s">
        <v>36</v>
      </c>
      <c r="C646" s="54">
        <f>'DHS2021'!C645</f>
        <v>15927</v>
      </c>
      <c r="D646" s="55">
        <f>'DHS2022'!C645</f>
        <v>15890</v>
      </c>
      <c r="E646" s="55">
        <f>'DHS2023'!C645</f>
        <v>15455</v>
      </c>
      <c r="F646" s="55">
        <f>'DHS2024'!C645</f>
        <v>9425</v>
      </c>
      <c r="G646" s="56">
        <f t="shared" si="50"/>
        <v>14174.25</v>
      </c>
      <c r="H646" s="75">
        <f t="shared" si="51"/>
        <v>3.5435625000000002</v>
      </c>
      <c r="I646" s="76">
        <v>1</v>
      </c>
      <c r="J646" s="75">
        <f t="shared" si="52"/>
        <v>4.5435625000000002</v>
      </c>
      <c r="K646" s="81">
        <f t="shared" si="53"/>
        <v>5</v>
      </c>
      <c r="L646" s="11"/>
      <c r="M646" s="11"/>
      <c r="N646" s="11"/>
      <c r="O646" s="28">
        <f>'DHS2025'!C645</f>
        <v>14080</v>
      </c>
      <c r="P646" s="29">
        <f>'DHS2025'!D645</f>
        <v>8520</v>
      </c>
      <c r="Q646" s="29">
        <f>'DHS2025'!E645</f>
        <v>8065</v>
      </c>
      <c r="R646" s="62">
        <v>158.66999999999999</v>
      </c>
      <c r="S646" s="61">
        <f>(Porovnavanie!J648*0.99-1.9)*Porovnavanie!I648</f>
        <v>1251.5533144999997</v>
      </c>
    </row>
    <row r="647" spans="1:19" ht="15.75" thickBot="1">
      <c r="A647" s="100">
        <f t="shared" si="54"/>
        <v>45715</v>
      </c>
      <c r="B647" s="24" t="s">
        <v>37</v>
      </c>
      <c r="C647" s="54">
        <f>'DHS2021'!C646</f>
        <v>15519</v>
      </c>
      <c r="D647" s="55">
        <f>'DHS2022'!C646</f>
        <v>16460</v>
      </c>
      <c r="E647" s="55">
        <f>'DHS2023'!C646</f>
        <v>18476</v>
      </c>
      <c r="F647" s="55">
        <f>'DHS2024'!C646</f>
        <v>10421</v>
      </c>
      <c r="G647" s="56">
        <f t="shared" si="50"/>
        <v>15219</v>
      </c>
      <c r="H647" s="75">
        <f t="shared" si="51"/>
        <v>3.8047499999999999</v>
      </c>
      <c r="I647" s="76">
        <v>1</v>
      </c>
      <c r="J647" s="75">
        <f t="shared" si="52"/>
        <v>4.8047500000000003</v>
      </c>
      <c r="K647" s="81">
        <f t="shared" si="53"/>
        <v>5</v>
      </c>
      <c r="L647" s="11"/>
      <c r="M647" s="11"/>
      <c r="N647" s="11"/>
      <c r="O647" s="28">
        <f>'DHS2025'!C646</f>
        <v>15073</v>
      </c>
      <c r="P647" s="29">
        <f>'DHS2025'!D646</f>
        <v>8584</v>
      </c>
      <c r="Q647" s="29">
        <f>'DHS2025'!E646</f>
        <v>8055</v>
      </c>
      <c r="R647" s="62">
        <v>148.6</v>
      </c>
      <c r="S647" s="61">
        <f>(Porovnavanie!J649*0.99-1.9)*Porovnavanie!I649</f>
        <v>1169.69877</v>
      </c>
    </row>
    <row r="648" spans="1:19" ht="15.75" thickBot="1">
      <c r="A648" s="100">
        <f t="shared" si="54"/>
        <v>45715</v>
      </c>
      <c r="B648" s="24" t="s">
        <v>38</v>
      </c>
      <c r="C648" s="54">
        <f>'DHS2021'!C647</f>
        <v>15349</v>
      </c>
      <c r="D648" s="55">
        <f>'DHS2022'!C647</f>
        <v>16723</v>
      </c>
      <c r="E648" s="55">
        <f>'DHS2023'!C647</f>
        <v>17327</v>
      </c>
      <c r="F648" s="55">
        <f>'DHS2024'!C647</f>
        <v>9967</v>
      </c>
      <c r="G648" s="56">
        <f t="shared" si="50"/>
        <v>14841.5</v>
      </c>
      <c r="H648" s="75">
        <f t="shared" si="51"/>
        <v>3.710375</v>
      </c>
      <c r="I648" s="76">
        <v>1</v>
      </c>
      <c r="J648" s="75">
        <f t="shared" si="52"/>
        <v>4.710375</v>
      </c>
      <c r="K648" s="81">
        <f t="shared" si="53"/>
        <v>5</v>
      </c>
      <c r="L648" s="11"/>
      <c r="M648" s="11"/>
      <c r="N648" s="11"/>
      <c r="O648" s="28">
        <f>'DHS2025'!C647</f>
        <v>15469</v>
      </c>
      <c r="P648" s="29">
        <f>'DHS2025'!D647</f>
        <v>7901</v>
      </c>
      <c r="Q648" s="29">
        <f>'DHS2025'!E647</f>
        <v>8044</v>
      </c>
      <c r="R648" s="62">
        <v>135.58000000000001</v>
      </c>
      <c r="S648" s="61">
        <f>(Porovnavanie!J650*0.99-1.9)*Porovnavanie!I650</f>
        <v>1064.4158648000002</v>
      </c>
    </row>
    <row r="649" spans="1:19" ht="15.75" thickBot="1">
      <c r="A649" s="100">
        <f t="shared" si="54"/>
        <v>45715</v>
      </c>
      <c r="B649" s="24" t="s">
        <v>39</v>
      </c>
      <c r="C649" s="54">
        <f>'DHS2021'!C648</f>
        <v>13636</v>
      </c>
      <c r="D649" s="55">
        <f>'DHS2022'!C648</f>
        <v>14095</v>
      </c>
      <c r="E649" s="55">
        <f>'DHS2023'!C648</f>
        <v>13489</v>
      </c>
      <c r="F649" s="55">
        <f>'DHS2024'!C648</f>
        <v>9354</v>
      </c>
      <c r="G649" s="56">
        <f t="shared" si="50"/>
        <v>12643.5</v>
      </c>
      <c r="H649" s="75">
        <f t="shared" si="51"/>
        <v>3.1608749999999999</v>
      </c>
      <c r="I649" s="76">
        <v>1</v>
      </c>
      <c r="J649" s="75">
        <f t="shared" si="52"/>
        <v>4.1608749999999999</v>
      </c>
      <c r="K649" s="81">
        <f t="shared" si="53"/>
        <v>5</v>
      </c>
      <c r="L649" s="11"/>
      <c r="M649" s="11"/>
      <c r="N649" s="11"/>
      <c r="O649" s="28">
        <f>'DHS2025'!C648</f>
        <v>11685</v>
      </c>
      <c r="P649" s="29">
        <f>'DHS2025'!D648</f>
        <v>11832</v>
      </c>
      <c r="Q649" s="29">
        <f>'DHS2025'!E648</f>
        <v>8048</v>
      </c>
      <c r="R649" s="62">
        <v>119.55</v>
      </c>
      <c r="S649" s="61">
        <f>(Porovnavanie!J651*0.99-1.9)*Porovnavanie!I651</f>
        <v>937.22581600000001</v>
      </c>
    </row>
    <row r="650" spans="1:19" ht="15.75" thickBot="1">
      <c r="A650" s="100">
        <f t="shared" si="54"/>
        <v>45715</v>
      </c>
      <c r="B650" s="24" t="s">
        <v>40</v>
      </c>
      <c r="C650" s="54">
        <f>'DHS2021'!C649</f>
        <v>5842</v>
      </c>
      <c r="D650" s="55">
        <f>'DHS2022'!C649</f>
        <v>8396</v>
      </c>
      <c r="E650" s="55">
        <f>'DHS2023'!C649</f>
        <v>6709</v>
      </c>
      <c r="F650" s="55">
        <f>'DHS2024'!C649</f>
        <v>4959</v>
      </c>
      <c r="G650" s="56">
        <f t="shared" si="50"/>
        <v>6476.5</v>
      </c>
      <c r="H650" s="75">
        <f t="shared" si="51"/>
        <v>1.6191249999999999</v>
      </c>
      <c r="I650" s="76">
        <v>1</v>
      </c>
      <c r="J650" s="75">
        <f t="shared" si="52"/>
        <v>2.6191249999999999</v>
      </c>
      <c r="K650" s="81">
        <f t="shared" si="53"/>
        <v>3</v>
      </c>
      <c r="L650" s="11"/>
      <c r="M650" s="11"/>
      <c r="N650" s="11"/>
      <c r="O650" s="28">
        <f>'DHS2025'!C649</f>
        <v>6248</v>
      </c>
      <c r="P650" s="29">
        <f>'DHS2025'!D649</f>
        <v>14070</v>
      </c>
      <c r="Q650" s="29">
        <f>'DHS2025'!E649</f>
        <v>7118</v>
      </c>
      <c r="R650" s="62">
        <v>114.86</v>
      </c>
      <c r="S650" s="61">
        <f>(Porovnavanie!J652*0.99-1.9)*Porovnavanie!I652</f>
        <v>795.87354519999997</v>
      </c>
    </row>
    <row r="651" spans="1:19" ht="15.75" thickBot="1">
      <c r="A651" s="101">
        <f t="shared" si="54"/>
        <v>45716</v>
      </c>
      <c r="B651" s="25" t="s">
        <v>17</v>
      </c>
      <c r="C651" s="54">
        <f>'DHS2021'!C650</f>
        <v>4740</v>
      </c>
      <c r="D651" s="55">
        <f>'DHS2022'!C650</f>
        <v>8560</v>
      </c>
      <c r="E651" s="55">
        <f>'DHS2023'!C650</f>
        <v>8777</v>
      </c>
      <c r="F651" s="55">
        <f>'DHS2024'!C650</f>
        <v>1965</v>
      </c>
      <c r="G651" s="56">
        <f t="shared" si="50"/>
        <v>6010.5</v>
      </c>
      <c r="H651" s="75">
        <f t="shared" si="51"/>
        <v>1.5026250000000001</v>
      </c>
      <c r="I651" s="76">
        <v>1</v>
      </c>
      <c r="J651" s="75">
        <f t="shared" si="52"/>
        <v>2.5026250000000001</v>
      </c>
      <c r="K651" s="81">
        <f t="shared" si="53"/>
        <v>3</v>
      </c>
      <c r="L651" s="11"/>
      <c r="M651" s="11"/>
      <c r="N651" s="11"/>
      <c r="O651" s="28">
        <f>'DHS2025'!C650</f>
        <v>6425</v>
      </c>
      <c r="P651" s="29">
        <f>'DHS2025'!D650</f>
        <v>7070</v>
      </c>
      <c r="Q651" s="29">
        <f>'DHS2025'!E650</f>
        <v>4202</v>
      </c>
      <c r="R651" s="62">
        <v>112.04</v>
      </c>
      <c r="S651" s="61">
        <f>(Porovnavanie!J653*0.99-1.9)*Porovnavanie!I653</f>
        <v>458.10035919999996</v>
      </c>
    </row>
    <row r="652" spans="1:19" ht="15.75" thickBot="1">
      <c r="A652" s="101">
        <f t="shared" si="54"/>
        <v>45716</v>
      </c>
      <c r="B652" s="25" t="s">
        <v>18</v>
      </c>
      <c r="C652" s="54">
        <f>'DHS2021'!C651</f>
        <v>5409</v>
      </c>
      <c r="D652" s="55">
        <f>'DHS2022'!C651</f>
        <v>8555</v>
      </c>
      <c r="E652" s="55">
        <f>'DHS2023'!C651</f>
        <v>13319</v>
      </c>
      <c r="F652" s="55">
        <f>'DHS2024'!C651</f>
        <v>2146</v>
      </c>
      <c r="G652" s="56">
        <f t="shared" si="50"/>
        <v>7357.25</v>
      </c>
      <c r="H652" s="75">
        <f t="shared" si="51"/>
        <v>1.8393124999999999</v>
      </c>
      <c r="I652" s="76">
        <v>1</v>
      </c>
      <c r="J652" s="75">
        <f t="shared" si="52"/>
        <v>2.8393125000000001</v>
      </c>
      <c r="K652" s="81">
        <f t="shared" si="53"/>
        <v>3</v>
      </c>
      <c r="L652" s="11"/>
      <c r="M652" s="11"/>
      <c r="N652" s="11"/>
      <c r="O652" s="28">
        <f>'DHS2025'!C651</f>
        <v>6928</v>
      </c>
      <c r="P652" s="29">
        <f>'DHS2025'!D651</f>
        <v>3921</v>
      </c>
      <c r="Q652" s="29">
        <f>'DHS2025'!E651</f>
        <v>3059</v>
      </c>
      <c r="R652" s="62">
        <v>110.54</v>
      </c>
      <c r="S652" s="61">
        <f>(Porovnavanie!J654*0.99-1.9)*Porovnavanie!I654</f>
        <v>328.9483414</v>
      </c>
    </row>
    <row r="653" spans="1:19" ht="15.75" thickBot="1">
      <c r="A653" s="101">
        <f t="shared" si="54"/>
        <v>45716</v>
      </c>
      <c r="B653" s="25" t="s">
        <v>19</v>
      </c>
      <c r="C653" s="54">
        <f>'DHS2021'!C652</f>
        <v>6899</v>
      </c>
      <c r="D653" s="55">
        <f>'DHS2022'!C652</f>
        <v>9421</v>
      </c>
      <c r="E653" s="55">
        <f>'DHS2023'!C652</f>
        <v>13414</v>
      </c>
      <c r="F653" s="55">
        <f>'DHS2024'!C652</f>
        <v>2688</v>
      </c>
      <c r="G653" s="56">
        <f t="shared" si="50"/>
        <v>8105.5</v>
      </c>
      <c r="H653" s="75">
        <f t="shared" si="51"/>
        <v>2.0263749999999998</v>
      </c>
      <c r="I653" s="76">
        <v>1</v>
      </c>
      <c r="J653" s="75">
        <f t="shared" si="52"/>
        <v>3.0263749999999998</v>
      </c>
      <c r="K653" s="81">
        <f t="shared" si="53"/>
        <v>4</v>
      </c>
      <c r="L653" s="11"/>
      <c r="M653" s="11"/>
      <c r="N653" s="11"/>
      <c r="O653" s="28">
        <f>'DHS2025'!C652</f>
        <v>8347</v>
      </c>
      <c r="P653" s="29">
        <f>'DHS2025'!D652</f>
        <v>3853</v>
      </c>
      <c r="Q653" s="29">
        <f>'DHS2025'!E652</f>
        <v>3668</v>
      </c>
      <c r="R653" s="62">
        <v>109.38</v>
      </c>
      <c r="S653" s="61">
        <f>(Porovnavanie!J655*0.99-1.9)*Porovnavanie!I655</f>
        <v>390.22458159999996</v>
      </c>
    </row>
    <row r="654" spans="1:19" ht="15.75" thickBot="1">
      <c r="A654" s="101">
        <f t="shared" si="54"/>
        <v>45716</v>
      </c>
      <c r="B654" s="25" t="s">
        <v>20</v>
      </c>
      <c r="C654" s="54">
        <f>'DHS2021'!C653</f>
        <v>10929</v>
      </c>
      <c r="D654" s="55">
        <f>'DHS2022'!C653</f>
        <v>10350</v>
      </c>
      <c r="E654" s="55">
        <f>'DHS2023'!C653</f>
        <v>13584</v>
      </c>
      <c r="F654" s="55">
        <f>'DHS2024'!C653</f>
        <v>3310</v>
      </c>
      <c r="G654" s="56">
        <f t="shared" si="50"/>
        <v>9543.25</v>
      </c>
      <c r="H654" s="75">
        <f t="shared" si="51"/>
        <v>2.3858125000000001</v>
      </c>
      <c r="I654" s="76">
        <v>1</v>
      </c>
      <c r="J654" s="75">
        <f t="shared" si="52"/>
        <v>3.3858125000000001</v>
      </c>
      <c r="K654" s="81">
        <f t="shared" si="53"/>
        <v>4</v>
      </c>
      <c r="L654" s="11"/>
      <c r="M654" s="11"/>
      <c r="N654" s="11"/>
      <c r="O654" s="28">
        <f>'DHS2025'!C653</f>
        <v>8933</v>
      </c>
      <c r="P654" s="29">
        <f>'DHS2025'!D653</f>
        <v>5396</v>
      </c>
      <c r="Q654" s="29">
        <f>'DHS2025'!E653</f>
        <v>4070</v>
      </c>
      <c r="R654" s="62">
        <v>107.03</v>
      </c>
      <c r="S654" s="61">
        <f>(Porovnavanie!J656*0.99-1.9)*Porovnavanie!I656</f>
        <v>423.52297900000002</v>
      </c>
    </row>
    <row r="655" spans="1:19" ht="15.75" thickBot="1">
      <c r="A655" s="101">
        <f t="shared" si="54"/>
        <v>45716</v>
      </c>
      <c r="B655" s="25" t="s">
        <v>21</v>
      </c>
      <c r="C655" s="54">
        <f>'DHS2021'!C654</f>
        <v>18890</v>
      </c>
      <c r="D655" s="55">
        <f>'DHS2022'!C654</f>
        <v>14601</v>
      </c>
      <c r="E655" s="55">
        <f>'DHS2023'!C654</f>
        <v>14707</v>
      </c>
      <c r="F655" s="55">
        <f>'DHS2024'!C654</f>
        <v>10531</v>
      </c>
      <c r="G655" s="56">
        <f t="shared" si="50"/>
        <v>14682.25</v>
      </c>
      <c r="H655" s="75">
        <f t="shared" si="51"/>
        <v>3.6705625</v>
      </c>
      <c r="I655" s="76">
        <v>1</v>
      </c>
      <c r="J655" s="75">
        <f t="shared" si="52"/>
        <v>4.6705625</v>
      </c>
      <c r="K655" s="81">
        <f t="shared" si="53"/>
        <v>5</v>
      </c>
      <c r="L655" s="11"/>
      <c r="M655" s="11"/>
      <c r="N655" s="11"/>
      <c r="O655" s="28">
        <f>'DHS2025'!C654</f>
        <v>13600</v>
      </c>
      <c r="P655" s="29">
        <f>'DHS2025'!D654</f>
        <v>20</v>
      </c>
      <c r="Q655" s="29">
        <f>'DHS2025'!E654</f>
        <v>4654</v>
      </c>
      <c r="R655" s="62">
        <v>112.43</v>
      </c>
      <c r="S655" s="61">
        <f>(Porovnavanie!J657*0.99-1.9)*Porovnavanie!I657</f>
        <v>509.17412779999995</v>
      </c>
    </row>
    <row r="656" spans="1:19" ht="15.75" thickBot="1">
      <c r="A656" s="101">
        <f t="shared" si="54"/>
        <v>45716</v>
      </c>
      <c r="B656" s="25" t="s">
        <v>22</v>
      </c>
      <c r="C656" s="54">
        <f>'DHS2021'!C655</f>
        <v>18291</v>
      </c>
      <c r="D656" s="55">
        <f>'DHS2022'!C655</f>
        <v>18227</v>
      </c>
      <c r="E656" s="55">
        <f>'DHS2023'!C655</f>
        <v>17172</v>
      </c>
      <c r="F656" s="55">
        <f>'DHS2024'!C655</f>
        <v>13868</v>
      </c>
      <c r="G656" s="56">
        <f t="shared" si="50"/>
        <v>16889.5</v>
      </c>
      <c r="H656" s="75">
        <f t="shared" si="51"/>
        <v>4.2223750000000004</v>
      </c>
      <c r="I656" s="76">
        <v>1</v>
      </c>
      <c r="J656" s="75">
        <f t="shared" si="52"/>
        <v>5.2223750000000004</v>
      </c>
      <c r="K656" s="81">
        <f t="shared" si="53"/>
        <v>6</v>
      </c>
      <c r="L656" s="11"/>
      <c r="M656" s="11"/>
      <c r="N656" s="11"/>
      <c r="O656" s="28">
        <f>'DHS2025'!C655</f>
        <v>16055</v>
      </c>
      <c r="P656" s="29">
        <f>'DHS2025'!D655</f>
        <v>102</v>
      </c>
      <c r="Q656" s="29">
        <f>'DHS2025'!E655</f>
        <v>5829</v>
      </c>
      <c r="R656" s="62">
        <v>107.81</v>
      </c>
      <c r="S656" s="61">
        <f>(Porovnavanie!J658*0.99-1.9)*Porovnavanie!I658</f>
        <v>611.06514509999988</v>
      </c>
    </row>
    <row r="657" spans="1:19" ht="15.75" thickBot="1">
      <c r="A657" s="101">
        <f t="shared" si="54"/>
        <v>45716</v>
      </c>
      <c r="B657" s="25" t="s">
        <v>23</v>
      </c>
      <c r="C657" s="54">
        <f>'DHS2021'!C656</f>
        <v>16577</v>
      </c>
      <c r="D657" s="55">
        <f>'DHS2022'!C656</f>
        <v>17307</v>
      </c>
      <c r="E657" s="55">
        <f>'DHS2023'!C656</f>
        <v>18461</v>
      </c>
      <c r="F657" s="55">
        <f>'DHS2024'!C656</f>
        <v>13036</v>
      </c>
      <c r="G657" s="56">
        <f t="shared" si="50"/>
        <v>16345.25</v>
      </c>
      <c r="H657" s="75">
        <f t="shared" si="51"/>
        <v>4.0863125</v>
      </c>
      <c r="I657" s="76">
        <v>1</v>
      </c>
      <c r="J657" s="75">
        <f t="shared" si="52"/>
        <v>5.0863125</v>
      </c>
      <c r="K657" s="81">
        <f t="shared" si="53"/>
        <v>6</v>
      </c>
      <c r="L657" s="11"/>
      <c r="M657" s="11"/>
      <c r="N657" s="11"/>
      <c r="O657" s="28">
        <f>'DHS2025'!C656</f>
        <v>18195</v>
      </c>
      <c r="P657" s="29">
        <f>'DHS2025'!D656</f>
        <v>97</v>
      </c>
      <c r="Q657" s="29">
        <f>'DHS2025'!E656</f>
        <v>6061</v>
      </c>
      <c r="R657" s="62">
        <v>128.11000000000001</v>
      </c>
      <c r="S657" s="61">
        <f>(Porovnavanie!J659*0.99-1.9)*Porovnavanie!I659</f>
        <v>757.19406290000006</v>
      </c>
    </row>
    <row r="658" spans="1:19" ht="15.75" thickBot="1">
      <c r="A658" s="101">
        <f t="shared" si="54"/>
        <v>45716</v>
      </c>
      <c r="B658" s="25" t="s">
        <v>24</v>
      </c>
      <c r="C658" s="54">
        <f>'DHS2021'!C657</f>
        <v>14436</v>
      </c>
      <c r="D658" s="55">
        <f>'DHS2022'!C657</f>
        <v>17363</v>
      </c>
      <c r="E658" s="55">
        <f>'DHS2023'!C657</f>
        <v>17398</v>
      </c>
      <c r="F658" s="55">
        <f>'DHS2024'!C657</f>
        <v>12521</v>
      </c>
      <c r="G658" s="56">
        <f t="shared" si="50"/>
        <v>15429.5</v>
      </c>
      <c r="H658" s="75">
        <f t="shared" si="51"/>
        <v>3.8573750000000002</v>
      </c>
      <c r="I658" s="76">
        <v>1</v>
      </c>
      <c r="J658" s="75">
        <f t="shared" si="52"/>
        <v>4.8573750000000002</v>
      </c>
      <c r="K658" s="81">
        <f t="shared" si="53"/>
        <v>5</v>
      </c>
      <c r="L658" s="11"/>
      <c r="M658" s="11"/>
      <c r="N658" s="11"/>
      <c r="O658" s="28">
        <f>'DHS2025'!C657</f>
        <v>16585</v>
      </c>
      <c r="P658" s="29">
        <f>'DHS2025'!D657</f>
        <v>1750</v>
      </c>
      <c r="Q658" s="29">
        <f>'DHS2025'!E657</f>
        <v>6058</v>
      </c>
      <c r="R658" s="62">
        <v>142.94999999999999</v>
      </c>
      <c r="S658" s="61">
        <f>(Porovnavanie!J660*0.99-1.9)*Porovnavanie!I660</f>
        <v>845.82098899999994</v>
      </c>
    </row>
    <row r="659" spans="1:19" ht="15.75" thickBot="1">
      <c r="A659" s="101">
        <f t="shared" si="54"/>
        <v>45716</v>
      </c>
      <c r="B659" s="25" t="s">
        <v>25</v>
      </c>
      <c r="C659" s="54">
        <f>'DHS2021'!C658</f>
        <v>15042</v>
      </c>
      <c r="D659" s="55">
        <f>'DHS2022'!C658</f>
        <v>18134</v>
      </c>
      <c r="E659" s="55">
        <f>'DHS2023'!C658</f>
        <v>17626</v>
      </c>
      <c r="F659" s="55">
        <f>'DHS2024'!C658</f>
        <v>12839</v>
      </c>
      <c r="G659" s="56">
        <f t="shared" si="50"/>
        <v>15910.25</v>
      </c>
      <c r="H659" s="75">
        <f t="shared" si="51"/>
        <v>3.9775624999999999</v>
      </c>
      <c r="I659" s="76">
        <v>1</v>
      </c>
      <c r="J659" s="75">
        <f t="shared" si="52"/>
        <v>4.9775624999999994</v>
      </c>
      <c r="K659" s="81">
        <f t="shared" si="53"/>
        <v>5</v>
      </c>
      <c r="L659" s="11"/>
      <c r="M659" s="11"/>
      <c r="N659" s="11"/>
      <c r="O659" s="28">
        <f>'DHS2025'!C658</f>
        <v>14010</v>
      </c>
      <c r="P659" s="29">
        <f>'DHS2025'!D658</f>
        <v>2844</v>
      </c>
      <c r="Q659" s="29">
        <f>'DHS2025'!E658</f>
        <v>6045</v>
      </c>
      <c r="R659" s="62">
        <v>161.88</v>
      </c>
      <c r="S659" s="61">
        <f>(Porovnavanie!J661*0.99-1.9)*Porovnavanie!I661</f>
        <v>957.293454</v>
      </c>
    </row>
    <row r="660" spans="1:19" ht="15.75" thickBot="1">
      <c r="A660" s="101">
        <f t="shared" si="54"/>
        <v>45716</v>
      </c>
      <c r="B660" s="25" t="s">
        <v>26</v>
      </c>
      <c r="C660" s="54">
        <f>'DHS2021'!C659</f>
        <v>15203</v>
      </c>
      <c r="D660" s="55">
        <f>'DHS2022'!C659</f>
        <v>17483</v>
      </c>
      <c r="E660" s="55">
        <f>'DHS2023'!C659</f>
        <v>15209</v>
      </c>
      <c r="F660" s="55">
        <f>'DHS2024'!C659</f>
        <v>12305</v>
      </c>
      <c r="G660" s="56">
        <f t="shared" si="50"/>
        <v>15050</v>
      </c>
      <c r="H660" s="75">
        <f t="shared" si="51"/>
        <v>3.7625000000000002</v>
      </c>
      <c r="I660" s="76">
        <v>1</v>
      </c>
      <c r="J660" s="75">
        <f t="shared" si="52"/>
        <v>4.7625000000000002</v>
      </c>
      <c r="K660" s="81">
        <f t="shared" si="53"/>
        <v>5</v>
      </c>
      <c r="L660" s="11"/>
      <c r="M660" s="11"/>
      <c r="N660" s="11"/>
      <c r="O660" s="28">
        <f>'DHS2025'!C659</f>
        <v>14063</v>
      </c>
      <c r="P660" s="29">
        <f>'DHS2025'!D659</f>
        <v>4238</v>
      </c>
      <c r="Q660" s="29">
        <f>'DHS2025'!E659</f>
        <v>6060</v>
      </c>
      <c r="R660" s="62">
        <v>146.69999999999999</v>
      </c>
      <c r="S660" s="61">
        <f>(Porovnavanie!J662*0.99-1.9)*Porovnavanie!I662</f>
        <v>868.59797999999978</v>
      </c>
    </row>
    <row r="661" spans="1:19" ht="15.75" thickBot="1">
      <c r="A661" s="101">
        <f t="shared" si="54"/>
        <v>45716</v>
      </c>
      <c r="B661" s="25" t="s">
        <v>27</v>
      </c>
      <c r="C661" s="54">
        <f>'DHS2021'!C660</f>
        <v>14915</v>
      </c>
      <c r="D661" s="55">
        <f>'DHS2022'!C660</f>
        <v>17566</v>
      </c>
      <c r="E661" s="55">
        <f>'DHS2023'!C660</f>
        <v>14736</v>
      </c>
      <c r="F661" s="55">
        <f>'DHS2024'!C660</f>
        <v>10611</v>
      </c>
      <c r="G661" s="56">
        <f t="shared" si="50"/>
        <v>14457</v>
      </c>
      <c r="H661" s="75">
        <f t="shared" si="51"/>
        <v>3.6142500000000002</v>
      </c>
      <c r="I661" s="76">
        <v>1</v>
      </c>
      <c r="J661" s="75">
        <f t="shared" si="52"/>
        <v>4.6142500000000002</v>
      </c>
      <c r="K661" s="81">
        <f t="shared" si="53"/>
        <v>5</v>
      </c>
      <c r="L661" s="11"/>
      <c r="M661" s="11"/>
      <c r="N661" s="11"/>
      <c r="O661" s="28">
        <f>'DHS2025'!C660</f>
        <v>13597</v>
      </c>
      <c r="P661" s="29">
        <f>'DHS2025'!D660</f>
        <v>4595</v>
      </c>
      <c r="Q661" s="29">
        <f>'DHS2025'!E660</f>
        <v>6057</v>
      </c>
      <c r="R661" s="62">
        <v>128.83000000000001</v>
      </c>
      <c r="S661" s="61">
        <f>(Porovnavanie!J663*0.99-1.9)*Porovnavanie!I663</f>
        <v>761.01177690000009</v>
      </c>
    </row>
    <row r="662" spans="1:19" ht="15.75" thickBot="1">
      <c r="A662" s="101">
        <f t="shared" si="54"/>
        <v>45716</v>
      </c>
      <c r="B662" s="25" t="s">
        <v>28</v>
      </c>
      <c r="C662" s="54">
        <f>'DHS2021'!C661</f>
        <v>13988</v>
      </c>
      <c r="D662" s="55">
        <f>'DHS2022'!C661</f>
        <v>16418</v>
      </c>
      <c r="E662" s="55">
        <f>'DHS2023'!C661</f>
        <v>13410</v>
      </c>
      <c r="F662" s="55">
        <f>'DHS2024'!C661</f>
        <v>9541</v>
      </c>
      <c r="G662" s="56">
        <f t="shared" si="50"/>
        <v>13339.25</v>
      </c>
      <c r="H662" s="75">
        <f t="shared" si="51"/>
        <v>3.3348125</v>
      </c>
      <c r="I662" s="76">
        <v>1</v>
      </c>
      <c r="J662" s="75">
        <f t="shared" si="52"/>
        <v>4.3348125</v>
      </c>
      <c r="K662" s="81">
        <f t="shared" si="53"/>
        <v>5</v>
      </c>
      <c r="L662" s="11"/>
      <c r="M662" s="11"/>
      <c r="N662" s="11"/>
      <c r="O662" s="28">
        <f>'DHS2025'!C661</f>
        <v>13036</v>
      </c>
      <c r="P662" s="29">
        <f>'DHS2025'!D661</f>
        <v>2266</v>
      </c>
      <c r="Q662" s="29">
        <f>'DHS2025'!E661</f>
        <v>5063</v>
      </c>
      <c r="R662" s="62">
        <v>117.05</v>
      </c>
      <c r="S662" s="61">
        <f>(Porovnavanie!J664*0.99-1.9)*Porovnavanie!I664</f>
        <v>577.07820849999996</v>
      </c>
    </row>
    <row r="663" spans="1:19" ht="15.75" thickBot="1">
      <c r="A663" s="101">
        <f t="shared" si="54"/>
        <v>45716</v>
      </c>
      <c r="B663" s="25" t="s">
        <v>29</v>
      </c>
      <c r="C663" s="54">
        <f>'DHS2021'!C662</f>
        <v>13027</v>
      </c>
      <c r="D663" s="55">
        <f>'DHS2022'!C662</f>
        <v>15776</v>
      </c>
      <c r="E663" s="55">
        <f>'DHS2023'!C662</f>
        <v>13573</v>
      </c>
      <c r="F663" s="55">
        <f>'DHS2024'!C662</f>
        <v>8745</v>
      </c>
      <c r="G663" s="56">
        <f t="shared" si="50"/>
        <v>12780.25</v>
      </c>
      <c r="H663" s="75">
        <f t="shared" si="51"/>
        <v>3.1950625000000001</v>
      </c>
      <c r="I663" s="76">
        <v>1</v>
      </c>
      <c r="J663" s="75">
        <f t="shared" si="52"/>
        <v>4.1950625000000006</v>
      </c>
      <c r="K663" s="81">
        <f t="shared" si="53"/>
        <v>5</v>
      </c>
      <c r="L663" s="11"/>
      <c r="M663" s="11"/>
      <c r="N663" s="11"/>
      <c r="O663" s="28">
        <f>'DHS2025'!C662</f>
        <v>12390</v>
      </c>
      <c r="P663" s="29">
        <f>'DHS2025'!D662</f>
        <v>2925</v>
      </c>
      <c r="Q663" s="29">
        <f>'DHS2025'!E662</f>
        <v>5036</v>
      </c>
      <c r="R663" s="62">
        <v>109.92</v>
      </c>
      <c r="S663" s="61">
        <f>(Porovnavanie!J665*0.99-1.9)*Porovnavanie!I665</f>
        <v>538.45314880000001</v>
      </c>
    </row>
    <row r="664" spans="1:19" ht="15.75" thickBot="1">
      <c r="A664" s="101">
        <f t="shared" si="54"/>
        <v>45716</v>
      </c>
      <c r="B664" s="25" t="s">
        <v>30</v>
      </c>
      <c r="C664" s="54">
        <f>'DHS2021'!C663</f>
        <v>12388</v>
      </c>
      <c r="D664" s="55">
        <f>'DHS2022'!C663</f>
        <v>18250</v>
      </c>
      <c r="E664" s="55">
        <f>'DHS2023'!C663</f>
        <v>13057</v>
      </c>
      <c r="F664" s="55">
        <f>'DHS2024'!C663</f>
        <v>8181</v>
      </c>
      <c r="G664" s="56">
        <f t="shared" si="50"/>
        <v>12969</v>
      </c>
      <c r="H664" s="75">
        <f t="shared" si="51"/>
        <v>3.2422499999999999</v>
      </c>
      <c r="I664" s="76">
        <v>1</v>
      </c>
      <c r="J664" s="75">
        <f t="shared" si="52"/>
        <v>4.2422500000000003</v>
      </c>
      <c r="K664" s="81">
        <f t="shared" si="53"/>
        <v>5</v>
      </c>
      <c r="L664" s="11"/>
      <c r="M664" s="11"/>
      <c r="N664" s="11"/>
      <c r="O664" s="28">
        <f>'DHS2025'!C663</f>
        <v>11633</v>
      </c>
      <c r="P664" s="29">
        <f>'DHS2025'!D663</f>
        <v>3890</v>
      </c>
      <c r="Q664" s="29">
        <f>'DHS2025'!E663</f>
        <v>5049</v>
      </c>
      <c r="R664" s="62">
        <v>109.36</v>
      </c>
      <c r="S664" s="61">
        <f>(Porovnavanie!J666*0.99-1.9)*Porovnavanie!I666</f>
        <v>537.04395360000001</v>
      </c>
    </row>
    <row r="665" spans="1:19" ht="15.75" thickBot="1">
      <c r="A665" s="101">
        <f t="shared" si="54"/>
        <v>45716</v>
      </c>
      <c r="B665" s="25" t="s">
        <v>31</v>
      </c>
      <c r="C665" s="54">
        <f>'DHS2021'!C664</f>
        <v>11782</v>
      </c>
      <c r="D665" s="55">
        <f>'DHS2022'!C664</f>
        <v>15996</v>
      </c>
      <c r="E665" s="55">
        <f>'DHS2023'!C664</f>
        <v>13002</v>
      </c>
      <c r="F665" s="55">
        <f>'DHS2024'!C664</f>
        <v>8537</v>
      </c>
      <c r="G665" s="56">
        <f t="shared" si="50"/>
        <v>12329.25</v>
      </c>
      <c r="H665" s="75">
        <f t="shared" si="51"/>
        <v>3.0823125</v>
      </c>
      <c r="I665" s="76">
        <v>1</v>
      </c>
      <c r="J665" s="75">
        <f t="shared" si="52"/>
        <v>4.0823125000000005</v>
      </c>
      <c r="K665" s="81">
        <f t="shared" si="53"/>
        <v>5</v>
      </c>
      <c r="L665" s="11"/>
      <c r="M665" s="11"/>
      <c r="N665" s="11"/>
      <c r="O665" s="28">
        <f>'DHS2025'!C664</f>
        <v>11786</v>
      </c>
      <c r="P665" s="29">
        <f>'DHS2025'!D664</f>
        <v>3764</v>
      </c>
      <c r="Q665" s="29">
        <f>'DHS2025'!E664</f>
        <v>5063</v>
      </c>
      <c r="R665" s="62">
        <v>112.08</v>
      </c>
      <c r="S665" s="61">
        <f>(Porovnavanie!J667*0.99-1.9)*Porovnavanie!I667</f>
        <v>552.16672959999994</v>
      </c>
    </row>
    <row r="666" spans="1:19" ht="15.75" thickBot="1">
      <c r="A666" s="101">
        <f t="shared" si="54"/>
        <v>45716</v>
      </c>
      <c r="B666" s="25" t="s">
        <v>32</v>
      </c>
      <c r="C666" s="54">
        <f>'DHS2021'!C665</f>
        <v>11699</v>
      </c>
      <c r="D666" s="55">
        <f>'DHS2022'!C665</f>
        <v>15580</v>
      </c>
      <c r="E666" s="55">
        <f>'DHS2023'!C665</f>
        <v>13381</v>
      </c>
      <c r="F666" s="55">
        <f>'DHS2024'!C665</f>
        <v>8718</v>
      </c>
      <c r="G666" s="56">
        <f t="shared" si="50"/>
        <v>12344.5</v>
      </c>
      <c r="H666" s="75">
        <f t="shared" si="51"/>
        <v>3.086125</v>
      </c>
      <c r="I666" s="76">
        <v>1</v>
      </c>
      <c r="J666" s="75">
        <f t="shared" si="52"/>
        <v>4.086125</v>
      </c>
      <c r="K666" s="81">
        <f t="shared" si="53"/>
        <v>5</v>
      </c>
      <c r="L666" s="11"/>
      <c r="M666" s="11"/>
      <c r="N666" s="11"/>
      <c r="O666" s="28">
        <f>'DHS2025'!C665</f>
        <v>11854</v>
      </c>
      <c r="P666" s="29">
        <f>'DHS2025'!D665</f>
        <v>3847</v>
      </c>
      <c r="Q666" s="29">
        <f>'DHS2025'!E665</f>
        <v>5050</v>
      </c>
      <c r="R666" s="62">
        <v>126.19</v>
      </c>
      <c r="S666" s="61">
        <f>(Porovnavanie!J668*0.99-1.9)*Porovnavanie!I668</f>
        <v>621.29190499999993</v>
      </c>
    </row>
    <row r="667" spans="1:19" ht="15.75" thickBot="1">
      <c r="A667" s="101">
        <f t="shared" si="54"/>
        <v>45716</v>
      </c>
      <c r="B667" s="25" t="s">
        <v>33</v>
      </c>
      <c r="C667" s="54">
        <f>'DHS2021'!C666</f>
        <v>11471</v>
      </c>
      <c r="D667" s="55">
        <f>'DHS2022'!C666</f>
        <v>16226</v>
      </c>
      <c r="E667" s="55">
        <f>'DHS2023'!C666</f>
        <v>14951</v>
      </c>
      <c r="F667" s="55">
        <f>'DHS2024'!C666</f>
        <v>8382</v>
      </c>
      <c r="G667" s="56">
        <f t="shared" si="50"/>
        <v>12757.5</v>
      </c>
      <c r="H667" s="75">
        <f t="shared" si="51"/>
        <v>3.1893750000000001</v>
      </c>
      <c r="I667" s="76">
        <v>1</v>
      </c>
      <c r="J667" s="75">
        <f t="shared" si="52"/>
        <v>4.1893750000000001</v>
      </c>
      <c r="K667" s="81">
        <f t="shared" si="53"/>
        <v>5</v>
      </c>
      <c r="L667" s="11"/>
      <c r="M667" s="11"/>
      <c r="N667" s="11"/>
      <c r="O667" s="28">
        <f>'DHS2025'!C666</f>
        <v>13294</v>
      </c>
      <c r="P667" s="29">
        <f>'DHS2025'!D666</f>
        <v>6082</v>
      </c>
      <c r="Q667" s="29">
        <f>'DHS2025'!E666</f>
        <v>6044</v>
      </c>
      <c r="R667" s="62">
        <v>125.77</v>
      </c>
      <c r="S667" s="61">
        <f>(Porovnavanie!J669*0.99-1.9)*Porovnavanie!I669</f>
        <v>741.06874119999986</v>
      </c>
    </row>
    <row r="668" spans="1:19" ht="15.75" thickBot="1">
      <c r="A668" s="101">
        <f t="shared" si="54"/>
        <v>45716</v>
      </c>
      <c r="B668" s="25" t="s">
        <v>34</v>
      </c>
      <c r="C668" s="54">
        <f>'DHS2021'!C667</f>
        <v>12488</v>
      </c>
      <c r="D668" s="55">
        <f>'DHS2022'!C667</f>
        <v>16410</v>
      </c>
      <c r="E668" s="55">
        <f>'DHS2023'!C667</f>
        <v>14156</v>
      </c>
      <c r="F668" s="55">
        <f>'DHS2024'!C667</f>
        <v>8220</v>
      </c>
      <c r="G668" s="56">
        <f t="shared" si="50"/>
        <v>12818.5</v>
      </c>
      <c r="H668" s="75">
        <f t="shared" si="51"/>
        <v>3.2046250000000001</v>
      </c>
      <c r="I668" s="76">
        <v>1</v>
      </c>
      <c r="J668" s="75">
        <f t="shared" si="52"/>
        <v>4.2046250000000001</v>
      </c>
      <c r="K668" s="81">
        <f t="shared" si="53"/>
        <v>5</v>
      </c>
      <c r="L668" s="11"/>
      <c r="M668" s="11"/>
      <c r="N668" s="11"/>
      <c r="O668" s="28">
        <f>'DHS2025'!C667</f>
        <v>12889</v>
      </c>
      <c r="P668" s="29">
        <f>'DHS2025'!D667</f>
        <v>5438</v>
      </c>
      <c r="Q668" s="29">
        <f>'DHS2025'!E667</f>
        <v>6063</v>
      </c>
      <c r="R668" s="62">
        <v>137.12</v>
      </c>
      <c r="S668" s="61">
        <f>(Porovnavanie!J670*0.99-1.9)*Porovnavanie!I670</f>
        <v>811.52527440000006</v>
      </c>
    </row>
    <row r="669" spans="1:19" ht="15.75" thickBot="1">
      <c r="A669" s="101">
        <f t="shared" si="54"/>
        <v>45716</v>
      </c>
      <c r="B669" s="25" t="s">
        <v>35</v>
      </c>
      <c r="C669" s="54">
        <f>'DHS2021'!C668</f>
        <v>14581</v>
      </c>
      <c r="D669" s="55">
        <f>'DHS2022'!C668</f>
        <v>17177</v>
      </c>
      <c r="E669" s="55">
        <f>'DHS2023'!C668</f>
        <v>14907</v>
      </c>
      <c r="F669" s="55">
        <f>'DHS2024'!C668</f>
        <v>9218</v>
      </c>
      <c r="G669" s="56">
        <f t="shared" si="50"/>
        <v>13970.75</v>
      </c>
      <c r="H669" s="75">
        <f t="shared" si="51"/>
        <v>3.4926875000000002</v>
      </c>
      <c r="I669" s="76">
        <v>1</v>
      </c>
      <c r="J669" s="75">
        <f t="shared" si="52"/>
        <v>4.4926875000000006</v>
      </c>
      <c r="K669" s="81">
        <f t="shared" si="53"/>
        <v>5</v>
      </c>
      <c r="L669" s="11"/>
      <c r="M669" s="11"/>
      <c r="N669" s="11"/>
      <c r="O669" s="28">
        <f>'DHS2025'!C668</f>
        <v>14363</v>
      </c>
      <c r="P669" s="29">
        <f>'DHS2025'!D668</f>
        <v>3952</v>
      </c>
      <c r="Q669" s="29">
        <f>'DHS2025'!E668</f>
        <v>6062</v>
      </c>
      <c r="R669" s="62">
        <v>139.19999999999999</v>
      </c>
      <c r="S669" s="61">
        <f>(Porovnavanie!J671*0.99-1.9)*Porovnavanie!I671</f>
        <v>823.87429599999996</v>
      </c>
    </row>
    <row r="670" spans="1:19" ht="15.75" thickBot="1">
      <c r="A670" s="101">
        <f t="shared" si="54"/>
        <v>45716</v>
      </c>
      <c r="B670" s="25" t="s">
        <v>36</v>
      </c>
      <c r="C670" s="54">
        <f>'DHS2021'!C669</f>
        <v>16473</v>
      </c>
      <c r="D670" s="55">
        <f>'DHS2022'!C669</f>
        <v>16877</v>
      </c>
      <c r="E670" s="55">
        <f>'DHS2023'!C669</f>
        <v>17060</v>
      </c>
      <c r="F670" s="55">
        <f>'DHS2024'!C669</f>
        <v>10085</v>
      </c>
      <c r="G670" s="56">
        <f t="shared" si="50"/>
        <v>15123.75</v>
      </c>
      <c r="H670" s="75">
        <f t="shared" si="51"/>
        <v>3.7809374999999998</v>
      </c>
      <c r="I670" s="76">
        <v>1</v>
      </c>
      <c r="J670" s="75">
        <f t="shared" si="52"/>
        <v>4.7809375000000003</v>
      </c>
      <c r="K670" s="81">
        <f t="shared" si="53"/>
        <v>5</v>
      </c>
      <c r="L670" s="11"/>
      <c r="M670" s="11"/>
      <c r="N670" s="11"/>
      <c r="O670" s="28">
        <f>'DHS2025'!C669</f>
        <v>15281</v>
      </c>
      <c r="P670" s="29">
        <f>'DHS2025'!D669</f>
        <v>3397</v>
      </c>
      <c r="Q670" s="29">
        <f>'DHS2025'!E669</f>
        <v>6070</v>
      </c>
      <c r="R670" s="62">
        <v>136.55000000000001</v>
      </c>
      <c r="S670" s="61">
        <f>(Porovnavanie!J672*0.99-1.9)*Porovnavanie!I672</f>
        <v>809.03691500000014</v>
      </c>
    </row>
    <row r="671" spans="1:19" ht="15.75" thickBot="1">
      <c r="A671" s="101">
        <f t="shared" si="54"/>
        <v>45716</v>
      </c>
      <c r="B671" s="25" t="s">
        <v>37</v>
      </c>
      <c r="C671" s="54">
        <f>'DHS2021'!C670</f>
        <v>14529</v>
      </c>
      <c r="D671" s="55">
        <f>'DHS2022'!C670</f>
        <v>17005</v>
      </c>
      <c r="E671" s="55">
        <f>'DHS2023'!C670</f>
        <v>15178</v>
      </c>
      <c r="F671" s="55">
        <f>'DHS2024'!C670</f>
        <v>9773</v>
      </c>
      <c r="G671" s="56">
        <f t="shared" si="50"/>
        <v>14121.25</v>
      </c>
      <c r="H671" s="75">
        <f t="shared" si="51"/>
        <v>3.5303125</v>
      </c>
      <c r="I671" s="76">
        <v>1</v>
      </c>
      <c r="J671" s="75">
        <f t="shared" si="52"/>
        <v>4.5303125</v>
      </c>
      <c r="K671" s="81">
        <f t="shared" si="53"/>
        <v>5</v>
      </c>
      <c r="L671" s="11"/>
      <c r="M671" s="11"/>
      <c r="N671" s="11"/>
      <c r="O671" s="28">
        <f>'DHS2025'!C670</f>
        <v>15199</v>
      </c>
      <c r="P671" s="29">
        <f>'DHS2025'!D670</f>
        <v>2581</v>
      </c>
      <c r="Q671" s="29">
        <f>'DHS2025'!E670</f>
        <v>6058</v>
      </c>
      <c r="R671" s="62">
        <v>117.95</v>
      </c>
      <c r="S671" s="61">
        <f>(Porovnavanie!J673*0.99-1.9)*Porovnavanie!I673</f>
        <v>695.88548899999989</v>
      </c>
    </row>
    <row r="672" spans="1:19" ht="15.75" thickBot="1">
      <c r="A672" s="101">
        <f t="shared" si="54"/>
        <v>45716</v>
      </c>
      <c r="B672" s="25" t="s">
        <v>38</v>
      </c>
      <c r="C672" s="54">
        <f>'DHS2021'!C671</f>
        <v>16095</v>
      </c>
      <c r="D672" s="55">
        <f>'DHS2022'!C671</f>
        <v>15838</v>
      </c>
      <c r="E672" s="55">
        <f>'DHS2023'!C671</f>
        <v>16401</v>
      </c>
      <c r="F672" s="55">
        <f>'DHS2024'!C671</f>
        <v>10234</v>
      </c>
      <c r="G672" s="56">
        <f t="shared" si="50"/>
        <v>14642</v>
      </c>
      <c r="H672" s="75">
        <f t="shared" si="51"/>
        <v>3.6604999999999999</v>
      </c>
      <c r="I672" s="76">
        <v>1</v>
      </c>
      <c r="J672" s="75">
        <f t="shared" si="52"/>
        <v>4.6604999999999999</v>
      </c>
      <c r="K672" s="81">
        <f t="shared" si="53"/>
        <v>5</v>
      </c>
      <c r="L672" s="11"/>
      <c r="M672" s="11"/>
      <c r="N672" s="11"/>
      <c r="O672" s="28">
        <f>'DHS2025'!C671</f>
        <v>14654</v>
      </c>
      <c r="P672" s="29">
        <f>'DHS2025'!D671</f>
        <v>125</v>
      </c>
      <c r="Q672" s="29">
        <f>'DHS2025'!E671</f>
        <v>5068</v>
      </c>
      <c r="R672" s="62">
        <v>118.53</v>
      </c>
      <c r="S672" s="61">
        <f>(Porovnavanie!J674*0.99-1.9)*Porovnavanie!I674</f>
        <v>585.07373959999995</v>
      </c>
    </row>
    <row r="673" spans="1:19" ht="15.75" thickBot="1">
      <c r="A673" s="101">
        <f t="shared" si="54"/>
        <v>45716</v>
      </c>
      <c r="B673" s="25" t="s">
        <v>39</v>
      </c>
      <c r="C673" s="54">
        <f>'DHS2021'!C672</f>
        <v>12577</v>
      </c>
      <c r="D673" s="55">
        <f>'DHS2022'!C672</f>
        <v>15000</v>
      </c>
      <c r="E673" s="55">
        <f>'DHS2023'!C672</f>
        <v>13929</v>
      </c>
      <c r="F673" s="55">
        <f>'DHS2024'!C672</f>
        <v>9848</v>
      </c>
      <c r="G673" s="56">
        <f t="shared" si="50"/>
        <v>12838.5</v>
      </c>
      <c r="H673" s="75">
        <f t="shared" si="51"/>
        <v>3.209625</v>
      </c>
      <c r="I673" s="76">
        <v>1</v>
      </c>
      <c r="J673" s="75">
        <f t="shared" si="52"/>
        <v>4.209625</v>
      </c>
      <c r="K673" s="81">
        <f t="shared" si="53"/>
        <v>5</v>
      </c>
      <c r="L673" s="11"/>
      <c r="M673" s="11"/>
      <c r="N673" s="11"/>
      <c r="O673" s="28">
        <f>'DHS2025'!C672</f>
        <v>12922</v>
      </c>
      <c r="P673" s="29">
        <f>'DHS2025'!D672</f>
        <v>1481</v>
      </c>
      <c r="Q673" s="29">
        <f>'DHS2025'!E672</f>
        <v>5053</v>
      </c>
      <c r="R673" s="62">
        <v>121.66</v>
      </c>
      <c r="S673" s="61">
        <f>(Porovnavanie!J675*0.99-1.9)*Porovnavanie!I675</f>
        <v>598.99980019999998</v>
      </c>
    </row>
    <row r="674" spans="1:19" ht="15.75" thickBot="1">
      <c r="A674" s="101">
        <f t="shared" si="54"/>
        <v>45716</v>
      </c>
      <c r="B674" s="95" t="s">
        <v>40</v>
      </c>
      <c r="C674" s="57">
        <f>'DHS2021'!C673</f>
        <v>5845</v>
      </c>
      <c r="D674" s="58">
        <f>'DHS2022'!C673</f>
        <v>12752</v>
      </c>
      <c r="E674" s="58">
        <f>'DHS2023'!C673</f>
        <v>8965</v>
      </c>
      <c r="F674" s="58">
        <f>'DHS2024'!C673</f>
        <v>4590</v>
      </c>
      <c r="G674" s="59">
        <f t="shared" si="50"/>
        <v>8038</v>
      </c>
      <c r="H674" s="77">
        <f t="shared" si="51"/>
        <v>2.0095000000000001</v>
      </c>
      <c r="I674" s="78">
        <v>1</v>
      </c>
      <c r="J674" s="77">
        <f t="shared" si="52"/>
        <v>3.0095000000000001</v>
      </c>
      <c r="K674" s="82">
        <f t="shared" si="53"/>
        <v>4</v>
      </c>
      <c r="L674" s="11"/>
      <c r="M674" s="11"/>
      <c r="N674" s="11"/>
      <c r="O674" s="30">
        <f>'DHS2025'!C673</f>
        <v>6799</v>
      </c>
      <c r="P674" s="31">
        <f>'DHS2025'!D673</f>
        <v>4882</v>
      </c>
      <c r="Q674" s="31">
        <f>'DHS2025'!E673</f>
        <v>4060</v>
      </c>
      <c r="R674" s="63">
        <v>116.8</v>
      </c>
      <c r="S674" s="61">
        <f>(Porovnavanie!J676*0.99-1.9)*Porovnavanie!I676</f>
        <v>461.75191999999987</v>
      </c>
    </row>
    <row r="675" spans="1:19" ht="15.75" thickBot="1">
      <c r="C675" s="11"/>
      <c r="D675" s="11"/>
      <c r="E675" s="11"/>
      <c r="F675" s="11"/>
      <c r="G675" s="94">
        <f>SUM(G3:G674)/1000</f>
        <v>9174.0547499999993</v>
      </c>
      <c r="H675" s="79">
        <f>SUM(H3:H674)</f>
        <v>2293.5136875000044</v>
      </c>
      <c r="I675" s="79">
        <f>SUM(I3:I674)</f>
        <v>672</v>
      </c>
      <c r="J675" s="79">
        <f>SUM(J3:J674)</f>
        <v>2965.5136875000017</v>
      </c>
      <c r="K675" s="83">
        <f>SUM(K3:K674)</f>
        <v>3292</v>
      </c>
      <c r="L675" s="11"/>
      <c r="M675" s="11"/>
      <c r="N675" s="11"/>
      <c r="O675" s="11"/>
      <c r="P675" s="11"/>
      <c r="Q675" s="11"/>
      <c r="R675" s="11"/>
      <c r="S675" s="93">
        <f>SUM(S3:S674)</f>
        <v>742034.25460319954</v>
      </c>
    </row>
  </sheetData>
  <mergeCells count="1">
    <mergeCell ref="O1:S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49"/>
  <sheetViews>
    <sheetView workbookViewId="0">
      <selection activeCell="H16" sqref="H16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</cols>
  <sheetData>
    <row r="1" spans="1:5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>
      <c r="A2" s="19" t="s">
        <v>41</v>
      </c>
      <c r="B2" s="20" t="s">
        <v>17</v>
      </c>
      <c r="C2" s="29">
        <v>13500</v>
      </c>
      <c r="D2" s="7"/>
      <c r="E2" s="15"/>
    </row>
    <row r="3" spans="1:5">
      <c r="A3" s="14" t="s">
        <v>41</v>
      </c>
      <c r="B3" s="21" t="s">
        <v>18</v>
      </c>
      <c r="C3" s="29">
        <v>15674</v>
      </c>
      <c r="D3" s="7"/>
      <c r="E3" s="15"/>
    </row>
    <row r="4" spans="1:5">
      <c r="A4" s="14" t="s">
        <v>41</v>
      </c>
      <c r="B4" s="21" t="s">
        <v>19</v>
      </c>
      <c r="C4" s="29">
        <v>17064</v>
      </c>
      <c r="D4" s="7"/>
      <c r="E4" s="15"/>
    </row>
    <row r="5" spans="1:5">
      <c r="A5" s="14" t="s">
        <v>41</v>
      </c>
      <c r="B5" s="21" t="s">
        <v>20</v>
      </c>
      <c r="C5" s="29">
        <v>16851</v>
      </c>
      <c r="D5" s="7"/>
      <c r="E5" s="15"/>
    </row>
    <row r="6" spans="1:5">
      <c r="A6" s="14" t="s">
        <v>41</v>
      </c>
      <c r="B6" s="21" t="s">
        <v>21</v>
      </c>
      <c r="C6" s="29">
        <v>24143</v>
      </c>
      <c r="D6" s="7"/>
      <c r="E6" s="15"/>
    </row>
    <row r="7" spans="1:5">
      <c r="A7" s="14" t="s">
        <v>41</v>
      </c>
      <c r="B7" s="21" t="s">
        <v>22</v>
      </c>
      <c r="C7" s="29">
        <v>24523</v>
      </c>
      <c r="D7" s="7"/>
      <c r="E7" s="15"/>
    </row>
    <row r="8" spans="1:5">
      <c r="A8" s="14" t="s">
        <v>41</v>
      </c>
      <c r="B8" s="21" t="s">
        <v>23</v>
      </c>
      <c r="C8" s="29">
        <v>24110</v>
      </c>
      <c r="D8" s="7"/>
      <c r="E8" s="15"/>
    </row>
    <row r="9" spans="1:5">
      <c r="A9" s="14" t="s">
        <v>41</v>
      </c>
      <c r="B9" s="21" t="s">
        <v>24</v>
      </c>
      <c r="C9" s="29">
        <v>23365</v>
      </c>
      <c r="D9" s="7"/>
      <c r="E9" s="15"/>
    </row>
    <row r="10" spans="1:5">
      <c r="A10" s="14" t="s">
        <v>41</v>
      </c>
      <c r="B10" s="21" t="s">
        <v>25</v>
      </c>
      <c r="C10" s="29">
        <v>23324</v>
      </c>
      <c r="D10" s="7"/>
      <c r="E10" s="15"/>
    </row>
    <row r="11" spans="1:5">
      <c r="A11" s="14" t="s">
        <v>41</v>
      </c>
      <c r="B11" s="21" t="s">
        <v>26</v>
      </c>
      <c r="C11" s="29">
        <v>20968</v>
      </c>
      <c r="D11" s="7"/>
      <c r="E11" s="15"/>
    </row>
    <row r="12" spans="1:5">
      <c r="A12" s="14" t="s">
        <v>41</v>
      </c>
      <c r="B12" s="21" t="s">
        <v>27</v>
      </c>
      <c r="C12" s="29">
        <v>21026</v>
      </c>
      <c r="D12" s="7"/>
      <c r="E12" s="15"/>
    </row>
    <row r="13" spans="1:5">
      <c r="A13" s="14" t="s">
        <v>41</v>
      </c>
      <c r="B13" s="21" t="s">
        <v>28</v>
      </c>
      <c r="C13" s="29">
        <v>17650</v>
      </c>
      <c r="D13" s="7"/>
      <c r="E13" s="15"/>
    </row>
    <row r="14" spans="1:5">
      <c r="A14" s="14" t="s">
        <v>41</v>
      </c>
      <c r="B14" s="21" t="s">
        <v>29</v>
      </c>
      <c r="C14" s="29">
        <v>16135</v>
      </c>
      <c r="D14" s="7"/>
      <c r="E14" s="15"/>
    </row>
    <row r="15" spans="1:5">
      <c r="A15" s="14" t="s">
        <v>41</v>
      </c>
      <c r="B15" s="21" t="s">
        <v>30</v>
      </c>
      <c r="C15" s="29">
        <v>15982</v>
      </c>
      <c r="D15" s="7"/>
      <c r="E15" s="15"/>
    </row>
    <row r="16" spans="1:5">
      <c r="A16" s="14" t="s">
        <v>41</v>
      </c>
      <c r="B16" s="21" t="s">
        <v>31</v>
      </c>
      <c r="C16" s="29">
        <v>16429</v>
      </c>
      <c r="D16" s="7"/>
      <c r="E16" s="15"/>
    </row>
    <row r="17" spans="1:5">
      <c r="A17" s="14" t="s">
        <v>41</v>
      </c>
      <c r="B17" s="21" t="s">
        <v>32</v>
      </c>
      <c r="C17" s="29">
        <v>16672</v>
      </c>
      <c r="D17" s="7"/>
      <c r="E17" s="15"/>
    </row>
    <row r="18" spans="1:5">
      <c r="A18" s="14" t="s">
        <v>41</v>
      </c>
      <c r="B18" s="21" t="s">
        <v>33</v>
      </c>
      <c r="C18" s="29">
        <v>18990</v>
      </c>
      <c r="D18" s="7"/>
      <c r="E18" s="15"/>
    </row>
    <row r="19" spans="1:5">
      <c r="A19" s="14" t="s">
        <v>41</v>
      </c>
      <c r="B19" s="21" t="s">
        <v>34</v>
      </c>
      <c r="C19" s="29">
        <v>20999</v>
      </c>
      <c r="D19" s="7"/>
      <c r="E19" s="15"/>
    </row>
    <row r="20" spans="1:5">
      <c r="A20" s="14" t="s">
        <v>41</v>
      </c>
      <c r="B20" s="21" t="s">
        <v>35</v>
      </c>
      <c r="C20" s="29">
        <v>20686</v>
      </c>
      <c r="D20" s="7"/>
      <c r="E20" s="15"/>
    </row>
    <row r="21" spans="1:5">
      <c r="A21" s="14" t="s">
        <v>41</v>
      </c>
      <c r="B21" s="21" t="s">
        <v>36</v>
      </c>
      <c r="C21" s="29">
        <v>20096</v>
      </c>
      <c r="D21" s="7"/>
      <c r="E21" s="15"/>
    </row>
    <row r="22" spans="1:5">
      <c r="A22" s="14" t="s">
        <v>41</v>
      </c>
      <c r="B22" s="21" t="s">
        <v>37</v>
      </c>
      <c r="C22" s="29">
        <v>20344</v>
      </c>
      <c r="D22" s="7"/>
      <c r="E22" s="15"/>
    </row>
    <row r="23" spans="1:5">
      <c r="A23" s="14" t="s">
        <v>41</v>
      </c>
      <c r="B23" s="21" t="s">
        <v>38</v>
      </c>
      <c r="C23" s="29">
        <v>20378</v>
      </c>
      <c r="D23" s="7"/>
      <c r="E23" s="15"/>
    </row>
    <row r="24" spans="1:5">
      <c r="A24" s="14" t="s">
        <v>41</v>
      </c>
      <c r="B24" s="21" t="s">
        <v>39</v>
      </c>
      <c r="C24" s="29">
        <v>19584</v>
      </c>
      <c r="D24" s="7"/>
      <c r="E24" s="15"/>
    </row>
    <row r="25" spans="1:5">
      <c r="A25" s="14" t="s">
        <v>41</v>
      </c>
      <c r="B25" s="21" t="s">
        <v>40</v>
      </c>
      <c r="C25" s="29">
        <v>11840</v>
      </c>
      <c r="D25" s="7"/>
      <c r="E25" s="15"/>
    </row>
    <row r="26" spans="1:5">
      <c r="A26" s="14" t="s">
        <v>45</v>
      </c>
      <c r="B26" s="21" t="s">
        <v>17</v>
      </c>
      <c r="C26" s="29">
        <v>11676</v>
      </c>
      <c r="D26" s="7"/>
      <c r="E26" s="15"/>
    </row>
    <row r="27" spans="1:5">
      <c r="A27" s="14" t="s">
        <v>45</v>
      </c>
      <c r="B27" s="21" t="s">
        <v>18</v>
      </c>
      <c r="C27" s="29">
        <v>13621</v>
      </c>
      <c r="D27" s="7"/>
      <c r="E27" s="15"/>
    </row>
    <row r="28" spans="1:5">
      <c r="A28" s="14" t="s">
        <v>45</v>
      </c>
      <c r="B28" s="21" t="s">
        <v>19</v>
      </c>
      <c r="C28" s="29">
        <v>15561</v>
      </c>
      <c r="D28" s="7"/>
      <c r="E28" s="15"/>
    </row>
    <row r="29" spans="1:5">
      <c r="A29" s="14" t="s">
        <v>45</v>
      </c>
      <c r="B29" s="21" t="s">
        <v>20</v>
      </c>
      <c r="C29" s="29">
        <v>15524</v>
      </c>
      <c r="D29" s="7"/>
      <c r="E29" s="15"/>
    </row>
    <row r="30" spans="1:5">
      <c r="A30" s="14" t="s">
        <v>45</v>
      </c>
      <c r="B30" s="21" t="s">
        <v>21</v>
      </c>
      <c r="C30" s="29">
        <v>23520</v>
      </c>
      <c r="D30" s="7"/>
      <c r="E30" s="15"/>
    </row>
    <row r="31" spans="1:5">
      <c r="A31" s="14" t="s">
        <v>45</v>
      </c>
      <c r="B31" s="21" t="s">
        <v>22</v>
      </c>
      <c r="C31" s="29">
        <v>22309</v>
      </c>
      <c r="D31" s="7"/>
      <c r="E31" s="15"/>
    </row>
    <row r="32" spans="1:5">
      <c r="A32" s="14" t="s">
        <v>45</v>
      </c>
      <c r="B32" s="21" t="s">
        <v>23</v>
      </c>
      <c r="C32" s="29">
        <v>21603</v>
      </c>
      <c r="D32" s="7"/>
      <c r="E32" s="15"/>
    </row>
    <row r="33" spans="1:5">
      <c r="A33" s="14" t="s">
        <v>45</v>
      </c>
      <c r="B33" s="21" t="s">
        <v>24</v>
      </c>
      <c r="C33" s="29">
        <v>19806</v>
      </c>
      <c r="D33" s="7"/>
      <c r="E33" s="15"/>
    </row>
    <row r="34" spans="1:5">
      <c r="A34" s="14" t="s">
        <v>45</v>
      </c>
      <c r="B34" s="21" t="s">
        <v>25</v>
      </c>
      <c r="C34" s="29">
        <v>21286</v>
      </c>
      <c r="D34" s="7"/>
      <c r="E34" s="15"/>
    </row>
    <row r="35" spans="1:5">
      <c r="A35" s="14" t="s">
        <v>45</v>
      </c>
      <c r="B35" s="21" t="s">
        <v>26</v>
      </c>
      <c r="C35" s="29">
        <v>20049</v>
      </c>
      <c r="D35" s="7"/>
      <c r="E35" s="15"/>
    </row>
    <row r="36" spans="1:5">
      <c r="A36" s="14" t="s">
        <v>45</v>
      </c>
      <c r="B36" s="21" t="s">
        <v>27</v>
      </c>
      <c r="C36" s="29">
        <v>18490</v>
      </c>
      <c r="D36" s="7"/>
      <c r="E36" s="15"/>
    </row>
    <row r="37" spans="1:5">
      <c r="A37" s="14" t="s">
        <v>45</v>
      </c>
      <c r="B37" s="21" t="s">
        <v>28</v>
      </c>
      <c r="C37" s="29">
        <v>15600</v>
      </c>
      <c r="D37" s="7"/>
      <c r="E37" s="15"/>
    </row>
    <row r="38" spans="1:5">
      <c r="A38" s="14" t="s">
        <v>45</v>
      </c>
      <c r="B38" s="21" t="s">
        <v>29</v>
      </c>
      <c r="C38" s="29">
        <v>14709</v>
      </c>
      <c r="D38" s="7"/>
      <c r="E38" s="15"/>
    </row>
    <row r="39" spans="1:5">
      <c r="A39" s="14" t="s">
        <v>45</v>
      </c>
      <c r="B39" s="21" t="s">
        <v>30</v>
      </c>
      <c r="C39" s="29">
        <v>16050</v>
      </c>
      <c r="D39" s="7"/>
      <c r="E39" s="15"/>
    </row>
    <row r="40" spans="1:5">
      <c r="A40" s="14" t="s">
        <v>45</v>
      </c>
      <c r="B40" s="21" t="s">
        <v>31</v>
      </c>
      <c r="C40" s="29">
        <v>16070</v>
      </c>
      <c r="D40" s="7"/>
      <c r="E40" s="15"/>
    </row>
    <row r="41" spans="1:5">
      <c r="A41" s="14" t="s">
        <v>45</v>
      </c>
      <c r="B41" s="21" t="s">
        <v>32</v>
      </c>
      <c r="C41" s="29">
        <v>16290</v>
      </c>
      <c r="D41" s="7"/>
      <c r="E41" s="15"/>
    </row>
    <row r="42" spans="1:5">
      <c r="A42" s="14" t="s">
        <v>45</v>
      </c>
      <c r="B42" s="21" t="s">
        <v>33</v>
      </c>
      <c r="C42" s="29">
        <v>16962</v>
      </c>
      <c r="D42" s="7"/>
      <c r="E42" s="15"/>
    </row>
    <row r="43" spans="1:5">
      <c r="A43" s="14" t="s">
        <v>45</v>
      </c>
      <c r="B43" s="21" t="s">
        <v>34</v>
      </c>
      <c r="C43" s="29">
        <v>18349</v>
      </c>
      <c r="D43" s="7"/>
      <c r="E43" s="15"/>
    </row>
    <row r="44" spans="1:5">
      <c r="A44" s="14" t="s">
        <v>45</v>
      </c>
      <c r="B44" s="21" t="s">
        <v>35</v>
      </c>
      <c r="C44" s="29">
        <v>18061</v>
      </c>
      <c r="D44" s="7"/>
      <c r="E44" s="15"/>
    </row>
    <row r="45" spans="1:5">
      <c r="A45" s="14" t="s">
        <v>45</v>
      </c>
      <c r="B45" s="21" t="s">
        <v>36</v>
      </c>
      <c r="C45" s="29">
        <v>16851</v>
      </c>
      <c r="D45" s="7"/>
      <c r="E45" s="15"/>
    </row>
    <row r="46" spans="1:5">
      <c r="A46" s="14" t="s">
        <v>45</v>
      </c>
      <c r="B46" s="21" t="s">
        <v>37</v>
      </c>
      <c r="C46" s="29">
        <v>18059</v>
      </c>
      <c r="D46" s="7"/>
      <c r="E46" s="15"/>
    </row>
    <row r="47" spans="1:5">
      <c r="A47" s="14" t="s">
        <v>45</v>
      </c>
      <c r="B47" s="21" t="s">
        <v>38</v>
      </c>
      <c r="C47" s="29">
        <v>16752</v>
      </c>
      <c r="D47" s="7"/>
      <c r="E47" s="15"/>
    </row>
    <row r="48" spans="1:5">
      <c r="A48" s="14" t="s">
        <v>45</v>
      </c>
      <c r="B48" s="21" t="s">
        <v>39</v>
      </c>
      <c r="C48" s="29">
        <v>14168</v>
      </c>
      <c r="D48" s="7"/>
      <c r="E48" s="15"/>
    </row>
    <row r="49" spans="1:5">
      <c r="A49" s="14" t="s">
        <v>45</v>
      </c>
      <c r="B49" s="21" t="s">
        <v>40</v>
      </c>
      <c r="C49" s="29">
        <v>9757</v>
      </c>
      <c r="D49" s="7"/>
      <c r="E49" s="15"/>
    </row>
    <row r="50" spans="1:5">
      <c r="A50" s="14" t="s">
        <v>49</v>
      </c>
      <c r="B50" s="21" t="s">
        <v>17</v>
      </c>
      <c r="C50" s="29">
        <v>7924</v>
      </c>
      <c r="D50" s="7"/>
      <c r="E50" s="15"/>
    </row>
    <row r="51" spans="1:5">
      <c r="A51" s="14" t="s">
        <v>49</v>
      </c>
      <c r="B51" s="21" t="s">
        <v>18</v>
      </c>
      <c r="C51" s="29">
        <v>9695</v>
      </c>
      <c r="D51" s="7"/>
      <c r="E51" s="15"/>
    </row>
    <row r="52" spans="1:5">
      <c r="A52" s="14" t="s">
        <v>49</v>
      </c>
      <c r="B52" s="21" t="s">
        <v>19</v>
      </c>
      <c r="C52" s="29">
        <v>10331</v>
      </c>
      <c r="D52" s="7"/>
      <c r="E52" s="15"/>
    </row>
    <row r="53" spans="1:5">
      <c r="A53" s="14" t="s">
        <v>49</v>
      </c>
      <c r="B53" s="21" t="s">
        <v>20</v>
      </c>
      <c r="C53" s="29">
        <v>11240</v>
      </c>
      <c r="D53" s="7"/>
      <c r="E53" s="15"/>
    </row>
    <row r="54" spans="1:5">
      <c r="A54" s="14" t="s">
        <v>49</v>
      </c>
      <c r="B54" s="21" t="s">
        <v>21</v>
      </c>
      <c r="C54" s="29">
        <v>20599</v>
      </c>
      <c r="D54" s="7"/>
      <c r="E54" s="15"/>
    </row>
    <row r="55" spans="1:5">
      <c r="A55" s="14" t="s">
        <v>49</v>
      </c>
      <c r="B55" s="21" t="s">
        <v>22</v>
      </c>
      <c r="C55" s="29">
        <v>16839</v>
      </c>
      <c r="D55" s="7"/>
      <c r="E55" s="15"/>
    </row>
    <row r="56" spans="1:5">
      <c r="A56" s="14" t="s">
        <v>49</v>
      </c>
      <c r="B56" s="21" t="s">
        <v>23</v>
      </c>
      <c r="C56" s="29">
        <v>20404</v>
      </c>
      <c r="D56" s="7"/>
      <c r="E56" s="15"/>
    </row>
    <row r="57" spans="1:5">
      <c r="A57" s="14" t="s">
        <v>49</v>
      </c>
      <c r="B57" s="21" t="s">
        <v>24</v>
      </c>
      <c r="C57" s="29">
        <v>17358</v>
      </c>
      <c r="D57" s="7"/>
      <c r="E57" s="15"/>
    </row>
    <row r="58" spans="1:5">
      <c r="A58" s="14" t="s">
        <v>49</v>
      </c>
      <c r="B58" s="21" t="s">
        <v>25</v>
      </c>
      <c r="C58" s="29">
        <v>17210</v>
      </c>
      <c r="D58" s="7"/>
      <c r="E58" s="15"/>
    </row>
    <row r="59" spans="1:5">
      <c r="A59" s="14" t="s">
        <v>49</v>
      </c>
      <c r="B59" s="21" t="s">
        <v>26</v>
      </c>
      <c r="C59" s="29">
        <v>17614</v>
      </c>
      <c r="D59" s="7"/>
      <c r="E59" s="15"/>
    </row>
    <row r="60" spans="1:5">
      <c r="A60" s="14" t="s">
        <v>49</v>
      </c>
      <c r="B60" s="21" t="s">
        <v>27</v>
      </c>
      <c r="C60" s="29">
        <v>17062</v>
      </c>
      <c r="D60" s="7"/>
      <c r="E60" s="15"/>
    </row>
    <row r="61" spans="1:5">
      <c r="A61" s="14" t="s">
        <v>49</v>
      </c>
      <c r="B61" s="21" t="s">
        <v>28</v>
      </c>
      <c r="C61" s="29">
        <v>16301</v>
      </c>
      <c r="D61" s="7"/>
      <c r="E61" s="15"/>
    </row>
    <row r="62" spans="1:5">
      <c r="A62" s="14" t="s">
        <v>49</v>
      </c>
      <c r="B62" s="21" t="s">
        <v>29</v>
      </c>
      <c r="C62" s="29">
        <v>15124</v>
      </c>
      <c r="D62" s="7"/>
      <c r="E62" s="15"/>
    </row>
    <row r="63" spans="1:5">
      <c r="A63" s="14" t="s">
        <v>49</v>
      </c>
      <c r="B63" s="21" t="s">
        <v>30</v>
      </c>
      <c r="C63" s="29">
        <v>17023</v>
      </c>
      <c r="D63" s="7"/>
      <c r="E63" s="15"/>
    </row>
    <row r="64" spans="1:5">
      <c r="A64" s="14" t="s">
        <v>49</v>
      </c>
      <c r="B64" s="21" t="s">
        <v>31</v>
      </c>
      <c r="C64" s="29">
        <v>16123</v>
      </c>
      <c r="D64" s="7"/>
      <c r="E64" s="15"/>
    </row>
    <row r="65" spans="1:5">
      <c r="A65" s="14" t="s">
        <v>49</v>
      </c>
      <c r="B65" s="21" t="s">
        <v>32</v>
      </c>
      <c r="C65" s="29">
        <v>17210</v>
      </c>
      <c r="D65" s="7"/>
      <c r="E65" s="15"/>
    </row>
    <row r="66" spans="1:5">
      <c r="A66" s="14" t="s">
        <v>49</v>
      </c>
      <c r="B66" s="21" t="s">
        <v>33</v>
      </c>
      <c r="C66" s="29">
        <v>17306</v>
      </c>
      <c r="D66" s="7"/>
      <c r="E66" s="15"/>
    </row>
    <row r="67" spans="1:5">
      <c r="A67" s="14" t="s">
        <v>49</v>
      </c>
      <c r="B67" s="21" t="s">
        <v>34</v>
      </c>
      <c r="C67" s="29">
        <v>17094</v>
      </c>
      <c r="D67" s="7"/>
      <c r="E67" s="15"/>
    </row>
    <row r="68" spans="1:5">
      <c r="A68" s="14" t="s">
        <v>49</v>
      </c>
      <c r="B68" s="21" t="s">
        <v>35</v>
      </c>
      <c r="C68" s="29">
        <v>17448</v>
      </c>
      <c r="D68" s="7"/>
      <c r="E68" s="15"/>
    </row>
    <row r="69" spans="1:5">
      <c r="A69" s="14" t="s">
        <v>49</v>
      </c>
      <c r="B69" s="21" t="s">
        <v>36</v>
      </c>
      <c r="C69" s="29">
        <v>16936</v>
      </c>
      <c r="D69" s="7"/>
      <c r="E69" s="15"/>
    </row>
    <row r="70" spans="1:5">
      <c r="A70" s="14" t="s">
        <v>49</v>
      </c>
      <c r="B70" s="21" t="s">
        <v>37</v>
      </c>
      <c r="C70" s="29">
        <v>17586</v>
      </c>
      <c r="D70" s="7"/>
      <c r="E70" s="15"/>
    </row>
    <row r="71" spans="1:5">
      <c r="A71" s="14" t="s">
        <v>49</v>
      </c>
      <c r="B71" s="21" t="s">
        <v>38</v>
      </c>
      <c r="C71" s="29">
        <v>17411</v>
      </c>
      <c r="D71" s="7"/>
      <c r="E71" s="15"/>
    </row>
    <row r="72" spans="1:5">
      <c r="A72" s="14" t="s">
        <v>49</v>
      </c>
      <c r="B72" s="21" t="s">
        <v>39</v>
      </c>
      <c r="C72" s="29">
        <v>15273</v>
      </c>
      <c r="D72" s="7"/>
      <c r="E72" s="15"/>
    </row>
    <row r="73" spans="1:5">
      <c r="A73" s="14" t="s">
        <v>49</v>
      </c>
      <c r="B73" s="21" t="s">
        <v>40</v>
      </c>
      <c r="C73" s="29">
        <v>7737</v>
      </c>
      <c r="D73" s="7"/>
      <c r="E73" s="15"/>
    </row>
    <row r="74" spans="1:5">
      <c r="A74" s="14" t="s">
        <v>50</v>
      </c>
      <c r="B74" s="21" t="s">
        <v>17</v>
      </c>
      <c r="C74" s="29">
        <v>6664</v>
      </c>
      <c r="D74" s="7"/>
      <c r="E74" s="15"/>
    </row>
    <row r="75" spans="1:5">
      <c r="A75" s="14" t="s">
        <v>50</v>
      </c>
      <c r="B75" s="21" t="s">
        <v>18</v>
      </c>
      <c r="C75" s="29">
        <v>7371</v>
      </c>
      <c r="D75" s="7"/>
      <c r="E75" s="15"/>
    </row>
    <row r="76" spans="1:5">
      <c r="A76" s="14" t="s">
        <v>50</v>
      </c>
      <c r="B76" s="21" t="s">
        <v>19</v>
      </c>
      <c r="C76" s="29">
        <v>9699</v>
      </c>
      <c r="D76" s="7"/>
      <c r="E76" s="15"/>
    </row>
    <row r="77" spans="1:5">
      <c r="A77" s="14" t="s">
        <v>50</v>
      </c>
      <c r="B77" s="21" t="s">
        <v>20</v>
      </c>
      <c r="C77" s="29">
        <v>10310</v>
      </c>
      <c r="D77" s="7"/>
      <c r="E77" s="15"/>
    </row>
    <row r="78" spans="1:5">
      <c r="A78" s="14" t="s">
        <v>50</v>
      </c>
      <c r="B78" s="21" t="s">
        <v>21</v>
      </c>
      <c r="C78" s="29">
        <v>21231</v>
      </c>
      <c r="D78" s="7"/>
      <c r="E78" s="15"/>
    </row>
    <row r="79" spans="1:5">
      <c r="A79" s="14" t="s">
        <v>50</v>
      </c>
      <c r="B79" s="21" t="s">
        <v>22</v>
      </c>
      <c r="C79" s="29">
        <v>19376</v>
      </c>
      <c r="D79" s="7"/>
      <c r="E79" s="15"/>
    </row>
    <row r="80" spans="1:5">
      <c r="A80" s="14" t="s">
        <v>50</v>
      </c>
      <c r="B80" s="21" t="s">
        <v>23</v>
      </c>
      <c r="C80" s="29">
        <v>18529</v>
      </c>
      <c r="D80" s="7"/>
      <c r="E80" s="15"/>
    </row>
    <row r="81" spans="1:5">
      <c r="A81" s="14" t="s">
        <v>50</v>
      </c>
      <c r="B81" s="21" t="s">
        <v>24</v>
      </c>
      <c r="C81" s="29">
        <v>16000</v>
      </c>
      <c r="D81" s="7"/>
      <c r="E81" s="15"/>
    </row>
    <row r="82" spans="1:5">
      <c r="A82" s="14" t="s">
        <v>50</v>
      </c>
      <c r="B82" s="21" t="s">
        <v>25</v>
      </c>
      <c r="C82" s="29">
        <v>16836</v>
      </c>
      <c r="D82" s="7"/>
      <c r="E82" s="15"/>
    </row>
    <row r="83" spans="1:5">
      <c r="A83" s="14" t="s">
        <v>50</v>
      </c>
      <c r="B83" s="21" t="s">
        <v>26</v>
      </c>
      <c r="C83" s="29">
        <v>15936</v>
      </c>
      <c r="D83" s="7"/>
      <c r="E83" s="15"/>
    </row>
    <row r="84" spans="1:5">
      <c r="A84" s="14" t="s">
        <v>50</v>
      </c>
      <c r="B84" s="21" t="s">
        <v>27</v>
      </c>
      <c r="C84" s="29">
        <v>15885</v>
      </c>
      <c r="D84" s="7"/>
      <c r="E84" s="15"/>
    </row>
    <row r="85" spans="1:5">
      <c r="A85" s="14" t="s">
        <v>50</v>
      </c>
      <c r="B85" s="21" t="s">
        <v>28</v>
      </c>
      <c r="C85" s="29">
        <v>14015</v>
      </c>
      <c r="D85" s="7"/>
      <c r="E85" s="15"/>
    </row>
    <row r="86" spans="1:5">
      <c r="A86" s="14" t="s">
        <v>50</v>
      </c>
      <c r="B86" s="21" t="s">
        <v>29</v>
      </c>
      <c r="C86" s="29">
        <v>12870</v>
      </c>
      <c r="D86" s="7"/>
      <c r="E86" s="15"/>
    </row>
    <row r="87" spans="1:5">
      <c r="A87" s="14" t="s">
        <v>50</v>
      </c>
      <c r="B87" s="21" t="s">
        <v>30</v>
      </c>
      <c r="C87" s="29">
        <v>13305</v>
      </c>
      <c r="D87" s="7"/>
      <c r="E87" s="15"/>
    </row>
    <row r="88" spans="1:5">
      <c r="A88" s="14" t="s">
        <v>50</v>
      </c>
      <c r="B88" s="21" t="s">
        <v>31</v>
      </c>
      <c r="C88" s="29">
        <v>14193</v>
      </c>
      <c r="D88" s="7"/>
      <c r="E88" s="15"/>
    </row>
    <row r="89" spans="1:5">
      <c r="A89" s="14" t="s">
        <v>50</v>
      </c>
      <c r="B89" s="21" t="s">
        <v>32</v>
      </c>
      <c r="C89" s="29">
        <v>14559</v>
      </c>
      <c r="D89" s="7"/>
      <c r="E89" s="15"/>
    </row>
    <row r="90" spans="1:5">
      <c r="A90" s="14" t="s">
        <v>50</v>
      </c>
      <c r="B90" s="21" t="s">
        <v>33</v>
      </c>
      <c r="C90" s="29">
        <v>14180</v>
      </c>
      <c r="D90" s="7"/>
      <c r="E90" s="15"/>
    </row>
    <row r="91" spans="1:5">
      <c r="A91" s="14" t="s">
        <v>50</v>
      </c>
      <c r="B91" s="21" t="s">
        <v>34</v>
      </c>
      <c r="C91" s="29">
        <v>14827</v>
      </c>
      <c r="D91" s="7"/>
      <c r="E91" s="15"/>
    </row>
    <row r="92" spans="1:5">
      <c r="A92" s="14" t="s">
        <v>50</v>
      </c>
      <c r="B92" s="21" t="s">
        <v>35</v>
      </c>
      <c r="C92" s="29">
        <v>15620</v>
      </c>
      <c r="D92" s="7"/>
      <c r="E92" s="15"/>
    </row>
    <row r="93" spans="1:5">
      <c r="A93" s="14" t="s">
        <v>50</v>
      </c>
      <c r="B93" s="21" t="s">
        <v>36</v>
      </c>
      <c r="C93" s="29">
        <v>16128</v>
      </c>
      <c r="D93" s="7"/>
      <c r="E93" s="15"/>
    </row>
    <row r="94" spans="1:5">
      <c r="A94" s="14" t="s">
        <v>50</v>
      </c>
      <c r="B94" s="21" t="s">
        <v>37</v>
      </c>
      <c r="C94" s="29">
        <v>16245</v>
      </c>
      <c r="D94" s="7"/>
      <c r="E94" s="15"/>
    </row>
    <row r="95" spans="1:5">
      <c r="A95" s="14" t="s">
        <v>50</v>
      </c>
      <c r="B95" s="21" t="s">
        <v>38</v>
      </c>
      <c r="C95" s="29">
        <v>16207</v>
      </c>
      <c r="D95" s="7"/>
      <c r="E95" s="15"/>
    </row>
    <row r="96" spans="1:5">
      <c r="A96" s="14" t="s">
        <v>50</v>
      </c>
      <c r="B96" s="21" t="s">
        <v>39</v>
      </c>
      <c r="C96" s="29">
        <v>14316</v>
      </c>
      <c r="D96" s="7"/>
      <c r="E96" s="15"/>
    </row>
    <row r="97" spans="1:5">
      <c r="A97" s="14" t="s">
        <v>50</v>
      </c>
      <c r="B97" s="21" t="s">
        <v>40</v>
      </c>
      <c r="C97" s="29">
        <v>7728</v>
      </c>
      <c r="D97" s="7"/>
      <c r="E97" s="15"/>
    </row>
    <row r="98" spans="1:5">
      <c r="A98" s="14" t="s">
        <v>51</v>
      </c>
      <c r="B98" s="21" t="s">
        <v>17</v>
      </c>
      <c r="C98" s="29">
        <v>7159</v>
      </c>
      <c r="D98" s="7"/>
      <c r="E98" s="15"/>
    </row>
    <row r="99" spans="1:5">
      <c r="A99" s="14" t="s">
        <v>51</v>
      </c>
      <c r="B99" s="21" t="s">
        <v>18</v>
      </c>
      <c r="C99" s="29">
        <v>7924</v>
      </c>
      <c r="D99" s="7"/>
      <c r="E99" s="15"/>
    </row>
    <row r="100" spans="1:5">
      <c r="A100" s="14" t="s">
        <v>51</v>
      </c>
      <c r="B100" s="21" t="s">
        <v>19</v>
      </c>
      <c r="C100" s="29">
        <v>9731</v>
      </c>
      <c r="D100" s="7"/>
      <c r="E100" s="15"/>
    </row>
    <row r="101" spans="1:5">
      <c r="A101" s="14" t="s">
        <v>51</v>
      </c>
      <c r="B101" s="21" t="s">
        <v>20</v>
      </c>
      <c r="C101" s="29">
        <v>10496</v>
      </c>
      <c r="D101" s="7"/>
      <c r="E101" s="15"/>
    </row>
    <row r="102" spans="1:5">
      <c r="A102" s="14" t="s">
        <v>51</v>
      </c>
      <c r="B102" s="21" t="s">
        <v>21</v>
      </c>
      <c r="C102" s="29">
        <v>21463</v>
      </c>
      <c r="D102" s="7"/>
      <c r="E102" s="15"/>
    </row>
    <row r="103" spans="1:5">
      <c r="A103" s="14" t="s">
        <v>51</v>
      </c>
      <c r="B103" s="21" t="s">
        <v>22</v>
      </c>
      <c r="C103" s="29">
        <v>19725</v>
      </c>
      <c r="D103" s="7"/>
      <c r="E103" s="15"/>
    </row>
    <row r="104" spans="1:5">
      <c r="A104" s="14" t="s">
        <v>51</v>
      </c>
      <c r="B104" s="21" t="s">
        <v>23</v>
      </c>
      <c r="C104" s="29">
        <v>18738</v>
      </c>
      <c r="D104" s="7"/>
      <c r="E104" s="15"/>
    </row>
    <row r="105" spans="1:5">
      <c r="A105" s="14" t="s">
        <v>51</v>
      </c>
      <c r="B105" s="21" t="s">
        <v>24</v>
      </c>
      <c r="C105" s="29">
        <v>15836</v>
      </c>
      <c r="D105" s="7"/>
      <c r="E105" s="15"/>
    </row>
    <row r="106" spans="1:5">
      <c r="A106" s="14" t="s">
        <v>51</v>
      </c>
      <c r="B106" s="21" t="s">
        <v>25</v>
      </c>
      <c r="C106" s="29">
        <v>17057</v>
      </c>
      <c r="D106" s="7"/>
      <c r="E106" s="15"/>
    </row>
    <row r="107" spans="1:5">
      <c r="A107" s="14" t="s">
        <v>51</v>
      </c>
      <c r="B107" s="21" t="s">
        <v>26</v>
      </c>
      <c r="C107" s="29">
        <v>17947</v>
      </c>
      <c r="D107" s="7"/>
      <c r="E107" s="15"/>
    </row>
    <row r="108" spans="1:5">
      <c r="A108" s="14" t="s">
        <v>51</v>
      </c>
      <c r="B108" s="21" t="s">
        <v>27</v>
      </c>
      <c r="C108" s="29">
        <v>17053</v>
      </c>
      <c r="D108" s="7"/>
      <c r="E108" s="15"/>
    </row>
    <row r="109" spans="1:5">
      <c r="A109" s="14" t="s">
        <v>51</v>
      </c>
      <c r="B109" s="21" t="s">
        <v>28</v>
      </c>
      <c r="C109" s="29">
        <v>15727</v>
      </c>
      <c r="D109" s="7"/>
      <c r="E109" s="15"/>
    </row>
    <row r="110" spans="1:5">
      <c r="A110" s="14" t="s">
        <v>51</v>
      </c>
      <c r="B110" s="21" t="s">
        <v>29</v>
      </c>
      <c r="C110" s="29">
        <v>15759</v>
      </c>
      <c r="D110" s="7"/>
      <c r="E110" s="15"/>
    </row>
    <row r="111" spans="1:5">
      <c r="A111" s="14" t="s">
        <v>51</v>
      </c>
      <c r="B111" s="21" t="s">
        <v>30</v>
      </c>
      <c r="C111" s="29">
        <v>15676</v>
      </c>
      <c r="D111" s="7"/>
      <c r="E111" s="15"/>
    </row>
    <row r="112" spans="1:5">
      <c r="A112" s="14" t="s">
        <v>51</v>
      </c>
      <c r="B112" s="21" t="s">
        <v>31</v>
      </c>
      <c r="C112" s="29">
        <v>16377</v>
      </c>
      <c r="D112" s="7"/>
      <c r="E112" s="15"/>
    </row>
    <row r="113" spans="1:5">
      <c r="A113" s="14" t="s">
        <v>51</v>
      </c>
      <c r="B113" s="21" t="s">
        <v>32</v>
      </c>
      <c r="C113" s="29">
        <v>16508</v>
      </c>
      <c r="D113" s="7"/>
      <c r="E113" s="15"/>
    </row>
    <row r="114" spans="1:5">
      <c r="A114" s="14" t="s">
        <v>51</v>
      </c>
      <c r="B114" s="21" t="s">
        <v>33</v>
      </c>
      <c r="C114" s="29">
        <v>16289</v>
      </c>
      <c r="D114" s="7"/>
      <c r="E114" s="15"/>
    </row>
    <row r="115" spans="1:5">
      <c r="A115" s="14" t="s">
        <v>51</v>
      </c>
      <c r="B115" s="21" t="s">
        <v>34</v>
      </c>
      <c r="C115" s="29">
        <v>17444</v>
      </c>
      <c r="D115" s="7"/>
      <c r="E115" s="15"/>
    </row>
    <row r="116" spans="1:5">
      <c r="A116" s="14" t="s">
        <v>51</v>
      </c>
      <c r="B116" s="21" t="s">
        <v>35</v>
      </c>
      <c r="C116" s="29">
        <v>16826</v>
      </c>
      <c r="D116" s="7"/>
      <c r="E116" s="15"/>
    </row>
    <row r="117" spans="1:5">
      <c r="A117" s="14" t="s">
        <v>51</v>
      </c>
      <c r="B117" s="21" t="s">
        <v>36</v>
      </c>
      <c r="C117" s="29">
        <v>17295</v>
      </c>
      <c r="D117" s="7"/>
      <c r="E117" s="15"/>
    </row>
    <row r="118" spans="1:5">
      <c r="A118" s="14" t="s">
        <v>51</v>
      </c>
      <c r="B118" s="21" t="s">
        <v>37</v>
      </c>
      <c r="C118" s="29">
        <v>17084</v>
      </c>
      <c r="D118" s="7"/>
      <c r="E118" s="15"/>
    </row>
    <row r="119" spans="1:5">
      <c r="A119" s="14" t="s">
        <v>51</v>
      </c>
      <c r="B119" s="21" t="s">
        <v>38</v>
      </c>
      <c r="C119" s="29">
        <v>18084</v>
      </c>
      <c r="D119" s="7"/>
      <c r="E119" s="15"/>
    </row>
    <row r="120" spans="1:5">
      <c r="A120" s="14" t="s">
        <v>51</v>
      </c>
      <c r="B120" s="21" t="s">
        <v>39</v>
      </c>
      <c r="C120" s="29">
        <v>15679</v>
      </c>
      <c r="D120" s="7"/>
      <c r="E120" s="15"/>
    </row>
    <row r="121" spans="1:5">
      <c r="A121" s="14" t="s">
        <v>51</v>
      </c>
      <c r="B121" s="21" t="s">
        <v>40</v>
      </c>
      <c r="C121" s="29">
        <v>8003</v>
      </c>
      <c r="D121" s="7"/>
      <c r="E121" s="15"/>
    </row>
    <row r="122" spans="1:5">
      <c r="A122" s="14" t="s">
        <v>52</v>
      </c>
      <c r="B122" s="21" t="s">
        <v>17</v>
      </c>
      <c r="C122" s="29">
        <v>7870</v>
      </c>
      <c r="D122" s="7"/>
      <c r="E122" s="15"/>
    </row>
    <row r="123" spans="1:5">
      <c r="A123" s="14" t="s">
        <v>52</v>
      </c>
      <c r="B123" s="21" t="s">
        <v>18</v>
      </c>
      <c r="C123" s="29">
        <v>9139</v>
      </c>
      <c r="D123" s="7"/>
      <c r="E123" s="15"/>
    </row>
    <row r="124" spans="1:5">
      <c r="A124" s="14" t="s">
        <v>52</v>
      </c>
      <c r="B124" s="21" t="s">
        <v>19</v>
      </c>
      <c r="C124" s="29">
        <v>10523</v>
      </c>
      <c r="D124" s="7"/>
      <c r="E124" s="15"/>
    </row>
    <row r="125" spans="1:5">
      <c r="A125" s="14" t="s">
        <v>52</v>
      </c>
      <c r="B125" s="21" t="s">
        <v>20</v>
      </c>
      <c r="C125" s="29">
        <v>11102</v>
      </c>
      <c r="D125" s="7"/>
      <c r="E125" s="15"/>
    </row>
    <row r="126" spans="1:5">
      <c r="A126" s="14" t="s">
        <v>52</v>
      </c>
      <c r="B126" s="21" t="s">
        <v>21</v>
      </c>
      <c r="C126" s="29">
        <v>21873</v>
      </c>
      <c r="D126" s="7"/>
      <c r="E126" s="15"/>
    </row>
    <row r="127" spans="1:5">
      <c r="A127" s="14" t="s">
        <v>52</v>
      </c>
      <c r="B127" s="21" t="s">
        <v>22</v>
      </c>
      <c r="C127" s="29">
        <v>18628</v>
      </c>
      <c r="D127" s="7"/>
      <c r="E127" s="15"/>
    </row>
    <row r="128" spans="1:5">
      <c r="A128" s="14" t="s">
        <v>52</v>
      </c>
      <c r="B128" s="21" t="s">
        <v>23</v>
      </c>
      <c r="C128" s="29">
        <v>19194</v>
      </c>
      <c r="D128" s="7"/>
      <c r="E128" s="15"/>
    </row>
    <row r="129" spans="1:5">
      <c r="A129" s="14" t="s">
        <v>52</v>
      </c>
      <c r="B129" s="21" t="s">
        <v>24</v>
      </c>
      <c r="C129" s="29">
        <v>13345</v>
      </c>
      <c r="D129" s="7"/>
      <c r="E129" s="15"/>
    </row>
    <row r="130" spans="1:5">
      <c r="A130" s="14" t="s">
        <v>52</v>
      </c>
      <c r="B130" s="21" t="s">
        <v>25</v>
      </c>
      <c r="C130" s="29">
        <v>16969</v>
      </c>
      <c r="D130" s="7"/>
      <c r="E130" s="15"/>
    </row>
    <row r="131" spans="1:5">
      <c r="A131" s="14" t="s">
        <v>52</v>
      </c>
      <c r="B131" s="21" t="s">
        <v>26</v>
      </c>
      <c r="C131" s="29">
        <v>17137</v>
      </c>
      <c r="D131" s="7"/>
      <c r="E131" s="15"/>
    </row>
    <row r="132" spans="1:5">
      <c r="A132" s="14" t="s">
        <v>52</v>
      </c>
      <c r="B132" s="21" t="s">
        <v>27</v>
      </c>
      <c r="C132" s="29">
        <v>17739</v>
      </c>
      <c r="D132" s="7"/>
      <c r="E132" s="15"/>
    </row>
    <row r="133" spans="1:5">
      <c r="A133" s="14" t="s">
        <v>52</v>
      </c>
      <c r="B133" s="21" t="s">
        <v>28</v>
      </c>
      <c r="C133" s="29">
        <v>16850</v>
      </c>
      <c r="D133" s="7"/>
      <c r="E133" s="15"/>
    </row>
    <row r="134" spans="1:5">
      <c r="A134" s="14" t="s">
        <v>52</v>
      </c>
      <c r="B134" s="21" t="s">
        <v>29</v>
      </c>
      <c r="C134" s="29">
        <v>17376</v>
      </c>
      <c r="D134" s="7"/>
      <c r="E134" s="15"/>
    </row>
    <row r="135" spans="1:5">
      <c r="A135" s="14" t="s">
        <v>52</v>
      </c>
      <c r="B135" s="21" t="s">
        <v>30</v>
      </c>
      <c r="C135" s="29">
        <v>16848</v>
      </c>
      <c r="D135" s="7"/>
      <c r="E135" s="15"/>
    </row>
    <row r="136" spans="1:5">
      <c r="A136" s="14" t="s">
        <v>52</v>
      </c>
      <c r="B136" s="21" t="s">
        <v>31</v>
      </c>
      <c r="C136" s="29">
        <v>16792</v>
      </c>
      <c r="D136" s="7"/>
      <c r="E136" s="15"/>
    </row>
    <row r="137" spans="1:5">
      <c r="A137" s="14" t="s">
        <v>52</v>
      </c>
      <c r="B137" s="21" t="s">
        <v>32</v>
      </c>
      <c r="C137" s="29">
        <v>18583</v>
      </c>
      <c r="D137" s="7"/>
      <c r="E137" s="15"/>
    </row>
    <row r="138" spans="1:5">
      <c r="A138" s="14" t="s">
        <v>52</v>
      </c>
      <c r="B138" s="21" t="s">
        <v>33</v>
      </c>
      <c r="C138" s="29">
        <v>17712</v>
      </c>
      <c r="D138" s="7"/>
      <c r="E138" s="15"/>
    </row>
    <row r="139" spans="1:5">
      <c r="A139" s="14" t="s">
        <v>52</v>
      </c>
      <c r="B139" s="21" t="s">
        <v>34</v>
      </c>
      <c r="C139" s="29">
        <v>18182</v>
      </c>
      <c r="D139" s="7"/>
      <c r="E139" s="15"/>
    </row>
    <row r="140" spans="1:5">
      <c r="A140" s="14" t="s">
        <v>52</v>
      </c>
      <c r="B140" s="21" t="s">
        <v>35</v>
      </c>
      <c r="C140" s="29">
        <v>19119</v>
      </c>
      <c r="D140" s="7"/>
      <c r="E140" s="15"/>
    </row>
    <row r="141" spans="1:5">
      <c r="A141" s="14" t="s">
        <v>52</v>
      </c>
      <c r="B141" s="21" t="s">
        <v>36</v>
      </c>
      <c r="C141" s="29">
        <v>19119</v>
      </c>
      <c r="D141" s="7"/>
      <c r="E141" s="15"/>
    </row>
    <row r="142" spans="1:5">
      <c r="A142" s="14" t="s">
        <v>52</v>
      </c>
      <c r="B142" s="21" t="s">
        <v>37</v>
      </c>
      <c r="C142" s="29">
        <v>18967</v>
      </c>
      <c r="D142" s="7"/>
      <c r="E142" s="15"/>
    </row>
    <row r="143" spans="1:5">
      <c r="A143" s="14" t="s">
        <v>52</v>
      </c>
      <c r="B143" s="21" t="s">
        <v>38</v>
      </c>
      <c r="C143" s="29">
        <v>19204</v>
      </c>
      <c r="D143" s="7"/>
      <c r="E143" s="15"/>
    </row>
    <row r="144" spans="1:5">
      <c r="A144" s="14" t="s">
        <v>52</v>
      </c>
      <c r="B144" s="21" t="s">
        <v>39</v>
      </c>
      <c r="C144" s="29">
        <v>16086</v>
      </c>
      <c r="D144" s="7"/>
      <c r="E144" s="15"/>
    </row>
    <row r="145" spans="1:5">
      <c r="A145" s="14" t="s">
        <v>52</v>
      </c>
      <c r="B145" s="21" t="s">
        <v>40</v>
      </c>
      <c r="C145" s="29">
        <v>8799</v>
      </c>
      <c r="D145" s="7"/>
      <c r="E145" s="15"/>
    </row>
    <row r="146" spans="1:5">
      <c r="A146" s="14" t="s">
        <v>53</v>
      </c>
      <c r="B146" s="21" t="s">
        <v>17</v>
      </c>
      <c r="C146" s="29">
        <v>8870</v>
      </c>
      <c r="D146" s="7"/>
      <c r="E146" s="15"/>
    </row>
    <row r="147" spans="1:5">
      <c r="A147" s="14" t="s">
        <v>53</v>
      </c>
      <c r="B147" s="21" t="s">
        <v>18</v>
      </c>
      <c r="C147" s="29">
        <v>11305</v>
      </c>
      <c r="D147" s="7"/>
      <c r="E147" s="15"/>
    </row>
    <row r="148" spans="1:5">
      <c r="A148" s="14" t="s">
        <v>53</v>
      </c>
      <c r="B148" s="21" t="s">
        <v>19</v>
      </c>
      <c r="C148" s="29">
        <v>12599</v>
      </c>
      <c r="D148" s="7"/>
      <c r="E148" s="15"/>
    </row>
    <row r="149" spans="1:5">
      <c r="A149" s="14" t="s">
        <v>53</v>
      </c>
      <c r="B149" s="21" t="s">
        <v>20</v>
      </c>
      <c r="C149" s="29">
        <v>12171</v>
      </c>
      <c r="D149" s="7"/>
      <c r="E149" s="15"/>
    </row>
    <row r="150" spans="1:5">
      <c r="A150" s="14" t="s">
        <v>53</v>
      </c>
      <c r="B150" s="21" t="s">
        <v>21</v>
      </c>
      <c r="C150" s="29">
        <v>22931</v>
      </c>
      <c r="D150" s="7"/>
      <c r="E150" s="15"/>
    </row>
    <row r="151" spans="1:5">
      <c r="A151" s="14" t="s">
        <v>53</v>
      </c>
      <c r="B151" s="21" t="s">
        <v>22</v>
      </c>
      <c r="C151" s="29">
        <v>20608</v>
      </c>
      <c r="D151" s="7"/>
      <c r="E151" s="15"/>
    </row>
    <row r="152" spans="1:5">
      <c r="A152" s="14" t="s">
        <v>53</v>
      </c>
      <c r="B152" s="21" t="s">
        <v>23</v>
      </c>
      <c r="C152" s="29">
        <v>21573</v>
      </c>
      <c r="D152" s="7"/>
      <c r="E152" s="15"/>
    </row>
    <row r="153" spans="1:5">
      <c r="A153" s="14" t="s">
        <v>53</v>
      </c>
      <c r="B153" s="21" t="s">
        <v>24</v>
      </c>
      <c r="C153" s="29">
        <v>17315</v>
      </c>
      <c r="D153" s="7"/>
      <c r="E153" s="15"/>
    </row>
    <row r="154" spans="1:5">
      <c r="A154" s="14" t="s">
        <v>53</v>
      </c>
      <c r="B154" s="21" t="s">
        <v>25</v>
      </c>
      <c r="C154" s="29">
        <v>19484</v>
      </c>
      <c r="D154" s="7"/>
      <c r="E154" s="15"/>
    </row>
    <row r="155" spans="1:5">
      <c r="A155" s="14" t="s">
        <v>53</v>
      </c>
      <c r="B155" s="21" t="s">
        <v>26</v>
      </c>
      <c r="C155" s="29">
        <v>20600</v>
      </c>
      <c r="D155" s="7"/>
      <c r="E155" s="15"/>
    </row>
    <row r="156" spans="1:5">
      <c r="A156" s="14" t="s">
        <v>53</v>
      </c>
      <c r="B156" s="21" t="s">
        <v>27</v>
      </c>
      <c r="C156" s="29">
        <v>21713</v>
      </c>
      <c r="D156" s="7"/>
      <c r="E156" s="15"/>
    </row>
    <row r="157" spans="1:5">
      <c r="A157" s="14" t="s">
        <v>53</v>
      </c>
      <c r="B157" s="21" t="s">
        <v>28</v>
      </c>
      <c r="C157" s="29">
        <v>19264</v>
      </c>
      <c r="D157" s="7"/>
      <c r="E157" s="15"/>
    </row>
    <row r="158" spans="1:5">
      <c r="A158" s="14" t="s">
        <v>53</v>
      </c>
      <c r="B158" s="21" t="s">
        <v>29</v>
      </c>
      <c r="C158" s="29">
        <v>18771</v>
      </c>
      <c r="D158" s="7"/>
      <c r="E158" s="15"/>
    </row>
    <row r="159" spans="1:5">
      <c r="A159" s="14" t="s">
        <v>53</v>
      </c>
      <c r="B159" s="21" t="s">
        <v>30</v>
      </c>
      <c r="C159" s="29">
        <v>19054</v>
      </c>
      <c r="D159" s="7"/>
      <c r="E159" s="15"/>
    </row>
    <row r="160" spans="1:5">
      <c r="A160" s="14" t="s">
        <v>53</v>
      </c>
      <c r="B160" s="21" t="s">
        <v>31</v>
      </c>
      <c r="C160" s="29">
        <v>19728</v>
      </c>
      <c r="D160" s="7"/>
      <c r="E160" s="15"/>
    </row>
    <row r="161" spans="1:5">
      <c r="A161" s="14" t="s">
        <v>53</v>
      </c>
      <c r="B161" s="21" t="s">
        <v>32</v>
      </c>
      <c r="C161" s="29">
        <v>18473</v>
      </c>
      <c r="D161" s="7"/>
      <c r="E161" s="15"/>
    </row>
    <row r="162" spans="1:5">
      <c r="A162" s="14" t="s">
        <v>53</v>
      </c>
      <c r="B162" s="21" t="s">
        <v>33</v>
      </c>
      <c r="C162" s="29">
        <v>18715</v>
      </c>
      <c r="D162" s="7"/>
      <c r="E162" s="15"/>
    </row>
    <row r="163" spans="1:5">
      <c r="A163" s="14" t="s">
        <v>53</v>
      </c>
      <c r="B163" s="21" t="s">
        <v>34</v>
      </c>
      <c r="C163" s="29">
        <v>18937</v>
      </c>
      <c r="D163" s="7"/>
      <c r="E163" s="15"/>
    </row>
    <row r="164" spans="1:5">
      <c r="A164" s="14" t="s">
        <v>53</v>
      </c>
      <c r="B164" s="21" t="s">
        <v>35</v>
      </c>
      <c r="C164" s="29">
        <v>19593</v>
      </c>
      <c r="D164" s="7"/>
      <c r="E164" s="15"/>
    </row>
    <row r="165" spans="1:5">
      <c r="A165" s="14" t="s">
        <v>53</v>
      </c>
      <c r="B165" s="21" t="s">
        <v>36</v>
      </c>
      <c r="C165" s="29">
        <v>19359</v>
      </c>
      <c r="D165" s="7"/>
      <c r="E165" s="15"/>
    </row>
    <row r="166" spans="1:5">
      <c r="A166" s="14" t="s">
        <v>53</v>
      </c>
      <c r="B166" s="21" t="s">
        <v>37</v>
      </c>
      <c r="C166" s="29">
        <v>18889</v>
      </c>
      <c r="D166" s="7"/>
      <c r="E166" s="15"/>
    </row>
    <row r="167" spans="1:5">
      <c r="A167" s="14" t="s">
        <v>53</v>
      </c>
      <c r="B167" s="21" t="s">
        <v>38</v>
      </c>
      <c r="C167" s="29">
        <v>19213</v>
      </c>
      <c r="D167" s="7"/>
      <c r="E167" s="15"/>
    </row>
    <row r="168" spans="1:5">
      <c r="A168" s="14" t="s">
        <v>53</v>
      </c>
      <c r="B168" s="21" t="s">
        <v>39</v>
      </c>
      <c r="C168" s="29">
        <v>16581</v>
      </c>
      <c r="D168" s="7"/>
      <c r="E168" s="15"/>
    </row>
    <row r="169" spans="1:5">
      <c r="A169" s="14" t="s">
        <v>53</v>
      </c>
      <c r="B169" s="21" t="s">
        <v>40</v>
      </c>
      <c r="C169" s="29">
        <v>8735</v>
      </c>
      <c r="D169" s="7"/>
      <c r="E169" s="15"/>
    </row>
    <row r="170" spans="1:5">
      <c r="A170" s="14" t="s">
        <v>54</v>
      </c>
      <c r="B170" s="21" t="s">
        <v>17</v>
      </c>
      <c r="C170" s="29">
        <v>9332</v>
      </c>
      <c r="D170" s="7"/>
      <c r="E170" s="15"/>
    </row>
    <row r="171" spans="1:5">
      <c r="A171" s="14" t="s">
        <v>54</v>
      </c>
      <c r="B171" s="21" t="s">
        <v>18</v>
      </c>
      <c r="C171" s="29">
        <v>11081</v>
      </c>
      <c r="D171" s="7"/>
      <c r="E171" s="15"/>
    </row>
    <row r="172" spans="1:5">
      <c r="A172" s="14" t="s">
        <v>54</v>
      </c>
      <c r="B172" s="21" t="s">
        <v>19</v>
      </c>
      <c r="C172" s="29">
        <v>12289</v>
      </c>
      <c r="D172" s="7"/>
      <c r="E172" s="15"/>
    </row>
    <row r="173" spans="1:5">
      <c r="A173" s="14" t="s">
        <v>54</v>
      </c>
      <c r="B173" s="21" t="s">
        <v>20</v>
      </c>
      <c r="C173" s="29">
        <v>12312</v>
      </c>
      <c r="D173" s="7"/>
      <c r="E173" s="15"/>
    </row>
    <row r="174" spans="1:5">
      <c r="A174" s="14" t="s">
        <v>54</v>
      </c>
      <c r="B174" s="21" t="s">
        <v>21</v>
      </c>
      <c r="C174" s="29">
        <v>22554</v>
      </c>
      <c r="D174" s="7"/>
      <c r="E174" s="15"/>
    </row>
    <row r="175" spans="1:5">
      <c r="A175" s="14" t="s">
        <v>54</v>
      </c>
      <c r="B175" s="21" t="s">
        <v>22</v>
      </c>
      <c r="C175" s="29">
        <v>21541</v>
      </c>
      <c r="D175" s="7"/>
      <c r="E175" s="15"/>
    </row>
    <row r="176" spans="1:5">
      <c r="A176" s="14" t="s">
        <v>54</v>
      </c>
      <c r="B176" s="21" t="s">
        <v>23</v>
      </c>
      <c r="C176" s="29">
        <v>20180</v>
      </c>
      <c r="D176" s="7"/>
      <c r="E176" s="15"/>
    </row>
    <row r="177" spans="1:5">
      <c r="A177" s="14" t="s">
        <v>54</v>
      </c>
      <c r="B177" s="21" t="s">
        <v>24</v>
      </c>
      <c r="C177" s="29">
        <v>17520</v>
      </c>
      <c r="D177" s="7"/>
      <c r="E177" s="15"/>
    </row>
    <row r="178" spans="1:5">
      <c r="A178" s="14" t="s">
        <v>54</v>
      </c>
      <c r="B178" s="21" t="s">
        <v>25</v>
      </c>
      <c r="C178" s="29">
        <v>19066</v>
      </c>
      <c r="D178" s="7"/>
      <c r="E178" s="15"/>
    </row>
    <row r="179" spans="1:5">
      <c r="A179" s="14" t="s">
        <v>54</v>
      </c>
      <c r="B179" s="21" t="s">
        <v>26</v>
      </c>
      <c r="C179" s="29">
        <v>17283</v>
      </c>
      <c r="D179" s="7"/>
      <c r="E179" s="15"/>
    </row>
    <row r="180" spans="1:5">
      <c r="A180" s="14" t="s">
        <v>54</v>
      </c>
      <c r="B180" s="21" t="s">
        <v>27</v>
      </c>
      <c r="C180" s="29">
        <v>17862</v>
      </c>
      <c r="D180" s="7"/>
      <c r="E180" s="15"/>
    </row>
    <row r="181" spans="1:5">
      <c r="A181" s="14" t="s">
        <v>54</v>
      </c>
      <c r="B181" s="21" t="s">
        <v>28</v>
      </c>
      <c r="C181" s="29">
        <v>17872</v>
      </c>
      <c r="D181" s="7"/>
      <c r="E181" s="15"/>
    </row>
    <row r="182" spans="1:5">
      <c r="A182" s="14" t="s">
        <v>54</v>
      </c>
      <c r="B182" s="21" t="s">
        <v>29</v>
      </c>
      <c r="C182" s="29">
        <v>16757</v>
      </c>
      <c r="D182" s="7"/>
      <c r="E182" s="15"/>
    </row>
    <row r="183" spans="1:5">
      <c r="A183" s="14" t="s">
        <v>54</v>
      </c>
      <c r="B183" s="21" t="s">
        <v>30</v>
      </c>
      <c r="C183" s="29">
        <v>14127</v>
      </c>
      <c r="D183" s="7"/>
      <c r="E183" s="15"/>
    </row>
    <row r="184" spans="1:5">
      <c r="A184" s="14" t="s">
        <v>54</v>
      </c>
      <c r="B184" s="21" t="s">
        <v>31</v>
      </c>
      <c r="C184" s="29">
        <v>17339</v>
      </c>
      <c r="D184" s="7"/>
      <c r="E184" s="15"/>
    </row>
    <row r="185" spans="1:5">
      <c r="A185" s="14" t="s">
        <v>54</v>
      </c>
      <c r="B185" s="21" t="s">
        <v>32</v>
      </c>
      <c r="C185" s="29">
        <v>17565</v>
      </c>
      <c r="D185" s="7"/>
      <c r="E185" s="15"/>
    </row>
    <row r="186" spans="1:5">
      <c r="A186" s="14" t="s">
        <v>54</v>
      </c>
      <c r="B186" s="21" t="s">
        <v>33</v>
      </c>
      <c r="C186" s="29">
        <v>17582</v>
      </c>
      <c r="D186" s="7"/>
      <c r="E186" s="15"/>
    </row>
    <row r="187" spans="1:5">
      <c r="A187" s="14" t="s">
        <v>54</v>
      </c>
      <c r="B187" s="21" t="s">
        <v>34</v>
      </c>
      <c r="C187" s="29">
        <v>18180</v>
      </c>
      <c r="D187" s="7"/>
      <c r="E187" s="15"/>
    </row>
    <row r="188" spans="1:5">
      <c r="A188" s="14" t="s">
        <v>54</v>
      </c>
      <c r="B188" s="21" t="s">
        <v>35</v>
      </c>
      <c r="C188" s="29">
        <v>19582</v>
      </c>
      <c r="D188" s="7"/>
      <c r="E188" s="15"/>
    </row>
    <row r="189" spans="1:5">
      <c r="A189" s="14" t="s">
        <v>54</v>
      </c>
      <c r="B189" s="21" t="s">
        <v>36</v>
      </c>
      <c r="C189" s="29">
        <v>19057</v>
      </c>
      <c r="D189" s="7"/>
      <c r="E189" s="15"/>
    </row>
    <row r="190" spans="1:5">
      <c r="A190" s="14" t="s">
        <v>54</v>
      </c>
      <c r="B190" s="21" t="s">
        <v>37</v>
      </c>
      <c r="C190" s="29">
        <v>18756</v>
      </c>
      <c r="D190" s="7"/>
      <c r="E190" s="15"/>
    </row>
    <row r="191" spans="1:5">
      <c r="A191" s="14" t="s">
        <v>54</v>
      </c>
      <c r="B191" s="21" t="s">
        <v>38</v>
      </c>
      <c r="C191" s="29">
        <v>20163</v>
      </c>
      <c r="D191" s="7"/>
      <c r="E191" s="15"/>
    </row>
    <row r="192" spans="1:5">
      <c r="A192" s="14" t="s">
        <v>54</v>
      </c>
      <c r="B192" s="21" t="s">
        <v>39</v>
      </c>
      <c r="C192" s="29">
        <v>15703</v>
      </c>
      <c r="D192" s="7"/>
      <c r="E192" s="15"/>
    </row>
    <row r="193" spans="1:5">
      <c r="A193" s="14" t="s">
        <v>54</v>
      </c>
      <c r="B193" s="21" t="s">
        <v>40</v>
      </c>
      <c r="C193" s="29">
        <v>9276</v>
      </c>
      <c r="D193" s="7"/>
      <c r="E193" s="15"/>
    </row>
    <row r="194" spans="1:5">
      <c r="A194" s="14" t="s">
        <v>55</v>
      </c>
      <c r="B194" s="21" t="s">
        <v>17</v>
      </c>
      <c r="C194" s="29">
        <v>9760</v>
      </c>
      <c r="D194" s="7"/>
      <c r="E194" s="15"/>
    </row>
    <row r="195" spans="1:5">
      <c r="A195" s="14" t="s">
        <v>55</v>
      </c>
      <c r="B195" s="21" t="s">
        <v>18</v>
      </c>
      <c r="C195" s="29">
        <v>11092</v>
      </c>
      <c r="D195" s="7"/>
      <c r="E195" s="15"/>
    </row>
    <row r="196" spans="1:5">
      <c r="A196" s="14" t="s">
        <v>55</v>
      </c>
      <c r="B196" s="21" t="s">
        <v>19</v>
      </c>
      <c r="C196" s="29">
        <v>12098</v>
      </c>
      <c r="D196" s="7"/>
      <c r="E196" s="15"/>
    </row>
    <row r="197" spans="1:5">
      <c r="A197" s="14" t="s">
        <v>55</v>
      </c>
      <c r="B197" s="21" t="s">
        <v>20</v>
      </c>
      <c r="C197" s="29">
        <v>13785</v>
      </c>
      <c r="D197" s="7"/>
      <c r="E197" s="15"/>
    </row>
    <row r="198" spans="1:5">
      <c r="A198" s="14" t="s">
        <v>55</v>
      </c>
      <c r="B198" s="21" t="s">
        <v>21</v>
      </c>
      <c r="C198" s="29">
        <v>23430</v>
      </c>
      <c r="D198" s="7"/>
      <c r="E198" s="15"/>
    </row>
    <row r="199" spans="1:5">
      <c r="A199" s="14" t="s">
        <v>55</v>
      </c>
      <c r="B199" s="21" t="s">
        <v>22</v>
      </c>
      <c r="C199" s="29">
        <v>23506</v>
      </c>
      <c r="D199" s="7"/>
      <c r="E199" s="15"/>
    </row>
    <row r="200" spans="1:5">
      <c r="A200" s="14" t="s">
        <v>55</v>
      </c>
      <c r="B200" s="21" t="s">
        <v>23</v>
      </c>
      <c r="C200" s="29">
        <v>23871</v>
      </c>
      <c r="D200" s="7"/>
      <c r="E200" s="15"/>
    </row>
    <row r="201" spans="1:5">
      <c r="A201" s="14" t="s">
        <v>55</v>
      </c>
      <c r="B201" s="21" t="s">
        <v>24</v>
      </c>
      <c r="C201" s="29">
        <v>21073</v>
      </c>
      <c r="D201" s="7"/>
      <c r="E201" s="15"/>
    </row>
    <row r="202" spans="1:5">
      <c r="A202" s="14" t="s">
        <v>55</v>
      </c>
      <c r="B202" s="21" t="s">
        <v>25</v>
      </c>
      <c r="C202" s="29">
        <v>22312</v>
      </c>
      <c r="D202" s="7"/>
      <c r="E202" s="15"/>
    </row>
    <row r="203" spans="1:5">
      <c r="A203" s="14" t="s">
        <v>55</v>
      </c>
      <c r="B203" s="21" t="s">
        <v>26</v>
      </c>
      <c r="C203" s="29">
        <v>19134</v>
      </c>
      <c r="D203" s="7"/>
      <c r="E203" s="15"/>
    </row>
    <row r="204" spans="1:5">
      <c r="A204" s="14" t="s">
        <v>55</v>
      </c>
      <c r="B204" s="21" t="s">
        <v>27</v>
      </c>
      <c r="C204" s="29">
        <v>18875</v>
      </c>
      <c r="D204" s="7"/>
      <c r="E204" s="15"/>
    </row>
    <row r="205" spans="1:5">
      <c r="A205" s="14" t="s">
        <v>55</v>
      </c>
      <c r="B205" s="21" t="s">
        <v>28</v>
      </c>
      <c r="C205" s="29">
        <v>17855</v>
      </c>
      <c r="D205" s="7"/>
      <c r="E205" s="15"/>
    </row>
    <row r="206" spans="1:5">
      <c r="A206" s="14" t="s">
        <v>55</v>
      </c>
      <c r="B206" s="21" t="s">
        <v>29</v>
      </c>
      <c r="C206" s="29">
        <v>19311</v>
      </c>
      <c r="D206" s="7"/>
      <c r="E206" s="15"/>
    </row>
    <row r="207" spans="1:5">
      <c r="A207" s="14" t="s">
        <v>55</v>
      </c>
      <c r="B207" s="21" t="s">
        <v>30</v>
      </c>
      <c r="C207" s="29">
        <v>17816</v>
      </c>
      <c r="D207" s="7"/>
      <c r="E207" s="15"/>
    </row>
    <row r="208" spans="1:5">
      <c r="A208" s="14" t="s">
        <v>55</v>
      </c>
      <c r="B208" s="21" t="s">
        <v>31</v>
      </c>
      <c r="C208" s="29">
        <v>17386</v>
      </c>
      <c r="D208" s="7"/>
      <c r="E208" s="15"/>
    </row>
    <row r="209" spans="1:5">
      <c r="A209" s="14" t="s">
        <v>55</v>
      </c>
      <c r="B209" s="21" t="s">
        <v>32</v>
      </c>
      <c r="C209" s="29">
        <v>17662</v>
      </c>
      <c r="D209" s="7"/>
      <c r="E209" s="15"/>
    </row>
    <row r="210" spans="1:5">
      <c r="A210" s="14" t="s">
        <v>55</v>
      </c>
      <c r="B210" s="21" t="s">
        <v>33</v>
      </c>
      <c r="C210" s="29">
        <v>17575</v>
      </c>
      <c r="D210" s="7"/>
      <c r="E210" s="15"/>
    </row>
    <row r="211" spans="1:5">
      <c r="A211" s="14" t="s">
        <v>55</v>
      </c>
      <c r="B211" s="21" t="s">
        <v>34</v>
      </c>
      <c r="C211" s="29">
        <v>18439</v>
      </c>
      <c r="D211" s="7"/>
      <c r="E211" s="15"/>
    </row>
    <row r="212" spans="1:5">
      <c r="A212" s="14" t="s">
        <v>55</v>
      </c>
      <c r="B212" s="21" t="s">
        <v>35</v>
      </c>
      <c r="C212" s="29">
        <v>18940</v>
      </c>
      <c r="D212" s="7"/>
      <c r="E212" s="15"/>
    </row>
    <row r="213" spans="1:5">
      <c r="A213" s="14" t="s">
        <v>55</v>
      </c>
      <c r="B213" s="21" t="s">
        <v>36</v>
      </c>
      <c r="C213" s="29">
        <v>18349</v>
      </c>
      <c r="D213" s="7"/>
      <c r="E213" s="15"/>
    </row>
    <row r="214" spans="1:5">
      <c r="A214" s="14" t="s">
        <v>55</v>
      </c>
      <c r="B214" s="21" t="s">
        <v>37</v>
      </c>
      <c r="C214" s="29">
        <v>17596</v>
      </c>
      <c r="D214" s="7"/>
      <c r="E214" s="15"/>
    </row>
    <row r="215" spans="1:5">
      <c r="A215" s="14" t="s">
        <v>55</v>
      </c>
      <c r="B215" s="21" t="s">
        <v>38</v>
      </c>
      <c r="C215" s="29">
        <v>18679</v>
      </c>
      <c r="D215" s="7"/>
      <c r="E215" s="15"/>
    </row>
    <row r="216" spans="1:5">
      <c r="A216" s="14" t="s">
        <v>55</v>
      </c>
      <c r="B216" s="21" t="s">
        <v>39</v>
      </c>
      <c r="C216" s="29">
        <v>17074</v>
      </c>
      <c r="D216" s="7"/>
      <c r="E216" s="15"/>
    </row>
    <row r="217" spans="1:5">
      <c r="A217" s="14" t="s">
        <v>55</v>
      </c>
      <c r="B217" s="21" t="s">
        <v>40</v>
      </c>
      <c r="C217" s="29">
        <v>8678</v>
      </c>
      <c r="D217" s="7"/>
      <c r="E217" s="15"/>
    </row>
    <row r="218" spans="1:5">
      <c r="A218" s="14" t="s">
        <v>56</v>
      </c>
      <c r="B218" s="21" t="s">
        <v>17</v>
      </c>
      <c r="C218" s="29">
        <v>9366</v>
      </c>
      <c r="D218" s="7"/>
      <c r="E218" s="15"/>
    </row>
    <row r="219" spans="1:5">
      <c r="A219" s="14" t="s">
        <v>56</v>
      </c>
      <c r="B219" s="21" t="s">
        <v>18</v>
      </c>
      <c r="C219" s="29">
        <v>12754</v>
      </c>
      <c r="D219" s="7"/>
      <c r="E219" s="15"/>
    </row>
    <row r="220" spans="1:5">
      <c r="A220" s="14" t="s">
        <v>56</v>
      </c>
      <c r="B220" s="21" t="s">
        <v>19</v>
      </c>
      <c r="C220" s="29">
        <v>13652</v>
      </c>
      <c r="D220" s="7"/>
      <c r="E220" s="15"/>
    </row>
    <row r="221" spans="1:5">
      <c r="A221" s="14" t="s">
        <v>56</v>
      </c>
      <c r="B221" s="21" t="s">
        <v>20</v>
      </c>
      <c r="C221" s="29">
        <v>13484</v>
      </c>
      <c r="D221" s="7"/>
      <c r="E221" s="15"/>
    </row>
    <row r="222" spans="1:5">
      <c r="A222" s="14" t="s">
        <v>56</v>
      </c>
      <c r="B222" s="21" t="s">
        <v>21</v>
      </c>
      <c r="C222" s="29">
        <v>23480</v>
      </c>
      <c r="D222" s="7"/>
      <c r="E222" s="15"/>
    </row>
    <row r="223" spans="1:5">
      <c r="A223" s="14" t="s">
        <v>56</v>
      </c>
      <c r="B223" s="21" t="s">
        <v>22</v>
      </c>
      <c r="C223" s="29">
        <v>23857</v>
      </c>
      <c r="D223" s="7"/>
      <c r="E223" s="15"/>
    </row>
    <row r="224" spans="1:5">
      <c r="A224" s="14" t="s">
        <v>56</v>
      </c>
      <c r="B224" s="21" t="s">
        <v>23</v>
      </c>
      <c r="C224" s="29">
        <v>23343</v>
      </c>
      <c r="D224" s="7"/>
      <c r="E224" s="15"/>
    </row>
    <row r="225" spans="1:5">
      <c r="A225" s="14" t="s">
        <v>56</v>
      </c>
      <c r="B225" s="21" t="s">
        <v>24</v>
      </c>
      <c r="C225" s="29">
        <v>20776</v>
      </c>
      <c r="D225" s="7"/>
      <c r="E225" s="15"/>
    </row>
    <row r="226" spans="1:5">
      <c r="A226" s="14" t="s">
        <v>56</v>
      </c>
      <c r="B226" s="21" t="s">
        <v>25</v>
      </c>
      <c r="C226" s="29">
        <v>22048</v>
      </c>
      <c r="D226" s="7"/>
      <c r="E226" s="15"/>
    </row>
    <row r="227" spans="1:5">
      <c r="A227" s="14" t="s">
        <v>56</v>
      </c>
      <c r="B227" s="21" t="s">
        <v>26</v>
      </c>
      <c r="C227" s="29">
        <v>21548</v>
      </c>
      <c r="D227" s="7"/>
      <c r="E227" s="15"/>
    </row>
    <row r="228" spans="1:5">
      <c r="A228" s="14" t="s">
        <v>56</v>
      </c>
      <c r="B228" s="21" t="s">
        <v>27</v>
      </c>
      <c r="C228" s="29">
        <v>18392</v>
      </c>
      <c r="D228" s="7"/>
      <c r="E228" s="15"/>
    </row>
    <row r="229" spans="1:5">
      <c r="A229" s="14" t="s">
        <v>56</v>
      </c>
      <c r="B229" s="21" t="s">
        <v>28</v>
      </c>
      <c r="C229" s="29">
        <v>17313</v>
      </c>
      <c r="D229" s="7"/>
      <c r="E229" s="15"/>
    </row>
    <row r="230" spans="1:5">
      <c r="A230" s="14" t="s">
        <v>56</v>
      </c>
      <c r="B230" s="21" t="s">
        <v>29</v>
      </c>
      <c r="C230" s="29">
        <v>17504</v>
      </c>
      <c r="D230" s="7"/>
      <c r="E230" s="15"/>
    </row>
    <row r="231" spans="1:5">
      <c r="A231" s="14" t="s">
        <v>56</v>
      </c>
      <c r="B231" s="21" t="s">
        <v>30</v>
      </c>
      <c r="C231" s="29">
        <v>17140</v>
      </c>
      <c r="D231" s="7"/>
      <c r="E231" s="15"/>
    </row>
    <row r="232" spans="1:5">
      <c r="A232" s="14" t="s">
        <v>56</v>
      </c>
      <c r="B232" s="21" t="s">
        <v>31</v>
      </c>
      <c r="C232" s="29">
        <v>16387</v>
      </c>
      <c r="D232" s="7"/>
      <c r="E232" s="15"/>
    </row>
    <row r="233" spans="1:5">
      <c r="A233" s="14" t="s">
        <v>56</v>
      </c>
      <c r="B233" s="21" t="s">
        <v>32</v>
      </c>
      <c r="C233" s="29">
        <v>17654</v>
      </c>
      <c r="D233" s="7"/>
      <c r="E233" s="15"/>
    </row>
    <row r="234" spans="1:5">
      <c r="A234" s="14" t="s">
        <v>56</v>
      </c>
      <c r="B234" s="21" t="s">
        <v>33</v>
      </c>
      <c r="C234" s="29">
        <v>17385</v>
      </c>
      <c r="D234" s="7"/>
      <c r="E234" s="15"/>
    </row>
    <row r="235" spans="1:5">
      <c r="A235" s="14" t="s">
        <v>56</v>
      </c>
      <c r="B235" s="21" t="s">
        <v>34</v>
      </c>
      <c r="C235" s="29">
        <v>18772</v>
      </c>
      <c r="D235" s="7"/>
      <c r="E235" s="15"/>
    </row>
    <row r="236" spans="1:5">
      <c r="A236" s="14" t="s">
        <v>56</v>
      </c>
      <c r="B236" s="21" t="s">
        <v>35</v>
      </c>
      <c r="C236" s="29">
        <v>18809</v>
      </c>
      <c r="D236" s="7"/>
      <c r="E236" s="15"/>
    </row>
    <row r="237" spans="1:5">
      <c r="A237" s="14" t="s">
        <v>56</v>
      </c>
      <c r="B237" s="21" t="s">
        <v>36</v>
      </c>
      <c r="C237" s="29">
        <v>19430</v>
      </c>
      <c r="D237" s="7"/>
      <c r="E237" s="15"/>
    </row>
    <row r="238" spans="1:5">
      <c r="A238" s="14" t="s">
        <v>56</v>
      </c>
      <c r="B238" s="21" t="s">
        <v>37</v>
      </c>
      <c r="C238" s="29">
        <v>19355</v>
      </c>
      <c r="D238" s="7"/>
      <c r="E238" s="15"/>
    </row>
    <row r="239" spans="1:5">
      <c r="A239" s="14" t="s">
        <v>56</v>
      </c>
      <c r="B239" s="21" t="s">
        <v>38</v>
      </c>
      <c r="C239" s="29">
        <v>19252</v>
      </c>
      <c r="D239" s="7"/>
      <c r="E239" s="15"/>
    </row>
    <row r="240" spans="1:5">
      <c r="A240" s="14" t="s">
        <v>56</v>
      </c>
      <c r="B240" s="21" t="s">
        <v>39</v>
      </c>
      <c r="C240" s="29">
        <v>16879</v>
      </c>
      <c r="D240" s="7"/>
      <c r="E240" s="15"/>
    </row>
    <row r="241" spans="1:5">
      <c r="A241" s="14" t="s">
        <v>56</v>
      </c>
      <c r="B241" s="21" t="s">
        <v>40</v>
      </c>
      <c r="C241" s="29">
        <v>10976</v>
      </c>
      <c r="D241" s="7"/>
      <c r="E241" s="15"/>
    </row>
    <row r="242" spans="1:5">
      <c r="A242" s="14" t="s">
        <v>57</v>
      </c>
      <c r="B242" s="21" t="s">
        <v>17</v>
      </c>
      <c r="C242" s="29">
        <v>10188</v>
      </c>
      <c r="D242" s="7"/>
      <c r="E242" s="15"/>
    </row>
    <row r="243" spans="1:5">
      <c r="A243" s="14" t="s">
        <v>57</v>
      </c>
      <c r="B243" s="21" t="s">
        <v>18</v>
      </c>
      <c r="C243" s="29">
        <v>12328</v>
      </c>
      <c r="D243" s="7"/>
      <c r="E243" s="15"/>
    </row>
    <row r="244" spans="1:5">
      <c r="A244" s="14" t="s">
        <v>57</v>
      </c>
      <c r="B244" s="21" t="s">
        <v>19</v>
      </c>
      <c r="C244" s="29">
        <v>13677</v>
      </c>
      <c r="D244" s="7"/>
      <c r="E244" s="15"/>
    </row>
    <row r="245" spans="1:5">
      <c r="A245" s="14" t="s">
        <v>57</v>
      </c>
      <c r="B245" s="21" t="s">
        <v>20</v>
      </c>
      <c r="C245" s="29">
        <v>15089</v>
      </c>
      <c r="D245" s="7"/>
      <c r="E245" s="15"/>
    </row>
    <row r="246" spans="1:5">
      <c r="A246" s="14" t="s">
        <v>57</v>
      </c>
      <c r="B246" s="21" t="s">
        <v>21</v>
      </c>
      <c r="C246" s="29">
        <v>23332</v>
      </c>
      <c r="D246" s="7"/>
      <c r="E246" s="15"/>
    </row>
    <row r="247" spans="1:5">
      <c r="A247" s="14" t="s">
        <v>57</v>
      </c>
      <c r="B247" s="21" t="s">
        <v>22</v>
      </c>
      <c r="C247" s="29">
        <v>24022</v>
      </c>
      <c r="D247" s="7"/>
      <c r="E247" s="15"/>
    </row>
    <row r="248" spans="1:5">
      <c r="A248" s="14" t="s">
        <v>57</v>
      </c>
      <c r="B248" s="21" t="s">
        <v>23</v>
      </c>
      <c r="C248" s="29">
        <v>23719</v>
      </c>
      <c r="D248" s="7"/>
      <c r="E248" s="15"/>
    </row>
    <row r="249" spans="1:5">
      <c r="A249" s="14" t="s">
        <v>57</v>
      </c>
      <c r="B249" s="21" t="s">
        <v>24</v>
      </c>
      <c r="C249" s="29">
        <v>21481</v>
      </c>
      <c r="D249" s="7"/>
      <c r="E249" s="15"/>
    </row>
    <row r="250" spans="1:5">
      <c r="A250" s="14" t="s">
        <v>57</v>
      </c>
      <c r="B250" s="21" t="s">
        <v>25</v>
      </c>
      <c r="C250" s="29">
        <v>22947</v>
      </c>
      <c r="D250" s="7"/>
      <c r="E250" s="15"/>
    </row>
    <row r="251" spans="1:5">
      <c r="A251" s="14" t="s">
        <v>57</v>
      </c>
      <c r="B251" s="21" t="s">
        <v>26</v>
      </c>
      <c r="C251" s="29">
        <v>22591</v>
      </c>
      <c r="D251" s="7"/>
      <c r="E251" s="15"/>
    </row>
    <row r="252" spans="1:5">
      <c r="A252" s="14" t="s">
        <v>57</v>
      </c>
      <c r="B252" s="21" t="s">
        <v>27</v>
      </c>
      <c r="C252" s="29">
        <v>22043</v>
      </c>
      <c r="D252" s="7"/>
      <c r="E252" s="15"/>
    </row>
    <row r="253" spans="1:5">
      <c r="A253" s="14" t="s">
        <v>57</v>
      </c>
      <c r="B253" s="21" t="s">
        <v>28</v>
      </c>
      <c r="C253" s="29">
        <v>21323</v>
      </c>
      <c r="D253" s="7"/>
      <c r="E253" s="15"/>
    </row>
    <row r="254" spans="1:5">
      <c r="A254" s="14" t="s">
        <v>57</v>
      </c>
      <c r="B254" s="21" t="s">
        <v>29</v>
      </c>
      <c r="C254" s="29">
        <v>21468</v>
      </c>
      <c r="D254" s="7"/>
      <c r="E254" s="15"/>
    </row>
    <row r="255" spans="1:5">
      <c r="A255" s="14" t="s">
        <v>57</v>
      </c>
      <c r="B255" s="21" t="s">
        <v>30</v>
      </c>
      <c r="C255" s="29">
        <v>22066</v>
      </c>
      <c r="D255" s="7"/>
      <c r="E255" s="15"/>
    </row>
    <row r="256" spans="1:5">
      <c r="A256" s="14" t="s">
        <v>57</v>
      </c>
      <c r="B256" s="21" t="s">
        <v>31</v>
      </c>
      <c r="C256" s="29">
        <v>23163</v>
      </c>
      <c r="D256" s="7"/>
      <c r="E256" s="15"/>
    </row>
    <row r="257" spans="1:5">
      <c r="A257" s="14" t="s">
        <v>57</v>
      </c>
      <c r="B257" s="21" t="s">
        <v>32</v>
      </c>
      <c r="C257" s="29">
        <v>19126</v>
      </c>
      <c r="D257" s="7"/>
      <c r="E257" s="15"/>
    </row>
    <row r="258" spans="1:5">
      <c r="A258" s="14" t="s">
        <v>57</v>
      </c>
      <c r="B258" s="21" t="s">
        <v>33</v>
      </c>
      <c r="C258" s="29">
        <v>20991</v>
      </c>
      <c r="D258" s="7"/>
      <c r="E258" s="15"/>
    </row>
    <row r="259" spans="1:5">
      <c r="A259" s="14" t="s">
        <v>57</v>
      </c>
      <c r="B259" s="21" t="s">
        <v>34</v>
      </c>
      <c r="C259" s="29">
        <v>22096</v>
      </c>
      <c r="D259" s="7"/>
      <c r="E259" s="15"/>
    </row>
    <row r="260" spans="1:5">
      <c r="A260" s="14" t="s">
        <v>57</v>
      </c>
      <c r="B260" s="21" t="s">
        <v>35</v>
      </c>
      <c r="C260" s="29">
        <v>20670</v>
      </c>
      <c r="D260" s="7"/>
      <c r="E260" s="15"/>
    </row>
    <row r="261" spans="1:5">
      <c r="A261" s="14" t="s">
        <v>57</v>
      </c>
      <c r="B261" s="21" t="s">
        <v>36</v>
      </c>
      <c r="C261" s="29">
        <v>21806</v>
      </c>
      <c r="D261" s="7"/>
      <c r="E261" s="15"/>
    </row>
    <row r="262" spans="1:5">
      <c r="A262" s="14" t="s">
        <v>57</v>
      </c>
      <c r="B262" s="21" t="s">
        <v>37</v>
      </c>
      <c r="C262" s="29">
        <v>23330</v>
      </c>
      <c r="D262" s="7"/>
      <c r="E262" s="15"/>
    </row>
    <row r="263" spans="1:5">
      <c r="A263" s="14" t="s">
        <v>57</v>
      </c>
      <c r="B263" s="21" t="s">
        <v>38</v>
      </c>
      <c r="C263" s="29">
        <v>23401</v>
      </c>
      <c r="D263" s="7"/>
      <c r="E263" s="15"/>
    </row>
    <row r="264" spans="1:5">
      <c r="A264" s="14" t="s">
        <v>57</v>
      </c>
      <c r="B264" s="21" t="s">
        <v>39</v>
      </c>
      <c r="C264" s="29">
        <v>22881</v>
      </c>
      <c r="D264" s="7"/>
      <c r="E264" s="15"/>
    </row>
    <row r="265" spans="1:5">
      <c r="A265" s="14" t="s">
        <v>57</v>
      </c>
      <c r="B265" s="21" t="s">
        <v>40</v>
      </c>
      <c r="C265" s="29">
        <v>17503</v>
      </c>
      <c r="D265" s="7"/>
      <c r="E265" s="15"/>
    </row>
    <row r="266" spans="1:5">
      <c r="A266" s="14" t="s">
        <v>58</v>
      </c>
      <c r="B266" s="21" t="s">
        <v>17</v>
      </c>
      <c r="C266" s="29">
        <v>17136</v>
      </c>
      <c r="D266" s="7"/>
      <c r="E266" s="15"/>
    </row>
    <row r="267" spans="1:5">
      <c r="A267" s="14" t="s">
        <v>58</v>
      </c>
      <c r="B267" s="21" t="s">
        <v>18</v>
      </c>
      <c r="C267" s="29">
        <v>18778</v>
      </c>
      <c r="D267" s="7"/>
      <c r="E267" s="15"/>
    </row>
    <row r="268" spans="1:5">
      <c r="A268" s="14" t="s">
        <v>58</v>
      </c>
      <c r="B268" s="21" t="s">
        <v>19</v>
      </c>
      <c r="C268" s="29">
        <v>18788</v>
      </c>
      <c r="D268" s="7"/>
      <c r="E268" s="15"/>
    </row>
    <row r="269" spans="1:5">
      <c r="A269" s="14" t="s">
        <v>58</v>
      </c>
      <c r="B269" s="21" t="s">
        <v>20</v>
      </c>
      <c r="C269" s="29">
        <v>19078</v>
      </c>
      <c r="D269" s="7"/>
      <c r="E269" s="15"/>
    </row>
    <row r="270" spans="1:5">
      <c r="A270" s="14" t="s">
        <v>58</v>
      </c>
      <c r="B270" s="21" t="s">
        <v>21</v>
      </c>
      <c r="C270" s="29">
        <v>22830</v>
      </c>
      <c r="D270" s="7"/>
      <c r="E270" s="15"/>
    </row>
    <row r="271" spans="1:5">
      <c r="A271" s="14" t="s">
        <v>58</v>
      </c>
      <c r="B271" s="21" t="s">
        <v>22</v>
      </c>
      <c r="C271" s="29">
        <v>23865</v>
      </c>
      <c r="D271" s="7"/>
      <c r="E271" s="15"/>
    </row>
    <row r="272" spans="1:5">
      <c r="A272" s="14" t="s">
        <v>58</v>
      </c>
      <c r="B272" s="21" t="s">
        <v>23</v>
      </c>
      <c r="C272" s="29">
        <v>23866</v>
      </c>
      <c r="D272" s="7"/>
      <c r="E272" s="15"/>
    </row>
    <row r="273" spans="1:5">
      <c r="A273" s="14" t="s">
        <v>58</v>
      </c>
      <c r="B273" s="21" t="s">
        <v>24</v>
      </c>
      <c r="C273" s="29">
        <v>23994</v>
      </c>
      <c r="D273" s="7"/>
      <c r="E273" s="15"/>
    </row>
    <row r="274" spans="1:5">
      <c r="A274" s="14" t="s">
        <v>58</v>
      </c>
      <c r="B274" s="21" t="s">
        <v>25</v>
      </c>
      <c r="C274" s="29">
        <v>23709</v>
      </c>
      <c r="D274" s="7"/>
      <c r="E274" s="15"/>
    </row>
    <row r="275" spans="1:5">
      <c r="A275" s="14" t="s">
        <v>58</v>
      </c>
      <c r="B275" s="21" t="s">
        <v>26</v>
      </c>
      <c r="C275" s="29">
        <v>23253</v>
      </c>
      <c r="D275" s="7"/>
      <c r="E275" s="15"/>
    </row>
    <row r="276" spans="1:5">
      <c r="A276" s="14" t="s">
        <v>58</v>
      </c>
      <c r="B276" s="21" t="s">
        <v>27</v>
      </c>
      <c r="C276" s="29">
        <v>22426</v>
      </c>
      <c r="D276" s="7"/>
      <c r="E276" s="15"/>
    </row>
    <row r="277" spans="1:5">
      <c r="A277" s="14" t="s">
        <v>58</v>
      </c>
      <c r="B277" s="21" t="s">
        <v>28</v>
      </c>
      <c r="C277" s="29">
        <v>23416</v>
      </c>
      <c r="D277" s="7"/>
      <c r="E277" s="15"/>
    </row>
    <row r="278" spans="1:5">
      <c r="A278" s="14" t="s">
        <v>58</v>
      </c>
      <c r="B278" s="21" t="s">
        <v>29</v>
      </c>
      <c r="C278" s="29">
        <v>23506</v>
      </c>
      <c r="D278" s="7"/>
      <c r="E278" s="15"/>
    </row>
    <row r="279" spans="1:5">
      <c r="A279" s="14" t="s">
        <v>58</v>
      </c>
      <c r="B279" s="21" t="s">
        <v>30</v>
      </c>
      <c r="C279" s="29">
        <v>21504</v>
      </c>
      <c r="D279" s="7"/>
      <c r="E279" s="15"/>
    </row>
    <row r="280" spans="1:5">
      <c r="A280" s="14" t="s">
        <v>58</v>
      </c>
      <c r="B280" s="21" t="s">
        <v>31</v>
      </c>
      <c r="C280" s="29">
        <v>22272</v>
      </c>
      <c r="D280" s="7"/>
      <c r="E280" s="15"/>
    </row>
    <row r="281" spans="1:5">
      <c r="A281" s="14" t="s">
        <v>58</v>
      </c>
      <c r="B281" s="21" t="s">
        <v>32</v>
      </c>
      <c r="C281" s="29">
        <v>22072</v>
      </c>
      <c r="D281" s="7"/>
      <c r="E281" s="15"/>
    </row>
    <row r="282" spans="1:5">
      <c r="A282" s="14" t="s">
        <v>58</v>
      </c>
      <c r="B282" s="21" t="s">
        <v>33</v>
      </c>
      <c r="C282" s="29">
        <v>21771</v>
      </c>
      <c r="D282" s="7"/>
      <c r="E282" s="15"/>
    </row>
    <row r="283" spans="1:5">
      <c r="A283" s="14" t="s">
        <v>58</v>
      </c>
      <c r="B283" s="21" t="s">
        <v>34</v>
      </c>
      <c r="C283" s="29">
        <v>23764</v>
      </c>
      <c r="D283" s="7"/>
      <c r="E283" s="15"/>
    </row>
    <row r="284" spans="1:5">
      <c r="A284" s="14" t="s">
        <v>58</v>
      </c>
      <c r="B284" s="21" t="s">
        <v>35</v>
      </c>
      <c r="C284" s="29">
        <v>24422</v>
      </c>
      <c r="D284" s="7"/>
      <c r="E284" s="15"/>
    </row>
    <row r="285" spans="1:5">
      <c r="A285" s="14" t="s">
        <v>58</v>
      </c>
      <c r="B285" s="21" t="s">
        <v>36</v>
      </c>
      <c r="C285" s="29">
        <v>24221</v>
      </c>
      <c r="D285" s="7"/>
      <c r="E285" s="15"/>
    </row>
    <row r="286" spans="1:5">
      <c r="A286" s="14" t="s">
        <v>58</v>
      </c>
      <c r="B286" s="21" t="s">
        <v>37</v>
      </c>
      <c r="C286" s="29">
        <v>23754</v>
      </c>
      <c r="D286" s="7"/>
      <c r="E286" s="15"/>
    </row>
    <row r="287" spans="1:5">
      <c r="A287" s="14" t="s">
        <v>58</v>
      </c>
      <c r="B287" s="21" t="s">
        <v>38</v>
      </c>
      <c r="C287" s="29">
        <v>24362</v>
      </c>
      <c r="D287" s="7"/>
      <c r="E287" s="15"/>
    </row>
    <row r="288" spans="1:5">
      <c r="A288" s="14" t="s">
        <v>58</v>
      </c>
      <c r="B288" s="21" t="s">
        <v>39</v>
      </c>
      <c r="C288" s="29">
        <v>22469</v>
      </c>
      <c r="D288" s="7"/>
      <c r="E288" s="15"/>
    </row>
    <row r="289" spans="1:5">
      <c r="A289" s="14" t="s">
        <v>58</v>
      </c>
      <c r="B289" s="21" t="s">
        <v>40</v>
      </c>
      <c r="C289" s="29">
        <v>9022</v>
      </c>
      <c r="D289" s="7"/>
      <c r="E289" s="15"/>
    </row>
    <row r="290" spans="1:5">
      <c r="A290" s="14" t="s">
        <v>59</v>
      </c>
      <c r="B290" s="21" t="s">
        <v>17</v>
      </c>
      <c r="C290" s="29">
        <v>14436</v>
      </c>
      <c r="D290" s="7"/>
      <c r="E290" s="15"/>
    </row>
    <row r="291" spans="1:5">
      <c r="A291" s="14" t="s">
        <v>59</v>
      </c>
      <c r="B291" s="21" t="s">
        <v>18</v>
      </c>
      <c r="C291" s="29">
        <v>16290</v>
      </c>
      <c r="D291" s="7"/>
      <c r="E291" s="15"/>
    </row>
    <row r="292" spans="1:5">
      <c r="A292" s="14" t="s">
        <v>59</v>
      </c>
      <c r="B292" s="21" t="s">
        <v>19</v>
      </c>
      <c r="C292" s="29">
        <v>16753</v>
      </c>
      <c r="D292" s="7"/>
      <c r="E292" s="15"/>
    </row>
    <row r="293" spans="1:5">
      <c r="A293" s="14" t="s">
        <v>59</v>
      </c>
      <c r="B293" s="21" t="s">
        <v>20</v>
      </c>
      <c r="C293" s="29">
        <v>18122</v>
      </c>
      <c r="D293" s="7"/>
      <c r="E293" s="15"/>
    </row>
    <row r="294" spans="1:5">
      <c r="A294" s="14" t="s">
        <v>59</v>
      </c>
      <c r="B294" s="21" t="s">
        <v>21</v>
      </c>
      <c r="C294" s="29">
        <v>24030</v>
      </c>
      <c r="D294" s="7"/>
      <c r="E294" s="15"/>
    </row>
    <row r="295" spans="1:5">
      <c r="A295" s="14" t="s">
        <v>59</v>
      </c>
      <c r="B295" s="21" t="s">
        <v>22</v>
      </c>
      <c r="C295" s="29">
        <v>23602</v>
      </c>
      <c r="D295" s="7"/>
      <c r="E295" s="15"/>
    </row>
    <row r="296" spans="1:5">
      <c r="A296" s="14" t="s">
        <v>59</v>
      </c>
      <c r="B296" s="21" t="s">
        <v>23</v>
      </c>
      <c r="C296" s="29">
        <v>24004</v>
      </c>
      <c r="D296" s="7"/>
      <c r="E296" s="15"/>
    </row>
    <row r="297" spans="1:5">
      <c r="A297" s="14" t="s">
        <v>59</v>
      </c>
      <c r="B297" s="21" t="s">
        <v>24</v>
      </c>
      <c r="C297" s="29">
        <v>24200</v>
      </c>
      <c r="D297" s="7"/>
      <c r="E297" s="15"/>
    </row>
    <row r="298" spans="1:5">
      <c r="A298" s="14" t="s">
        <v>59</v>
      </c>
      <c r="B298" s="21" t="s">
        <v>25</v>
      </c>
      <c r="C298" s="29">
        <v>22376</v>
      </c>
      <c r="D298" s="7"/>
      <c r="E298" s="15"/>
    </row>
    <row r="299" spans="1:5">
      <c r="A299" s="14" t="s">
        <v>59</v>
      </c>
      <c r="B299" s="21" t="s">
        <v>26</v>
      </c>
      <c r="C299" s="29">
        <v>23102</v>
      </c>
      <c r="D299" s="7"/>
      <c r="E299" s="15"/>
    </row>
    <row r="300" spans="1:5">
      <c r="A300" s="14" t="s">
        <v>59</v>
      </c>
      <c r="B300" s="21" t="s">
        <v>27</v>
      </c>
      <c r="C300" s="29">
        <v>21489</v>
      </c>
      <c r="D300" s="7"/>
      <c r="E300" s="15"/>
    </row>
    <row r="301" spans="1:5">
      <c r="A301" s="14" t="s">
        <v>59</v>
      </c>
      <c r="B301" s="21" t="s">
        <v>28</v>
      </c>
      <c r="C301" s="29">
        <v>19708</v>
      </c>
      <c r="D301" s="7"/>
      <c r="E301" s="15"/>
    </row>
    <row r="302" spans="1:5">
      <c r="A302" s="14" t="s">
        <v>59</v>
      </c>
      <c r="B302" s="21" t="s">
        <v>29</v>
      </c>
      <c r="C302" s="29">
        <v>21008</v>
      </c>
      <c r="D302" s="7"/>
      <c r="E302" s="15"/>
    </row>
    <row r="303" spans="1:5">
      <c r="A303" s="14" t="s">
        <v>59</v>
      </c>
      <c r="B303" s="21" t="s">
        <v>30</v>
      </c>
      <c r="C303" s="29">
        <v>21329</v>
      </c>
      <c r="D303" s="7"/>
      <c r="E303" s="15"/>
    </row>
    <row r="304" spans="1:5">
      <c r="A304" s="14" t="s">
        <v>59</v>
      </c>
      <c r="B304" s="21" t="s">
        <v>31</v>
      </c>
      <c r="C304" s="29">
        <v>20861</v>
      </c>
      <c r="D304" s="7"/>
      <c r="E304" s="15"/>
    </row>
    <row r="305" spans="1:5">
      <c r="A305" s="14" t="s">
        <v>59</v>
      </c>
      <c r="B305" s="21" t="s">
        <v>32</v>
      </c>
      <c r="C305" s="29">
        <v>19760</v>
      </c>
      <c r="D305" s="7"/>
      <c r="E305" s="15"/>
    </row>
    <row r="306" spans="1:5">
      <c r="A306" s="14" t="s">
        <v>59</v>
      </c>
      <c r="B306" s="21" t="s">
        <v>33</v>
      </c>
      <c r="C306" s="29">
        <v>21200</v>
      </c>
      <c r="D306" s="7"/>
      <c r="E306" s="15"/>
    </row>
    <row r="307" spans="1:5">
      <c r="A307" s="14" t="s">
        <v>59</v>
      </c>
      <c r="B307" s="21" t="s">
        <v>34</v>
      </c>
      <c r="C307" s="29">
        <v>22178</v>
      </c>
      <c r="D307" s="7"/>
      <c r="E307" s="15"/>
    </row>
    <row r="308" spans="1:5">
      <c r="A308" s="14" t="s">
        <v>59</v>
      </c>
      <c r="B308" s="21" t="s">
        <v>35</v>
      </c>
      <c r="C308" s="29">
        <v>21985</v>
      </c>
      <c r="D308" s="7"/>
      <c r="E308" s="15"/>
    </row>
    <row r="309" spans="1:5">
      <c r="A309" s="14" t="s">
        <v>59</v>
      </c>
      <c r="B309" s="21" t="s">
        <v>36</v>
      </c>
      <c r="C309" s="29">
        <v>21511</v>
      </c>
      <c r="D309" s="7"/>
      <c r="E309" s="15"/>
    </row>
    <row r="310" spans="1:5">
      <c r="A310" s="14" t="s">
        <v>59</v>
      </c>
      <c r="B310" s="21" t="s">
        <v>37</v>
      </c>
      <c r="C310" s="29">
        <v>21762</v>
      </c>
      <c r="D310" s="7"/>
      <c r="E310" s="15"/>
    </row>
    <row r="311" spans="1:5">
      <c r="A311" s="14" t="s">
        <v>59</v>
      </c>
      <c r="B311" s="21" t="s">
        <v>38</v>
      </c>
      <c r="C311" s="29">
        <v>21770</v>
      </c>
      <c r="D311" s="7"/>
      <c r="E311" s="15"/>
    </row>
    <row r="312" spans="1:5">
      <c r="A312" s="14" t="s">
        <v>59</v>
      </c>
      <c r="B312" s="21" t="s">
        <v>39</v>
      </c>
      <c r="C312" s="29">
        <v>16034</v>
      </c>
      <c r="D312" s="7"/>
      <c r="E312" s="15"/>
    </row>
    <row r="313" spans="1:5">
      <c r="A313" s="14" t="s">
        <v>59</v>
      </c>
      <c r="B313" s="21" t="s">
        <v>40</v>
      </c>
      <c r="C313" s="29">
        <v>9911</v>
      </c>
      <c r="D313" s="7"/>
      <c r="E313" s="15"/>
    </row>
    <row r="314" spans="1:5">
      <c r="A314" s="14" t="s">
        <v>60</v>
      </c>
      <c r="B314" s="21" t="s">
        <v>17</v>
      </c>
      <c r="C314" s="29">
        <v>10506</v>
      </c>
      <c r="D314" s="7"/>
      <c r="E314" s="15"/>
    </row>
    <row r="315" spans="1:5">
      <c r="A315" s="14" t="s">
        <v>60</v>
      </c>
      <c r="B315" s="21" t="s">
        <v>18</v>
      </c>
      <c r="C315" s="29">
        <v>13564</v>
      </c>
      <c r="D315" s="7"/>
      <c r="E315" s="15"/>
    </row>
    <row r="316" spans="1:5">
      <c r="A316" s="14" t="s">
        <v>60</v>
      </c>
      <c r="B316" s="21" t="s">
        <v>19</v>
      </c>
      <c r="C316" s="29">
        <v>14454</v>
      </c>
      <c r="D316" s="7"/>
      <c r="E316" s="15"/>
    </row>
    <row r="317" spans="1:5">
      <c r="A317" s="14" t="s">
        <v>60</v>
      </c>
      <c r="B317" s="21" t="s">
        <v>20</v>
      </c>
      <c r="C317" s="29">
        <v>14798</v>
      </c>
      <c r="D317" s="7"/>
      <c r="E317" s="15"/>
    </row>
    <row r="318" spans="1:5">
      <c r="A318" s="14" t="s">
        <v>60</v>
      </c>
      <c r="B318" s="21" t="s">
        <v>21</v>
      </c>
      <c r="C318" s="29">
        <v>23829</v>
      </c>
      <c r="D318" s="7"/>
      <c r="E318" s="15"/>
    </row>
    <row r="319" spans="1:5">
      <c r="A319" s="14" t="s">
        <v>60</v>
      </c>
      <c r="B319" s="21" t="s">
        <v>22</v>
      </c>
      <c r="C319" s="29">
        <v>22911</v>
      </c>
      <c r="D319" s="7"/>
      <c r="E319" s="15"/>
    </row>
    <row r="320" spans="1:5">
      <c r="A320" s="14" t="s">
        <v>60</v>
      </c>
      <c r="B320" s="21" t="s">
        <v>23</v>
      </c>
      <c r="C320" s="29">
        <v>23414</v>
      </c>
      <c r="D320" s="7"/>
      <c r="E320" s="15"/>
    </row>
    <row r="321" spans="1:5">
      <c r="A321" s="14" t="s">
        <v>60</v>
      </c>
      <c r="B321" s="21" t="s">
        <v>24</v>
      </c>
      <c r="C321" s="29">
        <v>18954</v>
      </c>
      <c r="D321" s="7"/>
      <c r="E321" s="15"/>
    </row>
    <row r="322" spans="1:5">
      <c r="A322" s="14" t="s">
        <v>60</v>
      </c>
      <c r="B322" s="21" t="s">
        <v>25</v>
      </c>
      <c r="C322" s="29">
        <v>20158</v>
      </c>
      <c r="D322" s="7"/>
      <c r="E322" s="15"/>
    </row>
    <row r="323" spans="1:5">
      <c r="A323" s="14" t="s">
        <v>60</v>
      </c>
      <c r="B323" s="21" t="s">
        <v>26</v>
      </c>
      <c r="C323" s="29">
        <v>21381</v>
      </c>
      <c r="D323" s="7"/>
      <c r="E323" s="15"/>
    </row>
    <row r="324" spans="1:5">
      <c r="A324" s="14" t="s">
        <v>60</v>
      </c>
      <c r="B324" s="21" t="s">
        <v>27</v>
      </c>
      <c r="C324" s="29">
        <v>20496</v>
      </c>
      <c r="D324" s="7"/>
      <c r="E324" s="15"/>
    </row>
    <row r="325" spans="1:5">
      <c r="A325" s="14" t="s">
        <v>60</v>
      </c>
      <c r="B325" s="21" t="s">
        <v>28</v>
      </c>
      <c r="C325" s="29">
        <v>19740</v>
      </c>
      <c r="D325" s="7"/>
      <c r="E325" s="15"/>
    </row>
    <row r="326" spans="1:5">
      <c r="A326" s="14" t="s">
        <v>60</v>
      </c>
      <c r="B326" s="21" t="s">
        <v>29</v>
      </c>
      <c r="C326" s="29">
        <v>19611</v>
      </c>
      <c r="D326" s="7"/>
      <c r="E326" s="15"/>
    </row>
    <row r="327" spans="1:5">
      <c r="A327" s="14" t="s">
        <v>60</v>
      </c>
      <c r="B327" s="21" t="s">
        <v>30</v>
      </c>
      <c r="C327" s="29">
        <v>19511</v>
      </c>
      <c r="D327" s="7"/>
      <c r="E327" s="15"/>
    </row>
    <row r="328" spans="1:5">
      <c r="A328" s="14" t="s">
        <v>60</v>
      </c>
      <c r="B328" s="21" t="s">
        <v>31</v>
      </c>
      <c r="C328" s="29">
        <v>17931</v>
      </c>
      <c r="D328" s="7"/>
      <c r="E328" s="15"/>
    </row>
    <row r="329" spans="1:5">
      <c r="A329" s="14" t="s">
        <v>60</v>
      </c>
      <c r="B329" s="21" t="s">
        <v>32</v>
      </c>
      <c r="C329" s="29">
        <v>17800</v>
      </c>
      <c r="D329" s="7"/>
      <c r="E329" s="15"/>
    </row>
    <row r="330" spans="1:5">
      <c r="A330" s="14" t="s">
        <v>60</v>
      </c>
      <c r="B330" s="21" t="s">
        <v>33</v>
      </c>
      <c r="C330" s="29">
        <v>18684</v>
      </c>
      <c r="D330" s="7"/>
      <c r="E330" s="15"/>
    </row>
    <row r="331" spans="1:5">
      <c r="A331" s="14" t="s">
        <v>60</v>
      </c>
      <c r="B331" s="21" t="s">
        <v>34</v>
      </c>
      <c r="C331" s="29">
        <v>21527</v>
      </c>
      <c r="D331" s="7"/>
      <c r="E331" s="15"/>
    </row>
    <row r="332" spans="1:5">
      <c r="A332" s="14" t="s">
        <v>60</v>
      </c>
      <c r="B332" s="21" t="s">
        <v>35</v>
      </c>
      <c r="C332" s="29">
        <v>22618</v>
      </c>
      <c r="D332" s="7"/>
      <c r="E332" s="15"/>
    </row>
    <row r="333" spans="1:5">
      <c r="A333" s="14" t="s">
        <v>60</v>
      </c>
      <c r="B333" s="21" t="s">
        <v>36</v>
      </c>
      <c r="C333" s="29">
        <v>21066</v>
      </c>
      <c r="D333" s="7"/>
      <c r="E333" s="15"/>
    </row>
    <row r="334" spans="1:5">
      <c r="A334" s="14" t="s">
        <v>60</v>
      </c>
      <c r="B334" s="21" t="s">
        <v>37</v>
      </c>
      <c r="C334" s="29">
        <v>21884</v>
      </c>
      <c r="D334" s="7"/>
      <c r="E334" s="15"/>
    </row>
    <row r="335" spans="1:5">
      <c r="A335" s="14" t="s">
        <v>60</v>
      </c>
      <c r="B335" s="21" t="s">
        <v>38</v>
      </c>
      <c r="C335" s="29">
        <v>20587</v>
      </c>
      <c r="D335" s="7"/>
      <c r="E335" s="15"/>
    </row>
    <row r="336" spans="1:5">
      <c r="A336" s="14" t="s">
        <v>60</v>
      </c>
      <c r="B336" s="21" t="s">
        <v>39</v>
      </c>
      <c r="C336" s="29">
        <v>19471</v>
      </c>
      <c r="D336" s="7"/>
      <c r="E336" s="15"/>
    </row>
    <row r="337" spans="1:5">
      <c r="A337" s="14" t="s">
        <v>60</v>
      </c>
      <c r="B337" s="21" t="s">
        <v>40</v>
      </c>
      <c r="C337" s="29">
        <v>9416</v>
      </c>
      <c r="D337" s="7"/>
      <c r="E337" s="15"/>
    </row>
    <row r="338" spans="1:5">
      <c r="A338" s="14" t="s">
        <v>61</v>
      </c>
      <c r="B338" s="21" t="s">
        <v>17</v>
      </c>
      <c r="C338" s="29">
        <v>10176</v>
      </c>
      <c r="D338" s="7"/>
      <c r="E338" s="15"/>
    </row>
    <row r="339" spans="1:5">
      <c r="A339" s="14" t="s">
        <v>61</v>
      </c>
      <c r="B339" s="21" t="s">
        <v>18</v>
      </c>
      <c r="C339" s="29">
        <v>13447</v>
      </c>
      <c r="D339" s="7"/>
      <c r="E339" s="15"/>
    </row>
    <row r="340" spans="1:5">
      <c r="A340" s="14" t="s">
        <v>61</v>
      </c>
      <c r="B340" s="21" t="s">
        <v>19</v>
      </c>
      <c r="C340" s="29">
        <v>14608</v>
      </c>
      <c r="D340" s="7"/>
      <c r="E340" s="15"/>
    </row>
    <row r="341" spans="1:5">
      <c r="A341" s="14" t="s">
        <v>61</v>
      </c>
      <c r="B341" s="21" t="s">
        <v>20</v>
      </c>
      <c r="C341" s="29">
        <v>15114</v>
      </c>
      <c r="D341" s="7"/>
      <c r="E341" s="15"/>
    </row>
    <row r="342" spans="1:5">
      <c r="A342" s="14" t="s">
        <v>61</v>
      </c>
      <c r="B342" s="21" t="s">
        <v>21</v>
      </c>
      <c r="C342" s="29">
        <v>23963</v>
      </c>
      <c r="D342" s="7"/>
      <c r="E342" s="15"/>
    </row>
    <row r="343" spans="1:5">
      <c r="A343" s="14" t="s">
        <v>61</v>
      </c>
      <c r="B343" s="21" t="s">
        <v>22</v>
      </c>
      <c r="C343" s="29">
        <v>23865</v>
      </c>
      <c r="D343" s="7"/>
      <c r="E343" s="15"/>
    </row>
    <row r="344" spans="1:5">
      <c r="A344" s="14" t="s">
        <v>61</v>
      </c>
      <c r="B344" s="21" t="s">
        <v>23</v>
      </c>
      <c r="C344" s="29">
        <v>23844</v>
      </c>
      <c r="D344" s="7"/>
      <c r="E344" s="15"/>
    </row>
    <row r="345" spans="1:5">
      <c r="A345" s="14" t="s">
        <v>61</v>
      </c>
      <c r="B345" s="21" t="s">
        <v>24</v>
      </c>
      <c r="C345" s="29">
        <v>23988</v>
      </c>
      <c r="D345" s="7"/>
      <c r="E345" s="15"/>
    </row>
    <row r="346" spans="1:5">
      <c r="A346" s="14" t="s">
        <v>61</v>
      </c>
      <c r="B346" s="21" t="s">
        <v>25</v>
      </c>
      <c r="C346" s="29">
        <v>23815</v>
      </c>
      <c r="D346" s="7"/>
      <c r="E346" s="15"/>
    </row>
    <row r="347" spans="1:5">
      <c r="A347" s="14" t="s">
        <v>61</v>
      </c>
      <c r="B347" s="21" t="s">
        <v>26</v>
      </c>
      <c r="C347" s="29">
        <v>19945</v>
      </c>
      <c r="D347" s="7"/>
      <c r="E347" s="15"/>
    </row>
    <row r="348" spans="1:5">
      <c r="A348" s="14" t="s">
        <v>61</v>
      </c>
      <c r="B348" s="21" t="s">
        <v>27</v>
      </c>
      <c r="C348" s="29">
        <v>17775</v>
      </c>
      <c r="D348" s="7"/>
      <c r="E348" s="15"/>
    </row>
    <row r="349" spans="1:5">
      <c r="A349" s="14" t="s">
        <v>61</v>
      </c>
      <c r="B349" s="21" t="s">
        <v>28</v>
      </c>
      <c r="C349" s="29">
        <v>14334</v>
      </c>
      <c r="D349" s="7"/>
      <c r="E349" s="15"/>
    </row>
    <row r="350" spans="1:5">
      <c r="A350" s="14" t="s">
        <v>61</v>
      </c>
      <c r="B350" s="21" t="s">
        <v>29</v>
      </c>
      <c r="C350" s="29">
        <v>15584</v>
      </c>
      <c r="D350" s="7"/>
      <c r="E350" s="15"/>
    </row>
    <row r="351" spans="1:5">
      <c r="A351" s="14" t="s">
        <v>61</v>
      </c>
      <c r="B351" s="21" t="s">
        <v>30</v>
      </c>
      <c r="C351" s="29">
        <v>16034</v>
      </c>
      <c r="D351" s="7"/>
      <c r="E351" s="15"/>
    </row>
    <row r="352" spans="1:5">
      <c r="A352" s="14" t="s">
        <v>61</v>
      </c>
      <c r="B352" s="21" t="s">
        <v>31</v>
      </c>
      <c r="C352" s="29">
        <v>15256</v>
      </c>
      <c r="D352" s="7"/>
      <c r="E352" s="15"/>
    </row>
    <row r="353" spans="1:5">
      <c r="A353" s="14" t="s">
        <v>61</v>
      </c>
      <c r="B353" s="21" t="s">
        <v>32</v>
      </c>
      <c r="C353" s="29">
        <v>17187</v>
      </c>
      <c r="D353" s="7"/>
      <c r="E353" s="15"/>
    </row>
    <row r="354" spans="1:5">
      <c r="A354" s="14" t="s">
        <v>61</v>
      </c>
      <c r="B354" s="21" t="s">
        <v>33</v>
      </c>
      <c r="C354" s="29">
        <v>18547</v>
      </c>
      <c r="D354" s="7"/>
      <c r="E354" s="15"/>
    </row>
    <row r="355" spans="1:5">
      <c r="A355" s="14" t="s">
        <v>61</v>
      </c>
      <c r="B355" s="21" t="s">
        <v>34</v>
      </c>
      <c r="C355" s="29">
        <v>19506</v>
      </c>
      <c r="D355" s="7"/>
      <c r="E355" s="15"/>
    </row>
    <row r="356" spans="1:5">
      <c r="A356" s="14" t="s">
        <v>61</v>
      </c>
      <c r="B356" s="21" t="s">
        <v>35</v>
      </c>
      <c r="C356" s="29">
        <v>20092</v>
      </c>
      <c r="D356" s="7"/>
      <c r="E356" s="15"/>
    </row>
    <row r="357" spans="1:5">
      <c r="A357" s="14" t="s">
        <v>61</v>
      </c>
      <c r="B357" s="21" t="s">
        <v>36</v>
      </c>
      <c r="C357" s="29">
        <v>20442</v>
      </c>
      <c r="D357" s="7"/>
      <c r="E357" s="15"/>
    </row>
    <row r="358" spans="1:5">
      <c r="A358" s="14" t="s">
        <v>61</v>
      </c>
      <c r="B358" s="21" t="s">
        <v>37</v>
      </c>
      <c r="C358" s="29">
        <v>22240</v>
      </c>
      <c r="D358" s="7"/>
      <c r="E358" s="15"/>
    </row>
    <row r="359" spans="1:5">
      <c r="A359" s="14" t="s">
        <v>61</v>
      </c>
      <c r="B359" s="21" t="s">
        <v>38</v>
      </c>
      <c r="C359" s="29">
        <v>20850</v>
      </c>
      <c r="D359" s="7"/>
      <c r="E359" s="15"/>
    </row>
    <row r="360" spans="1:5">
      <c r="A360" s="14" t="s">
        <v>61</v>
      </c>
      <c r="B360" s="21" t="s">
        <v>39</v>
      </c>
      <c r="C360" s="29">
        <v>19782</v>
      </c>
      <c r="D360" s="7"/>
      <c r="E360" s="15"/>
    </row>
    <row r="361" spans="1:5">
      <c r="A361" s="14" t="s">
        <v>61</v>
      </c>
      <c r="B361" s="21" t="s">
        <v>40</v>
      </c>
      <c r="C361" s="29">
        <v>10936</v>
      </c>
      <c r="D361" s="7"/>
      <c r="E361" s="15"/>
    </row>
    <row r="362" spans="1:5">
      <c r="A362" s="14" t="s">
        <v>62</v>
      </c>
      <c r="B362" s="21" t="s">
        <v>17</v>
      </c>
      <c r="C362" s="29">
        <v>12852</v>
      </c>
      <c r="D362" s="7"/>
      <c r="E362" s="15"/>
    </row>
    <row r="363" spans="1:5">
      <c r="A363" s="14" t="s">
        <v>62</v>
      </c>
      <c r="B363" s="21" t="s">
        <v>18</v>
      </c>
      <c r="C363" s="29">
        <v>15117</v>
      </c>
      <c r="D363" s="7"/>
      <c r="E363" s="15"/>
    </row>
    <row r="364" spans="1:5">
      <c r="A364" s="14" t="s">
        <v>62</v>
      </c>
      <c r="B364" s="21" t="s">
        <v>19</v>
      </c>
      <c r="C364" s="29">
        <v>16249</v>
      </c>
      <c r="D364" s="7"/>
      <c r="E364" s="15"/>
    </row>
    <row r="365" spans="1:5">
      <c r="A365" s="14" t="s">
        <v>62</v>
      </c>
      <c r="B365" s="21" t="s">
        <v>20</v>
      </c>
      <c r="C365" s="29">
        <v>17417</v>
      </c>
      <c r="D365" s="7"/>
      <c r="E365" s="15"/>
    </row>
    <row r="366" spans="1:5">
      <c r="A366" s="14" t="s">
        <v>62</v>
      </c>
      <c r="B366" s="21" t="s">
        <v>21</v>
      </c>
      <c r="C366" s="29">
        <v>23870</v>
      </c>
      <c r="D366" s="7"/>
      <c r="E366" s="15"/>
    </row>
    <row r="367" spans="1:5">
      <c r="A367" s="14" t="s">
        <v>62</v>
      </c>
      <c r="B367" s="21" t="s">
        <v>22</v>
      </c>
      <c r="C367" s="29">
        <v>23613</v>
      </c>
      <c r="D367" s="7"/>
      <c r="E367" s="15"/>
    </row>
    <row r="368" spans="1:5">
      <c r="A368" s="14" t="s">
        <v>62</v>
      </c>
      <c r="B368" s="21" t="s">
        <v>23</v>
      </c>
      <c r="C368" s="29">
        <v>23817</v>
      </c>
      <c r="D368" s="7"/>
      <c r="E368" s="15"/>
    </row>
    <row r="369" spans="1:5">
      <c r="A369" s="14" t="s">
        <v>62</v>
      </c>
      <c r="B369" s="21" t="s">
        <v>24</v>
      </c>
      <c r="C369" s="29">
        <v>23650</v>
      </c>
      <c r="D369" s="7"/>
      <c r="E369" s="15"/>
    </row>
    <row r="370" spans="1:5">
      <c r="A370" s="14" t="s">
        <v>62</v>
      </c>
      <c r="B370" s="21" t="s">
        <v>25</v>
      </c>
      <c r="C370" s="29">
        <v>23395</v>
      </c>
      <c r="D370" s="7"/>
      <c r="E370" s="15"/>
    </row>
    <row r="371" spans="1:5">
      <c r="A371" s="14" t="s">
        <v>62</v>
      </c>
      <c r="B371" s="21" t="s">
        <v>26</v>
      </c>
      <c r="C371" s="29">
        <v>21089</v>
      </c>
      <c r="D371" s="7"/>
      <c r="E371" s="15"/>
    </row>
    <row r="372" spans="1:5">
      <c r="A372" s="14" t="s">
        <v>62</v>
      </c>
      <c r="B372" s="21" t="s">
        <v>27</v>
      </c>
      <c r="C372" s="29">
        <v>13981</v>
      </c>
      <c r="D372" s="7"/>
      <c r="E372" s="15"/>
    </row>
    <row r="373" spans="1:5">
      <c r="A373" s="14" t="s">
        <v>62</v>
      </c>
      <c r="B373" s="21" t="s">
        <v>28</v>
      </c>
      <c r="C373" s="29">
        <v>9998</v>
      </c>
      <c r="D373" s="7"/>
      <c r="E373" s="15"/>
    </row>
    <row r="374" spans="1:5">
      <c r="A374" s="14" t="s">
        <v>62</v>
      </c>
      <c r="B374" s="21" t="s">
        <v>29</v>
      </c>
      <c r="C374" s="29">
        <v>12807</v>
      </c>
      <c r="D374" s="7"/>
      <c r="E374" s="15"/>
    </row>
    <row r="375" spans="1:5">
      <c r="A375" s="14" t="s">
        <v>62</v>
      </c>
      <c r="B375" s="21" t="s">
        <v>30</v>
      </c>
      <c r="C375" s="29">
        <v>16166</v>
      </c>
      <c r="D375" s="7"/>
      <c r="E375" s="15"/>
    </row>
    <row r="376" spans="1:5">
      <c r="A376" s="14" t="s">
        <v>62</v>
      </c>
      <c r="B376" s="21" t="s">
        <v>31</v>
      </c>
      <c r="C376" s="29">
        <v>19108</v>
      </c>
      <c r="D376" s="7"/>
      <c r="E376" s="15"/>
    </row>
    <row r="377" spans="1:5">
      <c r="A377" s="14" t="s">
        <v>62</v>
      </c>
      <c r="B377" s="21" t="s">
        <v>32</v>
      </c>
      <c r="C377" s="29">
        <v>19869</v>
      </c>
      <c r="D377" s="7"/>
      <c r="E377" s="15"/>
    </row>
    <row r="378" spans="1:5">
      <c r="A378" s="14" t="s">
        <v>62</v>
      </c>
      <c r="B378" s="21" t="s">
        <v>33</v>
      </c>
      <c r="C378" s="29">
        <v>19669</v>
      </c>
      <c r="D378" s="7"/>
      <c r="E378" s="15"/>
    </row>
    <row r="379" spans="1:5">
      <c r="A379" s="14" t="s">
        <v>62</v>
      </c>
      <c r="B379" s="21" t="s">
        <v>34</v>
      </c>
      <c r="C379" s="29">
        <v>19948</v>
      </c>
      <c r="D379" s="7"/>
      <c r="E379" s="15"/>
    </row>
    <row r="380" spans="1:5">
      <c r="A380" s="14" t="s">
        <v>62</v>
      </c>
      <c r="B380" s="21" t="s">
        <v>35</v>
      </c>
      <c r="C380" s="29">
        <v>20019</v>
      </c>
      <c r="D380" s="7"/>
      <c r="E380" s="15"/>
    </row>
    <row r="381" spans="1:5">
      <c r="A381" s="14" t="s">
        <v>62</v>
      </c>
      <c r="B381" s="21" t="s">
        <v>36</v>
      </c>
      <c r="C381" s="29">
        <v>19960</v>
      </c>
      <c r="D381" s="7"/>
      <c r="E381" s="15"/>
    </row>
    <row r="382" spans="1:5">
      <c r="A382" s="14" t="s">
        <v>62</v>
      </c>
      <c r="B382" s="21" t="s">
        <v>37</v>
      </c>
      <c r="C382" s="29">
        <v>20375</v>
      </c>
      <c r="D382" s="7"/>
      <c r="E382" s="15"/>
    </row>
    <row r="383" spans="1:5">
      <c r="A383" s="14" t="s">
        <v>62</v>
      </c>
      <c r="B383" s="21" t="s">
        <v>38</v>
      </c>
      <c r="C383" s="29">
        <v>19374</v>
      </c>
      <c r="D383" s="7"/>
      <c r="E383" s="15"/>
    </row>
    <row r="384" spans="1:5">
      <c r="A384" s="14" t="s">
        <v>62</v>
      </c>
      <c r="B384" s="21" t="s">
        <v>39</v>
      </c>
      <c r="C384" s="29">
        <v>19027</v>
      </c>
      <c r="D384" s="7"/>
      <c r="E384" s="15"/>
    </row>
    <row r="385" spans="1:5">
      <c r="A385" s="14" t="s">
        <v>62</v>
      </c>
      <c r="B385" s="21" t="s">
        <v>40</v>
      </c>
      <c r="C385" s="29">
        <v>9525</v>
      </c>
      <c r="D385" s="7"/>
      <c r="E385" s="15"/>
    </row>
    <row r="386" spans="1:5">
      <c r="A386" s="14" t="s">
        <v>63</v>
      </c>
      <c r="B386" s="21" t="s">
        <v>17</v>
      </c>
      <c r="C386" s="29">
        <v>10927</v>
      </c>
      <c r="D386" s="7"/>
      <c r="E386" s="15"/>
    </row>
    <row r="387" spans="1:5">
      <c r="A387" s="14" t="s">
        <v>63</v>
      </c>
      <c r="B387" s="21" t="s">
        <v>18</v>
      </c>
      <c r="C387" s="29">
        <v>13475</v>
      </c>
      <c r="D387" s="7"/>
      <c r="E387" s="15"/>
    </row>
    <row r="388" spans="1:5">
      <c r="A388" s="14" t="s">
        <v>63</v>
      </c>
      <c r="B388" s="21" t="s">
        <v>19</v>
      </c>
      <c r="C388" s="29">
        <v>14155</v>
      </c>
      <c r="D388" s="7"/>
      <c r="E388" s="15"/>
    </row>
    <row r="389" spans="1:5">
      <c r="A389" s="14" t="s">
        <v>63</v>
      </c>
      <c r="B389" s="21" t="s">
        <v>20</v>
      </c>
      <c r="C389" s="29">
        <v>14286</v>
      </c>
      <c r="D389" s="7"/>
      <c r="E389" s="15"/>
    </row>
    <row r="390" spans="1:5">
      <c r="A390" s="14" t="s">
        <v>63</v>
      </c>
      <c r="B390" s="21" t="s">
        <v>21</v>
      </c>
      <c r="C390" s="29">
        <v>23217</v>
      </c>
      <c r="D390" s="7"/>
      <c r="E390" s="15"/>
    </row>
    <row r="391" spans="1:5">
      <c r="A391" s="14" t="s">
        <v>63</v>
      </c>
      <c r="B391" s="21" t="s">
        <v>22</v>
      </c>
      <c r="C391" s="29">
        <v>22522</v>
      </c>
      <c r="D391" s="7"/>
      <c r="E391" s="15"/>
    </row>
    <row r="392" spans="1:5">
      <c r="A392" s="14" t="s">
        <v>63</v>
      </c>
      <c r="B392" s="21" t="s">
        <v>23</v>
      </c>
      <c r="C392" s="29">
        <v>21812</v>
      </c>
      <c r="D392" s="7"/>
      <c r="E392" s="15"/>
    </row>
    <row r="393" spans="1:5">
      <c r="A393" s="14" t="s">
        <v>63</v>
      </c>
      <c r="B393" s="21" t="s">
        <v>24</v>
      </c>
      <c r="C393" s="29">
        <v>19575</v>
      </c>
      <c r="D393" s="7"/>
      <c r="E393" s="15"/>
    </row>
    <row r="394" spans="1:5">
      <c r="A394" s="14" t="s">
        <v>63</v>
      </c>
      <c r="B394" s="21" t="s">
        <v>25</v>
      </c>
      <c r="C394" s="29">
        <v>20940</v>
      </c>
      <c r="D394" s="7"/>
      <c r="E394" s="15"/>
    </row>
    <row r="395" spans="1:5">
      <c r="A395" s="14" t="s">
        <v>63</v>
      </c>
      <c r="B395" s="21" t="s">
        <v>26</v>
      </c>
      <c r="C395" s="29">
        <v>17446</v>
      </c>
      <c r="D395" s="7"/>
      <c r="E395" s="15"/>
    </row>
    <row r="396" spans="1:5">
      <c r="A396" s="14" t="s">
        <v>63</v>
      </c>
      <c r="B396" s="21" t="s">
        <v>27</v>
      </c>
      <c r="C396" s="29">
        <v>12379</v>
      </c>
      <c r="D396" s="7"/>
      <c r="E396" s="15"/>
    </row>
    <row r="397" spans="1:5">
      <c r="A397" s="14" t="s">
        <v>63</v>
      </c>
      <c r="B397" s="21" t="s">
        <v>28</v>
      </c>
      <c r="C397" s="29">
        <v>12105</v>
      </c>
      <c r="D397" s="7"/>
      <c r="E397" s="15"/>
    </row>
    <row r="398" spans="1:5">
      <c r="A398" s="14" t="s">
        <v>63</v>
      </c>
      <c r="B398" s="21" t="s">
        <v>29</v>
      </c>
      <c r="C398" s="29">
        <v>12468</v>
      </c>
      <c r="D398" s="7"/>
      <c r="E398" s="15"/>
    </row>
    <row r="399" spans="1:5">
      <c r="A399" s="14" t="s">
        <v>63</v>
      </c>
      <c r="B399" s="21" t="s">
        <v>30</v>
      </c>
      <c r="C399" s="29">
        <v>15681</v>
      </c>
      <c r="D399" s="7"/>
      <c r="E399" s="15"/>
    </row>
    <row r="400" spans="1:5">
      <c r="A400" s="14" t="s">
        <v>63</v>
      </c>
      <c r="B400" s="21" t="s">
        <v>31</v>
      </c>
      <c r="C400" s="29">
        <v>16928</v>
      </c>
      <c r="D400" s="7"/>
      <c r="E400" s="15"/>
    </row>
    <row r="401" spans="1:5">
      <c r="A401" s="14" t="s">
        <v>63</v>
      </c>
      <c r="B401" s="21" t="s">
        <v>32</v>
      </c>
      <c r="C401" s="29">
        <v>20688</v>
      </c>
      <c r="D401" s="7"/>
      <c r="E401" s="15"/>
    </row>
    <row r="402" spans="1:5">
      <c r="A402" s="14" t="s">
        <v>63</v>
      </c>
      <c r="B402" s="21" t="s">
        <v>33</v>
      </c>
      <c r="C402" s="29">
        <v>19959</v>
      </c>
      <c r="D402" s="7"/>
      <c r="E402" s="15"/>
    </row>
    <row r="403" spans="1:5">
      <c r="A403" s="14" t="s">
        <v>63</v>
      </c>
      <c r="B403" s="21" t="s">
        <v>34</v>
      </c>
      <c r="C403" s="29">
        <v>19000</v>
      </c>
      <c r="D403" s="7"/>
      <c r="E403" s="15"/>
    </row>
    <row r="404" spans="1:5">
      <c r="A404" s="14" t="s">
        <v>63</v>
      </c>
      <c r="B404" s="21" t="s">
        <v>35</v>
      </c>
      <c r="C404" s="29">
        <v>19832</v>
      </c>
      <c r="D404" s="7"/>
      <c r="E404" s="15"/>
    </row>
    <row r="405" spans="1:5">
      <c r="A405" s="14" t="s">
        <v>63</v>
      </c>
      <c r="B405" s="21" t="s">
        <v>36</v>
      </c>
      <c r="C405" s="29">
        <v>19607</v>
      </c>
      <c r="D405" s="7"/>
      <c r="E405" s="15"/>
    </row>
    <row r="406" spans="1:5">
      <c r="A406" s="14" t="s">
        <v>63</v>
      </c>
      <c r="B406" s="21" t="s">
        <v>37</v>
      </c>
      <c r="C406" s="29">
        <v>19609</v>
      </c>
      <c r="D406" s="7"/>
      <c r="E406" s="15"/>
    </row>
    <row r="407" spans="1:5">
      <c r="A407" s="14" t="s">
        <v>63</v>
      </c>
      <c r="B407" s="21" t="s">
        <v>38</v>
      </c>
      <c r="C407" s="29">
        <v>17920</v>
      </c>
      <c r="D407" s="7"/>
      <c r="E407" s="15"/>
    </row>
    <row r="408" spans="1:5">
      <c r="A408" s="14" t="s">
        <v>63</v>
      </c>
      <c r="B408" s="21" t="s">
        <v>39</v>
      </c>
      <c r="C408" s="29">
        <v>17009</v>
      </c>
      <c r="D408" s="7"/>
      <c r="E408" s="15"/>
    </row>
    <row r="409" spans="1:5">
      <c r="A409" s="14" t="s">
        <v>63</v>
      </c>
      <c r="B409" s="21" t="s">
        <v>40</v>
      </c>
      <c r="C409" s="29">
        <v>9328</v>
      </c>
      <c r="D409" s="7"/>
      <c r="E409" s="15"/>
    </row>
    <row r="410" spans="1:5">
      <c r="A410" s="14" t="s">
        <v>64</v>
      </c>
      <c r="B410" s="21" t="s">
        <v>17</v>
      </c>
      <c r="C410" s="29">
        <v>10042</v>
      </c>
      <c r="D410" s="7"/>
      <c r="E410" s="15"/>
    </row>
    <row r="411" spans="1:5">
      <c r="A411" s="14" t="s">
        <v>64</v>
      </c>
      <c r="B411" s="21" t="s">
        <v>18</v>
      </c>
      <c r="C411" s="29">
        <v>11328</v>
      </c>
      <c r="D411" s="7"/>
      <c r="E411" s="15"/>
    </row>
    <row r="412" spans="1:5">
      <c r="A412" s="14" t="s">
        <v>64</v>
      </c>
      <c r="B412" s="21" t="s">
        <v>19</v>
      </c>
      <c r="C412" s="29">
        <v>12886</v>
      </c>
      <c r="D412" s="7"/>
      <c r="E412" s="15"/>
    </row>
    <row r="413" spans="1:5">
      <c r="A413" s="14" t="s">
        <v>64</v>
      </c>
      <c r="B413" s="21" t="s">
        <v>20</v>
      </c>
      <c r="C413" s="29">
        <v>13337</v>
      </c>
      <c r="D413" s="7"/>
      <c r="E413" s="15"/>
    </row>
    <row r="414" spans="1:5">
      <c r="A414" s="14" t="s">
        <v>64</v>
      </c>
      <c r="B414" s="21" t="s">
        <v>21</v>
      </c>
      <c r="C414" s="29">
        <v>22399</v>
      </c>
      <c r="D414" s="7"/>
      <c r="E414" s="15"/>
    </row>
    <row r="415" spans="1:5">
      <c r="A415" s="14" t="s">
        <v>64</v>
      </c>
      <c r="B415" s="21" t="s">
        <v>22</v>
      </c>
      <c r="C415" s="29">
        <v>21026</v>
      </c>
      <c r="D415" s="7"/>
      <c r="E415" s="15"/>
    </row>
    <row r="416" spans="1:5">
      <c r="A416" s="14" t="s">
        <v>64</v>
      </c>
      <c r="B416" s="21" t="s">
        <v>23</v>
      </c>
      <c r="C416" s="29">
        <v>21428</v>
      </c>
      <c r="D416" s="7"/>
      <c r="E416" s="15"/>
    </row>
    <row r="417" spans="1:5">
      <c r="A417" s="14" t="s">
        <v>64</v>
      </c>
      <c r="B417" s="21" t="s">
        <v>24</v>
      </c>
      <c r="C417" s="29">
        <v>19983</v>
      </c>
      <c r="D417" s="7"/>
      <c r="E417" s="15"/>
    </row>
    <row r="418" spans="1:5">
      <c r="A418" s="14" t="s">
        <v>64</v>
      </c>
      <c r="B418" s="21" t="s">
        <v>25</v>
      </c>
      <c r="C418" s="29">
        <v>19447</v>
      </c>
      <c r="D418" s="7"/>
      <c r="E418" s="15"/>
    </row>
    <row r="419" spans="1:5">
      <c r="A419" s="14" t="s">
        <v>64</v>
      </c>
      <c r="B419" s="21" t="s">
        <v>26</v>
      </c>
      <c r="C419" s="29">
        <v>17794</v>
      </c>
      <c r="D419" s="7"/>
      <c r="E419" s="15"/>
    </row>
    <row r="420" spans="1:5">
      <c r="A420" s="14" t="s">
        <v>64</v>
      </c>
      <c r="B420" s="21" t="s">
        <v>27</v>
      </c>
      <c r="C420" s="29">
        <v>17185</v>
      </c>
      <c r="D420" s="7"/>
      <c r="E420" s="15"/>
    </row>
    <row r="421" spans="1:5">
      <c r="A421" s="14" t="s">
        <v>64</v>
      </c>
      <c r="B421" s="21" t="s">
        <v>28</v>
      </c>
      <c r="C421" s="29">
        <v>15767</v>
      </c>
      <c r="D421" s="7"/>
      <c r="E421" s="15"/>
    </row>
    <row r="422" spans="1:5">
      <c r="A422" s="14" t="s">
        <v>64</v>
      </c>
      <c r="B422" s="21" t="s">
        <v>29</v>
      </c>
      <c r="C422" s="29">
        <v>18407</v>
      </c>
      <c r="D422" s="7"/>
      <c r="E422" s="15"/>
    </row>
    <row r="423" spans="1:5">
      <c r="A423" s="14" t="s">
        <v>64</v>
      </c>
      <c r="B423" s="21" t="s">
        <v>30</v>
      </c>
      <c r="C423" s="29">
        <v>17833</v>
      </c>
      <c r="D423" s="7"/>
      <c r="E423" s="15"/>
    </row>
    <row r="424" spans="1:5">
      <c r="A424" s="14" t="s">
        <v>64</v>
      </c>
      <c r="B424" s="21" t="s">
        <v>31</v>
      </c>
      <c r="C424" s="29">
        <v>15528</v>
      </c>
      <c r="D424" s="7"/>
      <c r="E424" s="15"/>
    </row>
    <row r="425" spans="1:5">
      <c r="A425" s="14" t="s">
        <v>64</v>
      </c>
      <c r="B425" s="21" t="s">
        <v>32</v>
      </c>
      <c r="C425" s="29">
        <v>17975</v>
      </c>
      <c r="D425" s="7"/>
      <c r="E425" s="15"/>
    </row>
    <row r="426" spans="1:5">
      <c r="A426" s="14" t="s">
        <v>64</v>
      </c>
      <c r="B426" s="21" t="s">
        <v>33</v>
      </c>
      <c r="C426" s="29">
        <v>17716</v>
      </c>
      <c r="D426" s="7"/>
      <c r="E426" s="15"/>
    </row>
    <row r="427" spans="1:5">
      <c r="A427" s="14" t="s">
        <v>64</v>
      </c>
      <c r="B427" s="21" t="s">
        <v>34</v>
      </c>
      <c r="C427" s="29">
        <v>18351</v>
      </c>
      <c r="D427" s="7"/>
      <c r="E427" s="15"/>
    </row>
    <row r="428" spans="1:5">
      <c r="A428" s="14" t="s">
        <v>64</v>
      </c>
      <c r="B428" s="21" t="s">
        <v>35</v>
      </c>
      <c r="C428" s="29">
        <v>18154</v>
      </c>
      <c r="D428" s="7"/>
      <c r="E428" s="15"/>
    </row>
    <row r="429" spans="1:5">
      <c r="A429" s="14" t="s">
        <v>64</v>
      </c>
      <c r="B429" s="21" t="s">
        <v>36</v>
      </c>
      <c r="C429" s="29">
        <v>18717</v>
      </c>
      <c r="D429" s="7"/>
      <c r="E429" s="15"/>
    </row>
    <row r="430" spans="1:5">
      <c r="A430" s="14" t="s">
        <v>64</v>
      </c>
      <c r="B430" s="21" t="s">
        <v>37</v>
      </c>
      <c r="C430" s="29">
        <v>16247</v>
      </c>
      <c r="D430" s="7"/>
      <c r="E430" s="15"/>
    </row>
    <row r="431" spans="1:5">
      <c r="A431" s="14" t="s">
        <v>64</v>
      </c>
      <c r="B431" s="21" t="s">
        <v>38</v>
      </c>
      <c r="C431" s="29">
        <v>14838</v>
      </c>
      <c r="D431" s="7"/>
      <c r="E431" s="15"/>
    </row>
    <row r="432" spans="1:5">
      <c r="A432" s="14" t="s">
        <v>64</v>
      </c>
      <c r="B432" s="21" t="s">
        <v>39</v>
      </c>
      <c r="C432" s="29">
        <v>13504</v>
      </c>
      <c r="D432" s="7"/>
      <c r="E432" s="15"/>
    </row>
    <row r="433" spans="1:5">
      <c r="A433" s="14" t="s">
        <v>64</v>
      </c>
      <c r="B433" s="21" t="s">
        <v>40</v>
      </c>
      <c r="C433" s="29">
        <v>8290</v>
      </c>
      <c r="D433" s="7"/>
      <c r="E433" s="15"/>
    </row>
    <row r="434" spans="1:5">
      <c r="A434" s="14" t="s">
        <v>65</v>
      </c>
      <c r="B434" s="21" t="s">
        <v>17</v>
      </c>
      <c r="C434" s="29">
        <v>8716</v>
      </c>
      <c r="D434" s="7"/>
      <c r="E434" s="15"/>
    </row>
    <row r="435" spans="1:5">
      <c r="A435" s="14" t="s">
        <v>65</v>
      </c>
      <c r="B435" s="21" t="s">
        <v>18</v>
      </c>
      <c r="C435" s="29">
        <v>9948</v>
      </c>
      <c r="D435" s="7"/>
      <c r="E435" s="15"/>
    </row>
    <row r="436" spans="1:5">
      <c r="A436" s="14" t="s">
        <v>65</v>
      </c>
      <c r="B436" s="21" t="s">
        <v>19</v>
      </c>
      <c r="C436" s="29">
        <v>11954</v>
      </c>
      <c r="D436" s="7"/>
      <c r="E436" s="15"/>
    </row>
    <row r="437" spans="1:5">
      <c r="A437" s="14" t="s">
        <v>65</v>
      </c>
      <c r="B437" s="21" t="s">
        <v>20</v>
      </c>
      <c r="C437" s="29">
        <v>12501</v>
      </c>
      <c r="D437" s="7"/>
      <c r="E437" s="15"/>
    </row>
    <row r="438" spans="1:5">
      <c r="A438" s="14" t="s">
        <v>65</v>
      </c>
      <c r="B438" s="21" t="s">
        <v>21</v>
      </c>
      <c r="C438" s="29">
        <v>21725</v>
      </c>
      <c r="D438" s="7"/>
      <c r="E438" s="15"/>
    </row>
    <row r="439" spans="1:5">
      <c r="A439" s="14" t="s">
        <v>65</v>
      </c>
      <c r="B439" s="21" t="s">
        <v>22</v>
      </c>
      <c r="C439" s="29">
        <v>20842</v>
      </c>
      <c r="D439" s="7"/>
      <c r="E439" s="15"/>
    </row>
    <row r="440" spans="1:5">
      <c r="A440" s="14" t="s">
        <v>65</v>
      </c>
      <c r="B440" s="21" t="s">
        <v>23</v>
      </c>
      <c r="C440" s="29">
        <v>21120</v>
      </c>
      <c r="D440" s="7"/>
      <c r="E440" s="15"/>
    </row>
    <row r="441" spans="1:5">
      <c r="A441" s="14" t="s">
        <v>65</v>
      </c>
      <c r="B441" s="21" t="s">
        <v>24</v>
      </c>
      <c r="C441" s="29">
        <v>18692</v>
      </c>
      <c r="D441" s="7"/>
      <c r="E441" s="15"/>
    </row>
    <row r="442" spans="1:5">
      <c r="A442" s="14" t="s">
        <v>65</v>
      </c>
      <c r="B442" s="21" t="s">
        <v>25</v>
      </c>
      <c r="C442" s="29">
        <v>21229</v>
      </c>
      <c r="D442" s="7"/>
      <c r="E442" s="15"/>
    </row>
    <row r="443" spans="1:5">
      <c r="A443" s="14" t="s">
        <v>65</v>
      </c>
      <c r="B443" s="21" t="s">
        <v>26</v>
      </c>
      <c r="C443" s="29">
        <v>19573</v>
      </c>
      <c r="D443" s="7"/>
      <c r="E443" s="15"/>
    </row>
    <row r="444" spans="1:5">
      <c r="A444" s="14" t="s">
        <v>65</v>
      </c>
      <c r="B444" s="21" t="s">
        <v>27</v>
      </c>
      <c r="C444" s="29">
        <v>18401</v>
      </c>
      <c r="D444" s="7"/>
      <c r="E444" s="15"/>
    </row>
    <row r="445" spans="1:5">
      <c r="A445" s="14" t="s">
        <v>65</v>
      </c>
      <c r="B445" s="21" t="s">
        <v>28</v>
      </c>
      <c r="C445" s="29">
        <v>17984</v>
      </c>
      <c r="D445" s="7"/>
      <c r="E445" s="15"/>
    </row>
    <row r="446" spans="1:5">
      <c r="A446" s="14" t="s">
        <v>65</v>
      </c>
      <c r="B446" s="21" t="s">
        <v>29</v>
      </c>
      <c r="C446" s="29">
        <v>17619</v>
      </c>
      <c r="D446" s="7"/>
      <c r="E446" s="15"/>
    </row>
    <row r="447" spans="1:5">
      <c r="A447" s="14" t="s">
        <v>65</v>
      </c>
      <c r="B447" s="21" t="s">
        <v>30</v>
      </c>
      <c r="C447" s="29">
        <v>17028</v>
      </c>
      <c r="D447" s="7"/>
      <c r="E447" s="15"/>
    </row>
    <row r="448" spans="1:5">
      <c r="A448" s="14" t="s">
        <v>65</v>
      </c>
      <c r="B448" s="21" t="s">
        <v>31</v>
      </c>
      <c r="C448" s="29">
        <v>17449</v>
      </c>
      <c r="D448" s="7"/>
      <c r="E448" s="15"/>
    </row>
    <row r="449" spans="1:5">
      <c r="A449" s="14" t="s">
        <v>65</v>
      </c>
      <c r="B449" s="21" t="s">
        <v>32</v>
      </c>
      <c r="C449" s="29">
        <v>19204</v>
      </c>
      <c r="D449" s="7"/>
      <c r="E449" s="15"/>
    </row>
    <row r="450" spans="1:5">
      <c r="A450" s="14" t="s">
        <v>65</v>
      </c>
      <c r="B450" s="21" t="s">
        <v>33</v>
      </c>
      <c r="C450" s="29">
        <v>18646</v>
      </c>
      <c r="D450" s="7"/>
      <c r="E450" s="15"/>
    </row>
    <row r="451" spans="1:5">
      <c r="A451" s="14" t="s">
        <v>65</v>
      </c>
      <c r="B451" s="21" t="s">
        <v>34</v>
      </c>
      <c r="C451" s="29">
        <v>18717</v>
      </c>
      <c r="D451" s="7"/>
      <c r="E451" s="15"/>
    </row>
    <row r="452" spans="1:5">
      <c r="A452" s="14" t="s">
        <v>65</v>
      </c>
      <c r="B452" s="21" t="s">
        <v>35</v>
      </c>
      <c r="C452" s="29">
        <v>18568</v>
      </c>
      <c r="D452" s="7"/>
      <c r="E452" s="15"/>
    </row>
    <row r="453" spans="1:5">
      <c r="A453" s="14" t="s">
        <v>65</v>
      </c>
      <c r="B453" s="21" t="s">
        <v>36</v>
      </c>
      <c r="C453" s="29">
        <v>17974</v>
      </c>
      <c r="D453" s="7"/>
      <c r="E453" s="15"/>
    </row>
    <row r="454" spans="1:5">
      <c r="A454" s="14" t="s">
        <v>65</v>
      </c>
      <c r="B454" s="21" t="s">
        <v>37</v>
      </c>
      <c r="C454" s="29">
        <v>18569</v>
      </c>
      <c r="D454" s="7"/>
      <c r="E454" s="15"/>
    </row>
    <row r="455" spans="1:5">
      <c r="A455" s="14" t="s">
        <v>65</v>
      </c>
      <c r="B455" s="21" t="s">
        <v>38</v>
      </c>
      <c r="C455" s="29">
        <v>18563</v>
      </c>
      <c r="D455" s="7"/>
      <c r="E455" s="15"/>
    </row>
    <row r="456" spans="1:5">
      <c r="A456" s="14" t="s">
        <v>65</v>
      </c>
      <c r="B456" s="21" t="s">
        <v>39</v>
      </c>
      <c r="C456" s="29">
        <v>14245</v>
      </c>
      <c r="D456" s="7"/>
      <c r="E456" s="15"/>
    </row>
    <row r="457" spans="1:5">
      <c r="A457" s="14" t="s">
        <v>65</v>
      </c>
      <c r="B457" s="21" t="s">
        <v>40</v>
      </c>
      <c r="C457" s="29">
        <v>8946</v>
      </c>
      <c r="D457" s="7"/>
      <c r="E457" s="15"/>
    </row>
    <row r="458" spans="1:5">
      <c r="A458" s="14" t="s">
        <v>66</v>
      </c>
      <c r="B458" s="21" t="s">
        <v>17</v>
      </c>
      <c r="C458" s="29">
        <v>9463</v>
      </c>
      <c r="D458" s="7"/>
      <c r="E458" s="15"/>
    </row>
    <row r="459" spans="1:5">
      <c r="A459" s="14" t="s">
        <v>66</v>
      </c>
      <c r="B459" s="21" t="s">
        <v>18</v>
      </c>
      <c r="C459" s="29">
        <v>10533</v>
      </c>
      <c r="D459" s="7"/>
      <c r="E459" s="15"/>
    </row>
    <row r="460" spans="1:5">
      <c r="A460" s="14" t="s">
        <v>66</v>
      </c>
      <c r="B460" s="21" t="s">
        <v>19</v>
      </c>
      <c r="C460" s="29">
        <v>12137</v>
      </c>
      <c r="D460" s="7"/>
      <c r="E460" s="15"/>
    </row>
    <row r="461" spans="1:5">
      <c r="A461" s="14" t="s">
        <v>66</v>
      </c>
      <c r="B461" s="21" t="s">
        <v>20</v>
      </c>
      <c r="C461" s="29">
        <v>13372</v>
      </c>
      <c r="D461" s="7"/>
      <c r="E461" s="15"/>
    </row>
    <row r="462" spans="1:5">
      <c r="A462" s="14" t="s">
        <v>66</v>
      </c>
      <c r="B462" s="21" t="s">
        <v>21</v>
      </c>
      <c r="C462" s="29">
        <v>21740</v>
      </c>
      <c r="D462" s="7"/>
      <c r="E462" s="15"/>
    </row>
    <row r="463" spans="1:5">
      <c r="A463" s="14" t="s">
        <v>66</v>
      </c>
      <c r="B463" s="21" t="s">
        <v>22</v>
      </c>
      <c r="C463" s="29">
        <v>18315</v>
      </c>
      <c r="D463" s="7"/>
      <c r="E463" s="15"/>
    </row>
    <row r="464" spans="1:5">
      <c r="A464" s="14" t="s">
        <v>66</v>
      </c>
      <c r="B464" s="21" t="s">
        <v>23</v>
      </c>
      <c r="C464" s="29">
        <v>20385</v>
      </c>
      <c r="D464" s="7"/>
      <c r="E464" s="15"/>
    </row>
    <row r="465" spans="1:5">
      <c r="A465" s="14" t="s">
        <v>66</v>
      </c>
      <c r="B465" s="21" t="s">
        <v>24</v>
      </c>
      <c r="C465" s="29">
        <v>19568</v>
      </c>
      <c r="D465" s="7"/>
      <c r="E465" s="15"/>
    </row>
    <row r="466" spans="1:5">
      <c r="A466" s="14" t="s">
        <v>66</v>
      </c>
      <c r="B466" s="21" t="s">
        <v>25</v>
      </c>
      <c r="C466" s="29">
        <v>18546</v>
      </c>
      <c r="D466" s="7"/>
      <c r="E466" s="15"/>
    </row>
    <row r="467" spans="1:5">
      <c r="A467" s="14" t="s">
        <v>66</v>
      </c>
      <c r="B467" s="21" t="s">
        <v>26</v>
      </c>
      <c r="C467" s="29">
        <v>17388</v>
      </c>
      <c r="D467" s="7"/>
      <c r="E467" s="15"/>
    </row>
    <row r="468" spans="1:5">
      <c r="A468" s="14" t="s">
        <v>66</v>
      </c>
      <c r="B468" s="21" t="s">
        <v>27</v>
      </c>
      <c r="C468" s="29">
        <v>16727</v>
      </c>
      <c r="D468" s="7"/>
      <c r="E468" s="15"/>
    </row>
    <row r="469" spans="1:5">
      <c r="A469" s="14" t="s">
        <v>66</v>
      </c>
      <c r="B469" s="21" t="s">
        <v>28</v>
      </c>
      <c r="C469" s="29">
        <v>16006</v>
      </c>
      <c r="D469" s="7"/>
      <c r="E469" s="15"/>
    </row>
    <row r="470" spans="1:5">
      <c r="A470" s="14" t="s">
        <v>66</v>
      </c>
      <c r="B470" s="21" t="s">
        <v>29</v>
      </c>
      <c r="C470" s="29">
        <v>16167</v>
      </c>
      <c r="D470" s="7"/>
      <c r="E470" s="15"/>
    </row>
    <row r="471" spans="1:5">
      <c r="A471" s="14" t="s">
        <v>66</v>
      </c>
      <c r="B471" s="21" t="s">
        <v>30</v>
      </c>
      <c r="C471" s="29">
        <v>14820</v>
      </c>
      <c r="D471" s="7"/>
      <c r="E471" s="15"/>
    </row>
    <row r="472" spans="1:5">
      <c r="A472" s="14" t="s">
        <v>66</v>
      </c>
      <c r="B472" s="21" t="s">
        <v>31</v>
      </c>
      <c r="C472" s="29">
        <v>13950</v>
      </c>
      <c r="D472" s="7"/>
      <c r="E472" s="15"/>
    </row>
    <row r="473" spans="1:5">
      <c r="A473" s="14" t="s">
        <v>66</v>
      </c>
      <c r="B473" s="21" t="s">
        <v>32</v>
      </c>
      <c r="C473" s="29">
        <v>13925</v>
      </c>
      <c r="D473" s="7"/>
      <c r="E473" s="15"/>
    </row>
    <row r="474" spans="1:5">
      <c r="A474" s="14" t="s">
        <v>66</v>
      </c>
      <c r="B474" s="21" t="s">
        <v>33</v>
      </c>
      <c r="C474" s="29">
        <v>15479</v>
      </c>
      <c r="D474" s="7"/>
      <c r="E474" s="15"/>
    </row>
    <row r="475" spans="1:5">
      <c r="A475" s="14" t="s">
        <v>66</v>
      </c>
      <c r="B475" s="21" t="s">
        <v>34</v>
      </c>
      <c r="C475" s="29">
        <v>16970</v>
      </c>
      <c r="D475" s="7"/>
      <c r="E475" s="15"/>
    </row>
    <row r="476" spans="1:5">
      <c r="A476" s="14" t="s">
        <v>66</v>
      </c>
      <c r="B476" s="21" t="s">
        <v>35</v>
      </c>
      <c r="C476" s="29">
        <v>19641</v>
      </c>
      <c r="D476" s="7"/>
      <c r="E476" s="15"/>
    </row>
    <row r="477" spans="1:5">
      <c r="A477" s="14" t="s">
        <v>66</v>
      </c>
      <c r="B477" s="21" t="s">
        <v>36</v>
      </c>
      <c r="C477" s="29">
        <v>18938</v>
      </c>
      <c r="D477" s="7"/>
      <c r="E477" s="15"/>
    </row>
    <row r="478" spans="1:5">
      <c r="A478" s="14" t="s">
        <v>66</v>
      </c>
      <c r="B478" s="21" t="s">
        <v>37</v>
      </c>
      <c r="C478" s="29">
        <v>17920</v>
      </c>
      <c r="D478" s="7"/>
      <c r="E478" s="15"/>
    </row>
    <row r="479" spans="1:5">
      <c r="A479" s="14" t="s">
        <v>66</v>
      </c>
      <c r="B479" s="21" t="s">
        <v>38</v>
      </c>
      <c r="C479" s="29">
        <v>17310</v>
      </c>
      <c r="D479" s="7"/>
      <c r="E479" s="15"/>
    </row>
    <row r="480" spans="1:5">
      <c r="A480" s="14" t="s">
        <v>66</v>
      </c>
      <c r="B480" s="21" t="s">
        <v>39</v>
      </c>
      <c r="C480" s="29">
        <v>16319</v>
      </c>
      <c r="D480" s="7"/>
      <c r="E480" s="15"/>
    </row>
    <row r="481" spans="1:5">
      <c r="A481" s="14" t="s">
        <v>66</v>
      </c>
      <c r="B481" s="21" t="s">
        <v>40</v>
      </c>
      <c r="C481" s="29">
        <v>8391</v>
      </c>
      <c r="D481" s="7"/>
      <c r="E481" s="15"/>
    </row>
    <row r="482" spans="1:5">
      <c r="A482" s="14" t="s">
        <v>67</v>
      </c>
      <c r="B482" s="21" t="s">
        <v>17</v>
      </c>
      <c r="C482" s="29">
        <v>9379</v>
      </c>
      <c r="D482" s="7"/>
      <c r="E482" s="15"/>
    </row>
    <row r="483" spans="1:5">
      <c r="A483" s="14" t="s">
        <v>67</v>
      </c>
      <c r="B483" s="21" t="s">
        <v>18</v>
      </c>
      <c r="C483" s="29">
        <v>10092</v>
      </c>
      <c r="D483" s="7"/>
      <c r="E483" s="15"/>
    </row>
    <row r="484" spans="1:5">
      <c r="A484" s="14" t="s">
        <v>67</v>
      </c>
      <c r="B484" s="21" t="s">
        <v>19</v>
      </c>
      <c r="C484" s="29">
        <v>11459</v>
      </c>
      <c r="D484" s="7"/>
      <c r="E484" s="15"/>
    </row>
    <row r="485" spans="1:5">
      <c r="A485" s="14" t="s">
        <v>67</v>
      </c>
      <c r="B485" s="21" t="s">
        <v>20</v>
      </c>
      <c r="C485" s="29">
        <v>11143</v>
      </c>
      <c r="D485" s="7"/>
      <c r="E485" s="15"/>
    </row>
    <row r="486" spans="1:5">
      <c r="A486" s="14" t="s">
        <v>67</v>
      </c>
      <c r="B486" s="21" t="s">
        <v>21</v>
      </c>
      <c r="C486" s="29">
        <v>18564</v>
      </c>
      <c r="D486" s="7"/>
      <c r="E486" s="15"/>
    </row>
    <row r="487" spans="1:5">
      <c r="A487" s="14" t="s">
        <v>67</v>
      </c>
      <c r="B487" s="21" t="s">
        <v>22</v>
      </c>
      <c r="C487" s="29">
        <v>19023</v>
      </c>
      <c r="D487" s="7"/>
      <c r="E487" s="15"/>
    </row>
    <row r="488" spans="1:5">
      <c r="A488" s="14" t="s">
        <v>67</v>
      </c>
      <c r="B488" s="21" t="s">
        <v>23</v>
      </c>
      <c r="C488" s="29">
        <v>17462</v>
      </c>
      <c r="D488" s="7"/>
      <c r="E488" s="15"/>
    </row>
    <row r="489" spans="1:5">
      <c r="A489" s="14" t="s">
        <v>67</v>
      </c>
      <c r="B489" s="21" t="s">
        <v>24</v>
      </c>
      <c r="C489" s="29">
        <v>15525</v>
      </c>
      <c r="D489" s="7"/>
      <c r="E489" s="15"/>
    </row>
    <row r="490" spans="1:5">
      <c r="A490" s="14" t="s">
        <v>67</v>
      </c>
      <c r="B490" s="21" t="s">
        <v>25</v>
      </c>
      <c r="C490" s="29">
        <v>16730</v>
      </c>
      <c r="D490" s="7"/>
      <c r="E490" s="15"/>
    </row>
    <row r="491" spans="1:5">
      <c r="A491" s="14" t="s">
        <v>67</v>
      </c>
      <c r="B491" s="21" t="s">
        <v>26</v>
      </c>
      <c r="C491" s="29">
        <v>16971</v>
      </c>
      <c r="D491" s="7"/>
      <c r="E491" s="15"/>
    </row>
    <row r="492" spans="1:5">
      <c r="A492" s="14" t="s">
        <v>67</v>
      </c>
      <c r="B492" s="21" t="s">
        <v>27</v>
      </c>
      <c r="C492" s="29">
        <v>16379</v>
      </c>
      <c r="D492" s="7"/>
      <c r="E492" s="15"/>
    </row>
    <row r="493" spans="1:5">
      <c r="A493" s="14" t="s">
        <v>67</v>
      </c>
      <c r="B493" s="21" t="s">
        <v>28</v>
      </c>
      <c r="C493" s="29">
        <v>16317</v>
      </c>
      <c r="D493" s="7"/>
      <c r="E493" s="15"/>
    </row>
    <row r="494" spans="1:5">
      <c r="A494" s="14" t="s">
        <v>67</v>
      </c>
      <c r="B494" s="21" t="s">
        <v>29</v>
      </c>
      <c r="C494" s="29">
        <v>16496</v>
      </c>
      <c r="D494" s="7"/>
      <c r="E494" s="15"/>
    </row>
    <row r="495" spans="1:5">
      <c r="A495" s="14" t="s">
        <v>67</v>
      </c>
      <c r="B495" s="21" t="s">
        <v>30</v>
      </c>
      <c r="C495" s="29">
        <v>15543</v>
      </c>
      <c r="D495" s="7"/>
      <c r="E495" s="15"/>
    </row>
    <row r="496" spans="1:5">
      <c r="A496" s="14" t="s">
        <v>67</v>
      </c>
      <c r="B496" s="21" t="s">
        <v>31</v>
      </c>
      <c r="C496" s="29">
        <v>14694</v>
      </c>
      <c r="D496" s="7"/>
      <c r="E496" s="15"/>
    </row>
    <row r="497" spans="1:5">
      <c r="A497" s="14" t="s">
        <v>67</v>
      </c>
      <c r="B497" s="21" t="s">
        <v>32</v>
      </c>
      <c r="C497" s="29">
        <v>15455</v>
      </c>
      <c r="D497" s="7"/>
      <c r="E497" s="15"/>
    </row>
    <row r="498" spans="1:5">
      <c r="A498" s="14" t="s">
        <v>67</v>
      </c>
      <c r="B498" s="21" t="s">
        <v>33</v>
      </c>
      <c r="C498" s="29">
        <v>16066</v>
      </c>
      <c r="D498" s="7"/>
      <c r="E498" s="15"/>
    </row>
    <row r="499" spans="1:5">
      <c r="A499" s="14" t="s">
        <v>67</v>
      </c>
      <c r="B499" s="21" t="s">
        <v>34</v>
      </c>
      <c r="C499" s="29">
        <v>16633</v>
      </c>
      <c r="D499" s="7"/>
      <c r="E499" s="15"/>
    </row>
    <row r="500" spans="1:5">
      <c r="A500" s="14" t="s">
        <v>67</v>
      </c>
      <c r="B500" s="21" t="s">
        <v>35</v>
      </c>
      <c r="C500" s="29">
        <v>16873</v>
      </c>
      <c r="D500" s="7"/>
      <c r="E500" s="15"/>
    </row>
    <row r="501" spans="1:5">
      <c r="A501" s="14" t="s">
        <v>67</v>
      </c>
      <c r="B501" s="21" t="s">
        <v>36</v>
      </c>
      <c r="C501" s="29">
        <v>16858</v>
      </c>
      <c r="D501" s="7"/>
      <c r="E501" s="15"/>
    </row>
    <row r="502" spans="1:5">
      <c r="A502" s="14" t="s">
        <v>67</v>
      </c>
      <c r="B502" s="21" t="s">
        <v>37</v>
      </c>
      <c r="C502" s="29">
        <v>16783</v>
      </c>
      <c r="D502" s="7"/>
      <c r="E502" s="15"/>
    </row>
    <row r="503" spans="1:5">
      <c r="A503" s="14" t="s">
        <v>67</v>
      </c>
      <c r="B503" s="21" t="s">
        <v>38</v>
      </c>
      <c r="C503" s="29">
        <v>17370</v>
      </c>
      <c r="D503" s="7"/>
      <c r="E503" s="15"/>
    </row>
    <row r="504" spans="1:5">
      <c r="A504" s="14" t="s">
        <v>67</v>
      </c>
      <c r="B504" s="21" t="s">
        <v>39</v>
      </c>
      <c r="C504" s="29">
        <v>14876</v>
      </c>
      <c r="D504" s="7"/>
      <c r="E504" s="15"/>
    </row>
    <row r="505" spans="1:5">
      <c r="A505" s="14" t="s">
        <v>67</v>
      </c>
      <c r="B505" s="21" t="s">
        <v>40</v>
      </c>
      <c r="C505" s="29">
        <v>7180</v>
      </c>
      <c r="D505" s="7"/>
      <c r="E505" s="15"/>
    </row>
    <row r="506" spans="1:5">
      <c r="A506" s="14" t="s">
        <v>68</v>
      </c>
      <c r="B506" s="21" t="s">
        <v>17</v>
      </c>
      <c r="C506" s="29">
        <v>7029</v>
      </c>
      <c r="D506" s="7"/>
      <c r="E506" s="15"/>
    </row>
    <row r="507" spans="1:5">
      <c r="A507" s="14" t="s">
        <v>68</v>
      </c>
      <c r="B507" s="21" t="s">
        <v>18</v>
      </c>
      <c r="C507" s="29">
        <v>7529</v>
      </c>
      <c r="D507" s="7"/>
      <c r="E507" s="15"/>
    </row>
    <row r="508" spans="1:5">
      <c r="A508" s="14" t="s">
        <v>68</v>
      </c>
      <c r="B508" s="21" t="s">
        <v>19</v>
      </c>
      <c r="C508" s="29">
        <v>9402</v>
      </c>
      <c r="D508" s="7"/>
      <c r="E508" s="15"/>
    </row>
    <row r="509" spans="1:5">
      <c r="A509" s="14" t="s">
        <v>68</v>
      </c>
      <c r="B509" s="21" t="s">
        <v>20</v>
      </c>
      <c r="C509" s="29">
        <v>10265</v>
      </c>
      <c r="D509" s="7"/>
      <c r="E509" s="15"/>
    </row>
    <row r="510" spans="1:5">
      <c r="A510" s="14" t="s">
        <v>68</v>
      </c>
      <c r="B510" s="21" t="s">
        <v>21</v>
      </c>
      <c r="C510" s="29">
        <v>20067</v>
      </c>
      <c r="D510" s="7"/>
      <c r="E510" s="15"/>
    </row>
    <row r="511" spans="1:5">
      <c r="A511" s="14" t="s">
        <v>68</v>
      </c>
      <c r="B511" s="21" t="s">
        <v>22</v>
      </c>
      <c r="C511" s="29">
        <v>19352</v>
      </c>
      <c r="D511" s="7"/>
      <c r="E511" s="15"/>
    </row>
    <row r="512" spans="1:5">
      <c r="A512" s="14" t="s">
        <v>68</v>
      </c>
      <c r="B512" s="21" t="s">
        <v>23</v>
      </c>
      <c r="C512" s="29">
        <v>18439</v>
      </c>
      <c r="D512" s="7"/>
      <c r="E512" s="15"/>
    </row>
    <row r="513" spans="1:5">
      <c r="A513" s="14" t="s">
        <v>68</v>
      </c>
      <c r="B513" s="21" t="s">
        <v>24</v>
      </c>
      <c r="C513" s="29">
        <v>16119</v>
      </c>
      <c r="D513" s="7"/>
      <c r="E513" s="15"/>
    </row>
    <row r="514" spans="1:5">
      <c r="A514" s="14" t="s">
        <v>68</v>
      </c>
      <c r="B514" s="21" t="s">
        <v>25</v>
      </c>
      <c r="C514" s="29">
        <v>16508</v>
      </c>
      <c r="D514" s="7"/>
      <c r="E514" s="15"/>
    </row>
    <row r="515" spans="1:5">
      <c r="A515" s="14" t="s">
        <v>68</v>
      </c>
      <c r="B515" s="21" t="s">
        <v>26</v>
      </c>
      <c r="C515" s="29">
        <v>15418</v>
      </c>
      <c r="D515" s="7"/>
      <c r="E515" s="15"/>
    </row>
    <row r="516" spans="1:5">
      <c r="A516" s="14" t="s">
        <v>68</v>
      </c>
      <c r="B516" s="21" t="s">
        <v>27</v>
      </c>
      <c r="C516" s="29">
        <v>15055</v>
      </c>
      <c r="D516" s="7"/>
      <c r="E516" s="15"/>
    </row>
    <row r="517" spans="1:5">
      <c r="A517" s="14" t="s">
        <v>68</v>
      </c>
      <c r="B517" s="21" t="s">
        <v>28</v>
      </c>
      <c r="C517" s="29">
        <v>13458</v>
      </c>
      <c r="D517" s="7"/>
      <c r="E517" s="15"/>
    </row>
    <row r="518" spans="1:5">
      <c r="A518" s="14" t="s">
        <v>68</v>
      </c>
      <c r="B518" s="21" t="s">
        <v>29</v>
      </c>
      <c r="C518" s="29">
        <v>13635</v>
      </c>
      <c r="D518" s="7"/>
      <c r="E518" s="15"/>
    </row>
    <row r="519" spans="1:5">
      <c r="A519" s="14" t="s">
        <v>68</v>
      </c>
      <c r="B519" s="21" t="s">
        <v>30</v>
      </c>
      <c r="C519" s="29">
        <v>12358</v>
      </c>
      <c r="D519" s="7"/>
      <c r="E519" s="15"/>
    </row>
    <row r="520" spans="1:5">
      <c r="A520" s="14" t="s">
        <v>68</v>
      </c>
      <c r="B520" s="21" t="s">
        <v>31</v>
      </c>
      <c r="C520" s="29">
        <v>13829</v>
      </c>
      <c r="D520" s="7"/>
      <c r="E520" s="15"/>
    </row>
    <row r="521" spans="1:5">
      <c r="A521" s="14" t="s">
        <v>68</v>
      </c>
      <c r="B521" s="21" t="s">
        <v>32</v>
      </c>
      <c r="C521" s="29">
        <v>13716</v>
      </c>
      <c r="D521" s="7"/>
      <c r="E521" s="15"/>
    </row>
    <row r="522" spans="1:5">
      <c r="A522" s="14" t="s">
        <v>68</v>
      </c>
      <c r="B522" s="21" t="s">
        <v>33</v>
      </c>
      <c r="C522" s="29">
        <v>13998</v>
      </c>
      <c r="D522" s="7"/>
      <c r="E522" s="15"/>
    </row>
    <row r="523" spans="1:5">
      <c r="A523" s="14" t="s">
        <v>68</v>
      </c>
      <c r="B523" s="21" t="s">
        <v>34</v>
      </c>
      <c r="C523" s="29">
        <v>14698</v>
      </c>
      <c r="D523" s="7"/>
      <c r="E523" s="15"/>
    </row>
    <row r="524" spans="1:5">
      <c r="A524" s="14" t="s">
        <v>68</v>
      </c>
      <c r="B524" s="21" t="s">
        <v>35</v>
      </c>
      <c r="C524" s="29">
        <v>16545</v>
      </c>
      <c r="D524" s="7"/>
      <c r="E524" s="15"/>
    </row>
    <row r="525" spans="1:5">
      <c r="A525" s="14" t="s">
        <v>68</v>
      </c>
      <c r="B525" s="21" t="s">
        <v>36</v>
      </c>
      <c r="C525" s="29">
        <v>17536</v>
      </c>
      <c r="D525" s="7"/>
      <c r="E525" s="15"/>
    </row>
    <row r="526" spans="1:5">
      <c r="A526" s="14" t="s">
        <v>68</v>
      </c>
      <c r="B526" s="21" t="s">
        <v>37</v>
      </c>
      <c r="C526" s="29">
        <v>16245</v>
      </c>
      <c r="D526" s="7"/>
      <c r="E526" s="15"/>
    </row>
    <row r="527" spans="1:5">
      <c r="A527" s="14" t="s">
        <v>68</v>
      </c>
      <c r="B527" s="21" t="s">
        <v>38</v>
      </c>
      <c r="C527" s="29">
        <v>17586</v>
      </c>
      <c r="D527" s="7"/>
      <c r="E527" s="15"/>
    </row>
    <row r="528" spans="1:5">
      <c r="A528" s="14" t="s">
        <v>68</v>
      </c>
      <c r="B528" s="21" t="s">
        <v>39</v>
      </c>
      <c r="C528" s="29">
        <v>15245</v>
      </c>
      <c r="D528" s="7"/>
      <c r="E528" s="15"/>
    </row>
    <row r="529" spans="1:5">
      <c r="A529" s="14" t="s">
        <v>68</v>
      </c>
      <c r="B529" s="21" t="s">
        <v>40</v>
      </c>
      <c r="C529" s="29">
        <v>7575</v>
      </c>
      <c r="D529" s="7"/>
      <c r="E529" s="15"/>
    </row>
    <row r="530" spans="1:5">
      <c r="A530" s="14" t="s">
        <v>69</v>
      </c>
      <c r="B530" s="21" t="s">
        <v>17</v>
      </c>
      <c r="C530" s="29">
        <v>8420</v>
      </c>
      <c r="D530" s="7"/>
      <c r="E530" s="15"/>
    </row>
    <row r="531" spans="1:5">
      <c r="A531" s="14" t="s">
        <v>69</v>
      </c>
      <c r="B531" s="21" t="s">
        <v>18</v>
      </c>
      <c r="C531" s="29">
        <v>8888</v>
      </c>
      <c r="D531" s="7"/>
      <c r="E531" s="15"/>
    </row>
    <row r="532" spans="1:5">
      <c r="A532" s="14" t="s">
        <v>69</v>
      </c>
      <c r="B532" s="21" t="s">
        <v>19</v>
      </c>
      <c r="C532" s="29">
        <v>9833</v>
      </c>
      <c r="D532" s="7"/>
      <c r="E532" s="15"/>
    </row>
    <row r="533" spans="1:5">
      <c r="A533" s="14" t="s">
        <v>69</v>
      </c>
      <c r="B533" s="21" t="s">
        <v>20</v>
      </c>
      <c r="C533" s="29">
        <v>10066</v>
      </c>
      <c r="D533" s="7"/>
      <c r="E533" s="15"/>
    </row>
    <row r="534" spans="1:5">
      <c r="A534" s="14" t="s">
        <v>69</v>
      </c>
      <c r="B534" s="21" t="s">
        <v>21</v>
      </c>
      <c r="C534" s="29">
        <v>19611</v>
      </c>
      <c r="D534" s="7"/>
      <c r="E534" s="15"/>
    </row>
    <row r="535" spans="1:5">
      <c r="A535" s="14" t="s">
        <v>69</v>
      </c>
      <c r="B535" s="21" t="s">
        <v>22</v>
      </c>
      <c r="C535" s="29">
        <v>18857</v>
      </c>
      <c r="D535" s="7"/>
      <c r="E535" s="15"/>
    </row>
    <row r="536" spans="1:5">
      <c r="A536" s="14" t="s">
        <v>69</v>
      </c>
      <c r="B536" s="21" t="s">
        <v>23</v>
      </c>
      <c r="C536" s="29">
        <v>17718</v>
      </c>
      <c r="D536" s="7"/>
      <c r="E536" s="15"/>
    </row>
    <row r="537" spans="1:5">
      <c r="A537" s="14" t="s">
        <v>69</v>
      </c>
      <c r="B537" s="21" t="s">
        <v>24</v>
      </c>
      <c r="C537" s="29">
        <v>16602</v>
      </c>
      <c r="D537" s="7"/>
      <c r="E537" s="15"/>
    </row>
    <row r="538" spans="1:5">
      <c r="A538" s="14" t="s">
        <v>69</v>
      </c>
      <c r="B538" s="21" t="s">
        <v>25</v>
      </c>
      <c r="C538" s="29">
        <v>17052</v>
      </c>
      <c r="D538" s="7"/>
      <c r="E538" s="15"/>
    </row>
    <row r="539" spans="1:5">
      <c r="A539" s="14" t="s">
        <v>69</v>
      </c>
      <c r="B539" s="21" t="s">
        <v>26</v>
      </c>
      <c r="C539" s="29">
        <v>16649</v>
      </c>
      <c r="D539" s="7"/>
      <c r="E539" s="15"/>
    </row>
    <row r="540" spans="1:5">
      <c r="A540" s="14" t="s">
        <v>69</v>
      </c>
      <c r="B540" s="21" t="s">
        <v>27</v>
      </c>
      <c r="C540" s="29">
        <v>15309</v>
      </c>
      <c r="D540" s="7"/>
      <c r="E540" s="15"/>
    </row>
    <row r="541" spans="1:5">
      <c r="A541" s="14" t="s">
        <v>69</v>
      </c>
      <c r="B541" s="21" t="s">
        <v>28</v>
      </c>
      <c r="C541" s="29">
        <v>13879</v>
      </c>
      <c r="D541" s="7"/>
      <c r="E541" s="15"/>
    </row>
    <row r="542" spans="1:5">
      <c r="A542" s="14" t="s">
        <v>69</v>
      </c>
      <c r="B542" s="21" t="s">
        <v>29</v>
      </c>
      <c r="C542" s="29">
        <v>13901</v>
      </c>
      <c r="D542" s="7"/>
      <c r="E542" s="15"/>
    </row>
    <row r="543" spans="1:5">
      <c r="A543" s="14" t="s">
        <v>69</v>
      </c>
      <c r="B543" s="21" t="s">
        <v>30</v>
      </c>
      <c r="C543" s="29">
        <v>12819</v>
      </c>
      <c r="D543" s="7"/>
      <c r="E543" s="15"/>
    </row>
    <row r="544" spans="1:5">
      <c r="A544" s="14" t="s">
        <v>69</v>
      </c>
      <c r="B544" s="21" t="s">
        <v>31</v>
      </c>
      <c r="C544" s="29">
        <v>11793</v>
      </c>
      <c r="D544" s="7"/>
      <c r="E544" s="15"/>
    </row>
    <row r="545" spans="1:5">
      <c r="A545" s="14" t="s">
        <v>69</v>
      </c>
      <c r="B545" s="21" t="s">
        <v>32</v>
      </c>
      <c r="C545" s="29">
        <v>12687</v>
      </c>
      <c r="D545" s="7"/>
      <c r="E545" s="15"/>
    </row>
    <row r="546" spans="1:5">
      <c r="A546" s="14" t="s">
        <v>69</v>
      </c>
      <c r="B546" s="21" t="s">
        <v>33</v>
      </c>
      <c r="C546" s="29">
        <v>12694</v>
      </c>
      <c r="D546" s="7"/>
      <c r="E546" s="15"/>
    </row>
    <row r="547" spans="1:5">
      <c r="A547" s="14" t="s">
        <v>69</v>
      </c>
      <c r="B547" s="21" t="s">
        <v>34</v>
      </c>
      <c r="C547" s="29">
        <v>14731</v>
      </c>
      <c r="D547" s="7"/>
      <c r="E547" s="15"/>
    </row>
    <row r="548" spans="1:5">
      <c r="A548" s="14" t="s">
        <v>69</v>
      </c>
      <c r="B548" s="21" t="s">
        <v>35</v>
      </c>
      <c r="C548" s="29">
        <v>15501</v>
      </c>
      <c r="D548" s="7"/>
      <c r="E548" s="15"/>
    </row>
    <row r="549" spans="1:5">
      <c r="A549" s="14" t="s">
        <v>69</v>
      </c>
      <c r="B549" s="21" t="s">
        <v>36</v>
      </c>
      <c r="C549" s="29">
        <v>15979</v>
      </c>
      <c r="D549" s="7"/>
      <c r="E549" s="15"/>
    </row>
    <row r="550" spans="1:5">
      <c r="A550" s="14" t="s">
        <v>69</v>
      </c>
      <c r="B550" s="21" t="s">
        <v>37</v>
      </c>
      <c r="C550" s="29">
        <v>16882</v>
      </c>
      <c r="D550" s="7"/>
      <c r="E550" s="15"/>
    </row>
    <row r="551" spans="1:5">
      <c r="A551" s="14" t="s">
        <v>69</v>
      </c>
      <c r="B551" s="21" t="s">
        <v>38</v>
      </c>
      <c r="C551" s="29">
        <v>16572</v>
      </c>
      <c r="D551" s="7"/>
      <c r="E551" s="15"/>
    </row>
    <row r="552" spans="1:5">
      <c r="A552" s="14" t="s">
        <v>69</v>
      </c>
      <c r="B552" s="21" t="s">
        <v>39</v>
      </c>
      <c r="C552" s="29">
        <v>14069</v>
      </c>
      <c r="D552" s="7"/>
      <c r="E552" s="15"/>
    </row>
    <row r="553" spans="1:5">
      <c r="A553" s="14" t="s">
        <v>69</v>
      </c>
      <c r="B553" s="21" t="s">
        <v>40</v>
      </c>
      <c r="C553" s="29">
        <v>7337</v>
      </c>
      <c r="D553" s="7"/>
      <c r="E553" s="15"/>
    </row>
    <row r="554" spans="1:5">
      <c r="A554" s="14" t="s">
        <v>70</v>
      </c>
      <c r="B554" s="21" t="s">
        <v>17</v>
      </c>
      <c r="C554" s="29">
        <v>7954</v>
      </c>
      <c r="D554" s="7"/>
      <c r="E554" s="15"/>
    </row>
    <row r="555" spans="1:5">
      <c r="A555" s="14" t="s">
        <v>70</v>
      </c>
      <c r="B555" s="21" t="s">
        <v>18</v>
      </c>
      <c r="C555" s="29">
        <v>8511</v>
      </c>
      <c r="D555" s="7"/>
      <c r="E555" s="15"/>
    </row>
    <row r="556" spans="1:5">
      <c r="A556" s="14" t="s">
        <v>70</v>
      </c>
      <c r="B556" s="21" t="s">
        <v>19</v>
      </c>
      <c r="C556" s="29">
        <v>10330</v>
      </c>
      <c r="D556" s="7"/>
      <c r="E556" s="15"/>
    </row>
    <row r="557" spans="1:5">
      <c r="A557" s="14" t="s">
        <v>70</v>
      </c>
      <c r="B557" s="21" t="s">
        <v>20</v>
      </c>
      <c r="C557" s="29">
        <v>10867</v>
      </c>
      <c r="D557" s="7"/>
      <c r="E557" s="15"/>
    </row>
    <row r="558" spans="1:5">
      <c r="A558" s="14" t="s">
        <v>70</v>
      </c>
      <c r="B558" s="21" t="s">
        <v>21</v>
      </c>
      <c r="C558" s="29">
        <v>20368</v>
      </c>
      <c r="D558" s="7"/>
      <c r="E558" s="15"/>
    </row>
    <row r="559" spans="1:5">
      <c r="A559" s="14" t="s">
        <v>70</v>
      </c>
      <c r="B559" s="21" t="s">
        <v>22</v>
      </c>
      <c r="C559" s="29">
        <v>18778</v>
      </c>
      <c r="D559" s="7"/>
      <c r="E559" s="15"/>
    </row>
    <row r="560" spans="1:5">
      <c r="A560" s="14" t="s">
        <v>70</v>
      </c>
      <c r="B560" s="21" t="s">
        <v>23</v>
      </c>
      <c r="C560" s="29">
        <v>18665</v>
      </c>
      <c r="D560" s="7"/>
      <c r="E560" s="15"/>
    </row>
    <row r="561" spans="1:5">
      <c r="A561" s="14" t="s">
        <v>70</v>
      </c>
      <c r="B561" s="21" t="s">
        <v>24</v>
      </c>
      <c r="C561" s="29">
        <v>17581</v>
      </c>
      <c r="D561" s="7"/>
      <c r="E561" s="15"/>
    </row>
    <row r="562" spans="1:5">
      <c r="A562" s="14" t="s">
        <v>70</v>
      </c>
      <c r="B562" s="21" t="s">
        <v>25</v>
      </c>
      <c r="C562" s="29">
        <v>16483</v>
      </c>
      <c r="D562" s="7"/>
      <c r="E562" s="15"/>
    </row>
    <row r="563" spans="1:5">
      <c r="A563" s="14" t="s">
        <v>70</v>
      </c>
      <c r="B563" s="21" t="s">
        <v>26</v>
      </c>
      <c r="C563" s="29">
        <v>15583</v>
      </c>
      <c r="D563" s="7"/>
      <c r="E563" s="15"/>
    </row>
    <row r="564" spans="1:5">
      <c r="A564" s="14" t="s">
        <v>70</v>
      </c>
      <c r="B564" s="21" t="s">
        <v>27</v>
      </c>
      <c r="C564" s="29">
        <v>13704</v>
      </c>
      <c r="D564" s="7"/>
      <c r="E564" s="15"/>
    </row>
    <row r="565" spans="1:5">
      <c r="A565" s="14" t="s">
        <v>70</v>
      </c>
      <c r="B565" s="21" t="s">
        <v>28</v>
      </c>
      <c r="C565" s="29">
        <v>12332</v>
      </c>
      <c r="D565" s="7"/>
      <c r="E565" s="15"/>
    </row>
    <row r="566" spans="1:5">
      <c r="A566" s="14" t="s">
        <v>70</v>
      </c>
      <c r="B566" s="21" t="s">
        <v>29</v>
      </c>
      <c r="C566" s="29">
        <v>11351</v>
      </c>
      <c r="D566" s="7"/>
      <c r="E566" s="15"/>
    </row>
    <row r="567" spans="1:5">
      <c r="A567" s="14" t="s">
        <v>70</v>
      </c>
      <c r="B567" s="21" t="s">
        <v>30</v>
      </c>
      <c r="C567" s="29">
        <v>10957</v>
      </c>
      <c r="D567" s="7"/>
      <c r="E567" s="15"/>
    </row>
    <row r="568" spans="1:5">
      <c r="A568" s="14" t="s">
        <v>70</v>
      </c>
      <c r="B568" s="21" t="s">
        <v>31</v>
      </c>
      <c r="C568" s="29">
        <v>11558</v>
      </c>
      <c r="D568" s="7"/>
      <c r="E568" s="15"/>
    </row>
    <row r="569" spans="1:5">
      <c r="A569" s="14" t="s">
        <v>70</v>
      </c>
      <c r="B569" s="21" t="s">
        <v>32</v>
      </c>
      <c r="C569" s="29">
        <v>11867</v>
      </c>
      <c r="D569" s="7"/>
      <c r="E569" s="15"/>
    </row>
    <row r="570" spans="1:5">
      <c r="A570" s="14" t="s">
        <v>70</v>
      </c>
      <c r="B570" s="21" t="s">
        <v>33</v>
      </c>
      <c r="C570" s="29">
        <v>12998</v>
      </c>
      <c r="D570" s="7"/>
      <c r="E570" s="15"/>
    </row>
    <row r="571" spans="1:5">
      <c r="A571" s="14" t="s">
        <v>70</v>
      </c>
      <c r="B571" s="21" t="s">
        <v>34</v>
      </c>
      <c r="C571" s="29">
        <v>14268</v>
      </c>
      <c r="D571" s="7"/>
      <c r="E571" s="15"/>
    </row>
    <row r="572" spans="1:5">
      <c r="A572" s="14" t="s">
        <v>70</v>
      </c>
      <c r="B572" s="21" t="s">
        <v>35</v>
      </c>
      <c r="C572" s="29">
        <v>15062</v>
      </c>
      <c r="D572" s="7"/>
      <c r="E572" s="15"/>
    </row>
    <row r="573" spans="1:5">
      <c r="A573" s="14" t="s">
        <v>70</v>
      </c>
      <c r="B573" s="21" t="s">
        <v>36</v>
      </c>
      <c r="C573" s="29">
        <v>15169</v>
      </c>
      <c r="D573" s="7"/>
      <c r="E573" s="15"/>
    </row>
    <row r="574" spans="1:5">
      <c r="A574" s="14" t="s">
        <v>70</v>
      </c>
      <c r="B574" s="21" t="s">
        <v>37</v>
      </c>
      <c r="C574" s="29">
        <v>16435</v>
      </c>
      <c r="D574" s="7"/>
      <c r="E574" s="15"/>
    </row>
    <row r="575" spans="1:5">
      <c r="A575" s="14" t="s">
        <v>70</v>
      </c>
      <c r="B575" s="21" t="s">
        <v>38</v>
      </c>
      <c r="C575" s="29">
        <v>16863</v>
      </c>
      <c r="D575" s="7"/>
      <c r="E575" s="15"/>
    </row>
    <row r="576" spans="1:5">
      <c r="A576" s="14" t="s">
        <v>70</v>
      </c>
      <c r="B576" s="21" t="s">
        <v>39</v>
      </c>
      <c r="C576" s="29">
        <v>14285</v>
      </c>
      <c r="D576" s="7"/>
      <c r="E576" s="15"/>
    </row>
    <row r="577" spans="1:5">
      <c r="A577" s="14" t="s">
        <v>70</v>
      </c>
      <c r="B577" s="21" t="s">
        <v>40</v>
      </c>
      <c r="C577" s="29">
        <v>7476</v>
      </c>
      <c r="D577" s="7"/>
      <c r="E577" s="15"/>
    </row>
    <row r="578" spans="1:5">
      <c r="A578" s="14" t="s">
        <v>71</v>
      </c>
      <c r="B578" s="21" t="s">
        <v>17</v>
      </c>
      <c r="C578" s="29">
        <v>7430</v>
      </c>
      <c r="D578" s="7"/>
      <c r="E578" s="15"/>
    </row>
    <row r="579" spans="1:5">
      <c r="A579" s="14" t="s">
        <v>71</v>
      </c>
      <c r="B579" s="21" t="s">
        <v>18</v>
      </c>
      <c r="C579" s="29">
        <v>8840</v>
      </c>
      <c r="D579" s="7"/>
      <c r="E579" s="15"/>
    </row>
    <row r="580" spans="1:5">
      <c r="A580" s="14" t="s">
        <v>71</v>
      </c>
      <c r="B580" s="21" t="s">
        <v>19</v>
      </c>
      <c r="C580" s="29">
        <v>10642</v>
      </c>
      <c r="D580" s="7"/>
      <c r="E580" s="15"/>
    </row>
    <row r="581" spans="1:5">
      <c r="A581" s="14" t="s">
        <v>71</v>
      </c>
      <c r="B581" s="21" t="s">
        <v>20</v>
      </c>
      <c r="C581" s="29">
        <v>11516</v>
      </c>
      <c r="D581" s="7"/>
      <c r="E581" s="15"/>
    </row>
    <row r="582" spans="1:5">
      <c r="A582" s="14" t="s">
        <v>71</v>
      </c>
      <c r="B582" s="21" t="s">
        <v>21</v>
      </c>
      <c r="C582" s="29">
        <v>20560</v>
      </c>
      <c r="D582" s="7"/>
      <c r="E582" s="15"/>
    </row>
    <row r="583" spans="1:5">
      <c r="A583" s="14" t="s">
        <v>71</v>
      </c>
      <c r="B583" s="21" t="s">
        <v>22</v>
      </c>
      <c r="C583" s="29">
        <v>19671</v>
      </c>
      <c r="D583" s="7"/>
      <c r="E583" s="15"/>
    </row>
    <row r="584" spans="1:5">
      <c r="A584" s="14" t="s">
        <v>71</v>
      </c>
      <c r="B584" s="21" t="s">
        <v>23</v>
      </c>
      <c r="C584" s="29">
        <v>18749</v>
      </c>
      <c r="D584" s="7"/>
      <c r="E584" s="15"/>
    </row>
    <row r="585" spans="1:5">
      <c r="A585" s="14" t="s">
        <v>71</v>
      </c>
      <c r="B585" s="21" t="s">
        <v>24</v>
      </c>
      <c r="C585" s="29">
        <v>14343</v>
      </c>
      <c r="D585" s="7"/>
      <c r="E585" s="15"/>
    </row>
    <row r="586" spans="1:5">
      <c r="A586" s="14" t="s">
        <v>71</v>
      </c>
      <c r="B586" s="21" t="s">
        <v>25</v>
      </c>
      <c r="C586" s="29">
        <v>16077</v>
      </c>
      <c r="D586" s="7"/>
      <c r="E586" s="15"/>
    </row>
    <row r="587" spans="1:5">
      <c r="A587" s="14" t="s">
        <v>71</v>
      </c>
      <c r="B587" s="21" t="s">
        <v>26</v>
      </c>
      <c r="C587" s="29">
        <v>15984</v>
      </c>
      <c r="D587" s="7"/>
      <c r="E587" s="15"/>
    </row>
    <row r="588" spans="1:5">
      <c r="A588" s="14" t="s">
        <v>71</v>
      </c>
      <c r="B588" s="21" t="s">
        <v>27</v>
      </c>
      <c r="C588" s="29">
        <v>15036</v>
      </c>
      <c r="D588" s="7"/>
      <c r="E588" s="15"/>
    </row>
    <row r="589" spans="1:5">
      <c r="A589" s="14" t="s">
        <v>71</v>
      </c>
      <c r="B589" s="21" t="s">
        <v>28</v>
      </c>
      <c r="C589" s="29">
        <v>15272</v>
      </c>
      <c r="D589" s="7"/>
      <c r="E589" s="15"/>
    </row>
    <row r="590" spans="1:5">
      <c r="A590" s="14" t="s">
        <v>71</v>
      </c>
      <c r="B590" s="21" t="s">
        <v>29</v>
      </c>
      <c r="C590" s="29">
        <v>13335</v>
      </c>
      <c r="D590" s="7"/>
      <c r="E590" s="15"/>
    </row>
    <row r="591" spans="1:5">
      <c r="A591" s="14" t="s">
        <v>71</v>
      </c>
      <c r="B591" s="21" t="s">
        <v>30</v>
      </c>
      <c r="C591" s="29">
        <v>12108</v>
      </c>
      <c r="D591" s="7"/>
      <c r="E591" s="15"/>
    </row>
    <row r="592" spans="1:5">
      <c r="A592" s="14" t="s">
        <v>71</v>
      </c>
      <c r="B592" s="21" t="s">
        <v>31</v>
      </c>
      <c r="C592" s="29">
        <v>12798</v>
      </c>
      <c r="D592" s="7"/>
      <c r="E592" s="15"/>
    </row>
    <row r="593" spans="1:5">
      <c r="A593" s="14" t="s">
        <v>71</v>
      </c>
      <c r="B593" s="21" t="s">
        <v>32</v>
      </c>
      <c r="C593" s="29">
        <v>12210</v>
      </c>
      <c r="D593" s="7"/>
      <c r="E593" s="15"/>
    </row>
    <row r="594" spans="1:5">
      <c r="A594" s="14" t="s">
        <v>71</v>
      </c>
      <c r="B594" s="21" t="s">
        <v>33</v>
      </c>
      <c r="C594" s="29">
        <v>12393</v>
      </c>
      <c r="D594" s="7"/>
      <c r="E594" s="15"/>
    </row>
    <row r="595" spans="1:5">
      <c r="A595" s="14" t="s">
        <v>71</v>
      </c>
      <c r="B595" s="21" t="s">
        <v>34</v>
      </c>
      <c r="C595" s="29">
        <v>14105</v>
      </c>
      <c r="D595" s="7"/>
      <c r="E595" s="15"/>
    </row>
    <row r="596" spans="1:5">
      <c r="A596" s="14" t="s">
        <v>71</v>
      </c>
      <c r="B596" s="21" t="s">
        <v>35</v>
      </c>
      <c r="C596" s="29">
        <v>15665</v>
      </c>
      <c r="D596" s="7"/>
      <c r="E596" s="15"/>
    </row>
    <row r="597" spans="1:5">
      <c r="A597" s="14" t="s">
        <v>71</v>
      </c>
      <c r="B597" s="21" t="s">
        <v>36</v>
      </c>
      <c r="C597" s="29">
        <v>16265</v>
      </c>
      <c r="D597" s="7"/>
      <c r="E597" s="15"/>
    </row>
    <row r="598" spans="1:5">
      <c r="A598" s="14" t="s">
        <v>71</v>
      </c>
      <c r="B598" s="21" t="s">
        <v>37</v>
      </c>
      <c r="C598" s="29">
        <v>16123</v>
      </c>
      <c r="D598" s="7"/>
      <c r="E598" s="15"/>
    </row>
    <row r="599" spans="1:5">
      <c r="A599" s="14" t="s">
        <v>71</v>
      </c>
      <c r="B599" s="21" t="s">
        <v>38</v>
      </c>
      <c r="C599" s="29">
        <v>16681</v>
      </c>
      <c r="D599" s="7"/>
      <c r="E599" s="15"/>
    </row>
    <row r="600" spans="1:5">
      <c r="A600" s="14" t="s">
        <v>71</v>
      </c>
      <c r="B600" s="21" t="s">
        <v>39</v>
      </c>
      <c r="C600" s="29">
        <v>14520</v>
      </c>
      <c r="D600" s="7"/>
      <c r="E600" s="15"/>
    </row>
    <row r="601" spans="1:5">
      <c r="A601" s="14" t="s">
        <v>71</v>
      </c>
      <c r="B601" s="21" t="s">
        <v>40</v>
      </c>
      <c r="C601" s="29">
        <v>7338</v>
      </c>
      <c r="D601" s="7"/>
      <c r="E601" s="15"/>
    </row>
    <row r="602" spans="1:5">
      <c r="A602" s="14" t="s">
        <v>72</v>
      </c>
      <c r="B602" s="21" t="s">
        <v>17</v>
      </c>
      <c r="C602" s="29">
        <v>6860</v>
      </c>
      <c r="D602" s="7"/>
      <c r="E602" s="15"/>
    </row>
    <row r="603" spans="1:5">
      <c r="A603" s="14" t="s">
        <v>72</v>
      </c>
      <c r="B603" s="21" t="s">
        <v>18</v>
      </c>
      <c r="C603" s="29">
        <v>6819</v>
      </c>
      <c r="D603" s="7"/>
      <c r="E603" s="15"/>
    </row>
    <row r="604" spans="1:5">
      <c r="A604" s="14" t="s">
        <v>72</v>
      </c>
      <c r="B604" s="21" t="s">
        <v>19</v>
      </c>
      <c r="C604" s="29">
        <v>8633</v>
      </c>
      <c r="D604" s="7"/>
      <c r="E604" s="15"/>
    </row>
    <row r="605" spans="1:5">
      <c r="A605" s="14" t="s">
        <v>72</v>
      </c>
      <c r="B605" s="21" t="s">
        <v>20</v>
      </c>
      <c r="C605" s="29">
        <v>9393</v>
      </c>
      <c r="D605" s="7"/>
      <c r="E605" s="15"/>
    </row>
    <row r="606" spans="1:5">
      <c r="A606" s="14" t="s">
        <v>72</v>
      </c>
      <c r="B606" s="21" t="s">
        <v>21</v>
      </c>
      <c r="C606" s="29">
        <v>18964</v>
      </c>
      <c r="D606" s="7"/>
      <c r="E606" s="15"/>
    </row>
    <row r="607" spans="1:5">
      <c r="A607" s="14" t="s">
        <v>72</v>
      </c>
      <c r="B607" s="21" t="s">
        <v>22</v>
      </c>
      <c r="C607" s="29">
        <v>18620</v>
      </c>
      <c r="D607" s="7"/>
      <c r="E607" s="15"/>
    </row>
    <row r="608" spans="1:5">
      <c r="A608" s="14" t="s">
        <v>72</v>
      </c>
      <c r="B608" s="21" t="s">
        <v>23</v>
      </c>
      <c r="C608" s="29">
        <v>16693</v>
      </c>
      <c r="D608" s="7"/>
      <c r="E608" s="15"/>
    </row>
    <row r="609" spans="1:5">
      <c r="A609" s="14" t="s">
        <v>72</v>
      </c>
      <c r="B609" s="21" t="s">
        <v>24</v>
      </c>
      <c r="C609" s="29">
        <v>15834</v>
      </c>
      <c r="D609" s="7"/>
      <c r="E609" s="15"/>
    </row>
    <row r="610" spans="1:5">
      <c r="A610" s="14" t="s">
        <v>72</v>
      </c>
      <c r="B610" s="21" t="s">
        <v>25</v>
      </c>
      <c r="C610" s="29">
        <v>16421</v>
      </c>
      <c r="D610" s="7"/>
      <c r="E610" s="15"/>
    </row>
    <row r="611" spans="1:5">
      <c r="A611" s="14" t="s">
        <v>72</v>
      </c>
      <c r="B611" s="21" t="s">
        <v>26</v>
      </c>
      <c r="C611" s="29">
        <v>16192</v>
      </c>
      <c r="D611" s="7"/>
      <c r="E611" s="15"/>
    </row>
    <row r="612" spans="1:5">
      <c r="A612" s="14" t="s">
        <v>72</v>
      </c>
      <c r="B612" s="21" t="s">
        <v>27</v>
      </c>
      <c r="C612" s="29">
        <v>15142</v>
      </c>
      <c r="D612" s="7"/>
      <c r="E612" s="15"/>
    </row>
    <row r="613" spans="1:5">
      <c r="A613" s="14" t="s">
        <v>72</v>
      </c>
      <c r="B613" s="21" t="s">
        <v>28</v>
      </c>
      <c r="C613" s="29">
        <v>14685</v>
      </c>
      <c r="D613" s="7"/>
      <c r="E613" s="15"/>
    </row>
    <row r="614" spans="1:5">
      <c r="A614" s="14" t="s">
        <v>72</v>
      </c>
      <c r="B614" s="21" t="s">
        <v>29</v>
      </c>
      <c r="C614" s="29">
        <v>13688</v>
      </c>
      <c r="D614" s="7"/>
      <c r="E614" s="15"/>
    </row>
    <row r="615" spans="1:5">
      <c r="A615" s="14" t="s">
        <v>72</v>
      </c>
      <c r="B615" s="21" t="s">
        <v>30</v>
      </c>
      <c r="C615" s="29">
        <v>13216</v>
      </c>
      <c r="D615" s="7"/>
      <c r="E615" s="15"/>
    </row>
    <row r="616" spans="1:5">
      <c r="A616" s="14" t="s">
        <v>72</v>
      </c>
      <c r="B616" s="21" t="s">
        <v>31</v>
      </c>
      <c r="C616" s="29">
        <v>13401</v>
      </c>
      <c r="D616" s="7"/>
      <c r="E616" s="15"/>
    </row>
    <row r="617" spans="1:5">
      <c r="A617" s="14" t="s">
        <v>72</v>
      </c>
      <c r="B617" s="21" t="s">
        <v>32</v>
      </c>
      <c r="C617" s="29">
        <v>13255</v>
      </c>
      <c r="D617" s="7"/>
      <c r="E617" s="15"/>
    </row>
    <row r="618" spans="1:5">
      <c r="A618" s="14" t="s">
        <v>72</v>
      </c>
      <c r="B618" s="21" t="s">
        <v>33</v>
      </c>
      <c r="C618" s="29">
        <v>13313</v>
      </c>
      <c r="D618" s="7"/>
      <c r="E618" s="15"/>
    </row>
    <row r="619" spans="1:5">
      <c r="A619" s="14" t="s">
        <v>72</v>
      </c>
      <c r="B619" s="21" t="s">
        <v>34</v>
      </c>
      <c r="C619" s="29">
        <v>14248</v>
      </c>
      <c r="D619" s="7"/>
      <c r="E619" s="15"/>
    </row>
    <row r="620" spans="1:5">
      <c r="A620" s="14" t="s">
        <v>72</v>
      </c>
      <c r="B620" s="21" t="s">
        <v>35</v>
      </c>
      <c r="C620" s="29">
        <v>16363</v>
      </c>
      <c r="D620" s="7"/>
      <c r="E620" s="15"/>
    </row>
    <row r="621" spans="1:5">
      <c r="A621" s="14" t="s">
        <v>72</v>
      </c>
      <c r="B621" s="21" t="s">
        <v>36</v>
      </c>
      <c r="C621" s="29">
        <v>15876</v>
      </c>
      <c r="D621" s="7"/>
      <c r="E621" s="15"/>
    </row>
    <row r="622" spans="1:5">
      <c r="A622" s="14" t="s">
        <v>72</v>
      </c>
      <c r="B622" s="21" t="s">
        <v>37</v>
      </c>
      <c r="C622" s="29">
        <v>16898</v>
      </c>
      <c r="D622" s="7"/>
      <c r="E622" s="15"/>
    </row>
    <row r="623" spans="1:5">
      <c r="A623" s="14" t="s">
        <v>72</v>
      </c>
      <c r="B623" s="21" t="s">
        <v>38</v>
      </c>
      <c r="C623" s="29">
        <v>15740</v>
      </c>
      <c r="D623" s="7"/>
      <c r="E623" s="15"/>
    </row>
    <row r="624" spans="1:5">
      <c r="A624" s="14" t="s">
        <v>72</v>
      </c>
      <c r="B624" s="21" t="s">
        <v>39</v>
      </c>
      <c r="C624" s="29">
        <v>14284</v>
      </c>
      <c r="D624" s="7"/>
      <c r="E624" s="15"/>
    </row>
    <row r="625" spans="1:5">
      <c r="A625" s="14" t="s">
        <v>72</v>
      </c>
      <c r="B625" s="21" t="s">
        <v>40</v>
      </c>
      <c r="C625" s="29">
        <v>6165</v>
      </c>
      <c r="D625" s="7"/>
      <c r="E625" s="15"/>
    </row>
    <row r="626" spans="1:5">
      <c r="A626" s="14" t="s">
        <v>73</v>
      </c>
      <c r="B626" s="21" t="s">
        <v>17</v>
      </c>
      <c r="C626" s="29">
        <v>4576</v>
      </c>
      <c r="D626" s="7"/>
      <c r="E626" s="15"/>
    </row>
    <row r="627" spans="1:5">
      <c r="A627" s="14" t="s">
        <v>73</v>
      </c>
      <c r="B627" s="21" t="s">
        <v>18</v>
      </c>
      <c r="C627" s="29">
        <v>6611</v>
      </c>
      <c r="D627" s="7"/>
      <c r="E627" s="15"/>
    </row>
    <row r="628" spans="1:5">
      <c r="A628" s="14" t="s">
        <v>73</v>
      </c>
      <c r="B628" s="21" t="s">
        <v>19</v>
      </c>
      <c r="C628" s="29">
        <v>8303</v>
      </c>
      <c r="D628" s="7"/>
      <c r="E628" s="15"/>
    </row>
    <row r="629" spans="1:5">
      <c r="A629" s="14" t="s">
        <v>73</v>
      </c>
      <c r="B629" s="21" t="s">
        <v>20</v>
      </c>
      <c r="C629" s="29">
        <v>9986</v>
      </c>
      <c r="D629" s="7"/>
      <c r="E629" s="15"/>
    </row>
    <row r="630" spans="1:5">
      <c r="A630" s="14" t="s">
        <v>73</v>
      </c>
      <c r="B630" s="21" t="s">
        <v>21</v>
      </c>
      <c r="C630" s="29">
        <v>17586</v>
      </c>
      <c r="D630" s="7"/>
      <c r="E630" s="15"/>
    </row>
    <row r="631" spans="1:5">
      <c r="A631" s="14" t="s">
        <v>73</v>
      </c>
      <c r="B631" s="21" t="s">
        <v>22</v>
      </c>
      <c r="C631" s="29">
        <v>17918</v>
      </c>
      <c r="D631" s="7"/>
      <c r="E631" s="15"/>
    </row>
    <row r="632" spans="1:5">
      <c r="A632" s="14" t="s">
        <v>73</v>
      </c>
      <c r="B632" s="21" t="s">
        <v>23</v>
      </c>
      <c r="C632" s="29">
        <v>17093</v>
      </c>
      <c r="D632" s="7"/>
      <c r="E632" s="15"/>
    </row>
    <row r="633" spans="1:5">
      <c r="A633" s="14" t="s">
        <v>73</v>
      </c>
      <c r="B633" s="21" t="s">
        <v>24</v>
      </c>
      <c r="C633" s="29">
        <v>13951</v>
      </c>
      <c r="D633" s="7"/>
      <c r="E633" s="15"/>
    </row>
    <row r="634" spans="1:5">
      <c r="A634" s="14" t="s">
        <v>73</v>
      </c>
      <c r="B634" s="21" t="s">
        <v>25</v>
      </c>
      <c r="C634" s="29">
        <v>14396</v>
      </c>
      <c r="D634" s="7"/>
      <c r="E634" s="15"/>
    </row>
    <row r="635" spans="1:5">
      <c r="A635" s="14" t="s">
        <v>73</v>
      </c>
      <c r="B635" s="21" t="s">
        <v>26</v>
      </c>
      <c r="C635" s="29">
        <v>15464</v>
      </c>
      <c r="D635" s="7"/>
      <c r="E635" s="15"/>
    </row>
    <row r="636" spans="1:5">
      <c r="A636" s="14" t="s">
        <v>73</v>
      </c>
      <c r="B636" s="21" t="s">
        <v>27</v>
      </c>
      <c r="C636" s="29">
        <v>15418</v>
      </c>
      <c r="D636" s="7"/>
      <c r="E636" s="15"/>
    </row>
    <row r="637" spans="1:5">
      <c r="A637" s="14" t="s">
        <v>73</v>
      </c>
      <c r="B637" s="21" t="s">
        <v>28</v>
      </c>
      <c r="C637" s="29">
        <v>14695</v>
      </c>
      <c r="D637" s="7"/>
      <c r="E637" s="15"/>
    </row>
    <row r="638" spans="1:5">
      <c r="A638" s="14" t="s">
        <v>73</v>
      </c>
      <c r="B638" s="21" t="s">
        <v>29</v>
      </c>
      <c r="C638" s="29">
        <v>14315</v>
      </c>
      <c r="D638" s="7"/>
      <c r="E638" s="15"/>
    </row>
    <row r="639" spans="1:5">
      <c r="A639" s="14" t="s">
        <v>73</v>
      </c>
      <c r="B639" s="21" t="s">
        <v>30</v>
      </c>
      <c r="C639" s="29">
        <v>14922</v>
      </c>
      <c r="D639" s="7"/>
      <c r="E639" s="15"/>
    </row>
    <row r="640" spans="1:5">
      <c r="A640" s="14" t="s">
        <v>73</v>
      </c>
      <c r="B640" s="21" t="s">
        <v>31</v>
      </c>
      <c r="C640" s="29">
        <v>14015</v>
      </c>
      <c r="D640" s="7"/>
      <c r="E640" s="15"/>
    </row>
    <row r="641" spans="1:5">
      <c r="A641" s="14" t="s">
        <v>73</v>
      </c>
      <c r="B641" s="21" t="s">
        <v>32</v>
      </c>
      <c r="C641" s="29">
        <v>13763</v>
      </c>
      <c r="D641" s="7"/>
      <c r="E641" s="15"/>
    </row>
    <row r="642" spans="1:5">
      <c r="A642" s="14" t="s">
        <v>73</v>
      </c>
      <c r="B642" s="21" t="s">
        <v>33</v>
      </c>
      <c r="C642" s="29">
        <v>14779</v>
      </c>
      <c r="D642" s="7"/>
      <c r="E642" s="15"/>
    </row>
    <row r="643" spans="1:5">
      <c r="A643" s="14" t="s">
        <v>73</v>
      </c>
      <c r="B643" s="21" t="s">
        <v>34</v>
      </c>
      <c r="C643" s="29">
        <v>15121</v>
      </c>
      <c r="D643" s="7"/>
      <c r="E643" s="15"/>
    </row>
    <row r="644" spans="1:5">
      <c r="A644" s="14" t="s">
        <v>73</v>
      </c>
      <c r="B644" s="21" t="s">
        <v>35</v>
      </c>
      <c r="C644" s="29">
        <v>15617</v>
      </c>
      <c r="D644" s="7"/>
      <c r="E644" s="15"/>
    </row>
    <row r="645" spans="1:5">
      <c r="A645" s="14" t="s">
        <v>73</v>
      </c>
      <c r="B645" s="21" t="s">
        <v>36</v>
      </c>
      <c r="C645" s="29">
        <v>15927</v>
      </c>
      <c r="D645" s="7"/>
      <c r="E645" s="15"/>
    </row>
    <row r="646" spans="1:5">
      <c r="A646" s="14" t="s">
        <v>73</v>
      </c>
      <c r="B646" s="21" t="s">
        <v>37</v>
      </c>
      <c r="C646" s="29">
        <v>15519</v>
      </c>
      <c r="D646" s="7"/>
      <c r="E646" s="15"/>
    </row>
    <row r="647" spans="1:5">
      <c r="A647" s="14" t="s">
        <v>73</v>
      </c>
      <c r="B647" s="21" t="s">
        <v>38</v>
      </c>
      <c r="C647" s="29">
        <v>15349</v>
      </c>
      <c r="D647" s="7"/>
      <c r="E647" s="15"/>
    </row>
    <row r="648" spans="1:5">
      <c r="A648" s="14" t="s">
        <v>73</v>
      </c>
      <c r="B648" s="21" t="s">
        <v>39</v>
      </c>
      <c r="C648" s="29">
        <v>13636</v>
      </c>
      <c r="D648" s="7"/>
      <c r="E648" s="15"/>
    </row>
    <row r="649" spans="1:5">
      <c r="A649" s="14" t="s">
        <v>73</v>
      </c>
      <c r="B649" s="21" t="s">
        <v>40</v>
      </c>
      <c r="C649" s="29">
        <v>5842</v>
      </c>
      <c r="D649" s="7"/>
      <c r="E649" s="15"/>
    </row>
    <row r="650" spans="1:5">
      <c r="A650" s="14" t="s">
        <v>74</v>
      </c>
      <c r="B650" s="21" t="s">
        <v>17</v>
      </c>
      <c r="C650" s="29">
        <v>4740</v>
      </c>
      <c r="D650" s="7"/>
      <c r="E650" s="15"/>
    </row>
    <row r="651" spans="1:5">
      <c r="A651" s="14" t="s">
        <v>74</v>
      </c>
      <c r="B651" s="21" t="s">
        <v>18</v>
      </c>
      <c r="C651" s="29">
        <v>5409</v>
      </c>
      <c r="D651" s="7"/>
      <c r="E651" s="15"/>
    </row>
    <row r="652" spans="1:5">
      <c r="A652" s="14" t="s">
        <v>74</v>
      </c>
      <c r="B652" s="21" t="s">
        <v>19</v>
      </c>
      <c r="C652" s="29">
        <v>6899</v>
      </c>
      <c r="D652" s="7"/>
      <c r="E652" s="15"/>
    </row>
    <row r="653" spans="1:5">
      <c r="A653" s="14" t="s">
        <v>74</v>
      </c>
      <c r="B653" s="21" t="s">
        <v>20</v>
      </c>
      <c r="C653" s="29">
        <v>10929</v>
      </c>
      <c r="D653" s="7"/>
      <c r="E653" s="15"/>
    </row>
    <row r="654" spans="1:5">
      <c r="A654" s="14" t="s">
        <v>74</v>
      </c>
      <c r="B654" s="21" t="s">
        <v>21</v>
      </c>
      <c r="C654" s="29">
        <v>18890</v>
      </c>
      <c r="D654" s="7"/>
      <c r="E654" s="15"/>
    </row>
    <row r="655" spans="1:5">
      <c r="A655" s="14" t="s">
        <v>74</v>
      </c>
      <c r="B655" s="21" t="s">
        <v>22</v>
      </c>
      <c r="C655" s="29">
        <v>18291</v>
      </c>
      <c r="D655" s="7"/>
      <c r="E655" s="15"/>
    </row>
    <row r="656" spans="1:5">
      <c r="A656" s="14" t="s">
        <v>74</v>
      </c>
      <c r="B656" s="21" t="s">
        <v>23</v>
      </c>
      <c r="C656" s="29">
        <v>16577</v>
      </c>
      <c r="D656" s="7"/>
      <c r="E656" s="15"/>
    </row>
    <row r="657" spans="1:5">
      <c r="A657" s="14" t="s">
        <v>74</v>
      </c>
      <c r="B657" s="21" t="s">
        <v>24</v>
      </c>
      <c r="C657" s="29">
        <v>14436</v>
      </c>
      <c r="D657" s="7"/>
      <c r="E657" s="15"/>
    </row>
    <row r="658" spans="1:5">
      <c r="A658" s="14" t="s">
        <v>74</v>
      </c>
      <c r="B658" s="21" t="s">
        <v>25</v>
      </c>
      <c r="C658" s="29">
        <v>15042</v>
      </c>
      <c r="D658" s="7"/>
      <c r="E658" s="15"/>
    </row>
    <row r="659" spans="1:5">
      <c r="A659" s="14" t="s">
        <v>74</v>
      </c>
      <c r="B659" s="21" t="s">
        <v>26</v>
      </c>
      <c r="C659" s="29">
        <v>15203</v>
      </c>
      <c r="D659" s="7"/>
      <c r="E659" s="15"/>
    </row>
    <row r="660" spans="1:5">
      <c r="A660" s="14" t="s">
        <v>74</v>
      </c>
      <c r="B660" s="21" t="s">
        <v>27</v>
      </c>
      <c r="C660" s="29">
        <v>14915</v>
      </c>
      <c r="D660" s="7"/>
      <c r="E660" s="15"/>
    </row>
    <row r="661" spans="1:5">
      <c r="A661" s="14" t="s">
        <v>74</v>
      </c>
      <c r="B661" s="21" t="s">
        <v>28</v>
      </c>
      <c r="C661" s="29">
        <v>13988</v>
      </c>
      <c r="D661" s="7"/>
      <c r="E661" s="15"/>
    </row>
    <row r="662" spans="1:5">
      <c r="A662" s="14" t="s">
        <v>74</v>
      </c>
      <c r="B662" s="21" t="s">
        <v>29</v>
      </c>
      <c r="C662" s="29">
        <v>13027</v>
      </c>
      <c r="D662" s="7"/>
      <c r="E662" s="15"/>
    </row>
    <row r="663" spans="1:5">
      <c r="A663" s="14" t="s">
        <v>74</v>
      </c>
      <c r="B663" s="21" t="s">
        <v>30</v>
      </c>
      <c r="C663" s="29">
        <v>12388</v>
      </c>
      <c r="D663" s="7"/>
      <c r="E663" s="15"/>
    </row>
    <row r="664" spans="1:5">
      <c r="A664" s="14" t="s">
        <v>74</v>
      </c>
      <c r="B664" s="21" t="s">
        <v>31</v>
      </c>
      <c r="C664" s="29">
        <v>11782</v>
      </c>
      <c r="D664" s="7"/>
      <c r="E664" s="15"/>
    </row>
    <row r="665" spans="1:5">
      <c r="A665" s="14" t="s">
        <v>74</v>
      </c>
      <c r="B665" s="21" t="s">
        <v>32</v>
      </c>
      <c r="C665" s="29">
        <v>11699</v>
      </c>
      <c r="D665" s="7"/>
      <c r="E665" s="15"/>
    </row>
    <row r="666" spans="1:5">
      <c r="A666" s="14" t="s">
        <v>74</v>
      </c>
      <c r="B666" s="21" t="s">
        <v>33</v>
      </c>
      <c r="C666" s="29">
        <v>11471</v>
      </c>
      <c r="D666" s="7"/>
      <c r="E666" s="15"/>
    </row>
    <row r="667" spans="1:5">
      <c r="A667" s="14" t="s">
        <v>74</v>
      </c>
      <c r="B667" s="21" t="s">
        <v>34</v>
      </c>
      <c r="C667" s="29">
        <v>12488</v>
      </c>
      <c r="D667" s="7"/>
      <c r="E667" s="15"/>
    </row>
    <row r="668" spans="1:5">
      <c r="A668" s="14" t="s">
        <v>74</v>
      </c>
      <c r="B668" s="21" t="s">
        <v>35</v>
      </c>
      <c r="C668" s="29">
        <v>14581</v>
      </c>
      <c r="D668" s="7"/>
      <c r="E668" s="15"/>
    </row>
    <row r="669" spans="1:5">
      <c r="A669" s="14" t="s">
        <v>74</v>
      </c>
      <c r="B669" s="21" t="s">
        <v>36</v>
      </c>
      <c r="C669" s="29">
        <v>16473</v>
      </c>
      <c r="D669" s="7"/>
      <c r="E669" s="15"/>
    </row>
    <row r="670" spans="1:5">
      <c r="A670" s="14" t="s">
        <v>74</v>
      </c>
      <c r="B670" s="21" t="s">
        <v>37</v>
      </c>
      <c r="C670" s="29">
        <v>14529</v>
      </c>
      <c r="D670" s="7"/>
      <c r="E670" s="15"/>
    </row>
    <row r="671" spans="1:5">
      <c r="A671" s="14" t="s">
        <v>74</v>
      </c>
      <c r="B671" s="21" t="s">
        <v>38</v>
      </c>
      <c r="C671" s="29">
        <v>16095</v>
      </c>
      <c r="D671" s="7"/>
      <c r="E671" s="15"/>
    </row>
    <row r="672" spans="1:5">
      <c r="A672" s="14" t="s">
        <v>74</v>
      </c>
      <c r="B672" s="21" t="s">
        <v>39</v>
      </c>
      <c r="C672" s="29">
        <v>12577</v>
      </c>
      <c r="D672" s="7"/>
      <c r="E672" s="15"/>
    </row>
    <row r="673" spans="1:5">
      <c r="A673" s="14" t="s">
        <v>74</v>
      </c>
      <c r="B673" s="21" t="s">
        <v>40</v>
      </c>
      <c r="C673" s="29">
        <v>5845</v>
      </c>
      <c r="D673" s="7"/>
      <c r="E673" s="15"/>
    </row>
    <row r="674" spans="1:5">
      <c r="A674" s="14" t="s">
        <v>75</v>
      </c>
      <c r="B674" s="21" t="s">
        <v>17</v>
      </c>
      <c r="C674" s="7"/>
      <c r="D674" s="7"/>
      <c r="E674" s="15"/>
    </row>
    <row r="675" spans="1:5">
      <c r="A675" s="14" t="s">
        <v>75</v>
      </c>
      <c r="B675" s="21" t="s">
        <v>18</v>
      </c>
      <c r="C675" s="7"/>
      <c r="D675" s="7"/>
      <c r="E675" s="15"/>
    </row>
    <row r="676" spans="1:5">
      <c r="A676" s="14" t="s">
        <v>75</v>
      </c>
      <c r="B676" s="21" t="s">
        <v>19</v>
      </c>
      <c r="C676" s="7"/>
      <c r="D676" s="7"/>
      <c r="E676" s="15"/>
    </row>
    <row r="677" spans="1:5">
      <c r="A677" s="14" t="s">
        <v>75</v>
      </c>
      <c r="B677" s="21" t="s">
        <v>20</v>
      </c>
      <c r="C677" s="7"/>
      <c r="D677" s="7"/>
      <c r="E677" s="15"/>
    </row>
    <row r="678" spans="1:5">
      <c r="A678" s="14" t="s">
        <v>75</v>
      </c>
      <c r="B678" s="21" t="s">
        <v>21</v>
      </c>
      <c r="C678" s="7"/>
      <c r="D678" s="7"/>
      <c r="E678" s="15"/>
    </row>
    <row r="679" spans="1:5">
      <c r="A679" s="14" t="s">
        <v>75</v>
      </c>
      <c r="B679" s="21" t="s">
        <v>22</v>
      </c>
      <c r="C679" s="7"/>
      <c r="D679" s="7"/>
      <c r="E679" s="15"/>
    </row>
    <row r="680" spans="1:5">
      <c r="A680" s="14" t="s">
        <v>75</v>
      </c>
      <c r="B680" s="21" t="s">
        <v>23</v>
      </c>
      <c r="C680" s="7"/>
      <c r="D680" s="7"/>
      <c r="E680" s="15"/>
    </row>
    <row r="681" spans="1:5">
      <c r="A681" s="14" t="s">
        <v>75</v>
      </c>
      <c r="B681" s="21" t="s">
        <v>24</v>
      </c>
      <c r="C681" s="7"/>
      <c r="D681" s="7"/>
      <c r="E681" s="15"/>
    </row>
    <row r="682" spans="1:5">
      <c r="A682" s="14" t="s">
        <v>75</v>
      </c>
      <c r="B682" s="21" t="s">
        <v>25</v>
      </c>
      <c r="C682" s="7"/>
      <c r="D682" s="7"/>
      <c r="E682" s="15"/>
    </row>
    <row r="683" spans="1:5">
      <c r="A683" s="14" t="s">
        <v>75</v>
      </c>
      <c r="B683" s="21" t="s">
        <v>26</v>
      </c>
      <c r="C683" s="7"/>
      <c r="D683" s="7"/>
      <c r="E683" s="15"/>
    </row>
    <row r="684" spans="1:5">
      <c r="A684" s="14" t="s">
        <v>75</v>
      </c>
      <c r="B684" s="21" t="s">
        <v>27</v>
      </c>
      <c r="C684" s="7"/>
      <c r="D684" s="7"/>
      <c r="E684" s="15"/>
    </row>
    <row r="685" spans="1:5">
      <c r="A685" s="14" t="s">
        <v>75</v>
      </c>
      <c r="B685" s="21" t="s">
        <v>28</v>
      </c>
      <c r="C685" s="7"/>
      <c r="D685" s="7"/>
      <c r="E685" s="15"/>
    </row>
    <row r="686" spans="1:5">
      <c r="A686" s="14" t="s">
        <v>75</v>
      </c>
      <c r="B686" s="21" t="s">
        <v>29</v>
      </c>
      <c r="C686" s="7"/>
      <c r="D686" s="7"/>
      <c r="E686" s="15"/>
    </row>
    <row r="687" spans="1:5">
      <c r="A687" s="14" t="s">
        <v>75</v>
      </c>
      <c r="B687" s="21" t="s">
        <v>30</v>
      </c>
      <c r="C687" s="7"/>
      <c r="D687" s="7"/>
      <c r="E687" s="15"/>
    </row>
    <row r="688" spans="1:5">
      <c r="A688" s="14" t="s">
        <v>75</v>
      </c>
      <c r="B688" s="21" t="s">
        <v>31</v>
      </c>
      <c r="C688" s="7"/>
      <c r="D688" s="7"/>
      <c r="E688" s="15"/>
    </row>
    <row r="689" spans="1:5">
      <c r="A689" s="14" t="s">
        <v>75</v>
      </c>
      <c r="B689" s="21" t="s">
        <v>32</v>
      </c>
      <c r="C689" s="7"/>
      <c r="D689" s="7"/>
      <c r="E689" s="15"/>
    </row>
    <row r="690" spans="1:5">
      <c r="A690" s="14" t="s">
        <v>75</v>
      </c>
      <c r="B690" s="21" t="s">
        <v>33</v>
      </c>
      <c r="C690" s="7"/>
      <c r="D690" s="7"/>
      <c r="E690" s="15"/>
    </row>
    <row r="691" spans="1:5">
      <c r="A691" s="14" t="s">
        <v>75</v>
      </c>
      <c r="B691" s="21" t="s">
        <v>34</v>
      </c>
      <c r="C691" s="7"/>
      <c r="D691" s="7"/>
      <c r="E691" s="15"/>
    </row>
    <row r="692" spans="1:5">
      <c r="A692" s="14" t="s">
        <v>75</v>
      </c>
      <c r="B692" s="21" t="s">
        <v>35</v>
      </c>
      <c r="C692" s="7"/>
      <c r="D692" s="7"/>
      <c r="E692" s="15"/>
    </row>
    <row r="693" spans="1:5">
      <c r="A693" s="14" t="s">
        <v>75</v>
      </c>
      <c r="B693" s="21" t="s">
        <v>36</v>
      </c>
      <c r="C693" s="7"/>
      <c r="D693" s="7"/>
      <c r="E693" s="15"/>
    </row>
    <row r="694" spans="1:5">
      <c r="A694" s="14" t="s">
        <v>75</v>
      </c>
      <c r="B694" s="21" t="s">
        <v>37</v>
      </c>
      <c r="C694" s="7"/>
      <c r="D694" s="7"/>
      <c r="E694" s="15"/>
    </row>
    <row r="695" spans="1:5">
      <c r="A695" s="14" t="s">
        <v>75</v>
      </c>
      <c r="B695" s="21" t="s">
        <v>38</v>
      </c>
      <c r="C695" s="7"/>
      <c r="D695" s="7"/>
      <c r="E695" s="15"/>
    </row>
    <row r="696" spans="1:5">
      <c r="A696" s="14" t="s">
        <v>75</v>
      </c>
      <c r="B696" s="21" t="s">
        <v>39</v>
      </c>
      <c r="C696" s="7"/>
      <c r="D696" s="7"/>
      <c r="E696" s="15"/>
    </row>
    <row r="697" spans="1:5">
      <c r="A697" s="14" t="s">
        <v>75</v>
      </c>
      <c r="B697" s="21" t="s">
        <v>40</v>
      </c>
      <c r="C697" s="7"/>
      <c r="D697" s="7"/>
      <c r="E697" s="15"/>
    </row>
    <row r="698" spans="1:5">
      <c r="A698" s="14" t="s">
        <v>76</v>
      </c>
      <c r="B698" s="21" t="s">
        <v>17</v>
      </c>
      <c r="C698" s="7"/>
      <c r="D698" s="7"/>
      <c r="E698" s="15"/>
    </row>
    <row r="699" spans="1:5">
      <c r="A699" s="14" t="s">
        <v>76</v>
      </c>
      <c r="B699" s="21" t="s">
        <v>18</v>
      </c>
      <c r="C699" s="7"/>
      <c r="D699" s="7"/>
      <c r="E699" s="15"/>
    </row>
    <row r="700" spans="1:5">
      <c r="A700" s="14" t="s">
        <v>76</v>
      </c>
      <c r="B700" s="21" t="s">
        <v>19</v>
      </c>
      <c r="C700" s="7"/>
      <c r="D700" s="7"/>
      <c r="E700" s="15"/>
    </row>
    <row r="701" spans="1:5">
      <c r="A701" s="14" t="s">
        <v>76</v>
      </c>
      <c r="B701" s="21" t="s">
        <v>20</v>
      </c>
      <c r="C701" s="7"/>
      <c r="D701" s="7"/>
      <c r="E701" s="15"/>
    </row>
    <row r="702" spans="1:5">
      <c r="A702" s="14" t="s">
        <v>76</v>
      </c>
      <c r="B702" s="21" t="s">
        <v>21</v>
      </c>
      <c r="C702" s="7"/>
      <c r="D702" s="7"/>
      <c r="E702" s="15"/>
    </row>
    <row r="703" spans="1:5">
      <c r="A703" s="14" t="s">
        <v>76</v>
      </c>
      <c r="B703" s="21" t="s">
        <v>22</v>
      </c>
      <c r="C703" s="7"/>
      <c r="D703" s="7"/>
      <c r="E703" s="15"/>
    </row>
    <row r="704" spans="1:5">
      <c r="A704" s="14" t="s">
        <v>76</v>
      </c>
      <c r="B704" s="21" t="s">
        <v>23</v>
      </c>
      <c r="C704" s="7"/>
      <c r="D704" s="7"/>
      <c r="E704" s="15"/>
    </row>
    <row r="705" spans="1:5">
      <c r="A705" s="14" t="s">
        <v>76</v>
      </c>
      <c r="B705" s="21" t="s">
        <v>24</v>
      </c>
      <c r="C705" s="7"/>
      <c r="D705" s="7"/>
      <c r="E705" s="15"/>
    </row>
    <row r="706" spans="1:5">
      <c r="A706" s="14" t="s">
        <v>76</v>
      </c>
      <c r="B706" s="21" t="s">
        <v>25</v>
      </c>
      <c r="C706" s="7"/>
      <c r="D706" s="7"/>
      <c r="E706" s="15"/>
    </row>
    <row r="707" spans="1:5">
      <c r="A707" s="14" t="s">
        <v>76</v>
      </c>
      <c r="B707" s="21" t="s">
        <v>26</v>
      </c>
      <c r="C707" s="7"/>
      <c r="D707" s="7"/>
      <c r="E707" s="15"/>
    </row>
    <row r="708" spans="1:5">
      <c r="A708" s="14" t="s">
        <v>76</v>
      </c>
      <c r="B708" s="21" t="s">
        <v>27</v>
      </c>
      <c r="C708" s="7"/>
      <c r="D708" s="7"/>
      <c r="E708" s="15"/>
    </row>
    <row r="709" spans="1:5">
      <c r="A709" s="14" t="s">
        <v>76</v>
      </c>
      <c r="B709" s="21" t="s">
        <v>28</v>
      </c>
      <c r="C709" s="7"/>
      <c r="D709" s="7"/>
      <c r="E709" s="15"/>
    </row>
    <row r="710" spans="1:5">
      <c r="A710" s="14" t="s">
        <v>76</v>
      </c>
      <c r="B710" s="21" t="s">
        <v>29</v>
      </c>
      <c r="C710" s="7"/>
      <c r="D710" s="7"/>
      <c r="E710" s="15"/>
    </row>
    <row r="711" spans="1:5">
      <c r="A711" s="14" t="s">
        <v>76</v>
      </c>
      <c r="B711" s="21" t="s">
        <v>30</v>
      </c>
      <c r="C711" s="7"/>
      <c r="D711" s="7"/>
      <c r="E711" s="15"/>
    </row>
    <row r="712" spans="1:5">
      <c r="A712" s="14" t="s">
        <v>76</v>
      </c>
      <c r="B712" s="21" t="s">
        <v>31</v>
      </c>
      <c r="C712" s="7"/>
      <c r="D712" s="7"/>
      <c r="E712" s="15"/>
    </row>
    <row r="713" spans="1:5">
      <c r="A713" s="14" t="s">
        <v>76</v>
      </c>
      <c r="B713" s="21" t="s">
        <v>32</v>
      </c>
      <c r="C713" s="7"/>
      <c r="D713" s="7"/>
      <c r="E713" s="15"/>
    </row>
    <row r="714" spans="1:5">
      <c r="A714" s="14" t="s">
        <v>76</v>
      </c>
      <c r="B714" s="21" t="s">
        <v>33</v>
      </c>
      <c r="C714" s="7"/>
      <c r="D714" s="7"/>
      <c r="E714" s="15"/>
    </row>
    <row r="715" spans="1:5">
      <c r="A715" s="14" t="s">
        <v>76</v>
      </c>
      <c r="B715" s="21" t="s">
        <v>34</v>
      </c>
      <c r="C715" s="7"/>
      <c r="D715" s="7"/>
      <c r="E715" s="15"/>
    </row>
    <row r="716" spans="1:5">
      <c r="A716" s="14" t="s">
        <v>76</v>
      </c>
      <c r="B716" s="21" t="s">
        <v>35</v>
      </c>
      <c r="C716" s="7"/>
      <c r="D716" s="7"/>
      <c r="E716" s="15"/>
    </row>
    <row r="717" spans="1:5">
      <c r="A717" s="14" t="s">
        <v>76</v>
      </c>
      <c r="B717" s="21" t="s">
        <v>36</v>
      </c>
      <c r="C717" s="7"/>
      <c r="D717" s="7"/>
      <c r="E717" s="15"/>
    </row>
    <row r="718" spans="1:5">
      <c r="A718" s="14" t="s">
        <v>76</v>
      </c>
      <c r="B718" s="21" t="s">
        <v>37</v>
      </c>
      <c r="C718" s="7"/>
      <c r="D718" s="7"/>
      <c r="E718" s="15"/>
    </row>
    <row r="719" spans="1:5">
      <c r="A719" s="14" t="s">
        <v>76</v>
      </c>
      <c r="B719" s="21" t="s">
        <v>38</v>
      </c>
      <c r="C719" s="7"/>
      <c r="D719" s="7"/>
      <c r="E719" s="15"/>
    </row>
    <row r="720" spans="1:5">
      <c r="A720" s="14" t="s">
        <v>76</v>
      </c>
      <c r="B720" s="21" t="s">
        <v>39</v>
      </c>
      <c r="C720" s="7"/>
      <c r="D720" s="7"/>
      <c r="E720" s="15"/>
    </row>
    <row r="721" spans="1:5">
      <c r="A721" s="14" t="s">
        <v>76</v>
      </c>
      <c r="B721" s="21" t="s">
        <v>40</v>
      </c>
      <c r="C721" s="7"/>
      <c r="D721" s="7"/>
      <c r="E721" s="15"/>
    </row>
    <row r="722" spans="1:5">
      <c r="A722" s="14" t="s">
        <v>77</v>
      </c>
      <c r="B722" s="21" t="s">
        <v>17</v>
      </c>
      <c r="C722" s="7"/>
      <c r="D722" s="7"/>
      <c r="E722" s="15"/>
    </row>
    <row r="723" spans="1:5">
      <c r="A723" s="14" t="s">
        <v>77</v>
      </c>
      <c r="B723" s="21" t="s">
        <v>18</v>
      </c>
      <c r="C723" s="7"/>
      <c r="D723" s="7"/>
      <c r="E723" s="15"/>
    </row>
    <row r="724" spans="1:5">
      <c r="A724" s="14" t="s">
        <v>77</v>
      </c>
      <c r="B724" s="21" t="s">
        <v>19</v>
      </c>
      <c r="C724" s="7"/>
      <c r="D724" s="7"/>
      <c r="E724" s="15"/>
    </row>
    <row r="725" spans="1:5">
      <c r="A725" s="14" t="s">
        <v>77</v>
      </c>
      <c r="B725" s="21" t="s">
        <v>20</v>
      </c>
      <c r="C725" s="7"/>
      <c r="D725" s="7"/>
      <c r="E725" s="15"/>
    </row>
    <row r="726" spans="1:5">
      <c r="A726" s="14" t="s">
        <v>77</v>
      </c>
      <c r="B726" s="21" t="s">
        <v>21</v>
      </c>
      <c r="C726" s="7"/>
      <c r="D726" s="7"/>
      <c r="E726" s="15"/>
    </row>
    <row r="727" spans="1:5">
      <c r="A727" s="14" t="s">
        <v>77</v>
      </c>
      <c r="B727" s="21" t="s">
        <v>22</v>
      </c>
      <c r="C727" s="7"/>
      <c r="D727" s="7"/>
      <c r="E727" s="15"/>
    </row>
    <row r="728" spans="1:5">
      <c r="A728" s="14" t="s">
        <v>77</v>
      </c>
      <c r="B728" s="21" t="s">
        <v>23</v>
      </c>
      <c r="C728" s="7"/>
      <c r="D728" s="7"/>
      <c r="E728" s="15"/>
    </row>
    <row r="729" spans="1:5">
      <c r="A729" s="14" t="s">
        <v>77</v>
      </c>
      <c r="B729" s="21" t="s">
        <v>24</v>
      </c>
      <c r="C729" s="7"/>
      <c r="D729" s="7"/>
      <c r="E729" s="15"/>
    </row>
    <row r="730" spans="1:5">
      <c r="A730" s="14" t="s">
        <v>77</v>
      </c>
      <c r="B730" s="21" t="s">
        <v>25</v>
      </c>
      <c r="C730" s="7"/>
      <c r="D730" s="7"/>
      <c r="E730" s="15"/>
    </row>
    <row r="731" spans="1:5">
      <c r="A731" s="14" t="s">
        <v>77</v>
      </c>
      <c r="B731" s="21" t="s">
        <v>26</v>
      </c>
      <c r="C731" s="7"/>
      <c r="D731" s="7"/>
      <c r="E731" s="15"/>
    </row>
    <row r="732" spans="1:5">
      <c r="A732" s="14" t="s">
        <v>77</v>
      </c>
      <c r="B732" s="21" t="s">
        <v>27</v>
      </c>
      <c r="C732" s="7"/>
      <c r="D732" s="7"/>
      <c r="E732" s="15"/>
    </row>
    <row r="733" spans="1:5">
      <c r="A733" s="14" t="s">
        <v>77</v>
      </c>
      <c r="B733" s="21" t="s">
        <v>28</v>
      </c>
      <c r="C733" s="7"/>
      <c r="D733" s="7"/>
      <c r="E733" s="15"/>
    </row>
    <row r="734" spans="1:5">
      <c r="A734" s="14" t="s">
        <v>77</v>
      </c>
      <c r="B734" s="21" t="s">
        <v>29</v>
      </c>
      <c r="C734" s="7"/>
      <c r="D734" s="7"/>
      <c r="E734" s="15"/>
    </row>
    <row r="735" spans="1:5">
      <c r="A735" s="14" t="s">
        <v>77</v>
      </c>
      <c r="B735" s="21" t="s">
        <v>30</v>
      </c>
      <c r="C735" s="7"/>
      <c r="D735" s="7"/>
      <c r="E735" s="15"/>
    </row>
    <row r="736" spans="1:5">
      <c r="A736" s="14" t="s">
        <v>77</v>
      </c>
      <c r="B736" s="21" t="s">
        <v>31</v>
      </c>
      <c r="C736" s="7"/>
      <c r="D736" s="7"/>
      <c r="E736" s="15"/>
    </row>
    <row r="737" spans="1:5">
      <c r="A737" s="14" t="s">
        <v>77</v>
      </c>
      <c r="B737" s="21" t="s">
        <v>32</v>
      </c>
      <c r="C737" s="7"/>
      <c r="D737" s="7"/>
      <c r="E737" s="15"/>
    </row>
    <row r="738" spans="1:5">
      <c r="A738" s="14" t="s">
        <v>77</v>
      </c>
      <c r="B738" s="21" t="s">
        <v>33</v>
      </c>
      <c r="C738" s="7"/>
      <c r="D738" s="7"/>
      <c r="E738" s="15"/>
    </row>
    <row r="739" spans="1:5">
      <c r="A739" s="14" t="s">
        <v>77</v>
      </c>
      <c r="B739" s="21" t="s">
        <v>34</v>
      </c>
      <c r="C739" s="7"/>
      <c r="D739" s="7"/>
      <c r="E739" s="15"/>
    </row>
    <row r="740" spans="1:5">
      <c r="A740" s="14" t="s">
        <v>77</v>
      </c>
      <c r="B740" s="21" t="s">
        <v>35</v>
      </c>
      <c r="C740" s="7"/>
      <c r="D740" s="7"/>
      <c r="E740" s="15"/>
    </row>
    <row r="741" spans="1:5">
      <c r="A741" s="14" t="s">
        <v>77</v>
      </c>
      <c r="B741" s="21" t="s">
        <v>36</v>
      </c>
      <c r="C741" s="7"/>
      <c r="D741" s="7"/>
      <c r="E741" s="15"/>
    </row>
    <row r="742" spans="1:5">
      <c r="A742" s="14" t="s">
        <v>77</v>
      </c>
      <c r="B742" s="21" t="s">
        <v>37</v>
      </c>
      <c r="C742" s="7"/>
      <c r="D742" s="7"/>
      <c r="E742" s="15"/>
    </row>
    <row r="743" spans="1:5">
      <c r="A743" s="14" t="s">
        <v>77</v>
      </c>
      <c r="B743" s="21" t="s">
        <v>38</v>
      </c>
      <c r="C743" s="7"/>
      <c r="D743" s="7"/>
      <c r="E743" s="15"/>
    </row>
    <row r="744" spans="1:5">
      <c r="A744" s="14" t="s">
        <v>77</v>
      </c>
      <c r="B744" s="21" t="s">
        <v>39</v>
      </c>
      <c r="C744" s="7"/>
      <c r="D744" s="7"/>
      <c r="E744" s="15"/>
    </row>
    <row r="745" spans="1:5" ht="15.75" thickBot="1">
      <c r="A745" s="16" t="s">
        <v>77</v>
      </c>
      <c r="B745" s="22" t="s">
        <v>40</v>
      </c>
      <c r="C745" s="17"/>
      <c r="D745" s="17"/>
      <c r="E745" s="18"/>
    </row>
    <row r="746" spans="1:5">
      <c r="A746" s="1"/>
      <c r="B746" s="2"/>
    </row>
    <row r="747" spans="1:5">
      <c r="A747" s="1"/>
      <c r="B747" s="2"/>
    </row>
    <row r="748" spans="1:5">
      <c r="A748" s="1"/>
      <c r="B748" s="2"/>
    </row>
    <row r="749" spans="1:5">
      <c r="A74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45"/>
  <sheetViews>
    <sheetView workbookViewId="0">
      <selection activeCell="E18" sqref="E18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</cols>
  <sheetData>
    <row r="1" spans="1:5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</row>
    <row r="2" spans="1:5">
      <c r="A2" s="19" t="s">
        <v>42</v>
      </c>
      <c r="B2" s="20" t="s">
        <v>17</v>
      </c>
      <c r="C2" s="13">
        <v>5834</v>
      </c>
      <c r="D2" s="13"/>
      <c r="E2" s="90"/>
    </row>
    <row r="3" spans="1:5">
      <c r="A3" s="14" t="s">
        <v>42</v>
      </c>
      <c r="B3" s="21" t="s">
        <v>18</v>
      </c>
      <c r="C3" s="29">
        <v>6159</v>
      </c>
      <c r="D3" s="29"/>
      <c r="E3" s="91"/>
    </row>
    <row r="4" spans="1:5">
      <c r="A4" s="14" t="s">
        <v>42</v>
      </c>
      <c r="B4" s="21" t="s">
        <v>19</v>
      </c>
      <c r="C4" s="29">
        <v>5346</v>
      </c>
      <c r="D4" s="29"/>
      <c r="E4" s="91"/>
    </row>
    <row r="5" spans="1:5">
      <c r="A5" s="14" t="s">
        <v>42</v>
      </c>
      <c r="B5" s="21" t="s">
        <v>20</v>
      </c>
      <c r="C5" s="29">
        <v>5931</v>
      </c>
      <c r="D5" s="29"/>
      <c r="E5" s="91"/>
    </row>
    <row r="6" spans="1:5">
      <c r="A6" s="14" t="s">
        <v>42</v>
      </c>
      <c r="B6" s="21" t="s">
        <v>21</v>
      </c>
      <c r="C6" s="29">
        <v>7781</v>
      </c>
      <c r="D6" s="29"/>
      <c r="E6" s="91"/>
    </row>
    <row r="7" spans="1:5">
      <c r="A7" s="14" t="s">
        <v>42</v>
      </c>
      <c r="B7" s="21" t="s">
        <v>22</v>
      </c>
      <c r="C7" s="29">
        <v>10507</v>
      </c>
      <c r="D7" s="29"/>
      <c r="E7" s="91"/>
    </row>
    <row r="8" spans="1:5">
      <c r="A8" s="14" t="s">
        <v>42</v>
      </c>
      <c r="B8" s="21" t="s">
        <v>23</v>
      </c>
      <c r="C8" s="29">
        <v>13665</v>
      </c>
      <c r="D8" s="29"/>
      <c r="E8" s="91"/>
    </row>
    <row r="9" spans="1:5">
      <c r="A9" s="14" t="s">
        <v>42</v>
      </c>
      <c r="B9" s="21" t="s">
        <v>24</v>
      </c>
      <c r="C9" s="29">
        <v>14502</v>
      </c>
      <c r="D9" s="29"/>
      <c r="E9" s="91"/>
    </row>
    <row r="10" spans="1:5">
      <c r="A10" s="14" t="s">
        <v>42</v>
      </c>
      <c r="B10" s="21" t="s">
        <v>25</v>
      </c>
      <c r="C10" s="29">
        <v>13059</v>
      </c>
      <c r="D10" s="29"/>
      <c r="E10" s="91"/>
    </row>
    <row r="11" spans="1:5">
      <c r="A11" s="14" t="s">
        <v>42</v>
      </c>
      <c r="B11" s="21" t="s">
        <v>26</v>
      </c>
      <c r="C11" s="29">
        <v>11558</v>
      </c>
      <c r="D11" s="29"/>
      <c r="E11" s="91"/>
    </row>
    <row r="12" spans="1:5">
      <c r="A12" s="14" t="s">
        <v>42</v>
      </c>
      <c r="B12" s="21" t="s">
        <v>27</v>
      </c>
      <c r="C12" s="29">
        <v>8600</v>
      </c>
      <c r="D12" s="29"/>
      <c r="E12" s="91"/>
    </row>
    <row r="13" spans="1:5">
      <c r="A13" s="14" t="s">
        <v>42</v>
      </c>
      <c r="B13" s="21" t="s">
        <v>28</v>
      </c>
      <c r="C13" s="29">
        <v>9684</v>
      </c>
      <c r="D13" s="29"/>
      <c r="E13" s="91"/>
    </row>
    <row r="14" spans="1:5">
      <c r="A14" s="14" t="s">
        <v>42</v>
      </c>
      <c r="B14" s="21" t="s">
        <v>29</v>
      </c>
      <c r="C14" s="29">
        <v>9106</v>
      </c>
      <c r="D14" s="29"/>
      <c r="E14" s="91"/>
    </row>
    <row r="15" spans="1:5">
      <c r="A15" s="14" t="s">
        <v>42</v>
      </c>
      <c r="B15" s="21" t="s">
        <v>30</v>
      </c>
      <c r="C15" s="29">
        <v>9028</v>
      </c>
      <c r="D15" s="29"/>
      <c r="E15" s="91"/>
    </row>
    <row r="16" spans="1:5">
      <c r="A16" s="14" t="s">
        <v>42</v>
      </c>
      <c r="B16" s="21" t="s">
        <v>31</v>
      </c>
      <c r="C16" s="29">
        <v>9187</v>
      </c>
      <c r="D16" s="29"/>
      <c r="E16" s="91"/>
    </row>
    <row r="17" spans="1:5">
      <c r="A17" s="14" t="s">
        <v>42</v>
      </c>
      <c r="B17" s="21" t="s">
        <v>32</v>
      </c>
      <c r="C17" s="29">
        <v>9219</v>
      </c>
      <c r="D17" s="29"/>
      <c r="E17" s="91"/>
    </row>
    <row r="18" spans="1:5">
      <c r="A18" s="14" t="s">
        <v>42</v>
      </c>
      <c r="B18" s="21" t="s">
        <v>33</v>
      </c>
      <c r="C18" s="29">
        <v>9898</v>
      </c>
      <c r="D18" s="29"/>
      <c r="E18" s="91"/>
    </row>
    <row r="19" spans="1:5">
      <c r="A19" s="14" t="s">
        <v>42</v>
      </c>
      <c r="B19" s="21" t="s">
        <v>34</v>
      </c>
      <c r="C19" s="29">
        <v>9951</v>
      </c>
      <c r="D19" s="29"/>
      <c r="E19" s="91"/>
    </row>
    <row r="20" spans="1:5">
      <c r="A20" s="14" t="s">
        <v>42</v>
      </c>
      <c r="B20" s="21" t="s">
        <v>35</v>
      </c>
      <c r="C20" s="29">
        <v>10151</v>
      </c>
      <c r="D20" s="29"/>
      <c r="E20" s="91"/>
    </row>
    <row r="21" spans="1:5">
      <c r="A21" s="14" t="s">
        <v>42</v>
      </c>
      <c r="B21" s="21" t="s">
        <v>36</v>
      </c>
      <c r="C21" s="29">
        <v>11016</v>
      </c>
      <c r="D21" s="29"/>
      <c r="E21" s="91"/>
    </row>
    <row r="22" spans="1:5">
      <c r="A22" s="14" t="s">
        <v>42</v>
      </c>
      <c r="B22" s="21" t="s">
        <v>37</v>
      </c>
      <c r="C22" s="29">
        <v>10653</v>
      </c>
      <c r="D22" s="29"/>
      <c r="E22" s="91"/>
    </row>
    <row r="23" spans="1:5">
      <c r="A23" s="14" t="s">
        <v>42</v>
      </c>
      <c r="B23" s="21" t="s">
        <v>38</v>
      </c>
      <c r="C23" s="29">
        <v>10275</v>
      </c>
      <c r="D23" s="29"/>
      <c r="E23" s="91"/>
    </row>
    <row r="24" spans="1:5">
      <c r="A24" s="14" t="s">
        <v>42</v>
      </c>
      <c r="B24" s="21" t="s">
        <v>39</v>
      </c>
      <c r="C24" s="29">
        <v>8908</v>
      </c>
      <c r="D24" s="29"/>
      <c r="E24" s="91"/>
    </row>
    <row r="25" spans="1:5">
      <c r="A25" s="14" t="s">
        <v>42</v>
      </c>
      <c r="B25" s="21" t="s">
        <v>40</v>
      </c>
      <c r="C25" s="29">
        <v>6538</v>
      </c>
      <c r="D25" s="29"/>
      <c r="E25" s="91"/>
    </row>
    <row r="26" spans="1:5">
      <c r="A26" s="14" t="s">
        <v>46</v>
      </c>
      <c r="B26" s="21" t="s">
        <v>17</v>
      </c>
      <c r="C26" s="29">
        <v>5665</v>
      </c>
      <c r="D26" s="29"/>
      <c r="E26" s="91"/>
    </row>
    <row r="27" spans="1:5">
      <c r="A27" s="14" t="s">
        <v>46</v>
      </c>
      <c r="B27" s="21" t="s">
        <v>18</v>
      </c>
      <c r="C27" s="29">
        <v>5686</v>
      </c>
      <c r="D27" s="29"/>
      <c r="E27" s="91"/>
    </row>
    <row r="28" spans="1:5">
      <c r="A28" s="14" t="s">
        <v>46</v>
      </c>
      <c r="B28" s="21" t="s">
        <v>19</v>
      </c>
      <c r="C28" s="29">
        <v>4646</v>
      </c>
      <c r="D28" s="29"/>
      <c r="E28" s="91"/>
    </row>
    <row r="29" spans="1:5">
      <c r="A29" s="14" t="s">
        <v>46</v>
      </c>
      <c r="B29" s="21" t="s">
        <v>20</v>
      </c>
      <c r="C29" s="29">
        <v>5503</v>
      </c>
      <c r="D29" s="29"/>
      <c r="E29" s="91"/>
    </row>
    <row r="30" spans="1:5">
      <c r="A30" s="14" t="s">
        <v>46</v>
      </c>
      <c r="B30" s="21" t="s">
        <v>21</v>
      </c>
      <c r="C30" s="29">
        <v>9435</v>
      </c>
      <c r="D30" s="29"/>
      <c r="E30" s="91"/>
    </row>
    <row r="31" spans="1:5">
      <c r="A31" s="14" t="s">
        <v>46</v>
      </c>
      <c r="B31" s="21" t="s">
        <v>22</v>
      </c>
      <c r="C31" s="29">
        <v>11781</v>
      </c>
      <c r="D31" s="29"/>
      <c r="E31" s="91"/>
    </row>
    <row r="32" spans="1:5">
      <c r="A32" s="14" t="s">
        <v>46</v>
      </c>
      <c r="B32" s="21" t="s">
        <v>23</v>
      </c>
      <c r="C32" s="29">
        <v>13527</v>
      </c>
      <c r="D32" s="29"/>
      <c r="E32" s="91"/>
    </row>
    <row r="33" spans="1:5">
      <c r="A33" s="14" t="s">
        <v>46</v>
      </c>
      <c r="B33" s="21" t="s">
        <v>24</v>
      </c>
      <c r="C33" s="29">
        <v>11867</v>
      </c>
      <c r="D33" s="29"/>
      <c r="E33" s="91"/>
    </row>
    <row r="34" spans="1:5">
      <c r="A34" s="14" t="s">
        <v>46</v>
      </c>
      <c r="B34" s="21" t="s">
        <v>25</v>
      </c>
      <c r="C34" s="29">
        <v>11832</v>
      </c>
      <c r="D34" s="29"/>
      <c r="E34" s="91"/>
    </row>
    <row r="35" spans="1:5">
      <c r="A35" s="14" t="s">
        <v>46</v>
      </c>
      <c r="B35" s="21" t="s">
        <v>26</v>
      </c>
      <c r="C35" s="29">
        <v>9617</v>
      </c>
      <c r="D35" s="29"/>
      <c r="E35" s="91"/>
    </row>
    <row r="36" spans="1:5">
      <c r="A36" s="14" t="s">
        <v>46</v>
      </c>
      <c r="B36" s="21" t="s">
        <v>27</v>
      </c>
      <c r="C36" s="29">
        <v>10201</v>
      </c>
      <c r="D36" s="29"/>
      <c r="E36" s="91"/>
    </row>
    <row r="37" spans="1:5">
      <c r="A37" s="14" t="s">
        <v>46</v>
      </c>
      <c r="B37" s="21" t="s">
        <v>28</v>
      </c>
      <c r="C37" s="29">
        <v>9941</v>
      </c>
      <c r="D37" s="29"/>
      <c r="E37" s="91"/>
    </row>
    <row r="38" spans="1:5">
      <c r="A38" s="14" t="s">
        <v>46</v>
      </c>
      <c r="B38" s="21" t="s">
        <v>29</v>
      </c>
      <c r="C38" s="29">
        <v>10879</v>
      </c>
      <c r="D38" s="29"/>
      <c r="E38" s="91"/>
    </row>
    <row r="39" spans="1:5">
      <c r="A39" s="14" t="s">
        <v>46</v>
      </c>
      <c r="B39" s="21" t="s">
        <v>30</v>
      </c>
      <c r="C39" s="29">
        <v>10799</v>
      </c>
      <c r="D39" s="29"/>
      <c r="E39" s="91"/>
    </row>
    <row r="40" spans="1:5">
      <c r="A40" s="14" t="s">
        <v>46</v>
      </c>
      <c r="B40" s="21" t="s">
        <v>31</v>
      </c>
      <c r="C40" s="29">
        <v>11398</v>
      </c>
      <c r="D40" s="29"/>
      <c r="E40" s="91"/>
    </row>
    <row r="41" spans="1:5">
      <c r="A41" s="14" t="s">
        <v>46</v>
      </c>
      <c r="B41" s="21" t="s">
        <v>32</v>
      </c>
      <c r="C41" s="29">
        <v>10318</v>
      </c>
      <c r="D41" s="29"/>
      <c r="E41" s="91"/>
    </row>
    <row r="42" spans="1:5">
      <c r="A42" s="14" t="s">
        <v>46</v>
      </c>
      <c r="B42" s="21" t="s">
        <v>33</v>
      </c>
      <c r="C42" s="29">
        <v>11065</v>
      </c>
      <c r="D42" s="29"/>
      <c r="E42" s="91"/>
    </row>
    <row r="43" spans="1:5">
      <c r="A43" s="14" t="s">
        <v>46</v>
      </c>
      <c r="B43" s="21" t="s">
        <v>34</v>
      </c>
      <c r="C43" s="29">
        <v>11212</v>
      </c>
      <c r="D43" s="29"/>
      <c r="E43" s="91"/>
    </row>
    <row r="44" spans="1:5">
      <c r="A44" s="14" t="s">
        <v>46</v>
      </c>
      <c r="B44" s="21" t="s">
        <v>35</v>
      </c>
      <c r="C44" s="29">
        <v>10753</v>
      </c>
      <c r="D44" s="29"/>
      <c r="E44" s="91"/>
    </row>
    <row r="45" spans="1:5">
      <c r="A45" s="14" t="s">
        <v>46</v>
      </c>
      <c r="B45" s="21" t="s">
        <v>36</v>
      </c>
      <c r="C45" s="29">
        <v>11369</v>
      </c>
      <c r="D45" s="29"/>
      <c r="E45" s="91"/>
    </row>
    <row r="46" spans="1:5">
      <c r="A46" s="14" t="s">
        <v>46</v>
      </c>
      <c r="B46" s="21" t="s">
        <v>37</v>
      </c>
      <c r="C46" s="29">
        <v>11853</v>
      </c>
      <c r="D46" s="29"/>
      <c r="E46" s="91"/>
    </row>
    <row r="47" spans="1:5">
      <c r="A47" s="14" t="s">
        <v>46</v>
      </c>
      <c r="B47" s="21" t="s">
        <v>38</v>
      </c>
      <c r="C47" s="29">
        <v>11597</v>
      </c>
      <c r="D47" s="29"/>
      <c r="E47" s="91"/>
    </row>
    <row r="48" spans="1:5">
      <c r="A48" s="14" t="s">
        <v>46</v>
      </c>
      <c r="B48" s="21" t="s">
        <v>39</v>
      </c>
      <c r="C48" s="29">
        <v>10184</v>
      </c>
      <c r="D48" s="29"/>
      <c r="E48" s="91"/>
    </row>
    <row r="49" spans="1:5">
      <c r="A49" s="14" t="s">
        <v>46</v>
      </c>
      <c r="B49" s="21" t="s">
        <v>40</v>
      </c>
      <c r="C49" s="29">
        <v>5621</v>
      </c>
      <c r="D49" s="29"/>
      <c r="E49" s="91"/>
    </row>
    <row r="50" spans="1:5">
      <c r="A50" s="14" t="s">
        <v>78</v>
      </c>
      <c r="B50" s="21" t="s">
        <v>17</v>
      </c>
      <c r="C50" s="29">
        <v>5897</v>
      </c>
      <c r="D50" s="29"/>
      <c r="E50" s="91"/>
    </row>
    <row r="51" spans="1:5">
      <c r="A51" s="14" t="s">
        <v>78</v>
      </c>
      <c r="B51" s="21" t="s">
        <v>18</v>
      </c>
      <c r="C51" s="29">
        <v>6091</v>
      </c>
      <c r="D51" s="29"/>
      <c r="E51" s="91"/>
    </row>
    <row r="52" spans="1:5">
      <c r="A52" s="14" t="s">
        <v>78</v>
      </c>
      <c r="B52" s="21" t="s">
        <v>19</v>
      </c>
      <c r="C52" s="29">
        <v>5316</v>
      </c>
      <c r="D52" s="29"/>
      <c r="E52" s="91"/>
    </row>
    <row r="53" spans="1:5">
      <c r="A53" s="14" t="s">
        <v>78</v>
      </c>
      <c r="B53" s="21" t="s">
        <v>20</v>
      </c>
      <c r="C53" s="29">
        <v>6680</v>
      </c>
      <c r="D53" s="29"/>
      <c r="E53" s="91"/>
    </row>
    <row r="54" spans="1:5">
      <c r="A54" s="14" t="s">
        <v>78</v>
      </c>
      <c r="B54" s="21" t="s">
        <v>21</v>
      </c>
      <c r="C54" s="29">
        <v>9305</v>
      </c>
      <c r="D54" s="29"/>
      <c r="E54" s="91"/>
    </row>
    <row r="55" spans="1:5">
      <c r="A55" s="14" t="s">
        <v>78</v>
      </c>
      <c r="B55" s="21" t="s">
        <v>22</v>
      </c>
      <c r="C55" s="29">
        <v>14566</v>
      </c>
      <c r="D55" s="29"/>
      <c r="E55" s="91"/>
    </row>
    <row r="56" spans="1:5">
      <c r="A56" s="14" t="s">
        <v>78</v>
      </c>
      <c r="B56" s="21" t="s">
        <v>23</v>
      </c>
      <c r="C56" s="29">
        <v>14579</v>
      </c>
      <c r="D56" s="29"/>
      <c r="E56" s="91"/>
    </row>
    <row r="57" spans="1:5">
      <c r="A57" s="14" t="s">
        <v>78</v>
      </c>
      <c r="B57" s="21" t="s">
        <v>24</v>
      </c>
      <c r="C57" s="29">
        <v>14456</v>
      </c>
      <c r="D57" s="29"/>
      <c r="E57" s="91"/>
    </row>
    <row r="58" spans="1:5">
      <c r="A58" s="14" t="s">
        <v>78</v>
      </c>
      <c r="B58" s="21" t="s">
        <v>25</v>
      </c>
      <c r="C58" s="29">
        <v>12348</v>
      </c>
      <c r="D58" s="29"/>
      <c r="E58" s="91"/>
    </row>
    <row r="59" spans="1:5">
      <c r="A59" s="14" t="s">
        <v>78</v>
      </c>
      <c r="B59" s="21" t="s">
        <v>26</v>
      </c>
      <c r="C59" s="29">
        <v>11438</v>
      </c>
      <c r="D59" s="29"/>
      <c r="E59" s="91"/>
    </row>
    <row r="60" spans="1:5">
      <c r="A60" s="14" t="s">
        <v>78</v>
      </c>
      <c r="B60" s="21" t="s">
        <v>27</v>
      </c>
      <c r="C60" s="29">
        <v>11286</v>
      </c>
      <c r="D60" s="29"/>
      <c r="E60" s="91"/>
    </row>
    <row r="61" spans="1:5">
      <c r="A61" s="14" t="s">
        <v>78</v>
      </c>
      <c r="B61" s="21" t="s">
        <v>28</v>
      </c>
      <c r="C61" s="29">
        <v>10713</v>
      </c>
      <c r="D61" s="29"/>
      <c r="E61" s="91"/>
    </row>
    <row r="62" spans="1:5">
      <c r="A62" s="14" t="s">
        <v>78</v>
      </c>
      <c r="B62" s="21" t="s">
        <v>29</v>
      </c>
      <c r="C62" s="29">
        <v>10209</v>
      </c>
      <c r="D62" s="29"/>
      <c r="E62" s="91"/>
    </row>
    <row r="63" spans="1:5">
      <c r="A63" s="14" t="s">
        <v>78</v>
      </c>
      <c r="B63" s="21" t="s">
        <v>30</v>
      </c>
      <c r="C63" s="29">
        <v>10466</v>
      </c>
      <c r="D63" s="29"/>
      <c r="E63" s="91"/>
    </row>
    <row r="64" spans="1:5">
      <c r="A64" s="14" t="s">
        <v>78</v>
      </c>
      <c r="B64" s="21" t="s">
        <v>31</v>
      </c>
      <c r="C64" s="29">
        <v>10518</v>
      </c>
      <c r="D64" s="29"/>
      <c r="E64" s="91"/>
    </row>
    <row r="65" spans="1:5">
      <c r="A65" s="14" t="s">
        <v>78</v>
      </c>
      <c r="B65" s="21" t="s">
        <v>32</v>
      </c>
      <c r="C65" s="29">
        <v>11629</v>
      </c>
      <c r="D65" s="29"/>
      <c r="E65" s="91"/>
    </row>
    <row r="66" spans="1:5">
      <c r="A66" s="14" t="s">
        <v>78</v>
      </c>
      <c r="B66" s="21" t="s">
        <v>33</v>
      </c>
      <c r="C66" s="29">
        <v>11962</v>
      </c>
      <c r="D66" s="29"/>
      <c r="E66" s="91"/>
    </row>
    <row r="67" spans="1:5">
      <c r="A67" s="14" t="s">
        <v>78</v>
      </c>
      <c r="B67" s="21" t="s">
        <v>34</v>
      </c>
      <c r="C67" s="29">
        <v>12402</v>
      </c>
      <c r="D67" s="29"/>
      <c r="E67" s="91"/>
    </row>
    <row r="68" spans="1:5">
      <c r="A68" s="14" t="s">
        <v>78</v>
      </c>
      <c r="B68" s="21" t="s">
        <v>35</v>
      </c>
      <c r="C68" s="29">
        <v>12399</v>
      </c>
      <c r="D68" s="29"/>
      <c r="E68" s="91"/>
    </row>
    <row r="69" spans="1:5">
      <c r="A69" s="14" t="s">
        <v>78</v>
      </c>
      <c r="B69" s="21" t="s">
        <v>36</v>
      </c>
      <c r="C69" s="29">
        <v>12607</v>
      </c>
      <c r="D69" s="29"/>
      <c r="E69" s="91"/>
    </row>
    <row r="70" spans="1:5">
      <c r="A70" s="14" t="s">
        <v>78</v>
      </c>
      <c r="B70" s="21" t="s">
        <v>37</v>
      </c>
      <c r="C70" s="29">
        <v>12565</v>
      </c>
      <c r="D70" s="29"/>
      <c r="E70" s="91"/>
    </row>
    <row r="71" spans="1:5">
      <c r="A71" s="14" t="s">
        <v>78</v>
      </c>
      <c r="B71" s="21" t="s">
        <v>38</v>
      </c>
      <c r="C71" s="29">
        <v>13242</v>
      </c>
      <c r="D71" s="29"/>
      <c r="E71" s="91"/>
    </row>
    <row r="72" spans="1:5">
      <c r="A72" s="14" t="s">
        <v>78</v>
      </c>
      <c r="B72" s="21" t="s">
        <v>39</v>
      </c>
      <c r="C72" s="29">
        <v>11542</v>
      </c>
      <c r="D72" s="29"/>
      <c r="E72" s="91"/>
    </row>
    <row r="73" spans="1:5">
      <c r="A73" s="14" t="s">
        <v>78</v>
      </c>
      <c r="B73" s="21" t="s">
        <v>40</v>
      </c>
      <c r="C73" s="29">
        <v>7225</v>
      </c>
      <c r="D73" s="29"/>
      <c r="E73" s="91"/>
    </row>
    <row r="74" spans="1:5">
      <c r="A74" s="14" t="s">
        <v>79</v>
      </c>
      <c r="B74" s="21" t="s">
        <v>17</v>
      </c>
      <c r="C74" s="29">
        <v>7487</v>
      </c>
      <c r="D74" s="29"/>
      <c r="E74" s="91"/>
    </row>
    <row r="75" spans="1:5">
      <c r="A75" s="14" t="s">
        <v>79</v>
      </c>
      <c r="B75" s="21" t="s">
        <v>18</v>
      </c>
      <c r="C75" s="29">
        <v>7476</v>
      </c>
      <c r="D75" s="29"/>
      <c r="E75" s="91"/>
    </row>
    <row r="76" spans="1:5">
      <c r="A76" s="14" t="s">
        <v>79</v>
      </c>
      <c r="B76" s="21" t="s">
        <v>19</v>
      </c>
      <c r="C76" s="29">
        <v>7232</v>
      </c>
      <c r="D76" s="29"/>
      <c r="E76" s="91"/>
    </row>
    <row r="77" spans="1:5">
      <c r="A77" s="14" t="s">
        <v>79</v>
      </c>
      <c r="B77" s="21" t="s">
        <v>20</v>
      </c>
      <c r="C77" s="29">
        <v>8214</v>
      </c>
      <c r="D77" s="29"/>
      <c r="E77" s="91"/>
    </row>
    <row r="78" spans="1:5">
      <c r="A78" s="14" t="s">
        <v>79</v>
      </c>
      <c r="B78" s="21" t="s">
        <v>21</v>
      </c>
      <c r="C78" s="29">
        <v>12184</v>
      </c>
      <c r="D78" s="29"/>
      <c r="E78" s="91"/>
    </row>
    <row r="79" spans="1:5">
      <c r="A79" s="14" t="s">
        <v>79</v>
      </c>
      <c r="B79" s="21" t="s">
        <v>22</v>
      </c>
      <c r="C79" s="29">
        <v>14362</v>
      </c>
      <c r="D79" s="29"/>
      <c r="E79" s="91"/>
    </row>
    <row r="80" spans="1:5">
      <c r="A80" s="14" t="s">
        <v>79</v>
      </c>
      <c r="B80" s="21" t="s">
        <v>23</v>
      </c>
      <c r="C80" s="29">
        <v>14122</v>
      </c>
      <c r="D80" s="29"/>
      <c r="E80" s="91"/>
    </row>
    <row r="81" spans="1:5">
      <c r="A81" s="14" t="s">
        <v>79</v>
      </c>
      <c r="B81" s="21" t="s">
        <v>24</v>
      </c>
      <c r="C81" s="29">
        <v>13131</v>
      </c>
      <c r="D81" s="29"/>
      <c r="E81" s="91"/>
    </row>
    <row r="82" spans="1:5">
      <c r="A82" s="14" t="s">
        <v>79</v>
      </c>
      <c r="B82" s="21" t="s">
        <v>25</v>
      </c>
      <c r="C82" s="29">
        <v>12787</v>
      </c>
      <c r="D82" s="29"/>
      <c r="E82" s="91"/>
    </row>
    <row r="83" spans="1:5">
      <c r="A83" s="14" t="s">
        <v>79</v>
      </c>
      <c r="B83" s="21" t="s">
        <v>26</v>
      </c>
      <c r="C83" s="29">
        <v>12903</v>
      </c>
      <c r="D83" s="29"/>
      <c r="E83" s="91"/>
    </row>
    <row r="84" spans="1:5">
      <c r="A84" s="14" t="s">
        <v>79</v>
      </c>
      <c r="B84" s="21" t="s">
        <v>27</v>
      </c>
      <c r="C84" s="29">
        <v>13108</v>
      </c>
      <c r="D84" s="29"/>
      <c r="E84" s="91"/>
    </row>
    <row r="85" spans="1:5">
      <c r="A85" s="14" t="s">
        <v>79</v>
      </c>
      <c r="B85" s="21" t="s">
        <v>28</v>
      </c>
      <c r="C85" s="29">
        <v>12478</v>
      </c>
      <c r="D85" s="29"/>
      <c r="E85" s="91"/>
    </row>
    <row r="86" spans="1:5">
      <c r="A86" s="14" t="s">
        <v>79</v>
      </c>
      <c r="B86" s="21" t="s">
        <v>29</v>
      </c>
      <c r="C86" s="29">
        <v>12065</v>
      </c>
      <c r="D86" s="29"/>
      <c r="E86" s="91"/>
    </row>
    <row r="87" spans="1:5">
      <c r="A87" s="14" t="s">
        <v>79</v>
      </c>
      <c r="B87" s="21" t="s">
        <v>30</v>
      </c>
      <c r="C87" s="29">
        <v>14307</v>
      </c>
      <c r="D87" s="29"/>
      <c r="E87" s="91"/>
    </row>
    <row r="88" spans="1:5">
      <c r="A88" s="14" t="s">
        <v>79</v>
      </c>
      <c r="B88" s="21" t="s">
        <v>31</v>
      </c>
      <c r="C88" s="29">
        <v>12426</v>
      </c>
      <c r="D88" s="29"/>
      <c r="E88" s="91"/>
    </row>
    <row r="89" spans="1:5">
      <c r="A89" s="14" t="s">
        <v>79</v>
      </c>
      <c r="B89" s="21" t="s">
        <v>32</v>
      </c>
      <c r="C89" s="29">
        <v>12977</v>
      </c>
      <c r="D89" s="29"/>
      <c r="E89" s="91"/>
    </row>
    <row r="90" spans="1:5">
      <c r="A90" s="14" t="s">
        <v>79</v>
      </c>
      <c r="B90" s="21" t="s">
        <v>33</v>
      </c>
      <c r="C90" s="29">
        <v>13406</v>
      </c>
      <c r="D90" s="29"/>
      <c r="E90" s="91"/>
    </row>
    <row r="91" spans="1:5">
      <c r="A91" s="14" t="s">
        <v>79</v>
      </c>
      <c r="B91" s="21" t="s">
        <v>34</v>
      </c>
      <c r="C91" s="29">
        <v>13538</v>
      </c>
      <c r="D91" s="29"/>
      <c r="E91" s="91"/>
    </row>
    <row r="92" spans="1:5">
      <c r="A92" s="14" t="s">
        <v>79</v>
      </c>
      <c r="B92" s="21" t="s">
        <v>35</v>
      </c>
      <c r="C92" s="29">
        <v>13491</v>
      </c>
      <c r="D92" s="29"/>
      <c r="E92" s="91"/>
    </row>
    <row r="93" spans="1:5">
      <c r="A93" s="14" t="s">
        <v>79</v>
      </c>
      <c r="B93" s="21" t="s">
        <v>36</v>
      </c>
      <c r="C93" s="29">
        <v>13305</v>
      </c>
      <c r="D93" s="29"/>
      <c r="E93" s="91"/>
    </row>
    <row r="94" spans="1:5">
      <c r="A94" s="14" t="s">
        <v>79</v>
      </c>
      <c r="B94" s="21" t="s">
        <v>37</v>
      </c>
      <c r="C94" s="29">
        <v>13565</v>
      </c>
      <c r="D94" s="29"/>
      <c r="E94" s="91"/>
    </row>
    <row r="95" spans="1:5">
      <c r="A95" s="14" t="s">
        <v>79</v>
      </c>
      <c r="B95" s="21" t="s">
        <v>38</v>
      </c>
      <c r="C95" s="29">
        <v>13758</v>
      </c>
      <c r="D95" s="29"/>
      <c r="E95" s="91"/>
    </row>
    <row r="96" spans="1:5">
      <c r="A96" s="14" t="s">
        <v>79</v>
      </c>
      <c r="B96" s="21" t="s">
        <v>39</v>
      </c>
      <c r="C96" s="29">
        <v>12385</v>
      </c>
      <c r="D96" s="29"/>
      <c r="E96" s="91"/>
    </row>
    <row r="97" spans="1:5">
      <c r="A97" s="14" t="s">
        <v>79</v>
      </c>
      <c r="B97" s="21" t="s">
        <v>40</v>
      </c>
      <c r="C97" s="29">
        <v>6436</v>
      </c>
      <c r="D97" s="29"/>
      <c r="E97" s="91"/>
    </row>
    <row r="98" spans="1:5">
      <c r="A98" s="14" t="s">
        <v>80</v>
      </c>
      <c r="B98" s="21" t="s">
        <v>17</v>
      </c>
      <c r="C98" s="29">
        <v>7485</v>
      </c>
      <c r="D98" s="29"/>
      <c r="E98" s="91"/>
    </row>
    <row r="99" spans="1:5">
      <c r="A99" s="14" t="s">
        <v>80</v>
      </c>
      <c r="B99" s="21" t="s">
        <v>18</v>
      </c>
      <c r="C99" s="29">
        <v>7050</v>
      </c>
      <c r="D99" s="29"/>
      <c r="E99" s="91"/>
    </row>
    <row r="100" spans="1:5">
      <c r="A100" s="14" t="s">
        <v>80</v>
      </c>
      <c r="B100" s="21" t="s">
        <v>19</v>
      </c>
      <c r="C100" s="29">
        <v>7278</v>
      </c>
      <c r="D100" s="29"/>
      <c r="E100" s="91"/>
    </row>
    <row r="101" spans="1:5">
      <c r="A101" s="14" t="s">
        <v>80</v>
      </c>
      <c r="B101" s="21" t="s">
        <v>20</v>
      </c>
      <c r="C101" s="29">
        <v>8071</v>
      </c>
      <c r="D101" s="29"/>
      <c r="E101" s="91"/>
    </row>
    <row r="102" spans="1:5">
      <c r="A102" s="14" t="s">
        <v>80</v>
      </c>
      <c r="B102" s="21" t="s">
        <v>21</v>
      </c>
      <c r="C102" s="29">
        <v>13442</v>
      </c>
      <c r="D102" s="29"/>
      <c r="E102" s="91"/>
    </row>
    <row r="103" spans="1:5">
      <c r="A103" s="14" t="s">
        <v>80</v>
      </c>
      <c r="B103" s="21" t="s">
        <v>22</v>
      </c>
      <c r="C103" s="29">
        <v>13839</v>
      </c>
      <c r="D103" s="29"/>
      <c r="E103" s="91"/>
    </row>
    <row r="104" spans="1:5">
      <c r="A104" s="14" t="s">
        <v>80</v>
      </c>
      <c r="B104" s="21" t="s">
        <v>23</v>
      </c>
      <c r="C104" s="29">
        <v>16227</v>
      </c>
      <c r="D104" s="29"/>
      <c r="E104" s="91"/>
    </row>
    <row r="105" spans="1:5">
      <c r="A105" s="14" t="s">
        <v>80</v>
      </c>
      <c r="B105" s="21" t="s">
        <v>24</v>
      </c>
      <c r="C105" s="29">
        <v>15462</v>
      </c>
      <c r="D105" s="29"/>
      <c r="E105" s="91"/>
    </row>
    <row r="106" spans="1:5">
      <c r="A106" s="14" t="s">
        <v>80</v>
      </c>
      <c r="B106" s="21" t="s">
        <v>25</v>
      </c>
      <c r="C106" s="29">
        <v>13633</v>
      </c>
      <c r="D106" s="29"/>
      <c r="E106" s="91"/>
    </row>
    <row r="107" spans="1:5">
      <c r="A107" s="14" t="s">
        <v>80</v>
      </c>
      <c r="B107" s="21" t="s">
        <v>26</v>
      </c>
      <c r="C107" s="29">
        <v>12419</v>
      </c>
      <c r="D107" s="29"/>
      <c r="E107" s="91"/>
    </row>
    <row r="108" spans="1:5">
      <c r="A108" s="14" t="s">
        <v>80</v>
      </c>
      <c r="B108" s="21" t="s">
        <v>27</v>
      </c>
      <c r="C108" s="29">
        <v>12802</v>
      </c>
      <c r="D108" s="29"/>
      <c r="E108" s="91"/>
    </row>
    <row r="109" spans="1:5">
      <c r="A109" s="14" t="s">
        <v>80</v>
      </c>
      <c r="B109" s="21" t="s">
        <v>28</v>
      </c>
      <c r="C109" s="29">
        <v>12597</v>
      </c>
      <c r="D109" s="29"/>
      <c r="E109" s="91"/>
    </row>
    <row r="110" spans="1:5">
      <c r="A110" s="14" t="s">
        <v>80</v>
      </c>
      <c r="B110" s="21" t="s">
        <v>29</v>
      </c>
      <c r="C110" s="29">
        <v>11522</v>
      </c>
      <c r="D110" s="29"/>
      <c r="E110" s="91"/>
    </row>
    <row r="111" spans="1:5">
      <c r="A111" s="14" t="s">
        <v>80</v>
      </c>
      <c r="B111" s="21" t="s">
        <v>30</v>
      </c>
      <c r="C111" s="29">
        <v>11340</v>
      </c>
      <c r="D111" s="29"/>
      <c r="E111" s="91"/>
    </row>
    <row r="112" spans="1:5">
      <c r="A112" s="14" t="s">
        <v>80</v>
      </c>
      <c r="B112" s="21" t="s">
        <v>31</v>
      </c>
      <c r="C112" s="29">
        <v>11396</v>
      </c>
      <c r="D112" s="29"/>
      <c r="E112" s="91"/>
    </row>
    <row r="113" spans="1:5">
      <c r="A113" s="14" t="s">
        <v>80</v>
      </c>
      <c r="B113" s="21" t="s">
        <v>32</v>
      </c>
      <c r="C113" s="29">
        <v>11358</v>
      </c>
      <c r="D113" s="29"/>
      <c r="E113" s="91"/>
    </row>
    <row r="114" spans="1:5">
      <c r="A114" s="14" t="s">
        <v>80</v>
      </c>
      <c r="B114" s="21" t="s">
        <v>33</v>
      </c>
      <c r="C114" s="29">
        <v>11165</v>
      </c>
      <c r="D114" s="29"/>
      <c r="E114" s="91"/>
    </row>
    <row r="115" spans="1:5">
      <c r="A115" s="14" t="s">
        <v>80</v>
      </c>
      <c r="B115" s="21" t="s">
        <v>34</v>
      </c>
      <c r="C115" s="29">
        <v>11879</v>
      </c>
      <c r="D115" s="29"/>
      <c r="E115" s="91"/>
    </row>
    <row r="116" spans="1:5">
      <c r="A116" s="14" t="s">
        <v>80</v>
      </c>
      <c r="B116" s="21" t="s">
        <v>35</v>
      </c>
      <c r="C116" s="29">
        <v>13980</v>
      </c>
      <c r="D116" s="29"/>
      <c r="E116" s="91"/>
    </row>
    <row r="117" spans="1:5">
      <c r="A117" s="14" t="s">
        <v>80</v>
      </c>
      <c r="B117" s="21" t="s">
        <v>36</v>
      </c>
      <c r="C117" s="29">
        <v>13613</v>
      </c>
      <c r="D117" s="29"/>
      <c r="E117" s="91"/>
    </row>
    <row r="118" spans="1:5">
      <c r="A118" s="14" t="s">
        <v>80</v>
      </c>
      <c r="B118" s="21" t="s">
        <v>37</v>
      </c>
      <c r="C118" s="29">
        <v>13417</v>
      </c>
      <c r="D118" s="29"/>
      <c r="E118" s="91"/>
    </row>
    <row r="119" spans="1:5">
      <c r="A119" s="14" t="s">
        <v>80</v>
      </c>
      <c r="B119" s="21" t="s">
        <v>38</v>
      </c>
      <c r="C119" s="29">
        <v>13588</v>
      </c>
      <c r="D119" s="29"/>
      <c r="E119" s="91"/>
    </row>
    <row r="120" spans="1:5">
      <c r="A120" s="14" t="s">
        <v>80</v>
      </c>
      <c r="B120" s="21" t="s">
        <v>39</v>
      </c>
      <c r="C120" s="29">
        <v>12917</v>
      </c>
      <c r="D120" s="29"/>
      <c r="E120" s="91"/>
    </row>
    <row r="121" spans="1:5">
      <c r="A121" s="14" t="s">
        <v>80</v>
      </c>
      <c r="B121" s="21" t="s">
        <v>40</v>
      </c>
      <c r="C121" s="29">
        <v>6648</v>
      </c>
      <c r="D121" s="29"/>
      <c r="E121" s="91"/>
    </row>
    <row r="122" spans="1:5">
      <c r="A122" s="14" t="s">
        <v>81</v>
      </c>
      <c r="B122" s="21" t="s">
        <v>17</v>
      </c>
      <c r="C122" s="29">
        <v>7628</v>
      </c>
      <c r="D122" s="29"/>
      <c r="E122" s="91"/>
    </row>
    <row r="123" spans="1:5">
      <c r="A123" s="14" t="s">
        <v>81</v>
      </c>
      <c r="B123" s="21" t="s">
        <v>18</v>
      </c>
      <c r="C123" s="29">
        <v>7087</v>
      </c>
      <c r="D123" s="29"/>
      <c r="E123" s="91"/>
    </row>
    <row r="124" spans="1:5">
      <c r="A124" s="14" t="s">
        <v>81</v>
      </c>
      <c r="B124" s="21" t="s">
        <v>19</v>
      </c>
      <c r="C124" s="29">
        <v>8071</v>
      </c>
      <c r="D124" s="29"/>
      <c r="E124" s="91"/>
    </row>
    <row r="125" spans="1:5">
      <c r="A125" s="14" t="s">
        <v>81</v>
      </c>
      <c r="B125" s="21" t="s">
        <v>20</v>
      </c>
      <c r="C125" s="29">
        <v>8897</v>
      </c>
      <c r="D125" s="29"/>
      <c r="E125" s="91"/>
    </row>
    <row r="126" spans="1:5">
      <c r="A126" s="14" t="s">
        <v>81</v>
      </c>
      <c r="B126" s="21" t="s">
        <v>21</v>
      </c>
      <c r="C126" s="29">
        <v>13846</v>
      </c>
      <c r="D126" s="29"/>
      <c r="E126" s="91"/>
    </row>
    <row r="127" spans="1:5">
      <c r="A127" s="14" t="s">
        <v>81</v>
      </c>
      <c r="B127" s="21" t="s">
        <v>22</v>
      </c>
      <c r="C127" s="29">
        <v>15315</v>
      </c>
      <c r="D127" s="29"/>
      <c r="E127" s="91"/>
    </row>
    <row r="128" spans="1:5">
      <c r="A128" s="14" t="s">
        <v>81</v>
      </c>
      <c r="B128" s="21" t="s">
        <v>23</v>
      </c>
      <c r="C128" s="29">
        <v>15940</v>
      </c>
      <c r="D128" s="29"/>
      <c r="E128" s="91"/>
    </row>
    <row r="129" spans="1:5">
      <c r="A129" s="14" t="s">
        <v>81</v>
      </c>
      <c r="B129" s="21" t="s">
        <v>24</v>
      </c>
      <c r="C129" s="29">
        <v>14942</v>
      </c>
      <c r="D129" s="29"/>
      <c r="E129" s="91"/>
    </row>
    <row r="130" spans="1:5">
      <c r="A130" s="14" t="s">
        <v>81</v>
      </c>
      <c r="B130" s="21" t="s">
        <v>25</v>
      </c>
      <c r="C130" s="29">
        <v>13279</v>
      </c>
      <c r="D130" s="29"/>
      <c r="E130" s="91"/>
    </row>
    <row r="131" spans="1:5">
      <c r="A131" s="14" t="s">
        <v>81</v>
      </c>
      <c r="B131" s="21" t="s">
        <v>26</v>
      </c>
      <c r="C131" s="29">
        <v>13284</v>
      </c>
      <c r="D131" s="29"/>
      <c r="E131" s="91"/>
    </row>
    <row r="132" spans="1:5">
      <c r="A132" s="14" t="s">
        <v>81</v>
      </c>
      <c r="B132" s="21" t="s">
        <v>27</v>
      </c>
      <c r="C132" s="29">
        <v>13645</v>
      </c>
      <c r="D132" s="29"/>
      <c r="E132" s="91"/>
    </row>
    <row r="133" spans="1:5">
      <c r="A133" s="14" t="s">
        <v>81</v>
      </c>
      <c r="B133" s="21" t="s">
        <v>28</v>
      </c>
      <c r="C133" s="29">
        <v>12955</v>
      </c>
      <c r="D133" s="29"/>
      <c r="E133" s="91"/>
    </row>
    <row r="134" spans="1:5">
      <c r="A134" s="14" t="s">
        <v>81</v>
      </c>
      <c r="B134" s="21" t="s">
        <v>29</v>
      </c>
      <c r="C134" s="29">
        <v>13429</v>
      </c>
      <c r="D134" s="29"/>
      <c r="E134" s="91"/>
    </row>
    <row r="135" spans="1:5">
      <c r="A135" s="14" t="s">
        <v>81</v>
      </c>
      <c r="B135" s="21" t="s">
        <v>30</v>
      </c>
      <c r="C135" s="29">
        <v>12804</v>
      </c>
      <c r="D135" s="29"/>
      <c r="E135" s="91"/>
    </row>
    <row r="136" spans="1:5">
      <c r="A136" s="14" t="s">
        <v>81</v>
      </c>
      <c r="B136" s="21" t="s">
        <v>31</v>
      </c>
      <c r="C136" s="29">
        <v>11862</v>
      </c>
      <c r="D136" s="29"/>
      <c r="E136" s="91"/>
    </row>
    <row r="137" spans="1:5">
      <c r="A137" s="14" t="s">
        <v>81</v>
      </c>
      <c r="B137" s="21" t="s">
        <v>32</v>
      </c>
      <c r="C137" s="29">
        <v>11548</v>
      </c>
      <c r="D137" s="29"/>
      <c r="E137" s="91"/>
    </row>
    <row r="138" spans="1:5">
      <c r="A138" s="14" t="s">
        <v>81</v>
      </c>
      <c r="B138" s="21" t="s">
        <v>33</v>
      </c>
      <c r="C138" s="29">
        <v>11849</v>
      </c>
      <c r="D138" s="29"/>
      <c r="E138" s="91"/>
    </row>
    <row r="139" spans="1:5">
      <c r="A139" s="14" t="s">
        <v>81</v>
      </c>
      <c r="B139" s="21" t="s">
        <v>34</v>
      </c>
      <c r="C139" s="29">
        <v>11922</v>
      </c>
      <c r="D139" s="29"/>
      <c r="E139" s="91"/>
    </row>
    <row r="140" spans="1:5">
      <c r="A140" s="14" t="s">
        <v>81</v>
      </c>
      <c r="B140" s="21" t="s">
        <v>35</v>
      </c>
      <c r="C140" s="29">
        <v>13076</v>
      </c>
      <c r="D140" s="29"/>
      <c r="E140" s="91"/>
    </row>
    <row r="141" spans="1:5">
      <c r="A141" s="14" t="s">
        <v>81</v>
      </c>
      <c r="B141" s="21" t="s">
        <v>36</v>
      </c>
      <c r="C141" s="29">
        <v>13402</v>
      </c>
      <c r="D141" s="29"/>
      <c r="E141" s="91"/>
    </row>
    <row r="142" spans="1:5">
      <c r="A142" s="14" t="s">
        <v>81</v>
      </c>
      <c r="B142" s="21" t="s">
        <v>37</v>
      </c>
      <c r="C142" s="29">
        <v>13329</v>
      </c>
      <c r="D142" s="29"/>
      <c r="E142" s="91"/>
    </row>
    <row r="143" spans="1:5">
      <c r="A143" s="14" t="s">
        <v>81</v>
      </c>
      <c r="B143" s="21" t="s">
        <v>38</v>
      </c>
      <c r="C143" s="29">
        <v>12867</v>
      </c>
      <c r="D143" s="29"/>
      <c r="E143" s="91"/>
    </row>
    <row r="144" spans="1:5">
      <c r="A144" s="14" t="s">
        <v>81</v>
      </c>
      <c r="B144" s="21" t="s">
        <v>39</v>
      </c>
      <c r="C144" s="29">
        <v>11572</v>
      </c>
      <c r="D144" s="29"/>
      <c r="E144" s="91"/>
    </row>
    <row r="145" spans="1:5">
      <c r="A145" s="14" t="s">
        <v>81</v>
      </c>
      <c r="B145" s="21" t="s">
        <v>40</v>
      </c>
      <c r="C145" s="29">
        <v>6945</v>
      </c>
      <c r="D145" s="29"/>
      <c r="E145" s="91"/>
    </row>
    <row r="146" spans="1:5">
      <c r="A146" s="14" t="s">
        <v>82</v>
      </c>
      <c r="B146" s="21" t="s">
        <v>17</v>
      </c>
      <c r="C146" s="29">
        <v>6458</v>
      </c>
      <c r="D146" s="29"/>
      <c r="E146" s="91"/>
    </row>
    <row r="147" spans="1:5">
      <c r="A147" s="14" t="s">
        <v>82</v>
      </c>
      <c r="B147" s="21" t="s">
        <v>18</v>
      </c>
      <c r="C147" s="29">
        <v>6358</v>
      </c>
      <c r="D147" s="29"/>
      <c r="E147" s="91"/>
    </row>
    <row r="148" spans="1:5">
      <c r="A148" s="14" t="s">
        <v>82</v>
      </c>
      <c r="B148" s="21" t="s">
        <v>19</v>
      </c>
      <c r="C148" s="29">
        <v>5750</v>
      </c>
      <c r="D148" s="29"/>
      <c r="E148" s="91"/>
    </row>
    <row r="149" spans="1:5">
      <c r="A149" s="14" t="s">
        <v>82</v>
      </c>
      <c r="B149" s="21" t="s">
        <v>20</v>
      </c>
      <c r="C149" s="29">
        <v>7129</v>
      </c>
      <c r="D149" s="29"/>
      <c r="E149" s="91"/>
    </row>
    <row r="150" spans="1:5">
      <c r="A150" s="14" t="s">
        <v>82</v>
      </c>
      <c r="B150" s="21" t="s">
        <v>21</v>
      </c>
      <c r="C150" s="29">
        <v>12436</v>
      </c>
      <c r="D150" s="29"/>
      <c r="E150" s="91"/>
    </row>
    <row r="151" spans="1:5">
      <c r="A151" s="14" t="s">
        <v>82</v>
      </c>
      <c r="B151" s="21" t="s">
        <v>22</v>
      </c>
      <c r="C151" s="29">
        <v>15603</v>
      </c>
      <c r="D151" s="29"/>
      <c r="E151" s="91"/>
    </row>
    <row r="152" spans="1:5">
      <c r="A152" s="14" t="s">
        <v>82</v>
      </c>
      <c r="B152" s="21" t="s">
        <v>23</v>
      </c>
      <c r="C152" s="29">
        <v>16347</v>
      </c>
      <c r="D152" s="29"/>
      <c r="E152" s="91"/>
    </row>
    <row r="153" spans="1:5">
      <c r="A153" s="14" t="s">
        <v>82</v>
      </c>
      <c r="B153" s="21" t="s">
        <v>24</v>
      </c>
      <c r="C153" s="29">
        <v>15581</v>
      </c>
      <c r="D153" s="29"/>
      <c r="E153" s="91"/>
    </row>
    <row r="154" spans="1:5">
      <c r="A154" s="14" t="s">
        <v>82</v>
      </c>
      <c r="B154" s="21" t="s">
        <v>25</v>
      </c>
      <c r="C154" s="29">
        <v>14881</v>
      </c>
      <c r="D154" s="29"/>
      <c r="E154" s="91"/>
    </row>
    <row r="155" spans="1:5">
      <c r="A155" s="14" t="s">
        <v>82</v>
      </c>
      <c r="B155" s="21" t="s">
        <v>26</v>
      </c>
      <c r="C155" s="29">
        <v>13059</v>
      </c>
      <c r="D155" s="29"/>
      <c r="E155" s="91"/>
    </row>
    <row r="156" spans="1:5">
      <c r="A156" s="14" t="s">
        <v>82</v>
      </c>
      <c r="B156" s="21" t="s">
        <v>27</v>
      </c>
      <c r="C156" s="29">
        <v>12337</v>
      </c>
      <c r="D156" s="29"/>
      <c r="E156" s="91"/>
    </row>
    <row r="157" spans="1:5">
      <c r="A157" s="14" t="s">
        <v>82</v>
      </c>
      <c r="B157" s="21" t="s">
        <v>28</v>
      </c>
      <c r="C157" s="29">
        <v>12174</v>
      </c>
      <c r="D157" s="29"/>
      <c r="E157" s="91"/>
    </row>
    <row r="158" spans="1:5">
      <c r="A158" s="14" t="s">
        <v>82</v>
      </c>
      <c r="B158" s="21" t="s">
        <v>29</v>
      </c>
      <c r="C158" s="29">
        <v>12173</v>
      </c>
      <c r="D158" s="29"/>
      <c r="E158" s="91"/>
    </row>
    <row r="159" spans="1:5">
      <c r="A159" s="14" t="s">
        <v>82</v>
      </c>
      <c r="B159" s="21" t="s">
        <v>30</v>
      </c>
      <c r="C159" s="29">
        <v>12232</v>
      </c>
      <c r="D159" s="29"/>
      <c r="E159" s="91"/>
    </row>
    <row r="160" spans="1:5">
      <c r="A160" s="14" t="s">
        <v>82</v>
      </c>
      <c r="B160" s="21" t="s">
        <v>31</v>
      </c>
      <c r="C160" s="29">
        <v>11839</v>
      </c>
      <c r="D160" s="29"/>
      <c r="E160" s="91"/>
    </row>
    <row r="161" spans="1:5">
      <c r="A161" s="14" t="s">
        <v>82</v>
      </c>
      <c r="B161" s="21" t="s">
        <v>32</v>
      </c>
      <c r="C161" s="29">
        <v>11795</v>
      </c>
      <c r="D161" s="29"/>
      <c r="E161" s="91"/>
    </row>
    <row r="162" spans="1:5">
      <c r="A162" s="14" t="s">
        <v>82</v>
      </c>
      <c r="B162" s="21" t="s">
        <v>33</v>
      </c>
      <c r="C162" s="29">
        <v>12198</v>
      </c>
      <c r="D162" s="29"/>
      <c r="E162" s="91"/>
    </row>
    <row r="163" spans="1:5">
      <c r="A163" s="14" t="s">
        <v>82</v>
      </c>
      <c r="B163" s="21" t="s">
        <v>34</v>
      </c>
      <c r="C163" s="29">
        <v>13341</v>
      </c>
      <c r="D163" s="29"/>
      <c r="E163" s="91"/>
    </row>
    <row r="164" spans="1:5">
      <c r="A164" s="14" t="s">
        <v>82</v>
      </c>
      <c r="B164" s="21" t="s">
        <v>35</v>
      </c>
      <c r="C164" s="29">
        <v>13345</v>
      </c>
      <c r="D164" s="29"/>
      <c r="E164" s="91"/>
    </row>
    <row r="165" spans="1:5">
      <c r="A165" s="14" t="s">
        <v>82</v>
      </c>
      <c r="B165" s="21" t="s">
        <v>36</v>
      </c>
      <c r="C165" s="29">
        <v>13231</v>
      </c>
      <c r="D165" s="29"/>
      <c r="E165" s="91"/>
    </row>
    <row r="166" spans="1:5">
      <c r="A166" s="14" t="s">
        <v>82</v>
      </c>
      <c r="B166" s="21" t="s">
        <v>37</v>
      </c>
      <c r="C166" s="29">
        <v>13346</v>
      </c>
      <c r="D166" s="29"/>
      <c r="E166" s="91"/>
    </row>
    <row r="167" spans="1:5">
      <c r="A167" s="14" t="s">
        <v>82</v>
      </c>
      <c r="B167" s="21" t="s">
        <v>38</v>
      </c>
      <c r="C167" s="29">
        <v>12536</v>
      </c>
      <c r="D167" s="29"/>
      <c r="E167" s="91"/>
    </row>
    <row r="168" spans="1:5">
      <c r="A168" s="14" t="s">
        <v>82</v>
      </c>
      <c r="B168" s="21" t="s">
        <v>39</v>
      </c>
      <c r="C168" s="29">
        <v>11550</v>
      </c>
      <c r="D168" s="29"/>
      <c r="E168" s="91"/>
    </row>
    <row r="169" spans="1:5">
      <c r="A169" s="14" t="s">
        <v>82</v>
      </c>
      <c r="B169" s="21" t="s">
        <v>40</v>
      </c>
      <c r="C169" s="29">
        <v>6755</v>
      </c>
      <c r="D169" s="29"/>
      <c r="E169" s="91"/>
    </row>
    <row r="170" spans="1:5">
      <c r="A170" s="14" t="s">
        <v>83</v>
      </c>
      <c r="B170" s="21" t="s">
        <v>17</v>
      </c>
      <c r="C170" s="29">
        <v>6689</v>
      </c>
      <c r="D170" s="29"/>
      <c r="E170" s="91"/>
    </row>
    <row r="171" spans="1:5">
      <c r="A171" s="14" t="s">
        <v>83</v>
      </c>
      <c r="B171" s="21" t="s">
        <v>18</v>
      </c>
      <c r="C171" s="29">
        <v>6546</v>
      </c>
      <c r="D171" s="29"/>
      <c r="E171" s="91"/>
    </row>
    <row r="172" spans="1:5">
      <c r="A172" s="14" t="s">
        <v>83</v>
      </c>
      <c r="B172" s="21" t="s">
        <v>19</v>
      </c>
      <c r="C172" s="29">
        <v>6934</v>
      </c>
      <c r="D172" s="29"/>
      <c r="E172" s="91"/>
    </row>
    <row r="173" spans="1:5">
      <c r="A173" s="14" t="s">
        <v>83</v>
      </c>
      <c r="B173" s="21" t="s">
        <v>20</v>
      </c>
      <c r="C173" s="29">
        <v>7884</v>
      </c>
      <c r="D173" s="29"/>
      <c r="E173" s="91"/>
    </row>
    <row r="174" spans="1:5">
      <c r="A174" s="14" t="s">
        <v>83</v>
      </c>
      <c r="B174" s="21" t="s">
        <v>21</v>
      </c>
      <c r="C174" s="29">
        <v>13249</v>
      </c>
      <c r="D174" s="29"/>
      <c r="E174" s="91"/>
    </row>
    <row r="175" spans="1:5">
      <c r="A175" s="14" t="s">
        <v>83</v>
      </c>
      <c r="B175" s="21" t="s">
        <v>22</v>
      </c>
      <c r="C175" s="29">
        <v>15479</v>
      </c>
      <c r="D175" s="29"/>
      <c r="E175" s="91"/>
    </row>
    <row r="176" spans="1:5">
      <c r="A176" s="14" t="s">
        <v>83</v>
      </c>
      <c r="B176" s="21" t="s">
        <v>23</v>
      </c>
      <c r="C176" s="29">
        <v>14194</v>
      </c>
      <c r="D176" s="29"/>
      <c r="E176" s="91"/>
    </row>
    <row r="177" spans="1:5">
      <c r="A177" s="14" t="s">
        <v>83</v>
      </c>
      <c r="B177" s="21" t="s">
        <v>24</v>
      </c>
      <c r="C177" s="29">
        <v>13634</v>
      </c>
      <c r="D177" s="29"/>
      <c r="E177" s="91"/>
    </row>
    <row r="178" spans="1:5">
      <c r="A178" s="14" t="s">
        <v>83</v>
      </c>
      <c r="B178" s="21" t="s">
        <v>25</v>
      </c>
      <c r="C178" s="29">
        <v>13894</v>
      </c>
      <c r="D178" s="29"/>
      <c r="E178" s="91"/>
    </row>
    <row r="179" spans="1:5">
      <c r="A179" s="14" t="s">
        <v>83</v>
      </c>
      <c r="B179" s="21" t="s">
        <v>26</v>
      </c>
      <c r="C179" s="29">
        <v>12645</v>
      </c>
      <c r="D179" s="29"/>
      <c r="E179" s="91"/>
    </row>
    <row r="180" spans="1:5">
      <c r="A180" s="14" t="s">
        <v>83</v>
      </c>
      <c r="B180" s="21" t="s">
        <v>27</v>
      </c>
      <c r="C180" s="29">
        <v>12035</v>
      </c>
      <c r="D180" s="29"/>
      <c r="E180" s="91"/>
    </row>
    <row r="181" spans="1:5">
      <c r="A181" s="14" t="s">
        <v>83</v>
      </c>
      <c r="B181" s="21" t="s">
        <v>28</v>
      </c>
      <c r="C181" s="29">
        <v>11650</v>
      </c>
      <c r="D181" s="29"/>
      <c r="E181" s="91"/>
    </row>
    <row r="182" spans="1:5">
      <c r="A182" s="14" t="s">
        <v>83</v>
      </c>
      <c r="B182" s="21" t="s">
        <v>29</v>
      </c>
      <c r="C182" s="29">
        <v>12220</v>
      </c>
      <c r="D182" s="29"/>
      <c r="E182" s="91"/>
    </row>
    <row r="183" spans="1:5">
      <c r="A183" s="14" t="s">
        <v>83</v>
      </c>
      <c r="B183" s="21" t="s">
        <v>30</v>
      </c>
      <c r="C183" s="29">
        <v>11213</v>
      </c>
      <c r="D183" s="29"/>
      <c r="E183" s="91"/>
    </row>
    <row r="184" spans="1:5">
      <c r="A184" s="14" t="s">
        <v>83</v>
      </c>
      <c r="B184" s="21" t="s">
        <v>31</v>
      </c>
      <c r="C184" s="29">
        <v>10650</v>
      </c>
      <c r="D184" s="29"/>
      <c r="E184" s="91"/>
    </row>
    <row r="185" spans="1:5">
      <c r="A185" s="14" t="s">
        <v>83</v>
      </c>
      <c r="B185" s="21" t="s">
        <v>32</v>
      </c>
      <c r="C185" s="29">
        <v>11371</v>
      </c>
      <c r="D185" s="29"/>
      <c r="E185" s="91"/>
    </row>
    <row r="186" spans="1:5">
      <c r="A186" s="14" t="s">
        <v>83</v>
      </c>
      <c r="B186" s="21" t="s">
        <v>33</v>
      </c>
      <c r="C186" s="29">
        <v>11613</v>
      </c>
      <c r="D186" s="29"/>
      <c r="E186" s="91"/>
    </row>
    <row r="187" spans="1:5">
      <c r="A187" s="14" t="s">
        <v>83</v>
      </c>
      <c r="B187" s="21" t="s">
        <v>34</v>
      </c>
      <c r="C187" s="29">
        <v>11755</v>
      </c>
      <c r="D187" s="29"/>
      <c r="E187" s="91"/>
    </row>
    <row r="188" spans="1:5">
      <c r="A188" s="14" t="s">
        <v>83</v>
      </c>
      <c r="B188" s="21" t="s">
        <v>35</v>
      </c>
      <c r="C188" s="29">
        <v>12222</v>
      </c>
      <c r="D188" s="29"/>
      <c r="E188" s="91"/>
    </row>
    <row r="189" spans="1:5">
      <c r="A189" s="14" t="s">
        <v>83</v>
      </c>
      <c r="B189" s="21" t="s">
        <v>36</v>
      </c>
      <c r="C189" s="29">
        <v>12281</v>
      </c>
      <c r="D189" s="29"/>
      <c r="E189" s="91"/>
    </row>
    <row r="190" spans="1:5">
      <c r="A190" s="14" t="s">
        <v>83</v>
      </c>
      <c r="B190" s="21" t="s">
        <v>37</v>
      </c>
      <c r="C190" s="29">
        <v>12193</v>
      </c>
      <c r="D190" s="29"/>
      <c r="E190" s="91"/>
    </row>
    <row r="191" spans="1:5">
      <c r="A191" s="14" t="s">
        <v>83</v>
      </c>
      <c r="B191" s="21" t="s">
        <v>38</v>
      </c>
      <c r="C191" s="29">
        <v>11573</v>
      </c>
      <c r="D191" s="29"/>
      <c r="E191" s="91"/>
    </row>
    <row r="192" spans="1:5">
      <c r="A192" s="14" t="s">
        <v>83</v>
      </c>
      <c r="B192" s="21" t="s">
        <v>39</v>
      </c>
      <c r="C192" s="29">
        <v>11027</v>
      </c>
      <c r="D192" s="29"/>
      <c r="E192" s="91"/>
    </row>
    <row r="193" spans="1:5">
      <c r="A193" s="14" t="s">
        <v>83</v>
      </c>
      <c r="B193" s="21" t="s">
        <v>40</v>
      </c>
      <c r="C193" s="29">
        <v>6739</v>
      </c>
      <c r="D193" s="29"/>
      <c r="E193" s="91"/>
    </row>
    <row r="194" spans="1:5">
      <c r="A194" s="14" t="s">
        <v>84</v>
      </c>
      <c r="B194" s="21" t="s">
        <v>17</v>
      </c>
      <c r="C194" s="29">
        <v>6726</v>
      </c>
      <c r="D194" s="29"/>
      <c r="E194" s="91"/>
    </row>
    <row r="195" spans="1:5">
      <c r="A195" s="14" t="s">
        <v>84</v>
      </c>
      <c r="B195" s="21" t="s">
        <v>18</v>
      </c>
      <c r="C195" s="29">
        <v>6461</v>
      </c>
      <c r="D195" s="29"/>
      <c r="E195" s="91"/>
    </row>
    <row r="196" spans="1:5">
      <c r="A196" s="14" t="s">
        <v>84</v>
      </c>
      <c r="B196" s="21" t="s">
        <v>19</v>
      </c>
      <c r="C196" s="29">
        <v>6002</v>
      </c>
      <c r="D196" s="29"/>
      <c r="E196" s="91"/>
    </row>
    <row r="197" spans="1:5">
      <c r="A197" s="14" t="s">
        <v>84</v>
      </c>
      <c r="B197" s="21" t="s">
        <v>20</v>
      </c>
      <c r="C197" s="29">
        <v>6043</v>
      </c>
      <c r="D197" s="29"/>
      <c r="E197" s="91"/>
    </row>
    <row r="198" spans="1:5">
      <c r="A198" s="14" t="s">
        <v>84</v>
      </c>
      <c r="B198" s="21" t="s">
        <v>21</v>
      </c>
      <c r="C198" s="29">
        <v>11170</v>
      </c>
      <c r="D198" s="29"/>
      <c r="E198" s="91"/>
    </row>
    <row r="199" spans="1:5">
      <c r="A199" s="14" t="s">
        <v>84</v>
      </c>
      <c r="B199" s="21" t="s">
        <v>22</v>
      </c>
      <c r="C199" s="29">
        <v>13273</v>
      </c>
      <c r="D199" s="29"/>
      <c r="E199" s="91"/>
    </row>
    <row r="200" spans="1:5">
      <c r="A200" s="14" t="s">
        <v>84</v>
      </c>
      <c r="B200" s="21" t="s">
        <v>23</v>
      </c>
      <c r="C200" s="29">
        <v>13849</v>
      </c>
      <c r="D200" s="29"/>
      <c r="E200" s="91"/>
    </row>
    <row r="201" spans="1:5">
      <c r="A201" s="14" t="s">
        <v>84</v>
      </c>
      <c r="B201" s="21" t="s">
        <v>24</v>
      </c>
      <c r="C201" s="29">
        <v>13935</v>
      </c>
      <c r="D201" s="29"/>
      <c r="E201" s="91"/>
    </row>
    <row r="202" spans="1:5">
      <c r="A202" s="14" t="s">
        <v>84</v>
      </c>
      <c r="B202" s="21" t="s">
        <v>25</v>
      </c>
      <c r="C202" s="29">
        <v>13130</v>
      </c>
      <c r="D202" s="29"/>
      <c r="E202" s="91"/>
    </row>
    <row r="203" spans="1:5">
      <c r="A203" s="14" t="s">
        <v>84</v>
      </c>
      <c r="B203" s="21" t="s">
        <v>26</v>
      </c>
      <c r="C203" s="29">
        <v>12162</v>
      </c>
      <c r="D203" s="29"/>
      <c r="E203" s="91"/>
    </row>
    <row r="204" spans="1:5">
      <c r="A204" s="14" t="s">
        <v>84</v>
      </c>
      <c r="B204" s="21" t="s">
        <v>27</v>
      </c>
      <c r="C204" s="29">
        <v>11622</v>
      </c>
      <c r="D204" s="29"/>
      <c r="E204" s="91"/>
    </row>
    <row r="205" spans="1:5">
      <c r="A205" s="14" t="s">
        <v>84</v>
      </c>
      <c r="B205" s="21" t="s">
        <v>28</v>
      </c>
      <c r="C205" s="29">
        <v>13527</v>
      </c>
      <c r="D205" s="29"/>
      <c r="E205" s="91"/>
    </row>
    <row r="206" spans="1:5">
      <c r="A206" s="14" t="s">
        <v>84</v>
      </c>
      <c r="B206" s="21" t="s">
        <v>29</v>
      </c>
      <c r="C206" s="29">
        <v>11729</v>
      </c>
      <c r="D206" s="29"/>
      <c r="E206" s="91"/>
    </row>
    <row r="207" spans="1:5">
      <c r="A207" s="14" t="s">
        <v>84</v>
      </c>
      <c r="B207" s="21" t="s">
        <v>30</v>
      </c>
      <c r="C207" s="29">
        <v>10772</v>
      </c>
      <c r="D207" s="29"/>
      <c r="E207" s="91"/>
    </row>
    <row r="208" spans="1:5">
      <c r="A208" s="14" t="s">
        <v>84</v>
      </c>
      <c r="B208" s="21" t="s">
        <v>31</v>
      </c>
      <c r="C208" s="29">
        <v>9024</v>
      </c>
      <c r="D208" s="29"/>
      <c r="E208" s="91"/>
    </row>
    <row r="209" spans="1:5">
      <c r="A209" s="14" t="s">
        <v>84</v>
      </c>
      <c r="B209" s="21" t="s">
        <v>32</v>
      </c>
      <c r="C209" s="29">
        <v>9903</v>
      </c>
      <c r="D209" s="29"/>
      <c r="E209" s="91"/>
    </row>
    <row r="210" spans="1:5">
      <c r="A210" s="14" t="s">
        <v>84</v>
      </c>
      <c r="B210" s="21" t="s">
        <v>33</v>
      </c>
      <c r="C210" s="29">
        <v>10315</v>
      </c>
      <c r="D210" s="29"/>
      <c r="E210" s="91"/>
    </row>
    <row r="211" spans="1:5">
      <c r="A211" s="14" t="s">
        <v>84</v>
      </c>
      <c r="B211" s="21" t="s">
        <v>34</v>
      </c>
      <c r="C211" s="29">
        <v>11690</v>
      </c>
      <c r="D211" s="29"/>
      <c r="E211" s="91"/>
    </row>
    <row r="212" spans="1:5">
      <c r="A212" s="14" t="s">
        <v>84</v>
      </c>
      <c r="B212" s="21" t="s">
        <v>35</v>
      </c>
      <c r="C212" s="29">
        <v>13394</v>
      </c>
      <c r="D212" s="29"/>
      <c r="E212" s="91"/>
    </row>
    <row r="213" spans="1:5">
      <c r="A213" s="14" t="s">
        <v>84</v>
      </c>
      <c r="B213" s="21" t="s">
        <v>36</v>
      </c>
      <c r="C213" s="29">
        <v>13580</v>
      </c>
      <c r="D213" s="29"/>
      <c r="E213" s="91"/>
    </row>
    <row r="214" spans="1:5">
      <c r="A214" s="14" t="s">
        <v>84</v>
      </c>
      <c r="B214" s="21" t="s">
        <v>37</v>
      </c>
      <c r="C214" s="29">
        <v>14228</v>
      </c>
      <c r="D214" s="29"/>
      <c r="E214" s="91"/>
    </row>
    <row r="215" spans="1:5">
      <c r="A215" s="14" t="s">
        <v>84</v>
      </c>
      <c r="B215" s="21" t="s">
        <v>38</v>
      </c>
      <c r="C215" s="29">
        <v>15193</v>
      </c>
      <c r="D215" s="29"/>
      <c r="E215" s="91"/>
    </row>
    <row r="216" spans="1:5">
      <c r="A216" s="14" t="s">
        <v>84</v>
      </c>
      <c r="B216" s="21" t="s">
        <v>39</v>
      </c>
      <c r="C216" s="29">
        <v>11328</v>
      </c>
      <c r="D216" s="29"/>
      <c r="E216" s="91"/>
    </row>
    <row r="217" spans="1:5">
      <c r="A217" s="14" t="s">
        <v>84</v>
      </c>
      <c r="B217" s="21" t="s">
        <v>40</v>
      </c>
      <c r="C217" s="29">
        <v>7478</v>
      </c>
      <c r="D217" s="29"/>
      <c r="E217" s="91"/>
    </row>
    <row r="218" spans="1:5">
      <c r="A218" s="14" t="s">
        <v>85</v>
      </c>
      <c r="B218" s="21" t="s">
        <v>17</v>
      </c>
      <c r="C218" s="29">
        <v>5373</v>
      </c>
      <c r="D218" s="29"/>
      <c r="E218" s="91"/>
    </row>
    <row r="219" spans="1:5">
      <c r="A219" s="14" t="s">
        <v>85</v>
      </c>
      <c r="B219" s="21" t="s">
        <v>18</v>
      </c>
      <c r="C219" s="29">
        <v>6079</v>
      </c>
      <c r="D219" s="29"/>
      <c r="E219" s="91"/>
    </row>
    <row r="220" spans="1:5">
      <c r="A220" s="14" t="s">
        <v>85</v>
      </c>
      <c r="B220" s="21" t="s">
        <v>19</v>
      </c>
      <c r="C220" s="29">
        <v>5427</v>
      </c>
      <c r="D220" s="29"/>
      <c r="E220" s="91"/>
    </row>
    <row r="221" spans="1:5">
      <c r="A221" s="14" t="s">
        <v>85</v>
      </c>
      <c r="B221" s="21" t="s">
        <v>20</v>
      </c>
      <c r="C221" s="29">
        <v>7201</v>
      </c>
      <c r="D221" s="29"/>
      <c r="E221" s="91"/>
    </row>
    <row r="222" spans="1:5">
      <c r="A222" s="14" t="s">
        <v>85</v>
      </c>
      <c r="B222" s="21" t="s">
        <v>21</v>
      </c>
      <c r="C222" s="29">
        <v>14790</v>
      </c>
      <c r="D222" s="29"/>
      <c r="E222" s="91"/>
    </row>
    <row r="223" spans="1:5">
      <c r="A223" s="14" t="s">
        <v>85</v>
      </c>
      <c r="B223" s="21" t="s">
        <v>22</v>
      </c>
      <c r="C223" s="29">
        <v>17001</v>
      </c>
      <c r="D223" s="29"/>
      <c r="E223" s="91"/>
    </row>
    <row r="224" spans="1:5">
      <c r="A224" s="14" t="s">
        <v>85</v>
      </c>
      <c r="B224" s="21" t="s">
        <v>23</v>
      </c>
      <c r="C224" s="29">
        <v>16347</v>
      </c>
      <c r="D224" s="29"/>
      <c r="E224" s="91"/>
    </row>
    <row r="225" spans="1:5">
      <c r="A225" s="14" t="s">
        <v>85</v>
      </c>
      <c r="B225" s="21" t="s">
        <v>24</v>
      </c>
      <c r="C225" s="29">
        <v>17244</v>
      </c>
      <c r="D225" s="29"/>
      <c r="E225" s="91"/>
    </row>
    <row r="226" spans="1:5">
      <c r="A226" s="14" t="s">
        <v>85</v>
      </c>
      <c r="B226" s="21" t="s">
        <v>25</v>
      </c>
      <c r="C226" s="29">
        <v>15698</v>
      </c>
      <c r="D226" s="29"/>
      <c r="E226" s="91"/>
    </row>
    <row r="227" spans="1:5">
      <c r="A227" s="14" t="s">
        <v>85</v>
      </c>
      <c r="B227" s="21" t="s">
        <v>26</v>
      </c>
      <c r="C227" s="29">
        <v>13303</v>
      </c>
      <c r="D227" s="29"/>
      <c r="E227" s="91"/>
    </row>
    <row r="228" spans="1:5">
      <c r="A228" s="14" t="s">
        <v>85</v>
      </c>
      <c r="B228" s="21" t="s">
        <v>27</v>
      </c>
      <c r="C228" s="29">
        <v>13127</v>
      </c>
      <c r="D228" s="29"/>
      <c r="E228" s="91"/>
    </row>
    <row r="229" spans="1:5">
      <c r="A229" s="14" t="s">
        <v>85</v>
      </c>
      <c r="B229" s="21" t="s">
        <v>28</v>
      </c>
      <c r="C229" s="29">
        <v>12493</v>
      </c>
      <c r="D229" s="29"/>
      <c r="E229" s="91"/>
    </row>
    <row r="230" spans="1:5">
      <c r="A230" s="14" t="s">
        <v>85</v>
      </c>
      <c r="B230" s="21" t="s">
        <v>29</v>
      </c>
      <c r="C230" s="29">
        <v>13121</v>
      </c>
      <c r="D230" s="29"/>
      <c r="E230" s="91"/>
    </row>
    <row r="231" spans="1:5">
      <c r="A231" s="14" t="s">
        <v>85</v>
      </c>
      <c r="B231" s="21" t="s">
        <v>30</v>
      </c>
      <c r="C231" s="29">
        <v>13329</v>
      </c>
      <c r="D231" s="29"/>
      <c r="E231" s="91"/>
    </row>
    <row r="232" spans="1:5">
      <c r="A232" s="14" t="s">
        <v>85</v>
      </c>
      <c r="B232" s="21" t="s">
        <v>31</v>
      </c>
      <c r="C232" s="29">
        <v>11978</v>
      </c>
      <c r="D232" s="29"/>
      <c r="E232" s="91"/>
    </row>
    <row r="233" spans="1:5">
      <c r="A233" s="14" t="s">
        <v>85</v>
      </c>
      <c r="B233" s="21" t="s">
        <v>32</v>
      </c>
      <c r="C233" s="29">
        <v>12829</v>
      </c>
      <c r="D233" s="29"/>
      <c r="E233" s="91"/>
    </row>
    <row r="234" spans="1:5">
      <c r="A234" s="14" t="s">
        <v>85</v>
      </c>
      <c r="B234" s="21" t="s">
        <v>33</v>
      </c>
      <c r="C234" s="29">
        <v>12941</v>
      </c>
      <c r="D234" s="29"/>
      <c r="E234" s="91"/>
    </row>
    <row r="235" spans="1:5">
      <c r="A235" s="14" t="s">
        <v>85</v>
      </c>
      <c r="B235" s="21" t="s">
        <v>34</v>
      </c>
      <c r="C235" s="29">
        <v>13583</v>
      </c>
      <c r="D235" s="29"/>
      <c r="E235" s="91"/>
    </row>
    <row r="236" spans="1:5">
      <c r="A236" s="14" t="s">
        <v>85</v>
      </c>
      <c r="B236" s="21" t="s">
        <v>35</v>
      </c>
      <c r="C236" s="29">
        <v>13978</v>
      </c>
      <c r="D236" s="29"/>
      <c r="E236" s="91"/>
    </row>
    <row r="237" spans="1:5">
      <c r="A237" s="14" t="s">
        <v>85</v>
      </c>
      <c r="B237" s="21" t="s">
        <v>36</v>
      </c>
      <c r="C237" s="29">
        <v>13368</v>
      </c>
      <c r="D237" s="29"/>
      <c r="E237" s="91"/>
    </row>
    <row r="238" spans="1:5">
      <c r="A238" s="14" t="s">
        <v>85</v>
      </c>
      <c r="B238" s="21" t="s">
        <v>37</v>
      </c>
      <c r="C238" s="29">
        <v>13548</v>
      </c>
      <c r="D238" s="29"/>
      <c r="E238" s="91"/>
    </row>
    <row r="239" spans="1:5">
      <c r="A239" s="14" t="s">
        <v>85</v>
      </c>
      <c r="B239" s="21" t="s">
        <v>38</v>
      </c>
      <c r="C239" s="29">
        <v>13948</v>
      </c>
      <c r="D239" s="29"/>
      <c r="E239" s="91"/>
    </row>
    <row r="240" spans="1:5">
      <c r="A240" s="14" t="s">
        <v>85</v>
      </c>
      <c r="B240" s="21" t="s">
        <v>39</v>
      </c>
      <c r="C240" s="29">
        <v>11512</v>
      </c>
      <c r="D240" s="29"/>
      <c r="E240" s="91"/>
    </row>
    <row r="241" spans="1:5">
      <c r="A241" s="14" t="s">
        <v>85</v>
      </c>
      <c r="B241" s="21" t="s">
        <v>40</v>
      </c>
      <c r="C241" s="29">
        <v>7333</v>
      </c>
      <c r="D241" s="29"/>
      <c r="E241" s="91"/>
    </row>
    <row r="242" spans="1:5">
      <c r="A242" s="14" t="s">
        <v>86</v>
      </c>
      <c r="B242" s="21" t="s">
        <v>17</v>
      </c>
      <c r="C242" s="29">
        <v>6123</v>
      </c>
      <c r="D242" s="29"/>
      <c r="E242" s="91"/>
    </row>
    <row r="243" spans="1:5">
      <c r="A243" s="14" t="s">
        <v>86</v>
      </c>
      <c r="B243" s="21" t="s">
        <v>18</v>
      </c>
      <c r="C243" s="29">
        <v>6057</v>
      </c>
      <c r="D243" s="29"/>
      <c r="E243" s="91"/>
    </row>
    <row r="244" spans="1:5">
      <c r="A244" s="14" t="s">
        <v>86</v>
      </c>
      <c r="B244" s="21" t="s">
        <v>19</v>
      </c>
      <c r="C244" s="29">
        <v>5301</v>
      </c>
      <c r="D244" s="29"/>
      <c r="E244" s="91"/>
    </row>
    <row r="245" spans="1:5">
      <c r="A245" s="14" t="s">
        <v>86</v>
      </c>
      <c r="B245" s="21" t="s">
        <v>20</v>
      </c>
      <c r="C245" s="29">
        <v>8438</v>
      </c>
      <c r="D245" s="29"/>
      <c r="E245" s="91"/>
    </row>
    <row r="246" spans="1:5">
      <c r="A246" s="14" t="s">
        <v>86</v>
      </c>
      <c r="B246" s="21" t="s">
        <v>21</v>
      </c>
      <c r="C246" s="29">
        <v>17083</v>
      </c>
      <c r="D246" s="29"/>
      <c r="E246" s="91"/>
    </row>
    <row r="247" spans="1:5">
      <c r="A247" s="14" t="s">
        <v>86</v>
      </c>
      <c r="B247" s="21" t="s">
        <v>22</v>
      </c>
      <c r="C247" s="29">
        <v>14810</v>
      </c>
      <c r="D247" s="29"/>
      <c r="E247" s="91"/>
    </row>
    <row r="248" spans="1:5">
      <c r="A248" s="14" t="s">
        <v>86</v>
      </c>
      <c r="B248" s="21" t="s">
        <v>23</v>
      </c>
      <c r="C248" s="29">
        <v>15640</v>
      </c>
      <c r="D248" s="29"/>
      <c r="E248" s="91"/>
    </row>
    <row r="249" spans="1:5">
      <c r="A249" s="14" t="s">
        <v>86</v>
      </c>
      <c r="B249" s="21" t="s">
        <v>24</v>
      </c>
      <c r="C249" s="29">
        <v>14143</v>
      </c>
      <c r="D249" s="29"/>
      <c r="E249" s="91"/>
    </row>
    <row r="250" spans="1:5">
      <c r="A250" s="14" t="s">
        <v>86</v>
      </c>
      <c r="B250" s="21" t="s">
        <v>25</v>
      </c>
      <c r="C250" s="29">
        <v>14709</v>
      </c>
      <c r="D250" s="29"/>
      <c r="E250" s="91"/>
    </row>
    <row r="251" spans="1:5">
      <c r="A251" s="14" t="s">
        <v>86</v>
      </c>
      <c r="B251" s="21" t="s">
        <v>26</v>
      </c>
      <c r="C251" s="29">
        <v>13664</v>
      </c>
      <c r="D251" s="29"/>
      <c r="E251" s="91"/>
    </row>
    <row r="252" spans="1:5">
      <c r="A252" s="14" t="s">
        <v>86</v>
      </c>
      <c r="B252" s="21" t="s">
        <v>27</v>
      </c>
      <c r="C252" s="29">
        <v>14672</v>
      </c>
      <c r="D252" s="29"/>
      <c r="E252" s="91"/>
    </row>
    <row r="253" spans="1:5">
      <c r="A253" s="14" t="s">
        <v>86</v>
      </c>
      <c r="B253" s="21" t="s">
        <v>28</v>
      </c>
      <c r="C253" s="29">
        <v>15599</v>
      </c>
      <c r="D253" s="29"/>
      <c r="E253" s="91"/>
    </row>
    <row r="254" spans="1:5">
      <c r="A254" s="14" t="s">
        <v>86</v>
      </c>
      <c r="B254" s="21" t="s">
        <v>29</v>
      </c>
      <c r="C254" s="29">
        <v>16355</v>
      </c>
      <c r="D254" s="29"/>
      <c r="E254" s="91"/>
    </row>
    <row r="255" spans="1:5">
      <c r="A255" s="14" t="s">
        <v>86</v>
      </c>
      <c r="B255" s="21" t="s">
        <v>30</v>
      </c>
      <c r="C255" s="29">
        <v>16673</v>
      </c>
      <c r="D255" s="29"/>
      <c r="E255" s="91"/>
    </row>
    <row r="256" spans="1:5">
      <c r="A256" s="14" t="s">
        <v>86</v>
      </c>
      <c r="B256" s="21" t="s">
        <v>31</v>
      </c>
      <c r="C256" s="29">
        <v>16910</v>
      </c>
      <c r="D256" s="29"/>
      <c r="E256" s="91"/>
    </row>
    <row r="257" spans="1:5">
      <c r="A257" s="14" t="s">
        <v>86</v>
      </c>
      <c r="B257" s="21" t="s">
        <v>32</v>
      </c>
      <c r="C257" s="29">
        <v>13173</v>
      </c>
      <c r="D257" s="29"/>
      <c r="E257" s="91"/>
    </row>
    <row r="258" spans="1:5">
      <c r="A258" s="14" t="s">
        <v>86</v>
      </c>
      <c r="B258" s="21" t="s">
        <v>33</v>
      </c>
      <c r="C258" s="29">
        <v>12840</v>
      </c>
      <c r="D258" s="29"/>
      <c r="E258" s="91"/>
    </row>
    <row r="259" spans="1:5">
      <c r="A259" s="14" t="s">
        <v>86</v>
      </c>
      <c r="B259" s="21" t="s">
        <v>34</v>
      </c>
      <c r="C259" s="29">
        <v>15581</v>
      </c>
      <c r="D259" s="29"/>
      <c r="E259" s="91"/>
    </row>
    <row r="260" spans="1:5">
      <c r="A260" s="14" t="s">
        <v>86</v>
      </c>
      <c r="B260" s="21" t="s">
        <v>35</v>
      </c>
      <c r="C260" s="29">
        <v>14998</v>
      </c>
      <c r="D260" s="29"/>
      <c r="E260" s="91"/>
    </row>
    <row r="261" spans="1:5">
      <c r="A261" s="14" t="s">
        <v>86</v>
      </c>
      <c r="B261" s="21" t="s">
        <v>36</v>
      </c>
      <c r="C261" s="29">
        <v>15399</v>
      </c>
      <c r="D261" s="29"/>
      <c r="E261" s="91"/>
    </row>
    <row r="262" spans="1:5">
      <c r="A262" s="14" t="s">
        <v>86</v>
      </c>
      <c r="B262" s="21" t="s">
        <v>37</v>
      </c>
      <c r="C262" s="29">
        <v>16070</v>
      </c>
      <c r="D262" s="29"/>
      <c r="E262" s="91"/>
    </row>
    <row r="263" spans="1:5">
      <c r="A263" s="14" t="s">
        <v>86</v>
      </c>
      <c r="B263" s="21" t="s">
        <v>38</v>
      </c>
      <c r="C263" s="29">
        <v>15008</v>
      </c>
      <c r="D263" s="29"/>
      <c r="E263" s="91"/>
    </row>
    <row r="264" spans="1:5">
      <c r="A264" s="14" t="s">
        <v>86</v>
      </c>
      <c r="B264" s="21" t="s">
        <v>39</v>
      </c>
      <c r="C264" s="29">
        <v>12907</v>
      </c>
      <c r="D264" s="29"/>
      <c r="E264" s="91"/>
    </row>
    <row r="265" spans="1:5">
      <c r="A265" s="14" t="s">
        <v>86</v>
      </c>
      <c r="B265" s="21" t="s">
        <v>40</v>
      </c>
      <c r="C265" s="29">
        <v>8997</v>
      </c>
      <c r="D265" s="29"/>
      <c r="E265" s="91"/>
    </row>
    <row r="266" spans="1:5">
      <c r="A266" s="14" t="s">
        <v>87</v>
      </c>
      <c r="B266" s="21" t="s">
        <v>17</v>
      </c>
      <c r="C266" s="29">
        <v>7849</v>
      </c>
      <c r="D266" s="29"/>
      <c r="E266" s="91"/>
    </row>
    <row r="267" spans="1:5">
      <c r="A267" s="14" t="s">
        <v>87</v>
      </c>
      <c r="B267" s="21" t="s">
        <v>18</v>
      </c>
      <c r="C267" s="29">
        <v>7410</v>
      </c>
      <c r="D267" s="29"/>
      <c r="E267" s="91"/>
    </row>
    <row r="268" spans="1:5">
      <c r="A268" s="14" t="s">
        <v>87</v>
      </c>
      <c r="B268" s="21" t="s">
        <v>19</v>
      </c>
      <c r="C268" s="29">
        <v>7868</v>
      </c>
      <c r="D268" s="29"/>
      <c r="E268" s="91"/>
    </row>
    <row r="269" spans="1:5">
      <c r="A269" s="14" t="s">
        <v>87</v>
      </c>
      <c r="B269" s="21" t="s">
        <v>20</v>
      </c>
      <c r="C269" s="29">
        <v>9038</v>
      </c>
      <c r="D269" s="29"/>
      <c r="E269" s="91"/>
    </row>
    <row r="270" spans="1:5">
      <c r="A270" s="14" t="s">
        <v>87</v>
      </c>
      <c r="B270" s="21" t="s">
        <v>21</v>
      </c>
      <c r="C270" s="29">
        <v>18099</v>
      </c>
      <c r="D270" s="29"/>
      <c r="E270" s="91"/>
    </row>
    <row r="271" spans="1:5">
      <c r="A271" s="14" t="s">
        <v>87</v>
      </c>
      <c r="B271" s="21" t="s">
        <v>22</v>
      </c>
      <c r="C271" s="29">
        <v>18796</v>
      </c>
      <c r="D271" s="29"/>
      <c r="E271" s="91"/>
    </row>
    <row r="272" spans="1:5">
      <c r="A272" s="14" t="s">
        <v>87</v>
      </c>
      <c r="B272" s="21" t="s">
        <v>23</v>
      </c>
      <c r="C272" s="29">
        <v>15927</v>
      </c>
      <c r="D272" s="29"/>
      <c r="E272" s="91"/>
    </row>
    <row r="273" spans="1:5">
      <c r="A273" s="14" t="s">
        <v>87</v>
      </c>
      <c r="B273" s="21" t="s">
        <v>24</v>
      </c>
      <c r="C273" s="29">
        <v>14761</v>
      </c>
      <c r="D273" s="29"/>
      <c r="E273" s="91"/>
    </row>
    <row r="274" spans="1:5">
      <c r="A274" s="14" t="s">
        <v>87</v>
      </c>
      <c r="B274" s="21" t="s">
        <v>25</v>
      </c>
      <c r="C274" s="29">
        <v>15276</v>
      </c>
      <c r="D274" s="29"/>
      <c r="E274" s="91"/>
    </row>
    <row r="275" spans="1:5">
      <c r="A275" s="14" t="s">
        <v>87</v>
      </c>
      <c r="B275" s="21" t="s">
        <v>26</v>
      </c>
      <c r="C275" s="29">
        <v>14717</v>
      </c>
      <c r="D275" s="29"/>
      <c r="E275" s="91"/>
    </row>
    <row r="276" spans="1:5">
      <c r="A276" s="14" t="s">
        <v>87</v>
      </c>
      <c r="B276" s="21" t="s">
        <v>27</v>
      </c>
      <c r="C276" s="29">
        <v>16378</v>
      </c>
      <c r="D276" s="29"/>
      <c r="E276" s="91"/>
    </row>
    <row r="277" spans="1:5">
      <c r="A277" s="14" t="s">
        <v>87</v>
      </c>
      <c r="B277" s="21" t="s">
        <v>28</v>
      </c>
      <c r="C277" s="29">
        <v>15348</v>
      </c>
      <c r="D277" s="29"/>
      <c r="E277" s="91"/>
    </row>
    <row r="278" spans="1:5">
      <c r="A278" s="14" t="s">
        <v>87</v>
      </c>
      <c r="B278" s="21" t="s">
        <v>29</v>
      </c>
      <c r="C278" s="29">
        <v>15239</v>
      </c>
      <c r="D278" s="29"/>
      <c r="E278" s="91"/>
    </row>
    <row r="279" spans="1:5">
      <c r="A279" s="14" t="s">
        <v>87</v>
      </c>
      <c r="B279" s="21" t="s">
        <v>30</v>
      </c>
      <c r="C279" s="29">
        <v>14589</v>
      </c>
      <c r="D279" s="29"/>
      <c r="E279" s="91"/>
    </row>
    <row r="280" spans="1:5">
      <c r="A280" s="14" t="s">
        <v>87</v>
      </c>
      <c r="B280" s="21" t="s">
        <v>31</v>
      </c>
      <c r="C280" s="29">
        <v>14283</v>
      </c>
      <c r="D280" s="29"/>
      <c r="E280" s="91"/>
    </row>
    <row r="281" spans="1:5">
      <c r="A281" s="14" t="s">
        <v>87</v>
      </c>
      <c r="B281" s="21" t="s">
        <v>32</v>
      </c>
      <c r="C281" s="29">
        <v>14137</v>
      </c>
      <c r="D281" s="29"/>
      <c r="E281" s="91"/>
    </row>
    <row r="282" spans="1:5">
      <c r="A282" s="14" t="s">
        <v>87</v>
      </c>
      <c r="B282" s="21" t="s">
        <v>33</v>
      </c>
      <c r="C282" s="29">
        <v>14435</v>
      </c>
      <c r="D282" s="29"/>
      <c r="E282" s="91"/>
    </row>
    <row r="283" spans="1:5">
      <c r="A283" s="14" t="s">
        <v>87</v>
      </c>
      <c r="B283" s="21" t="s">
        <v>34</v>
      </c>
      <c r="C283" s="29">
        <v>15516</v>
      </c>
      <c r="D283" s="29"/>
      <c r="E283" s="91"/>
    </row>
    <row r="284" spans="1:5">
      <c r="A284" s="14" t="s">
        <v>87</v>
      </c>
      <c r="B284" s="21" t="s">
        <v>35</v>
      </c>
      <c r="C284" s="29">
        <v>17879</v>
      </c>
      <c r="D284" s="29"/>
      <c r="E284" s="91"/>
    </row>
    <row r="285" spans="1:5">
      <c r="A285" s="14" t="s">
        <v>87</v>
      </c>
      <c r="B285" s="21" t="s">
        <v>36</v>
      </c>
      <c r="C285" s="29">
        <v>18237</v>
      </c>
      <c r="D285" s="29"/>
      <c r="E285" s="91"/>
    </row>
    <row r="286" spans="1:5">
      <c r="A286" s="14" t="s">
        <v>87</v>
      </c>
      <c r="B286" s="21" t="s">
        <v>37</v>
      </c>
      <c r="C286" s="29">
        <v>17678</v>
      </c>
      <c r="D286" s="29"/>
      <c r="E286" s="91"/>
    </row>
    <row r="287" spans="1:5">
      <c r="A287" s="14" t="s">
        <v>87</v>
      </c>
      <c r="B287" s="21" t="s">
        <v>38</v>
      </c>
      <c r="C287" s="29">
        <v>17818</v>
      </c>
      <c r="D287" s="29"/>
      <c r="E287" s="91"/>
    </row>
    <row r="288" spans="1:5">
      <c r="A288" s="14" t="s">
        <v>87</v>
      </c>
      <c r="B288" s="21" t="s">
        <v>39</v>
      </c>
      <c r="C288" s="29">
        <v>16203</v>
      </c>
      <c r="D288" s="29"/>
      <c r="E288" s="91"/>
    </row>
    <row r="289" spans="1:5">
      <c r="A289" s="14" t="s">
        <v>87</v>
      </c>
      <c r="B289" s="21" t="s">
        <v>40</v>
      </c>
      <c r="C289" s="29">
        <v>11219</v>
      </c>
      <c r="D289" s="29"/>
      <c r="E289" s="91"/>
    </row>
    <row r="290" spans="1:5">
      <c r="A290" s="14" t="s">
        <v>88</v>
      </c>
      <c r="B290" s="21" t="s">
        <v>17</v>
      </c>
      <c r="C290" s="29">
        <v>14135</v>
      </c>
      <c r="D290" s="29"/>
      <c r="E290" s="91"/>
    </row>
    <row r="291" spans="1:5">
      <c r="A291" s="14" t="s">
        <v>88</v>
      </c>
      <c r="B291" s="21" t="s">
        <v>18</v>
      </c>
      <c r="C291" s="29">
        <v>12945</v>
      </c>
      <c r="D291" s="29"/>
      <c r="E291" s="91"/>
    </row>
    <row r="292" spans="1:5">
      <c r="A292" s="14" t="s">
        <v>88</v>
      </c>
      <c r="B292" s="21" t="s">
        <v>19</v>
      </c>
      <c r="C292" s="29">
        <v>13630</v>
      </c>
      <c r="D292" s="29"/>
      <c r="E292" s="91"/>
    </row>
    <row r="293" spans="1:5">
      <c r="A293" s="14" t="s">
        <v>88</v>
      </c>
      <c r="B293" s="21" t="s">
        <v>20</v>
      </c>
      <c r="C293" s="29">
        <v>12921</v>
      </c>
      <c r="D293" s="29"/>
      <c r="E293" s="91"/>
    </row>
    <row r="294" spans="1:5">
      <c r="A294" s="14" t="s">
        <v>88</v>
      </c>
      <c r="B294" s="21" t="s">
        <v>21</v>
      </c>
      <c r="C294" s="29">
        <v>19056</v>
      </c>
      <c r="D294" s="29"/>
      <c r="E294" s="91"/>
    </row>
    <row r="295" spans="1:5">
      <c r="A295" s="14" t="s">
        <v>88</v>
      </c>
      <c r="B295" s="21" t="s">
        <v>22</v>
      </c>
      <c r="C295" s="29">
        <v>18514</v>
      </c>
      <c r="D295" s="29"/>
      <c r="E295" s="91"/>
    </row>
    <row r="296" spans="1:5">
      <c r="A296" s="14" t="s">
        <v>88</v>
      </c>
      <c r="B296" s="21" t="s">
        <v>23</v>
      </c>
      <c r="C296" s="29">
        <v>19649</v>
      </c>
      <c r="D296" s="29"/>
      <c r="E296" s="91"/>
    </row>
    <row r="297" spans="1:5">
      <c r="A297" s="14" t="s">
        <v>88</v>
      </c>
      <c r="B297" s="21" t="s">
        <v>24</v>
      </c>
      <c r="C297" s="29">
        <v>17909</v>
      </c>
      <c r="D297" s="29"/>
      <c r="E297" s="91"/>
    </row>
    <row r="298" spans="1:5">
      <c r="A298" s="14" t="s">
        <v>88</v>
      </c>
      <c r="B298" s="21" t="s">
        <v>25</v>
      </c>
      <c r="C298" s="29">
        <v>19358</v>
      </c>
      <c r="D298" s="29"/>
      <c r="E298" s="91"/>
    </row>
    <row r="299" spans="1:5">
      <c r="A299" s="14" t="s">
        <v>88</v>
      </c>
      <c r="B299" s="21" t="s">
        <v>26</v>
      </c>
      <c r="C299" s="29">
        <v>18709</v>
      </c>
      <c r="D299" s="29"/>
      <c r="E299" s="91"/>
    </row>
    <row r="300" spans="1:5">
      <c r="A300" s="14" t="s">
        <v>88</v>
      </c>
      <c r="B300" s="21" t="s">
        <v>27</v>
      </c>
      <c r="C300" s="29">
        <v>14972</v>
      </c>
      <c r="D300" s="29"/>
      <c r="E300" s="91"/>
    </row>
    <row r="301" spans="1:5">
      <c r="A301" s="14" t="s">
        <v>88</v>
      </c>
      <c r="B301" s="21" t="s">
        <v>28</v>
      </c>
      <c r="C301" s="29">
        <v>14528</v>
      </c>
      <c r="D301" s="29"/>
      <c r="E301" s="91"/>
    </row>
    <row r="302" spans="1:5">
      <c r="A302" s="14" t="s">
        <v>88</v>
      </c>
      <c r="B302" s="21" t="s">
        <v>29</v>
      </c>
      <c r="C302" s="29">
        <v>14521</v>
      </c>
      <c r="D302" s="29"/>
      <c r="E302" s="91"/>
    </row>
    <row r="303" spans="1:5">
      <c r="A303" s="14" t="s">
        <v>88</v>
      </c>
      <c r="B303" s="21" t="s">
        <v>30</v>
      </c>
      <c r="C303" s="29">
        <v>13805</v>
      </c>
      <c r="D303" s="29"/>
      <c r="E303" s="91"/>
    </row>
    <row r="304" spans="1:5">
      <c r="A304" s="14" t="s">
        <v>88</v>
      </c>
      <c r="B304" s="21" t="s">
        <v>31</v>
      </c>
      <c r="C304" s="29">
        <v>13356</v>
      </c>
      <c r="D304" s="29"/>
      <c r="E304" s="91"/>
    </row>
    <row r="305" spans="1:5">
      <c r="A305" s="14" t="s">
        <v>88</v>
      </c>
      <c r="B305" s="21" t="s">
        <v>32</v>
      </c>
      <c r="C305" s="29">
        <v>12897</v>
      </c>
      <c r="D305" s="29"/>
      <c r="E305" s="91"/>
    </row>
    <row r="306" spans="1:5">
      <c r="A306" s="14" t="s">
        <v>88</v>
      </c>
      <c r="B306" s="21" t="s">
        <v>33</v>
      </c>
      <c r="C306" s="29">
        <v>13403</v>
      </c>
      <c r="D306" s="29"/>
      <c r="E306" s="91"/>
    </row>
    <row r="307" spans="1:5">
      <c r="A307" s="14" t="s">
        <v>88</v>
      </c>
      <c r="B307" s="21" t="s">
        <v>34</v>
      </c>
      <c r="C307" s="29">
        <v>14288</v>
      </c>
      <c r="D307" s="29"/>
      <c r="E307" s="91"/>
    </row>
    <row r="308" spans="1:5">
      <c r="A308" s="14" t="s">
        <v>88</v>
      </c>
      <c r="B308" s="21" t="s">
        <v>35</v>
      </c>
      <c r="C308" s="29">
        <v>16518</v>
      </c>
      <c r="D308" s="29"/>
      <c r="E308" s="91"/>
    </row>
    <row r="309" spans="1:5">
      <c r="A309" s="14" t="s">
        <v>88</v>
      </c>
      <c r="B309" s="21" t="s">
        <v>36</v>
      </c>
      <c r="C309" s="29">
        <v>17777</v>
      </c>
      <c r="D309" s="29"/>
      <c r="E309" s="91"/>
    </row>
    <row r="310" spans="1:5">
      <c r="A310" s="14" t="s">
        <v>88</v>
      </c>
      <c r="B310" s="21" t="s">
        <v>37</v>
      </c>
      <c r="C310" s="29">
        <v>18494</v>
      </c>
      <c r="D310" s="29"/>
      <c r="E310" s="91"/>
    </row>
    <row r="311" spans="1:5">
      <c r="A311" s="14" t="s">
        <v>88</v>
      </c>
      <c r="B311" s="21" t="s">
        <v>38</v>
      </c>
      <c r="C311" s="29">
        <v>16916</v>
      </c>
      <c r="D311" s="29"/>
      <c r="E311" s="91"/>
    </row>
    <row r="312" spans="1:5">
      <c r="A312" s="14" t="s">
        <v>88</v>
      </c>
      <c r="B312" s="21" t="s">
        <v>39</v>
      </c>
      <c r="C312" s="29">
        <v>15038</v>
      </c>
      <c r="D312" s="29"/>
      <c r="E312" s="91"/>
    </row>
    <row r="313" spans="1:5">
      <c r="A313" s="14" t="s">
        <v>88</v>
      </c>
      <c r="B313" s="21" t="s">
        <v>40</v>
      </c>
      <c r="C313" s="29">
        <v>10529</v>
      </c>
      <c r="D313" s="29"/>
      <c r="E313" s="91"/>
    </row>
    <row r="314" spans="1:5">
      <c r="A314" s="14" t="s">
        <v>89</v>
      </c>
      <c r="B314" s="21" t="s">
        <v>17</v>
      </c>
      <c r="C314" s="29">
        <v>10209</v>
      </c>
      <c r="D314" s="29"/>
      <c r="E314" s="91"/>
    </row>
    <row r="315" spans="1:5">
      <c r="A315" s="14" t="s">
        <v>89</v>
      </c>
      <c r="B315" s="21" t="s">
        <v>18</v>
      </c>
      <c r="C315" s="29">
        <v>9104</v>
      </c>
      <c r="D315" s="29"/>
      <c r="E315" s="91"/>
    </row>
    <row r="316" spans="1:5">
      <c r="A316" s="14" t="s">
        <v>89</v>
      </c>
      <c r="B316" s="21" t="s">
        <v>19</v>
      </c>
      <c r="C316" s="29">
        <v>9714</v>
      </c>
      <c r="D316" s="29"/>
      <c r="E316" s="91"/>
    </row>
    <row r="317" spans="1:5">
      <c r="A317" s="14" t="s">
        <v>89</v>
      </c>
      <c r="B317" s="21" t="s">
        <v>20</v>
      </c>
      <c r="C317" s="29">
        <v>10623</v>
      </c>
      <c r="D317" s="29"/>
      <c r="E317" s="91"/>
    </row>
    <row r="318" spans="1:5">
      <c r="A318" s="14" t="s">
        <v>89</v>
      </c>
      <c r="B318" s="21" t="s">
        <v>21</v>
      </c>
      <c r="C318" s="29">
        <v>17608</v>
      </c>
      <c r="D318" s="29"/>
      <c r="E318" s="91"/>
    </row>
    <row r="319" spans="1:5">
      <c r="A319" s="14" t="s">
        <v>89</v>
      </c>
      <c r="B319" s="21" t="s">
        <v>22</v>
      </c>
      <c r="C319" s="29">
        <v>21176</v>
      </c>
      <c r="D319" s="29"/>
      <c r="E319" s="91"/>
    </row>
    <row r="320" spans="1:5">
      <c r="A320" s="14" t="s">
        <v>89</v>
      </c>
      <c r="B320" s="21" t="s">
        <v>23</v>
      </c>
      <c r="C320" s="29">
        <v>19790</v>
      </c>
      <c r="D320" s="29"/>
      <c r="E320" s="91"/>
    </row>
    <row r="321" spans="1:5">
      <c r="A321" s="14" t="s">
        <v>89</v>
      </c>
      <c r="B321" s="21" t="s">
        <v>24</v>
      </c>
      <c r="C321" s="29">
        <v>16739</v>
      </c>
      <c r="D321" s="29"/>
      <c r="E321" s="91"/>
    </row>
    <row r="322" spans="1:5">
      <c r="A322" s="14" t="s">
        <v>89</v>
      </c>
      <c r="B322" s="21" t="s">
        <v>25</v>
      </c>
      <c r="C322" s="29">
        <v>15876</v>
      </c>
      <c r="D322" s="29"/>
      <c r="E322" s="91"/>
    </row>
    <row r="323" spans="1:5">
      <c r="A323" s="14" t="s">
        <v>89</v>
      </c>
      <c r="B323" s="21" t="s">
        <v>26</v>
      </c>
      <c r="C323" s="29">
        <v>16836</v>
      </c>
      <c r="D323" s="29"/>
      <c r="E323" s="91"/>
    </row>
    <row r="324" spans="1:5">
      <c r="A324" s="14" t="s">
        <v>89</v>
      </c>
      <c r="B324" s="21" t="s">
        <v>27</v>
      </c>
      <c r="C324" s="29">
        <v>16517</v>
      </c>
      <c r="D324" s="29"/>
      <c r="E324" s="91"/>
    </row>
    <row r="325" spans="1:5">
      <c r="A325" s="14" t="s">
        <v>89</v>
      </c>
      <c r="B325" s="21" t="s">
        <v>28</v>
      </c>
      <c r="C325" s="29">
        <v>15292</v>
      </c>
      <c r="D325" s="29"/>
      <c r="E325" s="91"/>
    </row>
    <row r="326" spans="1:5">
      <c r="A326" s="14" t="s">
        <v>89</v>
      </c>
      <c r="B326" s="21" t="s">
        <v>29</v>
      </c>
      <c r="C326" s="29">
        <v>14029</v>
      </c>
      <c r="D326" s="29"/>
      <c r="E326" s="91"/>
    </row>
    <row r="327" spans="1:5">
      <c r="A327" s="14" t="s">
        <v>89</v>
      </c>
      <c r="B327" s="21" t="s">
        <v>30</v>
      </c>
      <c r="C327" s="29">
        <v>13774</v>
      </c>
      <c r="D327" s="29"/>
      <c r="E327" s="91"/>
    </row>
    <row r="328" spans="1:5">
      <c r="A328" s="14" t="s">
        <v>89</v>
      </c>
      <c r="B328" s="21" t="s">
        <v>31</v>
      </c>
      <c r="C328" s="29">
        <v>12902</v>
      </c>
      <c r="D328" s="29"/>
      <c r="E328" s="91"/>
    </row>
    <row r="329" spans="1:5">
      <c r="A329" s="14" t="s">
        <v>89</v>
      </c>
      <c r="B329" s="21" t="s">
        <v>32</v>
      </c>
      <c r="C329" s="29">
        <v>13740</v>
      </c>
      <c r="D329" s="29"/>
      <c r="E329" s="91"/>
    </row>
    <row r="330" spans="1:5">
      <c r="A330" s="14" t="s">
        <v>89</v>
      </c>
      <c r="B330" s="21" t="s">
        <v>33</v>
      </c>
      <c r="C330" s="29">
        <v>14116</v>
      </c>
      <c r="D330" s="29"/>
      <c r="E330" s="91"/>
    </row>
    <row r="331" spans="1:5">
      <c r="A331" s="14" t="s">
        <v>89</v>
      </c>
      <c r="B331" s="21" t="s">
        <v>34</v>
      </c>
      <c r="C331" s="29">
        <v>15000</v>
      </c>
      <c r="D331" s="29"/>
      <c r="E331" s="91"/>
    </row>
    <row r="332" spans="1:5">
      <c r="A332" s="14" t="s">
        <v>89</v>
      </c>
      <c r="B332" s="21" t="s">
        <v>35</v>
      </c>
      <c r="C332" s="29">
        <v>16593</v>
      </c>
      <c r="D332" s="29"/>
      <c r="E332" s="91"/>
    </row>
    <row r="333" spans="1:5">
      <c r="A333" s="14" t="s">
        <v>89</v>
      </c>
      <c r="B333" s="21" t="s">
        <v>36</v>
      </c>
      <c r="C333" s="29">
        <v>17043</v>
      </c>
      <c r="D333" s="29"/>
      <c r="E333" s="91"/>
    </row>
    <row r="334" spans="1:5">
      <c r="A334" s="14" t="s">
        <v>89</v>
      </c>
      <c r="B334" s="21" t="s">
        <v>37</v>
      </c>
      <c r="C334" s="29">
        <v>16828</v>
      </c>
      <c r="D334" s="29"/>
      <c r="E334" s="91"/>
    </row>
    <row r="335" spans="1:5">
      <c r="A335" s="14" t="s">
        <v>89</v>
      </c>
      <c r="B335" s="21" t="s">
        <v>38</v>
      </c>
      <c r="C335" s="29">
        <v>17128</v>
      </c>
      <c r="D335" s="29"/>
      <c r="E335" s="91"/>
    </row>
    <row r="336" spans="1:5">
      <c r="A336" s="14" t="s">
        <v>89</v>
      </c>
      <c r="B336" s="21" t="s">
        <v>39</v>
      </c>
      <c r="C336" s="29">
        <v>15292</v>
      </c>
      <c r="D336" s="29"/>
      <c r="E336" s="91"/>
    </row>
    <row r="337" spans="1:5">
      <c r="A337" s="14" t="s">
        <v>89</v>
      </c>
      <c r="B337" s="21" t="s">
        <v>40</v>
      </c>
      <c r="C337" s="29">
        <v>9969</v>
      </c>
      <c r="D337" s="29"/>
      <c r="E337" s="91"/>
    </row>
    <row r="338" spans="1:5">
      <c r="A338" s="14" t="s">
        <v>90</v>
      </c>
      <c r="B338" s="21" t="s">
        <v>17</v>
      </c>
      <c r="C338" s="29">
        <v>8231</v>
      </c>
      <c r="D338" s="29"/>
      <c r="E338" s="91"/>
    </row>
    <row r="339" spans="1:5">
      <c r="A339" s="14" t="s">
        <v>90</v>
      </c>
      <c r="B339" s="21" t="s">
        <v>18</v>
      </c>
      <c r="C339" s="29">
        <v>6772</v>
      </c>
      <c r="D339" s="29"/>
      <c r="E339" s="91"/>
    </row>
    <row r="340" spans="1:5">
      <c r="A340" s="14" t="s">
        <v>90</v>
      </c>
      <c r="B340" s="21" t="s">
        <v>19</v>
      </c>
      <c r="C340" s="29">
        <v>7696</v>
      </c>
      <c r="D340" s="29"/>
      <c r="E340" s="91"/>
    </row>
    <row r="341" spans="1:5">
      <c r="A341" s="14" t="s">
        <v>90</v>
      </c>
      <c r="B341" s="21" t="s">
        <v>20</v>
      </c>
      <c r="C341" s="29">
        <v>8428</v>
      </c>
      <c r="D341" s="29"/>
      <c r="E341" s="91"/>
    </row>
    <row r="342" spans="1:5">
      <c r="A342" s="14" t="s">
        <v>90</v>
      </c>
      <c r="B342" s="21" t="s">
        <v>21</v>
      </c>
      <c r="C342" s="29">
        <v>17867</v>
      </c>
      <c r="D342" s="29"/>
      <c r="E342" s="91"/>
    </row>
    <row r="343" spans="1:5">
      <c r="A343" s="14" t="s">
        <v>90</v>
      </c>
      <c r="B343" s="21" t="s">
        <v>22</v>
      </c>
      <c r="C343" s="29">
        <v>21136</v>
      </c>
      <c r="D343" s="29"/>
      <c r="E343" s="91"/>
    </row>
    <row r="344" spans="1:5">
      <c r="A344" s="14" t="s">
        <v>90</v>
      </c>
      <c r="B344" s="21" t="s">
        <v>23</v>
      </c>
      <c r="C344" s="29">
        <v>17294</v>
      </c>
      <c r="D344" s="29"/>
      <c r="E344" s="91"/>
    </row>
    <row r="345" spans="1:5">
      <c r="A345" s="14" t="s">
        <v>90</v>
      </c>
      <c r="B345" s="21" t="s">
        <v>24</v>
      </c>
      <c r="C345" s="29">
        <v>15261</v>
      </c>
      <c r="D345" s="29"/>
      <c r="E345" s="91"/>
    </row>
    <row r="346" spans="1:5">
      <c r="A346" s="14" t="s">
        <v>90</v>
      </c>
      <c r="B346" s="21" t="s">
        <v>25</v>
      </c>
      <c r="C346" s="29">
        <v>16502</v>
      </c>
      <c r="D346" s="29"/>
      <c r="E346" s="91"/>
    </row>
    <row r="347" spans="1:5">
      <c r="A347" s="14" t="s">
        <v>90</v>
      </c>
      <c r="B347" s="21" t="s">
        <v>26</v>
      </c>
      <c r="C347" s="29">
        <v>15470</v>
      </c>
      <c r="D347" s="29"/>
      <c r="E347" s="91"/>
    </row>
    <row r="348" spans="1:5">
      <c r="A348" s="14" t="s">
        <v>90</v>
      </c>
      <c r="B348" s="21" t="s">
        <v>27</v>
      </c>
      <c r="C348" s="29">
        <v>14113</v>
      </c>
      <c r="D348" s="29"/>
      <c r="E348" s="91"/>
    </row>
    <row r="349" spans="1:5">
      <c r="A349" s="14" t="s">
        <v>90</v>
      </c>
      <c r="B349" s="21" t="s">
        <v>28</v>
      </c>
      <c r="C349" s="29">
        <v>16244</v>
      </c>
      <c r="D349" s="29"/>
      <c r="E349" s="91"/>
    </row>
    <row r="350" spans="1:5">
      <c r="A350" s="14" t="s">
        <v>90</v>
      </c>
      <c r="B350" s="21" t="s">
        <v>29</v>
      </c>
      <c r="C350" s="29">
        <v>15819</v>
      </c>
      <c r="D350" s="29"/>
      <c r="E350" s="91"/>
    </row>
    <row r="351" spans="1:5">
      <c r="A351" s="14" t="s">
        <v>90</v>
      </c>
      <c r="B351" s="21" t="s">
        <v>30</v>
      </c>
      <c r="C351" s="29">
        <v>15605</v>
      </c>
      <c r="D351" s="29"/>
      <c r="E351" s="91"/>
    </row>
    <row r="352" spans="1:5">
      <c r="A352" s="14" t="s">
        <v>90</v>
      </c>
      <c r="B352" s="21" t="s">
        <v>31</v>
      </c>
      <c r="C352" s="29">
        <v>14349</v>
      </c>
      <c r="D352" s="29"/>
      <c r="E352" s="91"/>
    </row>
    <row r="353" spans="1:5">
      <c r="A353" s="14" t="s">
        <v>90</v>
      </c>
      <c r="B353" s="21" t="s">
        <v>32</v>
      </c>
      <c r="C353" s="29">
        <v>15628</v>
      </c>
      <c r="D353" s="29"/>
      <c r="E353" s="91"/>
    </row>
    <row r="354" spans="1:5">
      <c r="A354" s="14" t="s">
        <v>90</v>
      </c>
      <c r="B354" s="21" t="s">
        <v>33</v>
      </c>
      <c r="C354" s="29">
        <v>15899</v>
      </c>
      <c r="D354" s="29"/>
      <c r="E354" s="91"/>
    </row>
    <row r="355" spans="1:5">
      <c r="A355" s="14" t="s">
        <v>90</v>
      </c>
      <c r="B355" s="21" t="s">
        <v>34</v>
      </c>
      <c r="C355" s="29">
        <v>16109</v>
      </c>
      <c r="D355" s="29"/>
      <c r="E355" s="91"/>
    </row>
    <row r="356" spans="1:5">
      <c r="A356" s="14" t="s">
        <v>90</v>
      </c>
      <c r="B356" s="21" t="s">
        <v>35</v>
      </c>
      <c r="C356" s="29">
        <v>15667</v>
      </c>
      <c r="D356" s="29"/>
      <c r="E356" s="91"/>
    </row>
    <row r="357" spans="1:5">
      <c r="A357" s="14" t="s">
        <v>90</v>
      </c>
      <c r="B357" s="21" t="s">
        <v>36</v>
      </c>
      <c r="C357" s="29">
        <v>16208</v>
      </c>
      <c r="D357" s="29"/>
      <c r="E357" s="91"/>
    </row>
    <row r="358" spans="1:5">
      <c r="A358" s="14" t="s">
        <v>90</v>
      </c>
      <c r="B358" s="21" t="s">
        <v>37</v>
      </c>
      <c r="C358" s="29">
        <v>16017</v>
      </c>
      <c r="D358" s="29"/>
      <c r="E358" s="91"/>
    </row>
    <row r="359" spans="1:5">
      <c r="A359" s="14" t="s">
        <v>90</v>
      </c>
      <c r="B359" s="21" t="s">
        <v>38</v>
      </c>
      <c r="C359" s="29">
        <v>16147</v>
      </c>
      <c r="D359" s="29"/>
      <c r="E359" s="91"/>
    </row>
    <row r="360" spans="1:5">
      <c r="A360" s="14" t="s">
        <v>90</v>
      </c>
      <c r="B360" s="21" t="s">
        <v>39</v>
      </c>
      <c r="C360" s="29">
        <v>13523</v>
      </c>
      <c r="D360" s="29"/>
      <c r="E360" s="91"/>
    </row>
    <row r="361" spans="1:5">
      <c r="A361" s="14" t="s">
        <v>90</v>
      </c>
      <c r="B361" s="21" t="s">
        <v>40</v>
      </c>
      <c r="C361" s="29">
        <v>8637</v>
      </c>
      <c r="D361" s="29"/>
      <c r="E361" s="91"/>
    </row>
    <row r="362" spans="1:5">
      <c r="A362" s="14" t="s">
        <v>91</v>
      </c>
      <c r="B362" s="21" t="s">
        <v>17</v>
      </c>
      <c r="C362" s="29">
        <v>7295</v>
      </c>
      <c r="D362" s="29"/>
      <c r="E362" s="91"/>
    </row>
    <row r="363" spans="1:5">
      <c r="A363" s="14" t="s">
        <v>91</v>
      </c>
      <c r="B363" s="21" t="s">
        <v>18</v>
      </c>
      <c r="C363" s="29">
        <v>6992</v>
      </c>
      <c r="D363" s="29"/>
      <c r="E363" s="91"/>
    </row>
    <row r="364" spans="1:5">
      <c r="A364" s="14" t="s">
        <v>91</v>
      </c>
      <c r="B364" s="21" t="s">
        <v>19</v>
      </c>
      <c r="C364" s="29">
        <v>8110</v>
      </c>
      <c r="D364" s="29"/>
      <c r="E364" s="91"/>
    </row>
    <row r="365" spans="1:5">
      <c r="A365" s="14" t="s">
        <v>91</v>
      </c>
      <c r="B365" s="21" t="s">
        <v>20</v>
      </c>
      <c r="C365" s="29">
        <v>9251</v>
      </c>
      <c r="D365" s="29"/>
      <c r="E365" s="91"/>
    </row>
    <row r="366" spans="1:5">
      <c r="A366" s="14" t="s">
        <v>91</v>
      </c>
      <c r="B366" s="21" t="s">
        <v>21</v>
      </c>
      <c r="C366" s="29">
        <v>17445</v>
      </c>
      <c r="D366" s="29"/>
      <c r="E366" s="91"/>
    </row>
    <row r="367" spans="1:5">
      <c r="A367" s="14" t="s">
        <v>91</v>
      </c>
      <c r="B367" s="21" t="s">
        <v>22</v>
      </c>
      <c r="C367" s="29">
        <v>20257</v>
      </c>
      <c r="D367" s="29"/>
      <c r="E367" s="91"/>
    </row>
    <row r="368" spans="1:5">
      <c r="A368" s="14" t="s">
        <v>91</v>
      </c>
      <c r="B368" s="21" t="s">
        <v>23</v>
      </c>
      <c r="C368" s="29">
        <v>16704</v>
      </c>
      <c r="D368" s="29"/>
      <c r="E368" s="91"/>
    </row>
    <row r="369" spans="1:5">
      <c r="A369" s="14" t="s">
        <v>91</v>
      </c>
      <c r="B369" s="21" t="s">
        <v>24</v>
      </c>
      <c r="C369" s="29">
        <v>15982</v>
      </c>
      <c r="D369" s="29"/>
      <c r="E369" s="91"/>
    </row>
    <row r="370" spans="1:5">
      <c r="A370" s="14" t="s">
        <v>91</v>
      </c>
      <c r="B370" s="21" t="s">
        <v>25</v>
      </c>
      <c r="C370" s="29">
        <v>16622</v>
      </c>
      <c r="D370" s="29"/>
      <c r="E370" s="91"/>
    </row>
    <row r="371" spans="1:5">
      <c r="A371" s="14" t="s">
        <v>91</v>
      </c>
      <c r="B371" s="21" t="s">
        <v>26</v>
      </c>
      <c r="C371" s="29">
        <v>15431</v>
      </c>
      <c r="D371" s="29"/>
      <c r="E371" s="91"/>
    </row>
    <row r="372" spans="1:5">
      <c r="A372" s="14" t="s">
        <v>91</v>
      </c>
      <c r="B372" s="21" t="s">
        <v>27</v>
      </c>
      <c r="C372" s="29">
        <v>15484</v>
      </c>
      <c r="D372" s="29"/>
      <c r="E372" s="91"/>
    </row>
    <row r="373" spans="1:5">
      <c r="A373" s="14" t="s">
        <v>91</v>
      </c>
      <c r="B373" s="21" t="s">
        <v>28</v>
      </c>
      <c r="C373" s="29">
        <v>14808</v>
      </c>
      <c r="D373" s="29"/>
      <c r="E373" s="91"/>
    </row>
    <row r="374" spans="1:5">
      <c r="A374" s="14" t="s">
        <v>91</v>
      </c>
      <c r="B374" s="21" t="s">
        <v>29</v>
      </c>
      <c r="C374" s="29">
        <v>13984</v>
      </c>
      <c r="D374" s="29"/>
      <c r="E374" s="91"/>
    </row>
    <row r="375" spans="1:5">
      <c r="A375" s="14" t="s">
        <v>91</v>
      </c>
      <c r="B375" s="21" t="s">
        <v>30</v>
      </c>
      <c r="C375" s="29">
        <v>11970</v>
      </c>
      <c r="D375" s="29"/>
      <c r="E375" s="91"/>
    </row>
    <row r="376" spans="1:5">
      <c r="A376" s="14" t="s">
        <v>91</v>
      </c>
      <c r="B376" s="21" t="s">
        <v>31</v>
      </c>
      <c r="C376" s="29">
        <v>12125</v>
      </c>
      <c r="D376" s="29"/>
      <c r="E376" s="91"/>
    </row>
    <row r="377" spans="1:5">
      <c r="A377" s="14" t="s">
        <v>91</v>
      </c>
      <c r="B377" s="21" t="s">
        <v>32</v>
      </c>
      <c r="C377" s="29">
        <v>13148</v>
      </c>
      <c r="D377" s="29"/>
      <c r="E377" s="91"/>
    </row>
    <row r="378" spans="1:5">
      <c r="A378" s="14" t="s">
        <v>91</v>
      </c>
      <c r="B378" s="21" t="s">
        <v>33</v>
      </c>
      <c r="C378" s="29">
        <v>13692</v>
      </c>
      <c r="D378" s="29"/>
      <c r="E378" s="91"/>
    </row>
    <row r="379" spans="1:5">
      <c r="A379" s="14" t="s">
        <v>91</v>
      </c>
      <c r="B379" s="21" t="s">
        <v>34</v>
      </c>
      <c r="C379" s="29">
        <v>13972</v>
      </c>
      <c r="D379" s="29"/>
      <c r="E379" s="91"/>
    </row>
    <row r="380" spans="1:5">
      <c r="A380" s="14" t="s">
        <v>91</v>
      </c>
      <c r="B380" s="21" t="s">
        <v>35</v>
      </c>
      <c r="C380" s="29">
        <v>15107</v>
      </c>
      <c r="D380" s="29"/>
      <c r="E380" s="91"/>
    </row>
    <row r="381" spans="1:5">
      <c r="A381" s="14" t="s">
        <v>91</v>
      </c>
      <c r="B381" s="21" t="s">
        <v>36</v>
      </c>
      <c r="C381" s="29">
        <v>15776</v>
      </c>
      <c r="D381" s="29"/>
      <c r="E381" s="91"/>
    </row>
    <row r="382" spans="1:5">
      <c r="A382" s="14" t="s">
        <v>91</v>
      </c>
      <c r="B382" s="21" t="s">
        <v>37</v>
      </c>
      <c r="C382" s="29">
        <v>15634</v>
      </c>
      <c r="D382" s="29"/>
      <c r="E382" s="91"/>
    </row>
    <row r="383" spans="1:5">
      <c r="A383" s="14" t="s">
        <v>91</v>
      </c>
      <c r="B383" s="21" t="s">
        <v>38</v>
      </c>
      <c r="C383" s="29">
        <v>15004</v>
      </c>
      <c r="D383" s="29"/>
      <c r="E383" s="91"/>
    </row>
    <row r="384" spans="1:5">
      <c r="A384" s="14" t="s">
        <v>91</v>
      </c>
      <c r="B384" s="21" t="s">
        <v>39</v>
      </c>
      <c r="C384" s="29">
        <v>12772</v>
      </c>
      <c r="D384" s="29"/>
      <c r="E384" s="91"/>
    </row>
    <row r="385" spans="1:5">
      <c r="A385" s="14" t="s">
        <v>91</v>
      </c>
      <c r="B385" s="21" t="s">
        <v>40</v>
      </c>
      <c r="C385" s="29">
        <v>7986</v>
      </c>
      <c r="D385" s="29"/>
      <c r="E385" s="91"/>
    </row>
    <row r="386" spans="1:5">
      <c r="A386" s="14" t="s">
        <v>92</v>
      </c>
      <c r="B386" s="21" t="s">
        <v>17</v>
      </c>
      <c r="C386" s="29">
        <v>6478</v>
      </c>
      <c r="D386" s="29"/>
      <c r="E386" s="91"/>
    </row>
    <row r="387" spans="1:5">
      <c r="A387" s="14" t="s">
        <v>92</v>
      </c>
      <c r="B387" s="21" t="s">
        <v>18</v>
      </c>
      <c r="C387" s="29">
        <v>7061</v>
      </c>
      <c r="D387" s="29"/>
      <c r="E387" s="91"/>
    </row>
    <row r="388" spans="1:5">
      <c r="A388" s="14" t="s">
        <v>92</v>
      </c>
      <c r="B388" s="21" t="s">
        <v>19</v>
      </c>
      <c r="C388" s="29">
        <v>6365</v>
      </c>
      <c r="D388" s="29"/>
      <c r="E388" s="91"/>
    </row>
    <row r="389" spans="1:5">
      <c r="A389" s="14" t="s">
        <v>92</v>
      </c>
      <c r="B389" s="21" t="s">
        <v>20</v>
      </c>
      <c r="C389" s="29">
        <v>7014</v>
      </c>
      <c r="D389" s="29"/>
      <c r="E389" s="91"/>
    </row>
    <row r="390" spans="1:5">
      <c r="A390" s="14" t="s">
        <v>92</v>
      </c>
      <c r="B390" s="21" t="s">
        <v>21</v>
      </c>
      <c r="C390" s="29">
        <v>15166</v>
      </c>
      <c r="D390" s="29"/>
      <c r="E390" s="91"/>
    </row>
    <row r="391" spans="1:5">
      <c r="A391" s="14" t="s">
        <v>92</v>
      </c>
      <c r="B391" s="21" t="s">
        <v>22</v>
      </c>
      <c r="C391" s="29">
        <v>19619</v>
      </c>
      <c r="D391" s="29"/>
      <c r="E391" s="91"/>
    </row>
    <row r="392" spans="1:5">
      <c r="A392" s="14" t="s">
        <v>92</v>
      </c>
      <c r="B392" s="21" t="s">
        <v>23</v>
      </c>
      <c r="C392" s="29">
        <v>17652</v>
      </c>
      <c r="D392" s="29"/>
      <c r="E392" s="91"/>
    </row>
    <row r="393" spans="1:5">
      <c r="A393" s="14" t="s">
        <v>92</v>
      </c>
      <c r="B393" s="21" t="s">
        <v>24</v>
      </c>
      <c r="C393" s="29">
        <v>15619</v>
      </c>
      <c r="D393" s="29"/>
      <c r="E393" s="91"/>
    </row>
    <row r="394" spans="1:5">
      <c r="A394" s="14" t="s">
        <v>92</v>
      </c>
      <c r="B394" s="21" t="s">
        <v>25</v>
      </c>
      <c r="C394" s="29">
        <v>15152</v>
      </c>
      <c r="D394" s="29"/>
      <c r="E394" s="91"/>
    </row>
    <row r="395" spans="1:5">
      <c r="A395" s="14" t="s">
        <v>92</v>
      </c>
      <c r="B395" s="21" t="s">
        <v>26</v>
      </c>
      <c r="C395" s="29">
        <v>13560</v>
      </c>
      <c r="D395" s="29"/>
      <c r="E395" s="91"/>
    </row>
    <row r="396" spans="1:5">
      <c r="A396" s="14" t="s">
        <v>92</v>
      </c>
      <c r="B396" s="21" t="s">
        <v>27</v>
      </c>
      <c r="C396" s="29">
        <v>13741</v>
      </c>
      <c r="D396" s="29"/>
      <c r="E396" s="91"/>
    </row>
    <row r="397" spans="1:5">
      <c r="A397" s="14" t="s">
        <v>92</v>
      </c>
      <c r="B397" s="21" t="s">
        <v>28</v>
      </c>
      <c r="C397" s="29">
        <v>13455</v>
      </c>
      <c r="D397" s="29"/>
      <c r="E397" s="91"/>
    </row>
    <row r="398" spans="1:5">
      <c r="A398" s="14" t="s">
        <v>92</v>
      </c>
      <c r="B398" s="21" t="s">
        <v>29</v>
      </c>
      <c r="C398" s="29">
        <v>14792</v>
      </c>
      <c r="D398" s="29"/>
      <c r="E398" s="91"/>
    </row>
    <row r="399" spans="1:5">
      <c r="A399" s="14" t="s">
        <v>92</v>
      </c>
      <c r="B399" s="21" t="s">
        <v>30</v>
      </c>
      <c r="C399" s="29">
        <v>15314</v>
      </c>
      <c r="D399" s="29"/>
      <c r="E399" s="91"/>
    </row>
    <row r="400" spans="1:5">
      <c r="A400" s="14" t="s">
        <v>92</v>
      </c>
      <c r="B400" s="21" t="s">
        <v>31</v>
      </c>
      <c r="C400" s="29">
        <v>12673</v>
      </c>
      <c r="D400" s="29"/>
      <c r="E400" s="91"/>
    </row>
    <row r="401" spans="1:5">
      <c r="A401" s="14" t="s">
        <v>92</v>
      </c>
      <c r="B401" s="21" t="s">
        <v>32</v>
      </c>
      <c r="C401" s="29">
        <v>12598</v>
      </c>
      <c r="D401" s="29"/>
      <c r="E401" s="91"/>
    </row>
    <row r="402" spans="1:5">
      <c r="A402" s="14" t="s">
        <v>92</v>
      </c>
      <c r="B402" s="21" t="s">
        <v>33</v>
      </c>
      <c r="C402" s="29">
        <v>12549</v>
      </c>
      <c r="D402" s="29"/>
      <c r="E402" s="91"/>
    </row>
    <row r="403" spans="1:5">
      <c r="A403" s="14" t="s">
        <v>92</v>
      </c>
      <c r="B403" s="21" t="s">
        <v>34</v>
      </c>
      <c r="C403" s="29">
        <v>12936</v>
      </c>
      <c r="D403" s="29"/>
      <c r="E403" s="91"/>
    </row>
    <row r="404" spans="1:5">
      <c r="A404" s="14" t="s">
        <v>92</v>
      </c>
      <c r="B404" s="21" t="s">
        <v>35</v>
      </c>
      <c r="C404" s="29">
        <v>13698</v>
      </c>
      <c r="D404" s="29"/>
      <c r="E404" s="91"/>
    </row>
    <row r="405" spans="1:5">
      <c r="A405" s="14" t="s">
        <v>92</v>
      </c>
      <c r="B405" s="21" t="s">
        <v>36</v>
      </c>
      <c r="C405" s="29">
        <v>13783</v>
      </c>
      <c r="D405" s="29"/>
      <c r="E405" s="91"/>
    </row>
    <row r="406" spans="1:5">
      <c r="A406" s="14" t="s">
        <v>92</v>
      </c>
      <c r="B406" s="21" t="s">
        <v>37</v>
      </c>
      <c r="C406" s="29">
        <v>14166</v>
      </c>
      <c r="D406" s="29"/>
      <c r="E406" s="91"/>
    </row>
    <row r="407" spans="1:5">
      <c r="A407" s="14" t="s">
        <v>92</v>
      </c>
      <c r="B407" s="21" t="s">
        <v>38</v>
      </c>
      <c r="C407" s="29">
        <v>14088</v>
      </c>
      <c r="D407" s="29"/>
      <c r="E407" s="91"/>
    </row>
    <row r="408" spans="1:5">
      <c r="A408" s="14" t="s">
        <v>92</v>
      </c>
      <c r="B408" s="21" t="s">
        <v>39</v>
      </c>
      <c r="C408" s="29">
        <v>13452</v>
      </c>
      <c r="D408" s="29"/>
      <c r="E408" s="91"/>
    </row>
    <row r="409" spans="1:5">
      <c r="A409" s="14" t="s">
        <v>92</v>
      </c>
      <c r="B409" s="21" t="s">
        <v>40</v>
      </c>
      <c r="C409" s="29">
        <v>8775</v>
      </c>
      <c r="D409" s="29"/>
      <c r="E409" s="91"/>
    </row>
    <row r="410" spans="1:5">
      <c r="A410" s="14" t="s">
        <v>93</v>
      </c>
      <c r="B410" s="21" t="s">
        <v>17</v>
      </c>
      <c r="C410" s="29">
        <v>7382</v>
      </c>
      <c r="D410" s="29"/>
      <c r="E410" s="91"/>
    </row>
    <row r="411" spans="1:5">
      <c r="A411" s="14" t="s">
        <v>93</v>
      </c>
      <c r="B411" s="21" t="s">
        <v>18</v>
      </c>
      <c r="C411" s="29">
        <v>6642</v>
      </c>
      <c r="D411" s="29"/>
      <c r="E411" s="91"/>
    </row>
    <row r="412" spans="1:5">
      <c r="A412" s="14" t="s">
        <v>93</v>
      </c>
      <c r="B412" s="21" t="s">
        <v>19</v>
      </c>
      <c r="C412" s="29">
        <v>6861</v>
      </c>
      <c r="D412" s="29"/>
      <c r="E412" s="91"/>
    </row>
    <row r="413" spans="1:5">
      <c r="A413" s="14" t="s">
        <v>93</v>
      </c>
      <c r="B413" s="21" t="s">
        <v>20</v>
      </c>
      <c r="C413" s="29">
        <v>7922</v>
      </c>
      <c r="D413" s="29"/>
      <c r="E413" s="91"/>
    </row>
    <row r="414" spans="1:5">
      <c r="A414" s="14" t="s">
        <v>93</v>
      </c>
      <c r="B414" s="21" t="s">
        <v>21</v>
      </c>
      <c r="C414" s="29">
        <v>17380</v>
      </c>
      <c r="D414" s="29"/>
      <c r="E414" s="91"/>
    </row>
    <row r="415" spans="1:5">
      <c r="A415" s="14" t="s">
        <v>93</v>
      </c>
      <c r="B415" s="21" t="s">
        <v>22</v>
      </c>
      <c r="C415" s="29">
        <v>18649</v>
      </c>
      <c r="D415" s="29"/>
      <c r="E415" s="91"/>
    </row>
    <row r="416" spans="1:5">
      <c r="A416" s="14" t="s">
        <v>93</v>
      </c>
      <c r="B416" s="21" t="s">
        <v>23</v>
      </c>
      <c r="C416" s="29">
        <v>19609</v>
      </c>
      <c r="D416" s="29"/>
      <c r="E416" s="91"/>
    </row>
    <row r="417" spans="1:5">
      <c r="A417" s="14" t="s">
        <v>93</v>
      </c>
      <c r="B417" s="21" t="s">
        <v>24</v>
      </c>
      <c r="C417" s="29">
        <v>17152</v>
      </c>
      <c r="D417" s="29"/>
      <c r="E417" s="91"/>
    </row>
    <row r="418" spans="1:5">
      <c r="A418" s="14" t="s">
        <v>93</v>
      </c>
      <c r="B418" s="21" t="s">
        <v>25</v>
      </c>
      <c r="C418" s="29">
        <v>14917</v>
      </c>
      <c r="D418" s="29"/>
      <c r="E418" s="91"/>
    </row>
    <row r="419" spans="1:5">
      <c r="A419" s="14" t="s">
        <v>93</v>
      </c>
      <c r="B419" s="21" t="s">
        <v>26</v>
      </c>
      <c r="C419" s="29">
        <v>13720</v>
      </c>
      <c r="D419" s="29"/>
      <c r="E419" s="91"/>
    </row>
    <row r="420" spans="1:5">
      <c r="A420" s="14" t="s">
        <v>93</v>
      </c>
      <c r="B420" s="21" t="s">
        <v>27</v>
      </c>
      <c r="C420" s="29">
        <v>13679</v>
      </c>
      <c r="D420" s="29"/>
      <c r="E420" s="91"/>
    </row>
    <row r="421" spans="1:5">
      <c r="A421" s="14" t="s">
        <v>93</v>
      </c>
      <c r="B421" s="21" t="s">
        <v>28</v>
      </c>
      <c r="C421" s="29">
        <v>12728</v>
      </c>
      <c r="D421" s="29"/>
      <c r="E421" s="91"/>
    </row>
    <row r="422" spans="1:5">
      <c r="A422" s="14" t="s">
        <v>93</v>
      </c>
      <c r="B422" s="21" t="s">
        <v>29</v>
      </c>
      <c r="C422" s="29">
        <v>12468</v>
      </c>
      <c r="D422" s="29"/>
      <c r="E422" s="91"/>
    </row>
    <row r="423" spans="1:5">
      <c r="A423" s="14" t="s">
        <v>93</v>
      </c>
      <c r="B423" s="21" t="s">
        <v>30</v>
      </c>
      <c r="C423" s="29">
        <v>11791</v>
      </c>
      <c r="D423" s="29"/>
      <c r="E423" s="91"/>
    </row>
    <row r="424" spans="1:5">
      <c r="A424" s="14" t="s">
        <v>93</v>
      </c>
      <c r="B424" s="21" t="s">
        <v>31</v>
      </c>
      <c r="C424" s="29">
        <v>11818</v>
      </c>
      <c r="D424" s="29"/>
      <c r="E424" s="91"/>
    </row>
    <row r="425" spans="1:5">
      <c r="A425" s="14" t="s">
        <v>93</v>
      </c>
      <c r="B425" s="21" t="s">
        <v>32</v>
      </c>
      <c r="C425" s="29">
        <v>12463</v>
      </c>
      <c r="D425" s="29"/>
      <c r="E425" s="91"/>
    </row>
    <row r="426" spans="1:5">
      <c r="A426" s="14" t="s">
        <v>93</v>
      </c>
      <c r="B426" s="21" t="s">
        <v>33</v>
      </c>
      <c r="C426" s="29">
        <v>12327</v>
      </c>
      <c r="D426" s="29"/>
      <c r="E426" s="91"/>
    </row>
    <row r="427" spans="1:5">
      <c r="A427" s="14" t="s">
        <v>93</v>
      </c>
      <c r="B427" s="21" t="s">
        <v>34</v>
      </c>
      <c r="C427" s="29">
        <v>13428</v>
      </c>
      <c r="D427" s="29"/>
      <c r="E427" s="91"/>
    </row>
    <row r="428" spans="1:5">
      <c r="A428" s="14" t="s">
        <v>93</v>
      </c>
      <c r="B428" s="21" t="s">
        <v>35</v>
      </c>
      <c r="C428" s="29">
        <v>14426</v>
      </c>
      <c r="D428" s="29"/>
      <c r="E428" s="91"/>
    </row>
    <row r="429" spans="1:5">
      <c r="A429" s="14" t="s">
        <v>93</v>
      </c>
      <c r="B429" s="21" t="s">
        <v>36</v>
      </c>
      <c r="C429" s="29">
        <v>14374</v>
      </c>
      <c r="D429" s="29"/>
      <c r="E429" s="91"/>
    </row>
    <row r="430" spans="1:5">
      <c r="A430" s="14" t="s">
        <v>93</v>
      </c>
      <c r="B430" s="21" t="s">
        <v>37</v>
      </c>
      <c r="C430" s="29">
        <v>14154</v>
      </c>
      <c r="D430" s="29"/>
      <c r="E430" s="91"/>
    </row>
    <row r="431" spans="1:5">
      <c r="A431" s="14" t="s">
        <v>93</v>
      </c>
      <c r="B431" s="21" t="s">
        <v>38</v>
      </c>
      <c r="C431" s="29">
        <v>12954</v>
      </c>
      <c r="D431" s="29"/>
      <c r="E431" s="91"/>
    </row>
    <row r="432" spans="1:5">
      <c r="A432" s="14" t="s">
        <v>93</v>
      </c>
      <c r="B432" s="21" t="s">
        <v>39</v>
      </c>
      <c r="C432" s="29">
        <v>10794</v>
      </c>
      <c r="D432" s="29"/>
      <c r="E432" s="91"/>
    </row>
    <row r="433" spans="1:5">
      <c r="A433" s="14" t="s">
        <v>93</v>
      </c>
      <c r="B433" s="21" t="s">
        <v>40</v>
      </c>
      <c r="C433" s="29">
        <v>6619</v>
      </c>
      <c r="D433" s="29"/>
      <c r="E433" s="91"/>
    </row>
    <row r="434" spans="1:5">
      <c r="A434" s="14" t="s">
        <v>94</v>
      </c>
      <c r="B434" s="21" t="s">
        <v>17</v>
      </c>
      <c r="C434" s="29">
        <v>3243</v>
      </c>
      <c r="D434" s="29"/>
      <c r="E434" s="91"/>
    </row>
    <row r="435" spans="1:5">
      <c r="A435" s="14" t="s">
        <v>94</v>
      </c>
      <c r="B435" s="21" t="s">
        <v>18</v>
      </c>
      <c r="C435" s="29">
        <v>3216</v>
      </c>
      <c r="D435" s="29"/>
      <c r="E435" s="91"/>
    </row>
    <row r="436" spans="1:5">
      <c r="A436" s="14" t="s">
        <v>94</v>
      </c>
      <c r="B436" s="21" t="s">
        <v>19</v>
      </c>
      <c r="C436" s="29">
        <v>4551</v>
      </c>
      <c r="D436" s="29"/>
      <c r="E436" s="91"/>
    </row>
    <row r="437" spans="1:5">
      <c r="A437" s="14" t="s">
        <v>94</v>
      </c>
      <c r="B437" s="21" t="s">
        <v>20</v>
      </c>
      <c r="C437" s="29">
        <v>4035</v>
      </c>
      <c r="D437" s="29"/>
      <c r="E437" s="91"/>
    </row>
    <row r="438" spans="1:5">
      <c r="A438" s="14" t="s">
        <v>94</v>
      </c>
      <c r="B438" s="21" t="s">
        <v>21</v>
      </c>
      <c r="C438" s="29">
        <v>11954</v>
      </c>
      <c r="D438" s="29"/>
      <c r="E438" s="91"/>
    </row>
    <row r="439" spans="1:5">
      <c r="A439" s="14" t="s">
        <v>94</v>
      </c>
      <c r="B439" s="21" t="s">
        <v>22</v>
      </c>
      <c r="C439" s="29">
        <v>14851</v>
      </c>
      <c r="D439" s="29"/>
      <c r="E439" s="91"/>
    </row>
    <row r="440" spans="1:5">
      <c r="A440" s="14" t="s">
        <v>94</v>
      </c>
      <c r="B440" s="21" t="s">
        <v>23</v>
      </c>
      <c r="C440" s="29">
        <v>15984</v>
      </c>
      <c r="D440" s="29"/>
      <c r="E440" s="91"/>
    </row>
    <row r="441" spans="1:5">
      <c r="A441" s="14" t="s">
        <v>94</v>
      </c>
      <c r="B441" s="21" t="s">
        <v>24</v>
      </c>
      <c r="C441" s="29">
        <v>15542</v>
      </c>
      <c r="D441" s="29"/>
      <c r="E441" s="91"/>
    </row>
    <row r="442" spans="1:5">
      <c r="A442" s="14" t="s">
        <v>94</v>
      </c>
      <c r="B442" s="21" t="s">
        <v>25</v>
      </c>
      <c r="C442" s="29">
        <v>11133</v>
      </c>
      <c r="D442" s="29"/>
      <c r="E442" s="91"/>
    </row>
    <row r="443" spans="1:5">
      <c r="A443" s="14" t="s">
        <v>94</v>
      </c>
      <c r="B443" s="21" t="s">
        <v>26</v>
      </c>
      <c r="C443" s="29">
        <v>12097</v>
      </c>
      <c r="D443" s="29"/>
      <c r="E443" s="91"/>
    </row>
    <row r="444" spans="1:5">
      <c r="A444" s="14" t="s">
        <v>94</v>
      </c>
      <c r="B444" s="21" t="s">
        <v>27</v>
      </c>
      <c r="C444" s="29">
        <v>12303</v>
      </c>
      <c r="D444" s="29"/>
      <c r="E444" s="91"/>
    </row>
    <row r="445" spans="1:5">
      <c r="A445" s="14" t="s">
        <v>94</v>
      </c>
      <c r="B445" s="21" t="s">
        <v>28</v>
      </c>
      <c r="C445" s="29">
        <v>12085</v>
      </c>
      <c r="D445" s="29"/>
      <c r="E445" s="91"/>
    </row>
    <row r="446" spans="1:5">
      <c r="A446" s="14" t="s">
        <v>94</v>
      </c>
      <c r="B446" s="21" t="s">
        <v>29</v>
      </c>
      <c r="C446" s="29">
        <v>11676</v>
      </c>
      <c r="D446" s="29"/>
      <c r="E446" s="91"/>
    </row>
    <row r="447" spans="1:5">
      <c r="A447" s="14" t="s">
        <v>94</v>
      </c>
      <c r="B447" s="21" t="s">
        <v>30</v>
      </c>
      <c r="C447" s="29">
        <v>11333</v>
      </c>
      <c r="D447" s="29"/>
      <c r="E447" s="91"/>
    </row>
    <row r="448" spans="1:5">
      <c r="A448" s="14" t="s">
        <v>94</v>
      </c>
      <c r="B448" s="21" t="s">
        <v>31</v>
      </c>
      <c r="C448" s="29">
        <v>10955</v>
      </c>
      <c r="D448" s="29"/>
      <c r="E448" s="91"/>
    </row>
    <row r="449" spans="1:5">
      <c r="A449" s="14" t="s">
        <v>94</v>
      </c>
      <c r="B449" s="21" t="s">
        <v>32</v>
      </c>
      <c r="C449" s="29">
        <v>11147</v>
      </c>
      <c r="D449" s="29"/>
      <c r="E449" s="91"/>
    </row>
    <row r="450" spans="1:5">
      <c r="A450" s="14" t="s">
        <v>94</v>
      </c>
      <c r="B450" s="21" t="s">
        <v>33</v>
      </c>
      <c r="C450" s="29">
        <v>11135</v>
      </c>
      <c r="D450" s="29"/>
      <c r="E450" s="91"/>
    </row>
    <row r="451" spans="1:5">
      <c r="A451" s="14" t="s">
        <v>94</v>
      </c>
      <c r="B451" s="21" t="s">
        <v>34</v>
      </c>
      <c r="C451" s="29">
        <v>12329</v>
      </c>
      <c r="D451" s="29"/>
      <c r="E451" s="91"/>
    </row>
    <row r="452" spans="1:5">
      <c r="A452" s="14" t="s">
        <v>94</v>
      </c>
      <c r="B452" s="21" t="s">
        <v>35</v>
      </c>
      <c r="C452" s="29">
        <v>12977</v>
      </c>
      <c r="D452" s="29"/>
      <c r="E452" s="91"/>
    </row>
    <row r="453" spans="1:5">
      <c r="A453" s="14" t="s">
        <v>94</v>
      </c>
      <c r="B453" s="21" t="s">
        <v>36</v>
      </c>
      <c r="C453" s="29">
        <v>13708</v>
      </c>
      <c r="D453" s="29"/>
      <c r="E453" s="91"/>
    </row>
    <row r="454" spans="1:5">
      <c r="A454" s="14" t="s">
        <v>94</v>
      </c>
      <c r="B454" s="21" t="s">
        <v>37</v>
      </c>
      <c r="C454" s="29">
        <v>14741</v>
      </c>
      <c r="D454" s="29"/>
      <c r="E454" s="91"/>
    </row>
    <row r="455" spans="1:5">
      <c r="A455" s="14" t="s">
        <v>94</v>
      </c>
      <c r="B455" s="21" t="s">
        <v>38</v>
      </c>
      <c r="C455" s="29">
        <v>14552</v>
      </c>
      <c r="D455" s="29"/>
      <c r="E455" s="91"/>
    </row>
    <row r="456" spans="1:5">
      <c r="A456" s="14" t="s">
        <v>94</v>
      </c>
      <c r="B456" s="21" t="s">
        <v>39</v>
      </c>
      <c r="C456" s="29">
        <v>13373</v>
      </c>
      <c r="D456" s="29"/>
      <c r="E456" s="91"/>
    </row>
    <row r="457" spans="1:5">
      <c r="A457" s="14" t="s">
        <v>94</v>
      </c>
      <c r="B457" s="21" t="s">
        <v>40</v>
      </c>
      <c r="C457" s="29">
        <v>8162</v>
      </c>
      <c r="D457" s="29"/>
      <c r="E457" s="91"/>
    </row>
    <row r="458" spans="1:5">
      <c r="A458" s="14" t="s">
        <v>95</v>
      </c>
      <c r="B458" s="21" t="s">
        <v>17</v>
      </c>
      <c r="C458" s="29">
        <v>7515</v>
      </c>
      <c r="D458" s="29"/>
      <c r="E458" s="91"/>
    </row>
    <row r="459" spans="1:5">
      <c r="A459" s="14" t="s">
        <v>95</v>
      </c>
      <c r="B459" s="21" t="s">
        <v>18</v>
      </c>
      <c r="C459" s="29">
        <v>8708</v>
      </c>
      <c r="D459" s="29"/>
      <c r="E459" s="91"/>
    </row>
    <row r="460" spans="1:5">
      <c r="A460" s="14" t="s">
        <v>95</v>
      </c>
      <c r="B460" s="21" t="s">
        <v>19</v>
      </c>
      <c r="C460" s="29">
        <v>9981</v>
      </c>
      <c r="D460" s="29"/>
      <c r="E460" s="91"/>
    </row>
    <row r="461" spans="1:5">
      <c r="A461" s="14" t="s">
        <v>95</v>
      </c>
      <c r="B461" s="21" t="s">
        <v>20</v>
      </c>
      <c r="C461" s="29">
        <v>9929</v>
      </c>
      <c r="D461" s="29"/>
      <c r="E461" s="91"/>
    </row>
    <row r="462" spans="1:5">
      <c r="A462" s="14" t="s">
        <v>95</v>
      </c>
      <c r="B462" s="21" t="s">
        <v>21</v>
      </c>
      <c r="C462" s="29">
        <v>16980</v>
      </c>
      <c r="D462" s="29"/>
      <c r="E462" s="91"/>
    </row>
    <row r="463" spans="1:5">
      <c r="A463" s="14" t="s">
        <v>95</v>
      </c>
      <c r="B463" s="21" t="s">
        <v>22</v>
      </c>
      <c r="C463" s="29">
        <v>20775</v>
      </c>
      <c r="D463" s="29"/>
      <c r="E463" s="91"/>
    </row>
    <row r="464" spans="1:5">
      <c r="A464" s="14" t="s">
        <v>95</v>
      </c>
      <c r="B464" s="21" t="s">
        <v>23</v>
      </c>
      <c r="C464" s="29">
        <v>16505</v>
      </c>
      <c r="D464" s="29"/>
      <c r="E464" s="91"/>
    </row>
    <row r="465" spans="1:5">
      <c r="A465" s="14" t="s">
        <v>95</v>
      </c>
      <c r="B465" s="21" t="s">
        <v>24</v>
      </c>
      <c r="C465" s="29">
        <v>15349</v>
      </c>
      <c r="D465" s="29"/>
      <c r="E465" s="91"/>
    </row>
    <row r="466" spans="1:5">
      <c r="A466" s="14" t="s">
        <v>95</v>
      </c>
      <c r="B466" s="21" t="s">
        <v>25</v>
      </c>
      <c r="C466" s="29">
        <v>15447</v>
      </c>
      <c r="D466" s="29"/>
      <c r="E466" s="91"/>
    </row>
    <row r="467" spans="1:5">
      <c r="A467" s="14" t="s">
        <v>95</v>
      </c>
      <c r="B467" s="21" t="s">
        <v>26</v>
      </c>
      <c r="C467" s="29">
        <v>15853</v>
      </c>
      <c r="D467" s="29"/>
      <c r="E467" s="91"/>
    </row>
    <row r="468" spans="1:5">
      <c r="A468" s="14" t="s">
        <v>95</v>
      </c>
      <c r="B468" s="21" t="s">
        <v>27</v>
      </c>
      <c r="C468" s="29">
        <v>15280</v>
      </c>
      <c r="D468" s="29"/>
      <c r="E468" s="91"/>
    </row>
    <row r="469" spans="1:5">
      <c r="A469" s="14" t="s">
        <v>95</v>
      </c>
      <c r="B469" s="21" t="s">
        <v>28</v>
      </c>
      <c r="C469" s="29">
        <v>12445</v>
      </c>
      <c r="D469" s="29"/>
      <c r="E469" s="91"/>
    </row>
    <row r="470" spans="1:5">
      <c r="A470" s="14" t="s">
        <v>95</v>
      </c>
      <c r="B470" s="21" t="s">
        <v>29</v>
      </c>
      <c r="C470" s="29">
        <v>11726</v>
      </c>
      <c r="D470" s="29"/>
      <c r="E470" s="91"/>
    </row>
    <row r="471" spans="1:5">
      <c r="A471" s="14" t="s">
        <v>95</v>
      </c>
      <c r="B471" s="21" t="s">
        <v>30</v>
      </c>
      <c r="C471" s="29">
        <v>12289</v>
      </c>
      <c r="D471" s="29"/>
      <c r="E471" s="91"/>
    </row>
    <row r="472" spans="1:5">
      <c r="A472" s="14" t="s">
        <v>95</v>
      </c>
      <c r="B472" s="21" t="s">
        <v>31</v>
      </c>
      <c r="C472" s="29">
        <v>12072</v>
      </c>
      <c r="D472" s="29"/>
      <c r="E472" s="91"/>
    </row>
    <row r="473" spans="1:5">
      <c r="A473" s="14" t="s">
        <v>95</v>
      </c>
      <c r="B473" s="21" t="s">
        <v>32</v>
      </c>
      <c r="C473" s="29">
        <v>12240</v>
      </c>
      <c r="D473" s="29"/>
      <c r="E473" s="91"/>
    </row>
    <row r="474" spans="1:5">
      <c r="A474" s="14" t="s">
        <v>95</v>
      </c>
      <c r="B474" s="21" t="s">
        <v>33</v>
      </c>
      <c r="C474" s="29">
        <v>11250</v>
      </c>
      <c r="D474" s="29"/>
      <c r="E474" s="91"/>
    </row>
    <row r="475" spans="1:5">
      <c r="A475" s="14" t="s">
        <v>95</v>
      </c>
      <c r="B475" s="21" t="s">
        <v>34</v>
      </c>
      <c r="C475" s="29">
        <v>12289</v>
      </c>
      <c r="D475" s="29"/>
      <c r="E475" s="91"/>
    </row>
    <row r="476" spans="1:5">
      <c r="A476" s="14" t="s">
        <v>95</v>
      </c>
      <c r="B476" s="21" t="s">
        <v>35</v>
      </c>
      <c r="C476" s="29">
        <v>13676</v>
      </c>
      <c r="D476" s="29"/>
      <c r="E476" s="91"/>
    </row>
    <row r="477" spans="1:5">
      <c r="A477" s="14" t="s">
        <v>95</v>
      </c>
      <c r="B477" s="21" t="s">
        <v>36</v>
      </c>
      <c r="C477" s="29">
        <v>13724</v>
      </c>
      <c r="D477" s="29"/>
      <c r="E477" s="91"/>
    </row>
    <row r="478" spans="1:5">
      <c r="A478" s="14" t="s">
        <v>95</v>
      </c>
      <c r="B478" s="21" t="s">
        <v>37</v>
      </c>
      <c r="C478" s="29">
        <v>14744</v>
      </c>
      <c r="D478" s="29"/>
      <c r="E478" s="91"/>
    </row>
    <row r="479" spans="1:5">
      <c r="A479" s="14" t="s">
        <v>95</v>
      </c>
      <c r="B479" s="21" t="s">
        <v>38</v>
      </c>
      <c r="C479" s="29">
        <v>13455</v>
      </c>
      <c r="D479" s="29"/>
      <c r="E479" s="91"/>
    </row>
    <row r="480" spans="1:5">
      <c r="A480" s="14" t="s">
        <v>95</v>
      </c>
      <c r="B480" s="21" t="s">
        <v>39</v>
      </c>
      <c r="C480" s="29">
        <v>11989</v>
      </c>
      <c r="D480" s="29"/>
      <c r="E480" s="91"/>
    </row>
    <row r="481" spans="1:5">
      <c r="A481" s="14" t="s">
        <v>95</v>
      </c>
      <c r="B481" s="21" t="s">
        <v>40</v>
      </c>
      <c r="C481" s="29">
        <v>9166</v>
      </c>
      <c r="D481" s="29"/>
      <c r="E481" s="91"/>
    </row>
    <row r="482" spans="1:5">
      <c r="A482" s="14" t="s">
        <v>96</v>
      </c>
      <c r="B482" s="21" t="s">
        <v>17</v>
      </c>
      <c r="C482" s="29">
        <v>7805</v>
      </c>
      <c r="D482" s="29"/>
      <c r="E482" s="91"/>
    </row>
    <row r="483" spans="1:5">
      <c r="A483" s="14" t="s">
        <v>96</v>
      </c>
      <c r="B483" s="21" t="s">
        <v>18</v>
      </c>
      <c r="C483" s="29">
        <v>8339</v>
      </c>
      <c r="D483" s="29"/>
      <c r="E483" s="91"/>
    </row>
    <row r="484" spans="1:5">
      <c r="A484" s="14" t="s">
        <v>96</v>
      </c>
      <c r="B484" s="21" t="s">
        <v>19</v>
      </c>
      <c r="C484" s="29">
        <v>6681</v>
      </c>
      <c r="D484" s="29"/>
      <c r="E484" s="91"/>
    </row>
    <row r="485" spans="1:5">
      <c r="A485" s="14" t="s">
        <v>96</v>
      </c>
      <c r="B485" s="21" t="s">
        <v>20</v>
      </c>
      <c r="C485" s="29">
        <v>7815</v>
      </c>
      <c r="D485" s="29"/>
      <c r="E485" s="91"/>
    </row>
    <row r="486" spans="1:5">
      <c r="A486" s="14" t="s">
        <v>96</v>
      </c>
      <c r="B486" s="21" t="s">
        <v>21</v>
      </c>
      <c r="C486" s="29">
        <v>12333</v>
      </c>
      <c r="D486" s="29"/>
      <c r="E486" s="91"/>
    </row>
    <row r="487" spans="1:5">
      <c r="A487" s="14" t="s">
        <v>96</v>
      </c>
      <c r="B487" s="21" t="s">
        <v>22</v>
      </c>
      <c r="C487" s="29">
        <v>14866</v>
      </c>
      <c r="D487" s="29"/>
      <c r="E487" s="91"/>
    </row>
    <row r="488" spans="1:5">
      <c r="A488" s="14" t="s">
        <v>96</v>
      </c>
      <c r="B488" s="21" t="s">
        <v>23</v>
      </c>
      <c r="C488" s="29">
        <v>14559</v>
      </c>
      <c r="D488" s="29"/>
      <c r="E488" s="91"/>
    </row>
    <row r="489" spans="1:5">
      <c r="A489" s="14" t="s">
        <v>96</v>
      </c>
      <c r="B489" s="21" t="s">
        <v>24</v>
      </c>
      <c r="C489" s="29">
        <v>13583</v>
      </c>
      <c r="D489" s="29"/>
      <c r="E489" s="91"/>
    </row>
    <row r="490" spans="1:5">
      <c r="A490" s="14" t="s">
        <v>96</v>
      </c>
      <c r="B490" s="21" t="s">
        <v>25</v>
      </c>
      <c r="C490" s="29">
        <v>13549</v>
      </c>
      <c r="D490" s="29"/>
      <c r="E490" s="91"/>
    </row>
    <row r="491" spans="1:5">
      <c r="A491" s="14" t="s">
        <v>96</v>
      </c>
      <c r="B491" s="21" t="s">
        <v>26</v>
      </c>
      <c r="C491" s="29">
        <v>12947</v>
      </c>
      <c r="D491" s="29"/>
      <c r="E491" s="91"/>
    </row>
    <row r="492" spans="1:5">
      <c r="A492" s="14" t="s">
        <v>96</v>
      </c>
      <c r="B492" s="21" t="s">
        <v>27</v>
      </c>
      <c r="C492" s="29">
        <v>12837</v>
      </c>
      <c r="D492" s="29"/>
      <c r="E492" s="91"/>
    </row>
    <row r="493" spans="1:5">
      <c r="A493" s="14" t="s">
        <v>96</v>
      </c>
      <c r="B493" s="21" t="s">
        <v>28</v>
      </c>
      <c r="C493" s="29">
        <v>13187</v>
      </c>
      <c r="D493" s="29"/>
      <c r="E493" s="91"/>
    </row>
    <row r="494" spans="1:5">
      <c r="A494" s="14" t="s">
        <v>96</v>
      </c>
      <c r="B494" s="21" t="s">
        <v>29</v>
      </c>
      <c r="C494" s="29">
        <v>13158</v>
      </c>
      <c r="D494" s="29"/>
      <c r="E494" s="91"/>
    </row>
    <row r="495" spans="1:5">
      <c r="A495" s="14" t="s">
        <v>96</v>
      </c>
      <c r="B495" s="21" t="s">
        <v>30</v>
      </c>
      <c r="C495" s="29">
        <v>13452</v>
      </c>
      <c r="D495" s="29"/>
      <c r="E495" s="91"/>
    </row>
    <row r="496" spans="1:5">
      <c r="A496" s="14" t="s">
        <v>96</v>
      </c>
      <c r="B496" s="21" t="s">
        <v>31</v>
      </c>
      <c r="C496" s="29">
        <v>13879</v>
      </c>
      <c r="D496" s="29"/>
      <c r="E496" s="91"/>
    </row>
    <row r="497" spans="1:5">
      <c r="A497" s="14" t="s">
        <v>96</v>
      </c>
      <c r="B497" s="21" t="s">
        <v>32</v>
      </c>
      <c r="C497" s="29">
        <v>12825</v>
      </c>
      <c r="D497" s="29"/>
      <c r="E497" s="91"/>
    </row>
    <row r="498" spans="1:5">
      <c r="A498" s="14" t="s">
        <v>96</v>
      </c>
      <c r="B498" s="21" t="s">
        <v>33</v>
      </c>
      <c r="C498" s="29">
        <v>12738</v>
      </c>
      <c r="D498" s="29"/>
      <c r="E498" s="91"/>
    </row>
    <row r="499" spans="1:5">
      <c r="A499" s="14" t="s">
        <v>96</v>
      </c>
      <c r="B499" s="21" t="s">
        <v>34</v>
      </c>
      <c r="C499" s="29">
        <v>13212</v>
      </c>
      <c r="D499" s="29"/>
      <c r="E499" s="91"/>
    </row>
    <row r="500" spans="1:5">
      <c r="A500" s="14" t="s">
        <v>96</v>
      </c>
      <c r="B500" s="21" t="s">
        <v>35</v>
      </c>
      <c r="C500" s="29">
        <v>14825</v>
      </c>
      <c r="D500" s="29"/>
      <c r="E500" s="91"/>
    </row>
    <row r="501" spans="1:5">
      <c r="A501" s="14" t="s">
        <v>96</v>
      </c>
      <c r="B501" s="21" t="s">
        <v>36</v>
      </c>
      <c r="C501" s="29">
        <v>14417</v>
      </c>
      <c r="D501" s="29"/>
      <c r="E501" s="91"/>
    </row>
    <row r="502" spans="1:5">
      <c r="A502" s="14" t="s">
        <v>96</v>
      </c>
      <c r="B502" s="21" t="s">
        <v>37</v>
      </c>
      <c r="C502" s="29">
        <v>14156</v>
      </c>
      <c r="D502" s="29"/>
      <c r="E502" s="91"/>
    </row>
    <row r="503" spans="1:5">
      <c r="A503" s="14" t="s">
        <v>96</v>
      </c>
      <c r="B503" s="21" t="s">
        <v>38</v>
      </c>
      <c r="C503" s="29">
        <v>14657</v>
      </c>
      <c r="D503" s="29"/>
      <c r="E503" s="91"/>
    </row>
    <row r="504" spans="1:5">
      <c r="A504" s="14" t="s">
        <v>96</v>
      </c>
      <c r="B504" s="21" t="s">
        <v>39</v>
      </c>
      <c r="C504" s="29">
        <v>11504</v>
      </c>
      <c r="D504" s="29"/>
      <c r="E504" s="91"/>
    </row>
    <row r="505" spans="1:5">
      <c r="A505" s="14" t="s">
        <v>96</v>
      </c>
      <c r="B505" s="21" t="s">
        <v>40</v>
      </c>
      <c r="C505" s="29">
        <v>7667</v>
      </c>
      <c r="D505" s="29"/>
      <c r="E505" s="91"/>
    </row>
    <row r="506" spans="1:5">
      <c r="A506" s="14" t="s">
        <v>97</v>
      </c>
      <c r="B506" s="21" t="s">
        <v>17</v>
      </c>
      <c r="C506" s="29">
        <v>5590</v>
      </c>
      <c r="D506" s="29"/>
      <c r="E506" s="91"/>
    </row>
    <row r="507" spans="1:5">
      <c r="A507" s="14" t="s">
        <v>97</v>
      </c>
      <c r="B507" s="21" t="s">
        <v>18</v>
      </c>
      <c r="C507" s="29">
        <v>7018</v>
      </c>
      <c r="D507" s="29"/>
      <c r="E507" s="91"/>
    </row>
    <row r="508" spans="1:5">
      <c r="A508" s="14" t="s">
        <v>97</v>
      </c>
      <c r="B508" s="21" t="s">
        <v>19</v>
      </c>
      <c r="C508" s="29">
        <v>7666</v>
      </c>
      <c r="D508" s="29"/>
      <c r="E508" s="91"/>
    </row>
    <row r="509" spans="1:5">
      <c r="A509" s="14" t="s">
        <v>97</v>
      </c>
      <c r="B509" s="21" t="s">
        <v>20</v>
      </c>
      <c r="C509" s="29">
        <v>8490</v>
      </c>
      <c r="D509" s="29"/>
      <c r="E509" s="91"/>
    </row>
    <row r="510" spans="1:5">
      <c r="A510" s="14" t="s">
        <v>97</v>
      </c>
      <c r="B510" s="21" t="s">
        <v>21</v>
      </c>
      <c r="C510" s="29">
        <v>14926</v>
      </c>
      <c r="D510" s="29"/>
      <c r="E510" s="91"/>
    </row>
    <row r="511" spans="1:5">
      <c r="A511" s="14" t="s">
        <v>97</v>
      </c>
      <c r="B511" s="21" t="s">
        <v>22</v>
      </c>
      <c r="C511" s="29">
        <v>16618</v>
      </c>
      <c r="D511" s="29"/>
      <c r="E511" s="91"/>
    </row>
    <row r="512" spans="1:5">
      <c r="A512" s="14" t="s">
        <v>97</v>
      </c>
      <c r="B512" s="21" t="s">
        <v>23</v>
      </c>
      <c r="C512" s="29">
        <v>16088</v>
      </c>
      <c r="D512" s="29"/>
      <c r="E512" s="91"/>
    </row>
    <row r="513" spans="1:5">
      <c r="A513" s="14" t="s">
        <v>97</v>
      </c>
      <c r="B513" s="21" t="s">
        <v>24</v>
      </c>
      <c r="C513" s="29">
        <v>16479</v>
      </c>
      <c r="D513" s="29"/>
      <c r="E513" s="91"/>
    </row>
    <row r="514" spans="1:5">
      <c r="A514" s="14" t="s">
        <v>97</v>
      </c>
      <c r="B514" s="21" t="s">
        <v>25</v>
      </c>
      <c r="C514" s="29">
        <v>16569</v>
      </c>
      <c r="D514" s="29"/>
      <c r="E514" s="91"/>
    </row>
    <row r="515" spans="1:5">
      <c r="A515" s="14" t="s">
        <v>97</v>
      </c>
      <c r="B515" s="21" t="s">
        <v>26</v>
      </c>
      <c r="C515" s="29">
        <v>16540</v>
      </c>
      <c r="D515" s="29"/>
      <c r="E515" s="91"/>
    </row>
    <row r="516" spans="1:5">
      <c r="A516" s="14" t="s">
        <v>97</v>
      </c>
      <c r="B516" s="21" t="s">
        <v>27</v>
      </c>
      <c r="C516" s="29">
        <v>13814</v>
      </c>
      <c r="D516" s="29"/>
      <c r="E516" s="91"/>
    </row>
    <row r="517" spans="1:5">
      <c r="A517" s="14" t="s">
        <v>97</v>
      </c>
      <c r="B517" s="21" t="s">
        <v>28</v>
      </c>
      <c r="C517" s="29">
        <v>11569</v>
      </c>
      <c r="D517" s="29"/>
      <c r="E517" s="91"/>
    </row>
    <row r="518" spans="1:5">
      <c r="A518" s="14" t="s">
        <v>97</v>
      </c>
      <c r="B518" s="21" t="s">
        <v>29</v>
      </c>
      <c r="C518" s="29">
        <v>11864</v>
      </c>
      <c r="D518" s="29"/>
      <c r="E518" s="91"/>
    </row>
    <row r="519" spans="1:5">
      <c r="A519" s="14" t="s">
        <v>97</v>
      </c>
      <c r="B519" s="21" t="s">
        <v>30</v>
      </c>
      <c r="C519" s="29">
        <v>12718</v>
      </c>
      <c r="D519" s="29"/>
      <c r="E519" s="91"/>
    </row>
    <row r="520" spans="1:5">
      <c r="A520" s="14" t="s">
        <v>97</v>
      </c>
      <c r="B520" s="21" t="s">
        <v>31</v>
      </c>
      <c r="C520" s="29">
        <v>12460</v>
      </c>
      <c r="D520" s="29"/>
      <c r="E520" s="91"/>
    </row>
    <row r="521" spans="1:5">
      <c r="A521" s="14" t="s">
        <v>97</v>
      </c>
      <c r="B521" s="21" t="s">
        <v>32</v>
      </c>
      <c r="C521" s="29">
        <v>12097</v>
      </c>
      <c r="D521" s="29"/>
      <c r="E521" s="91"/>
    </row>
    <row r="522" spans="1:5">
      <c r="A522" s="14" t="s">
        <v>97</v>
      </c>
      <c r="B522" s="21" t="s">
        <v>33</v>
      </c>
      <c r="C522" s="29">
        <v>12377</v>
      </c>
      <c r="D522" s="29"/>
      <c r="E522" s="91"/>
    </row>
    <row r="523" spans="1:5">
      <c r="A523" s="14" t="s">
        <v>97</v>
      </c>
      <c r="B523" s="21" t="s">
        <v>34</v>
      </c>
      <c r="C523" s="29">
        <v>12343</v>
      </c>
      <c r="D523" s="29"/>
      <c r="E523" s="91"/>
    </row>
    <row r="524" spans="1:5">
      <c r="A524" s="14" t="s">
        <v>97</v>
      </c>
      <c r="B524" s="21" t="s">
        <v>35</v>
      </c>
      <c r="C524" s="29">
        <v>14186</v>
      </c>
      <c r="D524" s="29"/>
      <c r="E524" s="91"/>
    </row>
    <row r="525" spans="1:5">
      <c r="A525" s="14" t="s">
        <v>97</v>
      </c>
      <c r="B525" s="21" t="s">
        <v>36</v>
      </c>
      <c r="C525" s="29">
        <v>13607</v>
      </c>
      <c r="D525" s="29"/>
      <c r="E525" s="91"/>
    </row>
    <row r="526" spans="1:5">
      <c r="A526" s="14" t="s">
        <v>97</v>
      </c>
      <c r="B526" s="21" t="s">
        <v>37</v>
      </c>
      <c r="C526" s="29">
        <v>14215</v>
      </c>
      <c r="D526" s="29"/>
      <c r="E526" s="91"/>
    </row>
    <row r="527" spans="1:5">
      <c r="A527" s="14" t="s">
        <v>97</v>
      </c>
      <c r="B527" s="21" t="s">
        <v>38</v>
      </c>
      <c r="C527" s="29">
        <v>14727</v>
      </c>
      <c r="D527" s="29"/>
      <c r="E527" s="91"/>
    </row>
    <row r="528" spans="1:5">
      <c r="A528" s="14" t="s">
        <v>97</v>
      </c>
      <c r="B528" s="21" t="s">
        <v>39</v>
      </c>
      <c r="C528" s="29">
        <v>12626</v>
      </c>
      <c r="D528" s="29"/>
      <c r="E528" s="91"/>
    </row>
    <row r="529" spans="1:5">
      <c r="A529" s="14" t="s">
        <v>97</v>
      </c>
      <c r="B529" s="21" t="s">
        <v>40</v>
      </c>
      <c r="C529" s="29">
        <v>7093</v>
      </c>
      <c r="D529" s="29"/>
      <c r="E529" s="91"/>
    </row>
    <row r="530" spans="1:5">
      <c r="A530" s="14" t="s">
        <v>98</v>
      </c>
      <c r="B530" s="21" t="s">
        <v>17</v>
      </c>
      <c r="C530" s="29">
        <v>6508</v>
      </c>
      <c r="D530" s="29"/>
      <c r="E530" s="91"/>
    </row>
    <row r="531" spans="1:5">
      <c r="A531" s="14" t="s">
        <v>98</v>
      </c>
      <c r="B531" s="21" t="s">
        <v>18</v>
      </c>
      <c r="C531" s="29">
        <v>9765</v>
      </c>
      <c r="D531" s="29"/>
      <c r="E531" s="91"/>
    </row>
    <row r="532" spans="1:5">
      <c r="A532" s="14" t="s">
        <v>98</v>
      </c>
      <c r="B532" s="21" t="s">
        <v>19</v>
      </c>
      <c r="C532" s="29">
        <v>10318</v>
      </c>
      <c r="D532" s="29"/>
      <c r="E532" s="91"/>
    </row>
    <row r="533" spans="1:5">
      <c r="A533" s="14" t="s">
        <v>98</v>
      </c>
      <c r="B533" s="21" t="s">
        <v>20</v>
      </c>
      <c r="C533" s="29">
        <v>12185</v>
      </c>
      <c r="D533" s="29"/>
      <c r="E533" s="91"/>
    </row>
    <row r="534" spans="1:5">
      <c r="A534" s="14" t="s">
        <v>98</v>
      </c>
      <c r="B534" s="21" t="s">
        <v>21</v>
      </c>
      <c r="C534" s="29">
        <v>12416</v>
      </c>
      <c r="D534" s="29"/>
      <c r="E534" s="91"/>
    </row>
    <row r="535" spans="1:5">
      <c r="A535" s="14" t="s">
        <v>98</v>
      </c>
      <c r="B535" s="21" t="s">
        <v>22</v>
      </c>
      <c r="C535" s="29">
        <v>17443</v>
      </c>
      <c r="D535" s="29"/>
      <c r="E535" s="91"/>
    </row>
    <row r="536" spans="1:5">
      <c r="A536" s="14" t="s">
        <v>98</v>
      </c>
      <c r="B536" s="21" t="s">
        <v>23</v>
      </c>
      <c r="C536" s="29">
        <v>16398</v>
      </c>
      <c r="D536" s="29"/>
      <c r="E536" s="91"/>
    </row>
    <row r="537" spans="1:5">
      <c r="A537" s="14" t="s">
        <v>98</v>
      </c>
      <c r="B537" s="21" t="s">
        <v>24</v>
      </c>
      <c r="C537" s="29">
        <v>15057</v>
      </c>
      <c r="D537" s="29"/>
      <c r="E537" s="91"/>
    </row>
    <row r="538" spans="1:5">
      <c r="A538" s="14" t="s">
        <v>98</v>
      </c>
      <c r="B538" s="21" t="s">
        <v>25</v>
      </c>
      <c r="C538" s="29">
        <v>14548</v>
      </c>
      <c r="D538" s="29"/>
      <c r="E538" s="91"/>
    </row>
    <row r="539" spans="1:5">
      <c r="A539" s="14" t="s">
        <v>98</v>
      </c>
      <c r="B539" s="21" t="s">
        <v>26</v>
      </c>
      <c r="C539" s="29">
        <v>16192</v>
      </c>
      <c r="D539" s="29"/>
      <c r="E539" s="91"/>
    </row>
    <row r="540" spans="1:5">
      <c r="A540" s="14" t="s">
        <v>98</v>
      </c>
      <c r="B540" s="21" t="s">
        <v>27</v>
      </c>
      <c r="C540" s="29">
        <v>15863</v>
      </c>
      <c r="D540" s="29"/>
      <c r="E540" s="91"/>
    </row>
    <row r="541" spans="1:5">
      <c r="A541" s="14" t="s">
        <v>98</v>
      </c>
      <c r="B541" s="21" t="s">
        <v>28</v>
      </c>
      <c r="C541" s="29">
        <v>12760</v>
      </c>
      <c r="D541" s="29"/>
      <c r="E541" s="91"/>
    </row>
    <row r="542" spans="1:5">
      <c r="A542" s="14" t="s">
        <v>98</v>
      </c>
      <c r="B542" s="21" t="s">
        <v>29</v>
      </c>
      <c r="C542" s="29">
        <v>13897</v>
      </c>
      <c r="D542" s="29"/>
      <c r="E542" s="91"/>
    </row>
    <row r="543" spans="1:5">
      <c r="A543" s="14" t="s">
        <v>98</v>
      </c>
      <c r="B543" s="21" t="s">
        <v>30</v>
      </c>
      <c r="C543" s="29">
        <v>12826</v>
      </c>
      <c r="D543" s="29"/>
      <c r="E543" s="91"/>
    </row>
    <row r="544" spans="1:5">
      <c r="A544" s="14" t="s">
        <v>98</v>
      </c>
      <c r="B544" s="21" t="s">
        <v>31</v>
      </c>
      <c r="C544" s="29">
        <v>11389</v>
      </c>
      <c r="D544" s="29"/>
      <c r="E544" s="91"/>
    </row>
    <row r="545" spans="1:5">
      <c r="A545" s="14" t="s">
        <v>98</v>
      </c>
      <c r="B545" s="21" t="s">
        <v>32</v>
      </c>
      <c r="C545" s="29">
        <v>12152</v>
      </c>
      <c r="D545" s="29"/>
      <c r="E545" s="91"/>
    </row>
    <row r="546" spans="1:5">
      <c r="A546" s="14" t="s">
        <v>98</v>
      </c>
      <c r="B546" s="21" t="s">
        <v>33</v>
      </c>
      <c r="C546" s="29">
        <v>13331</v>
      </c>
      <c r="D546" s="29"/>
      <c r="E546" s="91"/>
    </row>
    <row r="547" spans="1:5">
      <c r="A547" s="14" t="s">
        <v>98</v>
      </c>
      <c r="B547" s="21" t="s">
        <v>34</v>
      </c>
      <c r="C547" s="29">
        <v>13333</v>
      </c>
      <c r="D547" s="29"/>
      <c r="E547" s="91"/>
    </row>
    <row r="548" spans="1:5">
      <c r="A548" s="14" t="s">
        <v>98</v>
      </c>
      <c r="B548" s="21" t="s">
        <v>35</v>
      </c>
      <c r="C548" s="29">
        <v>14721</v>
      </c>
      <c r="D548" s="29"/>
      <c r="E548" s="91"/>
    </row>
    <row r="549" spans="1:5">
      <c r="A549" s="14" t="s">
        <v>98</v>
      </c>
      <c r="B549" s="21" t="s">
        <v>36</v>
      </c>
      <c r="C549" s="29">
        <v>14272</v>
      </c>
      <c r="D549" s="29"/>
      <c r="E549" s="91"/>
    </row>
    <row r="550" spans="1:5">
      <c r="A550" s="14" t="s">
        <v>98</v>
      </c>
      <c r="B550" s="21" t="s">
        <v>37</v>
      </c>
      <c r="C550" s="29">
        <v>15361</v>
      </c>
      <c r="D550" s="29"/>
      <c r="E550" s="91"/>
    </row>
    <row r="551" spans="1:5">
      <c r="A551" s="14" t="s">
        <v>98</v>
      </c>
      <c r="B551" s="21" t="s">
        <v>38</v>
      </c>
      <c r="C551" s="29">
        <v>14814</v>
      </c>
      <c r="D551" s="29"/>
      <c r="E551" s="91"/>
    </row>
    <row r="552" spans="1:5">
      <c r="A552" s="14" t="s">
        <v>98</v>
      </c>
      <c r="B552" s="21" t="s">
        <v>39</v>
      </c>
      <c r="C552" s="29">
        <v>12250</v>
      </c>
      <c r="D552" s="29"/>
      <c r="E552" s="91"/>
    </row>
    <row r="553" spans="1:5">
      <c r="A553" s="14" t="s">
        <v>98</v>
      </c>
      <c r="B553" s="21" t="s">
        <v>40</v>
      </c>
      <c r="C553" s="29">
        <v>7098</v>
      </c>
      <c r="D553" s="29"/>
      <c r="E553" s="91"/>
    </row>
    <row r="554" spans="1:5">
      <c r="A554" s="14" t="s">
        <v>99</v>
      </c>
      <c r="B554" s="21" t="s">
        <v>17</v>
      </c>
      <c r="C554" s="29">
        <v>6602</v>
      </c>
      <c r="D554" s="29"/>
      <c r="E554" s="91"/>
    </row>
    <row r="555" spans="1:5">
      <c r="A555" s="14" t="s">
        <v>99</v>
      </c>
      <c r="B555" s="21" t="s">
        <v>18</v>
      </c>
      <c r="C555" s="29">
        <v>8548</v>
      </c>
      <c r="D555" s="29"/>
      <c r="E555" s="91"/>
    </row>
    <row r="556" spans="1:5">
      <c r="A556" s="14" t="s">
        <v>99</v>
      </c>
      <c r="B556" s="21" t="s">
        <v>19</v>
      </c>
      <c r="C556" s="29">
        <v>10289</v>
      </c>
      <c r="D556" s="29"/>
      <c r="E556" s="91"/>
    </row>
    <row r="557" spans="1:5">
      <c r="A557" s="14" t="s">
        <v>99</v>
      </c>
      <c r="B557" s="21" t="s">
        <v>20</v>
      </c>
      <c r="C557" s="29">
        <v>12492</v>
      </c>
      <c r="D557" s="29"/>
      <c r="E557" s="91"/>
    </row>
    <row r="558" spans="1:5">
      <c r="A558" s="14" t="s">
        <v>99</v>
      </c>
      <c r="B558" s="21" t="s">
        <v>21</v>
      </c>
      <c r="C558" s="29">
        <v>14327</v>
      </c>
      <c r="D558" s="29"/>
      <c r="E558" s="91"/>
    </row>
    <row r="559" spans="1:5">
      <c r="A559" s="14" t="s">
        <v>99</v>
      </c>
      <c r="B559" s="21" t="s">
        <v>22</v>
      </c>
      <c r="C559" s="29">
        <v>17094</v>
      </c>
      <c r="D559" s="29"/>
      <c r="E559" s="91"/>
    </row>
    <row r="560" spans="1:5">
      <c r="A560" s="14" t="s">
        <v>99</v>
      </c>
      <c r="B560" s="21" t="s">
        <v>23</v>
      </c>
      <c r="C560" s="29">
        <v>15850</v>
      </c>
      <c r="D560" s="29"/>
      <c r="E560" s="91"/>
    </row>
    <row r="561" spans="1:5">
      <c r="A561" s="14" t="s">
        <v>99</v>
      </c>
      <c r="B561" s="21" t="s">
        <v>24</v>
      </c>
      <c r="C561" s="29">
        <v>16065</v>
      </c>
      <c r="D561" s="29"/>
      <c r="E561" s="91"/>
    </row>
    <row r="562" spans="1:5">
      <c r="A562" s="14" t="s">
        <v>99</v>
      </c>
      <c r="B562" s="21" t="s">
        <v>25</v>
      </c>
      <c r="C562" s="29">
        <v>16014</v>
      </c>
      <c r="D562" s="29"/>
      <c r="E562" s="91"/>
    </row>
    <row r="563" spans="1:5">
      <c r="A563" s="14" t="s">
        <v>99</v>
      </c>
      <c r="B563" s="21" t="s">
        <v>26</v>
      </c>
      <c r="C563" s="29">
        <v>15804</v>
      </c>
      <c r="D563" s="29"/>
      <c r="E563" s="91"/>
    </row>
    <row r="564" spans="1:5">
      <c r="A564" s="14" t="s">
        <v>99</v>
      </c>
      <c r="B564" s="21" t="s">
        <v>27</v>
      </c>
      <c r="C564" s="29">
        <v>12692</v>
      </c>
      <c r="D564" s="29"/>
      <c r="E564" s="91"/>
    </row>
    <row r="565" spans="1:5">
      <c r="A565" s="14" t="s">
        <v>99</v>
      </c>
      <c r="B565" s="21" t="s">
        <v>28</v>
      </c>
      <c r="C565" s="29">
        <v>11664</v>
      </c>
      <c r="D565" s="29"/>
      <c r="E565" s="91"/>
    </row>
    <row r="566" spans="1:5">
      <c r="A566" s="14" t="s">
        <v>99</v>
      </c>
      <c r="B566" s="21" t="s">
        <v>29</v>
      </c>
      <c r="C566" s="29">
        <v>11393</v>
      </c>
      <c r="D566" s="29"/>
      <c r="E566" s="91"/>
    </row>
    <row r="567" spans="1:5">
      <c r="A567" s="14" t="s">
        <v>99</v>
      </c>
      <c r="B567" s="21" t="s">
        <v>30</v>
      </c>
      <c r="C567" s="29">
        <v>11046</v>
      </c>
      <c r="D567" s="29"/>
      <c r="E567" s="91"/>
    </row>
    <row r="568" spans="1:5">
      <c r="A568" s="14" t="s">
        <v>99</v>
      </c>
      <c r="B568" s="21" t="s">
        <v>31</v>
      </c>
      <c r="C568" s="29">
        <v>11246</v>
      </c>
      <c r="D568" s="29"/>
      <c r="E568" s="91"/>
    </row>
    <row r="569" spans="1:5">
      <c r="A569" s="14" t="s">
        <v>99</v>
      </c>
      <c r="B569" s="21" t="s">
        <v>32</v>
      </c>
      <c r="C569" s="29">
        <v>11407</v>
      </c>
      <c r="D569" s="29"/>
      <c r="E569" s="91"/>
    </row>
    <row r="570" spans="1:5">
      <c r="A570" s="14" t="s">
        <v>99</v>
      </c>
      <c r="B570" s="21" t="s">
        <v>33</v>
      </c>
      <c r="C570" s="29">
        <v>11066</v>
      </c>
      <c r="D570" s="29"/>
      <c r="E570" s="91"/>
    </row>
    <row r="571" spans="1:5">
      <c r="A571" s="14" t="s">
        <v>99</v>
      </c>
      <c r="B571" s="21" t="s">
        <v>34</v>
      </c>
      <c r="C571" s="29">
        <v>13020</v>
      </c>
      <c r="D571" s="29"/>
      <c r="E571" s="91"/>
    </row>
    <row r="572" spans="1:5">
      <c r="A572" s="14" t="s">
        <v>99</v>
      </c>
      <c r="B572" s="21" t="s">
        <v>35</v>
      </c>
      <c r="C572" s="29">
        <v>14950</v>
      </c>
      <c r="D572" s="29"/>
      <c r="E572" s="91"/>
    </row>
    <row r="573" spans="1:5">
      <c r="A573" s="14" t="s">
        <v>99</v>
      </c>
      <c r="B573" s="21" t="s">
        <v>36</v>
      </c>
      <c r="C573" s="29">
        <v>14194</v>
      </c>
      <c r="D573" s="29"/>
      <c r="E573" s="91"/>
    </row>
    <row r="574" spans="1:5">
      <c r="A574" s="14" t="s">
        <v>99</v>
      </c>
      <c r="B574" s="21" t="s">
        <v>37</v>
      </c>
      <c r="C574" s="29">
        <v>15392</v>
      </c>
      <c r="D574" s="29"/>
      <c r="E574" s="91"/>
    </row>
    <row r="575" spans="1:5">
      <c r="A575" s="14" t="s">
        <v>99</v>
      </c>
      <c r="B575" s="21" t="s">
        <v>38</v>
      </c>
      <c r="C575" s="29">
        <v>15078</v>
      </c>
      <c r="D575" s="29"/>
      <c r="E575" s="91"/>
    </row>
    <row r="576" spans="1:5">
      <c r="A576" s="14" t="s">
        <v>99</v>
      </c>
      <c r="B576" s="21" t="s">
        <v>39</v>
      </c>
      <c r="C576" s="29">
        <v>12485</v>
      </c>
      <c r="D576" s="29"/>
      <c r="E576" s="91"/>
    </row>
    <row r="577" spans="1:5">
      <c r="A577" s="14" t="s">
        <v>99</v>
      </c>
      <c r="B577" s="21" t="s">
        <v>40</v>
      </c>
      <c r="C577" s="29">
        <v>7149</v>
      </c>
      <c r="D577" s="29"/>
      <c r="E577" s="91"/>
    </row>
    <row r="578" spans="1:5">
      <c r="A578" s="14" t="s">
        <v>100</v>
      </c>
      <c r="B578" s="21" t="s">
        <v>17</v>
      </c>
      <c r="C578" s="29">
        <v>5786</v>
      </c>
      <c r="D578" s="29"/>
      <c r="E578" s="91"/>
    </row>
    <row r="579" spans="1:5">
      <c r="A579" s="14" t="s">
        <v>100</v>
      </c>
      <c r="B579" s="21" t="s">
        <v>18</v>
      </c>
      <c r="C579" s="29">
        <v>7071</v>
      </c>
      <c r="D579" s="29"/>
      <c r="E579" s="91"/>
    </row>
    <row r="580" spans="1:5">
      <c r="A580" s="14" t="s">
        <v>100</v>
      </c>
      <c r="B580" s="21" t="s">
        <v>19</v>
      </c>
      <c r="C580" s="29">
        <v>6500</v>
      </c>
      <c r="D580" s="29"/>
      <c r="E580" s="91"/>
    </row>
    <row r="581" spans="1:5">
      <c r="A581" s="14" t="s">
        <v>100</v>
      </c>
      <c r="B581" s="21" t="s">
        <v>20</v>
      </c>
      <c r="C581" s="29">
        <v>6829</v>
      </c>
      <c r="D581" s="29"/>
      <c r="E581" s="91"/>
    </row>
    <row r="582" spans="1:5">
      <c r="A582" s="14" t="s">
        <v>100</v>
      </c>
      <c r="B582" s="21" t="s">
        <v>21</v>
      </c>
      <c r="C582" s="29">
        <v>12582</v>
      </c>
      <c r="D582" s="29"/>
      <c r="E582" s="91"/>
    </row>
    <row r="583" spans="1:5">
      <c r="A583" s="14" t="s">
        <v>100</v>
      </c>
      <c r="B583" s="21" t="s">
        <v>22</v>
      </c>
      <c r="C583" s="29">
        <v>15203</v>
      </c>
      <c r="D583" s="29"/>
      <c r="E583" s="91"/>
    </row>
    <row r="584" spans="1:5">
      <c r="A584" s="14" t="s">
        <v>100</v>
      </c>
      <c r="B584" s="21" t="s">
        <v>23</v>
      </c>
      <c r="C584" s="29">
        <v>16431</v>
      </c>
      <c r="D584" s="29"/>
      <c r="E584" s="91"/>
    </row>
    <row r="585" spans="1:5">
      <c r="A585" s="14" t="s">
        <v>100</v>
      </c>
      <c r="B585" s="21" t="s">
        <v>24</v>
      </c>
      <c r="C585" s="29">
        <v>15631</v>
      </c>
      <c r="D585" s="29"/>
      <c r="E585" s="91"/>
    </row>
    <row r="586" spans="1:5">
      <c r="A586" s="14" t="s">
        <v>100</v>
      </c>
      <c r="B586" s="21" t="s">
        <v>25</v>
      </c>
      <c r="C586" s="29">
        <v>16179</v>
      </c>
      <c r="D586" s="29"/>
      <c r="E586" s="91"/>
    </row>
    <row r="587" spans="1:5">
      <c r="A587" s="14" t="s">
        <v>100</v>
      </c>
      <c r="B587" s="21" t="s">
        <v>26</v>
      </c>
      <c r="C587" s="29">
        <v>16437</v>
      </c>
      <c r="D587" s="29"/>
      <c r="E587" s="91"/>
    </row>
    <row r="588" spans="1:5">
      <c r="A588" s="14" t="s">
        <v>100</v>
      </c>
      <c r="B588" s="21" t="s">
        <v>27</v>
      </c>
      <c r="C588" s="29">
        <v>15909</v>
      </c>
      <c r="D588" s="29"/>
      <c r="E588" s="91"/>
    </row>
    <row r="589" spans="1:5">
      <c r="A589" s="14" t="s">
        <v>100</v>
      </c>
      <c r="B589" s="21" t="s">
        <v>28</v>
      </c>
      <c r="C589" s="29">
        <v>11821</v>
      </c>
      <c r="D589" s="29"/>
      <c r="E589" s="91"/>
    </row>
    <row r="590" spans="1:5">
      <c r="A590" s="14" t="s">
        <v>100</v>
      </c>
      <c r="B590" s="21" t="s">
        <v>29</v>
      </c>
      <c r="C590" s="29">
        <v>14452</v>
      </c>
      <c r="D590" s="29"/>
      <c r="E590" s="91"/>
    </row>
    <row r="591" spans="1:5">
      <c r="A591" s="14" t="s">
        <v>100</v>
      </c>
      <c r="B591" s="21" t="s">
        <v>30</v>
      </c>
      <c r="C591" s="29">
        <v>14863</v>
      </c>
      <c r="D591" s="29"/>
      <c r="E591" s="91"/>
    </row>
    <row r="592" spans="1:5">
      <c r="A592" s="14" t="s">
        <v>100</v>
      </c>
      <c r="B592" s="21" t="s">
        <v>31</v>
      </c>
      <c r="C592" s="29">
        <v>14270</v>
      </c>
      <c r="D592" s="29"/>
      <c r="E592" s="91"/>
    </row>
    <row r="593" spans="1:5">
      <c r="A593" s="14" t="s">
        <v>100</v>
      </c>
      <c r="B593" s="21" t="s">
        <v>32</v>
      </c>
      <c r="C593" s="29">
        <v>14498</v>
      </c>
      <c r="D593" s="29"/>
      <c r="E593" s="91"/>
    </row>
    <row r="594" spans="1:5">
      <c r="A594" s="14" t="s">
        <v>100</v>
      </c>
      <c r="B594" s="21" t="s">
        <v>33</v>
      </c>
      <c r="C594" s="29">
        <v>14115</v>
      </c>
      <c r="D594" s="29"/>
      <c r="E594" s="91"/>
    </row>
    <row r="595" spans="1:5">
      <c r="A595" s="14" t="s">
        <v>100</v>
      </c>
      <c r="B595" s="21" t="s">
        <v>34</v>
      </c>
      <c r="C595" s="29">
        <v>13382</v>
      </c>
      <c r="D595" s="29"/>
      <c r="E595" s="91"/>
    </row>
    <row r="596" spans="1:5">
      <c r="A596" s="14" t="s">
        <v>100</v>
      </c>
      <c r="B596" s="21" t="s">
        <v>35</v>
      </c>
      <c r="C596" s="29">
        <v>14948</v>
      </c>
      <c r="D596" s="29"/>
      <c r="E596" s="91"/>
    </row>
    <row r="597" spans="1:5">
      <c r="A597" s="14" t="s">
        <v>100</v>
      </c>
      <c r="B597" s="21" t="s">
        <v>36</v>
      </c>
      <c r="C597" s="29">
        <v>15508</v>
      </c>
      <c r="D597" s="29"/>
      <c r="E597" s="91"/>
    </row>
    <row r="598" spans="1:5">
      <c r="A598" s="14" t="s">
        <v>100</v>
      </c>
      <c r="B598" s="21" t="s">
        <v>37</v>
      </c>
      <c r="C598" s="29">
        <v>14345</v>
      </c>
      <c r="D598" s="29"/>
      <c r="E598" s="91"/>
    </row>
    <row r="599" spans="1:5">
      <c r="A599" s="14" t="s">
        <v>100</v>
      </c>
      <c r="B599" s="21" t="s">
        <v>38</v>
      </c>
      <c r="C599" s="29">
        <v>11712</v>
      </c>
      <c r="D599" s="29"/>
      <c r="E599" s="91"/>
    </row>
    <row r="600" spans="1:5">
      <c r="A600" s="14" t="s">
        <v>100</v>
      </c>
      <c r="B600" s="21" t="s">
        <v>39</v>
      </c>
      <c r="C600" s="29">
        <v>13916</v>
      </c>
      <c r="D600" s="29"/>
      <c r="E600" s="91"/>
    </row>
    <row r="601" spans="1:5">
      <c r="A601" s="14" t="s">
        <v>100</v>
      </c>
      <c r="B601" s="21" t="s">
        <v>40</v>
      </c>
      <c r="C601" s="29">
        <v>13648</v>
      </c>
      <c r="D601" s="29"/>
      <c r="E601" s="91"/>
    </row>
    <row r="602" spans="1:5">
      <c r="A602" s="14" t="s">
        <v>101</v>
      </c>
      <c r="B602" s="21" t="s">
        <v>17</v>
      </c>
      <c r="C602" s="29">
        <v>9907</v>
      </c>
      <c r="D602" s="29"/>
      <c r="E602" s="91"/>
    </row>
    <row r="603" spans="1:5">
      <c r="A603" s="14" t="s">
        <v>101</v>
      </c>
      <c r="B603" s="21" t="s">
        <v>18</v>
      </c>
      <c r="C603" s="29">
        <v>9078</v>
      </c>
      <c r="D603" s="29"/>
      <c r="E603" s="91"/>
    </row>
    <row r="604" spans="1:5">
      <c r="A604" s="14" t="s">
        <v>101</v>
      </c>
      <c r="B604" s="21" t="s">
        <v>19</v>
      </c>
      <c r="C604" s="29">
        <v>10563</v>
      </c>
      <c r="D604" s="29"/>
      <c r="E604" s="91"/>
    </row>
    <row r="605" spans="1:5">
      <c r="A605" s="14" t="s">
        <v>101</v>
      </c>
      <c r="B605" s="21" t="s">
        <v>20</v>
      </c>
      <c r="C605" s="29">
        <v>12944</v>
      </c>
      <c r="D605" s="29"/>
      <c r="E605" s="91"/>
    </row>
    <row r="606" spans="1:5">
      <c r="A606" s="14" t="s">
        <v>101</v>
      </c>
      <c r="B606" s="21" t="s">
        <v>21</v>
      </c>
      <c r="C606" s="29">
        <v>16378</v>
      </c>
      <c r="D606" s="29"/>
      <c r="E606" s="91"/>
    </row>
    <row r="607" spans="1:5">
      <c r="A607" s="14" t="s">
        <v>101</v>
      </c>
      <c r="B607" s="21" t="s">
        <v>22</v>
      </c>
      <c r="C607" s="29">
        <v>17450</v>
      </c>
      <c r="D607" s="29"/>
      <c r="E607" s="91"/>
    </row>
    <row r="608" spans="1:5">
      <c r="A608" s="14" t="s">
        <v>101</v>
      </c>
      <c r="B608" s="21" t="s">
        <v>23</v>
      </c>
      <c r="C608" s="29">
        <v>16617</v>
      </c>
      <c r="D608" s="29"/>
      <c r="E608" s="91"/>
    </row>
    <row r="609" spans="1:5">
      <c r="A609" s="14" t="s">
        <v>101</v>
      </c>
      <c r="B609" s="21" t="s">
        <v>24</v>
      </c>
      <c r="C609" s="29">
        <v>16448</v>
      </c>
      <c r="D609" s="29"/>
      <c r="E609" s="91"/>
    </row>
    <row r="610" spans="1:5">
      <c r="A610" s="14" t="s">
        <v>101</v>
      </c>
      <c r="B610" s="21" t="s">
        <v>25</v>
      </c>
      <c r="C610" s="29">
        <v>16097</v>
      </c>
      <c r="D610" s="29"/>
      <c r="E610" s="91"/>
    </row>
    <row r="611" spans="1:5">
      <c r="A611" s="14" t="s">
        <v>101</v>
      </c>
      <c r="B611" s="21" t="s">
        <v>26</v>
      </c>
      <c r="C611" s="29">
        <v>16371</v>
      </c>
      <c r="D611" s="29"/>
      <c r="E611" s="91"/>
    </row>
    <row r="612" spans="1:5">
      <c r="A612" s="14" t="s">
        <v>101</v>
      </c>
      <c r="B612" s="21" t="s">
        <v>27</v>
      </c>
      <c r="C612" s="29">
        <v>14130</v>
      </c>
      <c r="D612" s="29"/>
      <c r="E612" s="91"/>
    </row>
    <row r="613" spans="1:5">
      <c r="A613" s="14" t="s">
        <v>101</v>
      </c>
      <c r="B613" s="21" t="s">
        <v>28</v>
      </c>
      <c r="C613" s="29">
        <v>12510</v>
      </c>
      <c r="D613" s="29"/>
      <c r="E613" s="91"/>
    </row>
    <row r="614" spans="1:5">
      <c r="A614" s="14" t="s">
        <v>101</v>
      </c>
      <c r="B614" s="21" t="s">
        <v>29</v>
      </c>
      <c r="C614" s="29">
        <v>12802</v>
      </c>
      <c r="D614" s="29"/>
      <c r="E614" s="91"/>
    </row>
    <row r="615" spans="1:5">
      <c r="A615" s="14" t="s">
        <v>101</v>
      </c>
      <c r="B615" s="21" t="s">
        <v>30</v>
      </c>
      <c r="C615" s="29">
        <v>13478</v>
      </c>
      <c r="D615" s="29"/>
      <c r="E615" s="91"/>
    </row>
    <row r="616" spans="1:5">
      <c r="A616" s="14" t="s">
        <v>101</v>
      </c>
      <c r="B616" s="21" t="s">
        <v>31</v>
      </c>
      <c r="C616" s="29">
        <v>14065</v>
      </c>
      <c r="D616" s="29"/>
      <c r="E616" s="91"/>
    </row>
    <row r="617" spans="1:5">
      <c r="A617" s="14" t="s">
        <v>101</v>
      </c>
      <c r="B617" s="21" t="s">
        <v>32</v>
      </c>
      <c r="C617" s="29">
        <v>13563</v>
      </c>
      <c r="D617" s="29"/>
      <c r="E617" s="91"/>
    </row>
    <row r="618" spans="1:5">
      <c r="A618" s="14" t="s">
        <v>101</v>
      </c>
      <c r="B618" s="21" t="s">
        <v>33</v>
      </c>
      <c r="C618" s="29">
        <v>13316</v>
      </c>
      <c r="D618" s="29"/>
      <c r="E618" s="91"/>
    </row>
    <row r="619" spans="1:5">
      <c r="A619" s="14" t="s">
        <v>101</v>
      </c>
      <c r="B619" s="21" t="s">
        <v>34</v>
      </c>
      <c r="C619" s="29">
        <v>13573</v>
      </c>
      <c r="D619" s="29"/>
      <c r="E619" s="91"/>
    </row>
    <row r="620" spans="1:5">
      <c r="A620" s="14" t="s">
        <v>101</v>
      </c>
      <c r="B620" s="21" t="s">
        <v>35</v>
      </c>
      <c r="C620" s="29">
        <v>15526</v>
      </c>
      <c r="D620" s="29"/>
      <c r="E620" s="91"/>
    </row>
    <row r="621" spans="1:5">
      <c r="A621" s="14" t="s">
        <v>101</v>
      </c>
      <c r="B621" s="21" t="s">
        <v>36</v>
      </c>
      <c r="C621" s="29">
        <v>15396</v>
      </c>
      <c r="D621" s="29"/>
      <c r="E621" s="91"/>
    </row>
    <row r="622" spans="1:5">
      <c r="A622" s="14" t="s">
        <v>101</v>
      </c>
      <c r="B622" s="21" t="s">
        <v>37</v>
      </c>
      <c r="C622" s="29">
        <v>14607</v>
      </c>
      <c r="D622" s="29"/>
      <c r="E622" s="91"/>
    </row>
    <row r="623" spans="1:5">
      <c r="A623" s="14" t="s">
        <v>101</v>
      </c>
      <c r="B623" s="21" t="s">
        <v>38</v>
      </c>
      <c r="C623" s="29">
        <v>15145</v>
      </c>
      <c r="D623" s="29"/>
      <c r="E623" s="91"/>
    </row>
    <row r="624" spans="1:5">
      <c r="A624" s="14" t="s">
        <v>101</v>
      </c>
      <c r="B624" s="21" t="s">
        <v>39</v>
      </c>
      <c r="C624" s="29">
        <v>15025</v>
      </c>
      <c r="D624" s="29"/>
      <c r="E624" s="91"/>
    </row>
    <row r="625" spans="1:5">
      <c r="A625" s="14" t="s">
        <v>101</v>
      </c>
      <c r="B625" s="21" t="s">
        <v>40</v>
      </c>
      <c r="C625" s="29">
        <v>11348</v>
      </c>
      <c r="D625" s="29"/>
      <c r="E625" s="91"/>
    </row>
    <row r="626" spans="1:5">
      <c r="A626" s="14" t="s">
        <v>102</v>
      </c>
      <c r="B626" s="21" t="s">
        <v>17</v>
      </c>
      <c r="C626" s="29">
        <v>7625</v>
      </c>
      <c r="D626" s="29"/>
      <c r="E626" s="91"/>
    </row>
    <row r="627" spans="1:5">
      <c r="A627" s="14" t="s">
        <v>102</v>
      </c>
      <c r="B627" s="21" t="s">
        <v>18</v>
      </c>
      <c r="C627" s="29">
        <v>7897</v>
      </c>
      <c r="D627" s="29"/>
      <c r="E627" s="91"/>
    </row>
    <row r="628" spans="1:5">
      <c r="A628" s="14" t="s">
        <v>102</v>
      </c>
      <c r="B628" s="21" t="s">
        <v>19</v>
      </c>
      <c r="C628" s="29">
        <v>7173</v>
      </c>
      <c r="D628" s="29"/>
      <c r="E628" s="91"/>
    </row>
    <row r="629" spans="1:5">
      <c r="A629" s="14" t="s">
        <v>102</v>
      </c>
      <c r="B629" s="21" t="s">
        <v>20</v>
      </c>
      <c r="C629" s="29">
        <v>9316</v>
      </c>
      <c r="D629" s="29"/>
      <c r="E629" s="91"/>
    </row>
    <row r="630" spans="1:5">
      <c r="A630" s="14" t="s">
        <v>102</v>
      </c>
      <c r="B630" s="21" t="s">
        <v>21</v>
      </c>
      <c r="C630" s="29">
        <v>15742</v>
      </c>
      <c r="D630" s="29"/>
      <c r="E630" s="91"/>
    </row>
    <row r="631" spans="1:5">
      <c r="A631" s="14" t="s">
        <v>102</v>
      </c>
      <c r="B631" s="21" t="s">
        <v>22</v>
      </c>
      <c r="C631" s="29">
        <v>16765</v>
      </c>
      <c r="D631" s="29"/>
      <c r="E631" s="91"/>
    </row>
    <row r="632" spans="1:5">
      <c r="A632" s="14" t="s">
        <v>102</v>
      </c>
      <c r="B632" s="21" t="s">
        <v>23</v>
      </c>
      <c r="C632" s="29">
        <v>17165</v>
      </c>
      <c r="D632" s="29"/>
      <c r="E632" s="91"/>
    </row>
    <row r="633" spans="1:5">
      <c r="A633" s="14" t="s">
        <v>102</v>
      </c>
      <c r="B633" s="21" t="s">
        <v>24</v>
      </c>
      <c r="C633" s="29">
        <v>16163</v>
      </c>
      <c r="D633" s="29"/>
      <c r="E633" s="91"/>
    </row>
    <row r="634" spans="1:5">
      <c r="A634" s="14" t="s">
        <v>102</v>
      </c>
      <c r="B634" s="21" t="s">
        <v>25</v>
      </c>
      <c r="C634" s="29">
        <v>16732</v>
      </c>
      <c r="D634" s="29"/>
      <c r="E634" s="91"/>
    </row>
    <row r="635" spans="1:5">
      <c r="A635" s="14" t="s">
        <v>102</v>
      </c>
      <c r="B635" s="21" t="s">
        <v>26</v>
      </c>
      <c r="C635" s="29">
        <v>15898</v>
      </c>
      <c r="D635" s="29"/>
      <c r="E635" s="91"/>
    </row>
    <row r="636" spans="1:5">
      <c r="A636" s="14" t="s">
        <v>102</v>
      </c>
      <c r="B636" s="21" t="s">
        <v>27</v>
      </c>
      <c r="C636" s="29">
        <v>15281</v>
      </c>
      <c r="D636" s="29"/>
      <c r="E636" s="91"/>
    </row>
    <row r="637" spans="1:5">
      <c r="A637" s="14" t="s">
        <v>102</v>
      </c>
      <c r="B637" s="21" t="s">
        <v>28</v>
      </c>
      <c r="C637" s="29">
        <v>15578</v>
      </c>
      <c r="D637" s="29"/>
      <c r="E637" s="91"/>
    </row>
    <row r="638" spans="1:5">
      <c r="A638" s="14" t="s">
        <v>102</v>
      </c>
      <c r="B638" s="21" t="s">
        <v>29</v>
      </c>
      <c r="C638" s="29">
        <v>15856</v>
      </c>
      <c r="D638" s="29"/>
      <c r="E638" s="91"/>
    </row>
    <row r="639" spans="1:5">
      <c r="A639" s="14" t="s">
        <v>102</v>
      </c>
      <c r="B639" s="21" t="s">
        <v>30</v>
      </c>
      <c r="C639" s="29">
        <v>15487</v>
      </c>
      <c r="D639" s="29"/>
      <c r="E639" s="91"/>
    </row>
    <row r="640" spans="1:5">
      <c r="A640" s="14" t="s">
        <v>102</v>
      </c>
      <c r="B640" s="21" t="s">
        <v>31</v>
      </c>
      <c r="C640" s="29">
        <v>12305</v>
      </c>
      <c r="D640" s="29"/>
      <c r="E640" s="91"/>
    </row>
    <row r="641" spans="1:5">
      <c r="A641" s="14" t="s">
        <v>102</v>
      </c>
      <c r="B641" s="21" t="s">
        <v>32</v>
      </c>
      <c r="C641" s="29">
        <v>12670</v>
      </c>
      <c r="D641" s="29"/>
      <c r="E641" s="91"/>
    </row>
    <row r="642" spans="1:5">
      <c r="A642" s="14" t="s">
        <v>102</v>
      </c>
      <c r="B642" s="21" t="s">
        <v>33</v>
      </c>
      <c r="C642" s="29">
        <v>14211</v>
      </c>
      <c r="D642" s="29"/>
      <c r="E642" s="91"/>
    </row>
    <row r="643" spans="1:5">
      <c r="A643" s="14" t="s">
        <v>102</v>
      </c>
      <c r="B643" s="21" t="s">
        <v>34</v>
      </c>
      <c r="C643" s="29">
        <v>14358</v>
      </c>
      <c r="D643" s="29"/>
      <c r="E643" s="91"/>
    </row>
    <row r="644" spans="1:5">
      <c r="A644" s="14" t="s">
        <v>102</v>
      </c>
      <c r="B644" s="21" t="s">
        <v>35</v>
      </c>
      <c r="C644" s="29">
        <v>15487</v>
      </c>
      <c r="D644" s="29"/>
      <c r="E644" s="91"/>
    </row>
    <row r="645" spans="1:5">
      <c r="A645" s="14" t="s">
        <v>102</v>
      </c>
      <c r="B645" s="21" t="s">
        <v>36</v>
      </c>
      <c r="C645" s="29">
        <v>15890</v>
      </c>
      <c r="D645" s="29"/>
      <c r="E645" s="91"/>
    </row>
    <row r="646" spans="1:5">
      <c r="A646" s="14" t="s">
        <v>102</v>
      </c>
      <c r="B646" s="21" t="s">
        <v>37</v>
      </c>
      <c r="C646" s="29">
        <v>16460</v>
      </c>
      <c r="D646" s="29"/>
      <c r="E646" s="91"/>
    </row>
    <row r="647" spans="1:5">
      <c r="A647" s="14" t="s">
        <v>102</v>
      </c>
      <c r="B647" s="21" t="s">
        <v>38</v>
      </c>
      <c r="C647" s="29">
        <v>16723</v>
      </c>
      <c r="D647" s="29"/>
      <c r="E647" s="91"/>
    </row>
    <row r="648" spans="1:5">
      <c r="A648" s="14" t="s">
        <v>102</v>
      </c>
      <c r="B648" s="21" t="s">
        <v>39</v>
      </c>
      <c r="C648" s="29">
        <v>14095</v>
      </c>
      <c r="D648" s="29"/>
      <c r="E648" s="91"/>
    </row>
    <row r="649" spans="1:5">
      <c r="A649" s="14" t="s">
        <v>102</v>
      </c>
      <c r="B649" s="21" t="s">
        <v>40</v>
      </c>
      <c r="C649" s="29">
        <v>8396</v>
      </c>
      <c r="D649" s="29"/>
      <c r="E649" s="91"/>
    </row>
    <row r="650" spans="1:5">
      <c r="A650" s="14" t="s">
        <v>103</v>
      </c>
      <c r="B650" s="21" t="s">
        <v>17</v>
      </c>
      <c r="C650" s="29">
        <v>8560</v>
      </c>
      <c r="D650" s="29"/>
      <c r="E650" s="91"/>
    </row>
    <row r="651" spans="1:5">
      <c r="A651" s="14" t="s">
        <v>103</v>
      </c>
      <c r="B651" s="21" t="s">
        <v>18</v>
      </c>
      <c r="C651" s="29">
        <v>8555</v>
      </c>
      <c r="D651" s="29"/>
      <c r="E651" s="91"/>
    </row>
    <row r="652" spans="1:5">
      <c r="A652" s="14" t="s">
        <v>103</v>
      </c>
      <c r="B652" s="21" t="s">
        <v>19</v>
      </c>
      <c r="C652" s="29">
        <v>9421</v>
      </c>
      <c r="D652" s="29"/>
      <c r="E652" s="91"/>
    </row>
    <row r="653" spans="1:5">
      <c r="A653" s="14" t="s">
        <v>103</v>
      </c>
      <c r="B653" s="21" t="s">
        <v>20</v>
      </c>
      <c r="C653" s="29">
        <v>10350</v>
      </c>
      <c r="D653" s="29"/>
      <c r="E653" s="91"/>
    </row>
    <row r="654" spans="1:5">
      <c r="A654" s="14" t="s">
        <v>103</v>
      </c>
      <c r="B654" s="21" t="s">
        <v>21</v>
      </c>
      <c r="C654" s="29">
        <v>14601</v>
      </c>
      <c r="D654" s="29"/>
      <c r="E654" s="91"/>
    </row>
    <row r="655" spans="1:5">
      <c r="A655" s="14" t="s">
        <v>103</v>
      </c>
      <c r="B655" s="21" t="s">
        <v>22</v>
      </c>
      <c r="C655" s="29">
        <v>18227</v>
      </c>
      <c r="D655" s="29"/>
      <c r="E655" s="91"/>
    </row>
    <row r="656" spans="1:5">
      <c r="A656" s="14" t="s">
        <v>103</v>
      </c>
      <c r="B656" s="21" t="s">
        <v>23</v>
      </c>
      <c r="C656" s="29">
        <v>17307</v>
      </c>
      <c r="D656" s="29"/>
      <c r="E656" s="91"/>
    </row>
    <row r="657" spans="1:5">
      <c r="A657" s="14" t="s">
        <v>103</v>
      </c>
      <c r="B657" s="21" t="s">
        <v>24</v>
      </c>
      <c r="C657" s="29">
        <v>17363</v>
      </c>
      <c r="D657" s="29"/>
      <c r="E657" s="91"/>
    </row>
    <row r="658" spans="1:5">
      <c r="A658" s="14" t="s">
        <v>103</v>
      </c>
      <c r="B658" s="21" t="s">
        <v>25</v>
      </c>
      <c r="C658" s="29">
        <v>18134</v>
      </c>
      <c r="D658" s="29"/>
      <c r="E658" s="91"/>
    </row>
    <row r="659" spans="1:5">
      <c r="A659" s="14" t="s">
        <v>103</v>
      </c>
      <c r="B659" s="21" t="s">
        <v>26</v>
      </c>
      <c r="C659" s="29">
        <v>17483</v>
      </c>
      <c r="D659" s="29"/>
      <c r="E659" s="91"/>
    </row>
    <row r="660" spans="1:5">
      <c r="A660" s="14" t="s">
        <v>103</v>
      </c>
      <c r="B660" s="21" t="s">
        <v>27</v>
      </c>
      <c r="C660" s="29">
        <v>17566</v>
      </c>
      <c r="D660" s="29"/>
      <c r="E660" s="91"/>
    </row>
    <row r="661" spans="1:5">
      <c r="A661" s="14" t="s">
        <v>103</v>
      </c>
      <c r="B661" s="21" t="s">
        <v>28</v>
      </c>
      <c r="C661" s="29">
        <v>16418</v>
      </c>
      <c r="D661" s="29"/>
      <c r="E661" s="91"/>
    </row>
    <row r="662" spans="1:5">
      <c r="A662" s="14" t="s">
        <v>103</v>
      </c>
      <c r="B662" s="21" t="s">
        <v>29</v>
      </c>
      <c r="C662" s="29">
        <v>15776</v>
      </c>
      <c r="D662" s="29"/>
      <c r="E662" s="91"/>
    </row>
    <row r="663" spans="1:5">
      <c r="A663" s="14" t="s">
        <v>103</v>
      </c>
      <c r="B663" s="21" t="s">
        <v>30</v>
      </c>
      <c r="C663" s="29">
        <v>18250</v>
      </c>
      <c r="D663" s="29"/>
      <c r="E663" s="91"/>
    </row>
    <row r="664" spans="1:5">
      <c r="A664" s="14" t="s">
        <v>103</v>
      </c>
      <c r="B664" s="21" t="s">
        <v>31</v>
      </c>
      <c r="C664" s="29">
        <v>15996</v>
      </c>
      <c r="D664" s="29"/>
      <c r="E664" s="91"/>
    </row>
    <row r="665" spans="1:5">
      <c r="A665" s="14" t="s">
        <v>103</v>
      </c>
      <c r="B665" s="21" t="s">
        <v>32</v>
      </c>
      <c r="C665" s="29">
        <v>15580</v>
      </c>
      <c r="D665" s="29"/>
      <c r="E665" s="91"/>
    </row>
    <row r="666" spans="1:5">
      <c r="A666" s="14" t="s">
        <v>103</v>
      </c>
      <c r="B666" s="21" t="s">
        <v>33</v>
      </c>
      <c r="C666" s="29">
        <v>16226</v>
      </c>
      <c r="D666" s="29"/>
      <c r="E666" s="91"/>
    </row>
    <row r="667" spans="1:5">
      <c r="A667" s="14" t="s">
        <v>103</v>
      </c>
      <c r="B667" s="21" t="s">
        <v>34</v>
      </c>
      <c r="C667" s="29">
        <v>16410</v>
      </c>
      <c r="D667" s="29"/>
      <c r="E667" s="91"/>
    </row>
    <row r="668" spans="1:5">
      <c r="A668" s="14" t="s">
        <v>103</v>
      </c>
      <c r="B668" s="21" t="s">
        <v>35</v>
      </c>
      <c r="C668" s="29">
        <v>17177</v>
      </c>
      <c r="D668" s="29"/>
      <c r="E668" s="91"/>
    </row>
    <row r="669" spans="1:5">
      <c r="A669" s="14" t="s">
        <v>103</v>
      </c>
      <c r="B669" s="21" t="s">
        <v>36</v>
      </c>
      <c r="C669" s="29">
        <v>16877</v>
      </c>
      <c r="D669" s="29"/>
      <c r="E669" s="91"/>
    </row>
    <row r="670" spans="1:5">
      <c r="A670" s="14" t="s">
        <v>103</v>
      </c>
      <c r="B670" s="21" t="s">
        <v>37</v>
      </c>
      <c r="C670" s="29">
        <v>17005</v>
      </c>
      <c r="D670" s="29"/>
      <c r="E670" s="91"/>
    </row>
    <row r="671" spans="1:5">
      <c r="A671" s="14" t="s">
        <v>103</v>
      </c>
      <c r="B671" s="21" t="s">
        <v>38</v>
      </c>
      <c r="C671" s="29">
        <v>15838</v>
      </c>
      <c r="D671" s="29"/>
      <c r="E671" s="91"/>
    </row>
    <row r="672" spans="1:5">
      <c r="A672" s="14" t="s">
        <v>103</v>
      </c>
      <c r="B672" s="21" t="s">
        <v>39</v>
      </c>
      <c r="C672" s="29">
        <v>15000</v>
      </c>
      <c r="D672" s="29"/>
      <c r="E672" s="91"/>
    </row>
    <row r="673" spans="1:5">
      <c r="A673" s="14" t="s">
        <v>103</v>
      </c>
      <c r="B673" s="21" t="s">
        <v>40</v>
      </c>
      <c r="C673" s="29">
        <v>12752</v>
      </c>
      <c r="D673" s="29"/>
      <c r="E673" s="91"/>
    </row>
    <row r="674" spans="1:5">
      <c r="A674" s="14" t="s">
        <v>104</v>
      </c>
      <c r="B674" s="21" t="s">
        <v>17</v>
      </c>
      <c r="C674" s="29"/>
      <c r="D674" s="29"/>
      <c r="E674" s="91"/>
    </row>
    <row r="675" spans="1:5">
      <c r="A675" s="14" t="s">
        <v>104</v>
      </c>
      <c r="B675" s="21" t="s">
        <v>18</v>
      </c>
      <c r="C675" s="29"/>
      <c r="D675" s="29"/>
      <c r="E675" s="91"/>
    </row>
    <row r="676" spans="1:5">
      <c r="A676" s="14" t="s">
        <v>104</v>
      </c>
      <c r="B676" s="21" t="s">
        <v>19</v>
      </c>
      <c r="C676" s="29"/>
      <c r="D676" s="29"/>
      <c r="E676" s="91"/>
    </row>
    <row r="677" spans="1:5">
      <c r="A677" s="14" t="s">
        <v>104</v>
      </c>
      <c r="B677" s="21" t="s">
        <v>20</v>
      </c>
      <c r="C677" s="29"/>
      <c r="D677" s="29"/>
      <c r="E677" s="91"/>
    </row>
    <row r="678" spans="1:5">
      <c r="A678" s="14" t="s">
        <v>104</v>
      </c>
      <c r="B678" s="21" t="s">
        <v>21</v>
      </c>
      <c r="C678" s="29"/>
      <c r="D678" s="29"/>
      <c r="E678" s="91"/>
    </row>
    <row r="679" spans="1:5">
      <c r="A679" s="14" t="s">
        <v>104</v>
      </c>
      <c r="B679" s="21" t="s">
        <v>22</v>
      </c>
      <c r="C679" s="29"/>
      <c r="D679" s="29"/>
      <c r="E679" s="91"/>
    </row>
    <row r="680" spans="1:5">
      <c r="A680" s="14" t="s">
        <v>104</v>
      </c>
      <c r="B680" s="21" t="s">
        <v>23</v>
      </c>
      <c r="C680" s="29"/>
      <c r="D680" s="29"/>
      <c r="E680" s="91"/>
    </row>
    <row r="681" spans="1:5">
      <c r="A681" s="14" t="s">
        <v>104</v>
      </c>
      <c r="B681" s="21" t="s">
        <v>24</v>
      </c>
      <c r="C681" s="29"/>
      <c r="D681" s="29"/>
      <c r="E681" s="91"/>
    </row>
    <row r="682" spans="1:5">
      <c r="A682" s="14" t="s">
        <v>104</v>
      </c>
      <c r="B682" s="21" t="s">
        <v>25</v>
      </c>
      <c r="C682" s="29"/>
      <c r="D682" s="29"/>
      <c r="E682" s="91"/>
    </row>
    <row r="683" spans="1:5">
      <c r="A683" s="14" t="s">
        <v>104</v>
      </c>
      <c r="B683" s="21" t="s">
        <v>26</v>
      </c>
      <c r="C683" s="29"/>
      <c r="D683" s="29"/>
      <c r="E683" s="91"/>
    </row>
    <row r="684" spans="1:5">
      <c r="A684" s="14" t="s">
        <v>104</v>
      </c>
      <c r="B684" s="21" t="s">
        <v>27</v>
      </c>
      <c r="C684" s="29"/>
      <c r="D684" s="29"/>
      <c r="E684" s="91"/>
    </row>
    <row r="685" spans="1:5">
      <c r="A685" s="14" t="s">
        <v>104</v>
      </c>
      <c r="B685" s="21" t="s">
        <v>28</v>
      </c>
      <c r="C685" s="29"/>
      <c r="D685" s="29"/>
      <c r="E685" s="91"/>
    </row>
    <row r="686" spans="1:5">
      <c r="A686" s="14" t="s">
        <v>104</v>
      </c>
      <c r="B686" s="21" t="s">
        <v>29</v>
      </c>
      <c r="C686" s="29"/>
      <c r="D686" s="29"/>
      <c r="E686" s="91"/>
    </row>
    <row r="687" spans="1:5">
      <c r="A687" s="14" t="s">
        <v>104</v>
      </c>
      <c r="B687" s="21" t="s">
        <v>30</v>
      </c>
      <c r="C687" s="29"/>
      <c r="D687" s="29"/>
      <c r="E687" s="91"/>
    </row>
    <row r="688" spans="1:5">
      <c r="A688" s="14" t="s">
        <v>104</v>
      </c>
      <c r="B688" s="21" t="s">
        <v>31</v>
      </c>
      <c r="C688" s="29"/>
      <c r="D688" s="29"/>
      <c r="E688" s="91"/>
    </row>
    <row r="689" spans="1:5">
      <c r="A689" s="14" t="s">
        <v>104</v>
      </c>
      <c r="B689" s="21" t="s">
        <v>32</v>
      </c>
      <c r="C689" s="29"/>
      <c r="D689" s="29"/>
      <c r="E689" s="91"/>
    </row>
    <row r="690" spans="1:5">
      <c r="A690" s="14" t="s">
        <v>104</v>
      </c>
      <c r="B690" s="21" t="s">
        <v>33</v>
      </c>
      <c r="C690" s="29"/>
      <c r="D690" s="29"/>
      <c r="E690" s="91"/>
    </row>
    <row r="691" spans="1:5">
      <c r="A691" s="14" t="s">
        <v>104</v>
      </c>
      <c r="B691" s="21" t="s">
        <v>34</v>
      </c>
      <c r="C691" s="29"/>
      <c r="D691" s="29"/>
      <c r="E691" s="91"/>
    </row>
    <row r="692" spans="1:5">
      <c r="A692" s="14" t="s">
        <v>104</v>
      </c>
      <c r="B692" s="21" t="s">
        <v>35</v>
      </c>
      <c r="C692" s="29"/>
      <c r="D692" s="29"/>
      <c r="E692" s="91"/>
    </row>
    <row r="693" spans="1:5">
      <c r="A693" s="14" t="s">
        <v>104</v>
      </c>
      <c r="B693" s="21" t="s">
        <v>36</v>
      </c>
      <c r="C693" s="29"/>
      <c r="D693" s="29"/>
      <c r="E693" s="91"/>
    </row>
    <row r="694" spans="1:5">
      <c r="A694" s="14" t="s">
        <v>104</v>
      </c>
      <c r="B694" s="21" t="s">
        <v>37</v>
      </c>
      <c r="C694" s="29"/>
      <c r="D694" s="29"/>
      <c r="E694" s="91"/>
    </row>
    <row r="695" spans="1:5">
      <c r="A695" s="14" t="s">
        <v>104</v>
      </c>
      <c r="B695" s="21" t="s">
        <v>38</v>
      </c>
      <c r="C695" s="29"/>
      <c r="D695" s="29"/>
      <c r="E695" s="91"/>
    </row>
    <row r="696" spans="1:5">
      <c r="A696" s="14" t="s">
        <v>104</v>
      </c>
      <c r="B696" s="21" t="s">
        <v>39</v>
      </c>
      <c r="C696" s="29"/>
      <c r="D696" s="29"/>
      <c r="E696" s="91"/>
    </row>
    <row r="697" spans="1:5">
      <c r="A697" s="14" t="s">
        <v>104</v>
      </c>
      <c r="B697" s="21" t="s">
        <v>40</v>
      </c>
      <c r="C697" s="29"/>
      <c r="D697" s="29"/>
      <c r="E697" s="91"/>
    </row>
    <row r="698" spans="1:5">
      <c r="A698" s="14" t="s">
        <v>105</v>
      </c>
      <c r="B698" s="21" t="s">
        <v>17</v>
      </c>
      <c r="C698" s="29"/>
      <c r="D698" s="29"/>
      <c r="E698" s="91"/>
    </row>
    <row r="699" spans="1:5">
      <c r="A699" s="14" t="s">
        <v>105</v>
      </c>
      <c r="B699" s="21" t="s">
        <v>18</v>
      </c>
      <c r="C699" s="29"/>
      <c r="D699" s="29"/>
      <c r="E699" s="91"/>
    </row>
    <row r="700" spans="1:5">
      <c r="A700" s="14" t="s">
        <v>105</v>
      </c>
      <c r="B700" s="21" t="s">
        <v>19</v>
      </c>
      <c r="C700" s="29"/>
      <c r="D700" s="29"/>
      <c r="E700" s="91"/>
    </row>
    <row r="701" spans="1:5">
      <c r="A701" s="14" t="s">
        <v>105</v>
      </c>
      <c r="B701" s="21" t="s">
        <v>20</v>
      </c>
      <c r="C701" s="29"/>
      <c r="D701" s="29"/>
      <c r="E701" s="91"/>
    </row>
    <row r="702" spans="1:5">
      <c r="A702" s="14" t="s">
        <v>105</v>
      </c>
      <c r="B702" s="21" t="s">
        <v>21</v>
      </c>
      <c r="C702" s="29"/>
      <c r="D702" s="29"/>
      <c r="E702" s="91"/>
    </row>
    <row r="703" spans="1:5">
      <c r="A703" s="14" t="s">
        <v>105</v>
      </c>
      <c r="B703" s="21" t="s">
        <v>22</v>
      </c>
      <c r="C703" s="29"/>
      <c r="D703" s="29"/>
      <c r="E703" s="91"/>
    </row>
    <row r="704" spans="1:5">
      <c r="A704" s="14" t="s">
        <v>105</v>
      </c>
      <c r="B704" s="21" t="s">
        <v>23</v>
      </c>
      <c r="C704" s="29"/>
      <c r="D704" s="29"/>
      <c r="E704" s="91"/>
    </row>
    <row r="705" spans="1:5">
      <c r="A705" s="14" t="s">
        <v>105</v>
      </c>
      <c r="B705" s="21" t="s">
        <v>24</v>
      </c>
      <c r="C705" s="29"/>
      <c r="D705" s="29"/>
      <c r="E705" s="91"/>
    </row>
    <row r="706" spans="1:5">
      <c r="A706" s="14" t="s">
        <v>105</v>
      </c>
      <c r="B706" s="21" t="s">
        <v>25</v>
      </c>
      <c r="C706" s="29"/>
      <c r="D706" s="29"/>
      <c r="E706" s="91"/>
    </row>
    <row r="707" spans="1:5">
      <c r="A707" s="14" t="s">
        <v>105</v>
      </c>
      <c r="B707" s="21" t="s">
        <v>26</v>
      </c>
      <c r="C707" s="29"/>
      <c r="D707" s="29"/>
      <c r="E707" s="91"/>
    </row>
    <row r="708" spans="1:5">
      <c r="A708" s="14" t="s">
        <v>105</v>
      </c>
      <c r="B708" s="21" t="s">
        <v>27</v>
      </c>
      <c r="C708" s="29"/>
      <c r="D708" s="29"/>
      <c r="E708" s="91"/>
    </row>
    <row r="709" spans="1:5">
      <c r="A709" s="14" t="s">
        <v>105</v>
      </c>
      <c r="B709" s="21" t="s">
        <v>28</v>
      </c>
      <c r="C709" s="29"/>
      <c r="D709" s="29"/>
      <c r="E709" s="91"/>
    </row>
    <row r="710" spans="1:5">
      <c r="A710" s="14" t="s">
        <v>105</v>
      </c>
      <c r="B710" s="21" t="s">
        <v>29</v>
      </c>
      <c r="C710" s="29"/>
      <c r="D710" s="29"/>
      <c r="E710" s="91"/>
    </row>
    <row r="711" spans="1:5">
      <c r="A711" s="14" t="s">
        <v>105</v>
      </c>
      <c r="B711" s="21" t="s">
        <v>30</v>
      </c>
      <c r="C711" s="29"/>
      <c r="D711" s="29"/>
      <c r="E711" s="91"/>
    </row>
    <row r="712" spans="1:5">
      <c r="A712" s="14" t="s">
        <v>105</v>
      </c>
      <c r="B712" s="21" t="s">
        <v>31</v>
      </c>
      <c r="C712" s="29"/>
      <c r="D712" s="29"/>
      <c r="E712" s="91"/>
    </row>
    <row r="713" spans="1:5">
      <c r="A713" s="14" t="s">
        <v>105</v>
      </c>
      <c r="B713" s="21" t="s">
        <v>32</v>
      </c>
      <c r="C713" s="29"/>
      <c r="D713" s="29"/>
      <c r="E713" s="91"/>
    </row>
    <row r="714" spans="1:5">
      <c r="A714" s="14" t="s">
        <v>105</v>
      </c>
      <c r="B714" s="21" t="s">
        <v>33</v>
      </c>
      <c r="C714" s="29"/>
      <c r="D714" s="29"/>
      <c r="E714" s="91"/>
    </row>
    <row r="715" spans="1:5">
      <c r="A715" s="14" t="s">
        <v>105</v>
      </c>
      <c r="B715" s="21" t="s">
        <v>34</v>
      </c>
      <c r="C715" s="29"/>
      <c r="D715" s="29"/>
      <c r="E715" s="91"/>
    </row>
    <row r="716" spans="1:5">
      <c r="A716" s="14" t="s">
        <v>105</v>
      </c>
      <c r="B716" s="21" t="s">
        <v>35</v>
      </c>
      <c r="C716" s="29"/>
      <c r="D716" s="29"/>
      <c r="E716" s="91"/>
    </row>
    <row r="717" spans="1:5">
      <c r="A717" s="14" t="s">
        <v>105</v>
      </c>
      <c r="B717" s="21" t="s">
        <v>36</v>
      </c>
      <c r="C717" s="29"/>
      <c r="D717" s="29"/>
      <c r="E717" s="91"/>
    </row>
    <row r="718" spans="1:5">
      <c r="A718" s="14" t="s">
        <v>105</v>
      </c>
      <c r="B718" s="21" t="s">
        <v>37</v>
      </c>
      <c r="C718" s="29"/>
      <c r="D718" s="29"/>
      <c r="E718" s="91"/>
    </row>
    <row r="719" spans="1:5">
      <c r="A719" s="14" t="s">
        <v>105</v>
      </c>
      <c r="B719" s="21" t="s">
        <v>38</v>
      </c>
      <c r="C719" s="29"/>
      <c r="D719" s="29"/>
      <c r="E719" s="91"/>
    </row>
    <row r="720" spans="1:5">
      <c r="A720" s="14" t="s">
        <v>105</v>
      </c>
      <c r="B720" s="21" t="s">
        <v>39</v>
      </c>
      <c r="C720" s="29"/>
      <c r="D720" s="29"/>
      <c r="E720" s="91"/>
    </row>
    <row r="721" spans="1:5">
      <c r="A721" s="14" t="s">
        <v>105</v>
      </c>
      <c r="B721" s="21" t="s">
        <v>40</v>
      </c>
      <c r="C721" s="29"/>
      <c r="D721" s="29"/>
      <c r="E721" s="91"/>
    </row>
    <row r="722" spans="1:5">
      <c r="A722" s="14" t="s">
        <v>106</v>
      </c>
      <c r="B722" s="21" t="s">
        <v>17</v>
      </c>
      <c r="C722" s="29"/>
      <c r="D722" s="29"/>
      <c r="E722" s="91"/>
    </row>
    <row r="723" spans="1:5">
      <c r="A723" s="14" t="s">
        <v>106</v>
      </c>
      <c r="B723" s="21" t="s">
        <v>18</v>
      </c>
      <c r="C723" s="29"/>
      <c r="D723" s="29"/>
      <c r="E723" s="91"/>
    </row>
    <row r="724" spans="1:5">
      <c r="A724" s="14" t="s">
        <v>106</v>
      </c>
      <c r="B724" s="21" t="s">
        <v>19</v>
      </c>
      <c r="C724" s="29"/>
      <c r="D724" s="29"/>
      <c r="E724" s="91"/>
    </row>
    <row r="725" spans="1:5">
      <c r="A725" s="14" t="s">
        <v>106</v>
      </c>
      <c r="B725" s="21" t="s">
        <v>20</v>
      </c>
      <c r="C725" s="29"/>
      <c r="D725" s="29"/>
      <c r="E725" s="91"/>
    </row>
    <row r="726" spans="1:5">
      <c r="A726" s="14" t="s">
        <v>106</v>
      </c>
      <c r="B726" s="21" t="s">
        <v>21</v>
      </c>
      <c r="C726" s="29"/>
      <c r="D726" s="29"/>
      <c r="E726" s="91"/>
    </row>
    <row r="727" spans="1:5">
      <c r="A727" s="14" t="s">
        <v>106</v>
      </c>
      <c r="B727" s="21" t="s">
        <v>22</v>
      </c>
      <c r="C727" s="29"/>
      <c r="D727" s="29"/>
      <c r="E727" s="91"/>
    </row>
    <row r="728" spans="1:5">
      <c r="A728" s="14" t="s">
        <v>106</v>
      </c>
      <c r="B728" s="21" t="s">
        <v>23</v>
      </c>
      <c r="C728" s="29"/>
      <c r="D728" s="29"/>
      <c r="E728" s="91"/>
    </row>
    <row r="729" spans="1:5">
      <c r="A729" s="14" t="s">
        <v>106</v>
      </c>
      <c r="B729" s="21" t="s">
        <v>24</v>
      </c>
      <c r="C729" s="29"/>
      <c r="D729" s="29"/>
      <c r="E729" s="91"/>
    </row>
    <row r="730" spans="1:5">
      <c r="A730" s="14" t="s">
        <v>106</v>
      </c>
      <c r="B730" s="21" t="s">
        <v>25</v>
      </c>
      <c r="C730" s="29"/>
      <c r="D730" s="29"/>
      <c r="E730" s="91"/>
    </row>
    <row r="731" spans="1:5">
      <c r="A731" s="14" t="s">
        <v>106</v>
      </c>
      <c r="B731" s="21" t="s">
        <v>26</v>
      </c>
      <c r="C731" s="29"/>
      <c r="D731" s="29"/>
      <c r="E731" s="91"/>
    </row>
    <row r="732" spans="1:5">
      <c r="A732" s="14" t="s">
        <v>106</v>
      </c>
      <c r="B732" s="21" t="s">
        <v>27</v>
      </c>
      <c r="C732" s="29"/>
      <c r="D732" s="29"/>
      <c r="E732" s="91"/>
    </row>
    <row r="733" spans="1:5">
      <c r="A733" s="14" t="s">
        <v>106</v>
      </c>
      <c r="B733" s="21" t="s">
        <v>28</v>
      </c>
      <c r="C733" s="29"/>
      <c r="D733" s="29"/>
      <c r="E733" s="91"/>
    </row>
    <row r="734" spans="1:5">
      <c r="A734" s="14" t="s">
        <v>106</v>
      </c>
      <c r="B734" s="21" t="s">
        <v>29</v>
      </c>
      <c r="C734" s="29"/>
      <c r="D734" s="29"/>
      <c r="E734" s="91"/>
    </row>
    <row r="735" spans="1:5">
      <c r="A735" s="14" t="s">
        <v>106</v>
      </c>
      <c r="B735" s="21" t="s">
        <v>30</v>
      </c>
      <c r="C735" s="29"/>
      <c r="D735" s="29"/>
      <c r="E735" s="91"/>
    </row>
    <row r="736" spans="1:5">
      <c r="A736" s="14" t="s">
        <v>106</v>
      </c>
      <c r="B736" s="21" t="s">
        <v>31</v>
      </c>
      <c r="C736" s="29"/>
      <c r="D736" s="29"/>
      <c r="E736" s="91"/>
    </row>
    <row r="737" spans="1:5">
      <c r="A737" s="14" t="s">
        <v>106</v>
      </c>
      <c r="B737" s="21" t="s">
        <v>32</v>
      </c>
      <c r="C737" s="29"/>
      <c r="D737" s="29"/>
      <c r="E737" s="91"/>
    </row>
    <row r="738" spans="1:5">
      <c r="A738" s="14" t="s">
        <v>106</v>
      </c>
      <c r="B738" s="21" t="s">
        <v>33</v>
      </c>
      <c r="C738" s="29"/>
      <c r="D738" s="29"/>
      <c r="E738" s="91"/>
    </row>
    <row r="739" spans="1:5">
      <c r="A739" s="14" t="s">
        <v>106</v>
      </c>
      <c r="B739" s="21" t="s">
        <v>34</v>
      </c>
      <c r="C739" s="29"/>
      <c r="D739" s="29"/>
      <c r="E739" s="91"/>
    </row>
    <row r="740" spans="1:5">
      <c r="A740" s="14" t="s">
        <v>106</v>
      </c>
      <c r="B740" s="21" t="s">
        <v>35</v>
      </c>
      <c r="C740" s="29"/>
      <c r="D740" s="29"/>
      <c r="E740" s="91"/>
    </row>
    <row r="741" spans="1:5">
      <c r="A741" s="14" t="s">
        <v>106</v>
      </c>
      <c r="B741" s="21" t="s">
        <v>36</v>
      </c>
      <c r="C741" s="29"/>
      <c r="D741" s="29"/>
      <c r="E741" s="91"/>
    </row>
    <row r="742" spans="1:5">
      <c r="A742" s="14" t="s">
        <v>106</v>
      </c>
      <c r="B742" s="21" t="s">
        <v>37</v>
      </c>
      <c r="C742" s="29"/>
      <c r="D742" s="29"/>
      <c r="E742" s="91"/>
    </row>
    <row r="743" spans="1:5">
      <c r="A743" s="14" t="s">
        <v>106</v>
      </c>
      <c r="B743" s="21" t="s">
        <v>38</v>
      </c>
      <c r="C743" s="29"/>
      <c r="D743" s="29"/>
      <c r="E743" s="91"/>
    </row>
    <row r="744" spans="1:5">
      <c r="A744" s="14" t="s">
        <v>106</v>
      </c>
      <c r="B744" s="21" t="s">
        <v>39</v>
      </c>
      <c r="C744" s="29"/>
      <c r="D744" s="29"/>
      <c r="E744" s="91"/>
    </row>
    <row r="745" spans="1:5" ht="15.75" thickBot="1">
      <c r="A745" s="14" t="s">
        <v>106</v>
      </c>
      <c r="B745" s="22" t="s">
        <v>40</v>
      </c>
      <c r="C745" s="31"/>
      <c r="D745" s="31"/>
      <c r="E745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45"/>
  <sheetViews>
    <sheetView workbookViewId="0">
      <selection activeCell="J14" sqref="J14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</cols>
  <sheetData>
    <row r="1" spans="1:5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</row>
    <row r="2" spans="1:5">
      <c r="A2" s="19" t="s">
        <v>43</v>
      </c>
      <c r="B2" s="20" t="s">
        <v>17</v>
      </c>
      <c r="C2" s="13">
        <v>6187</v>
      </c>
      <c r="D2" s="13"/>
      <c r="E2" s="90"/>
    </row>
    <row r="3" spans="1:5">
      <c r="A3" s="14" t="s">
        <v>43</v>
      </c>
      <c r="B3" s="21" t="s">
        <v>18</v>
      </c>
      <c r="C3" s="29">
        <v>6848</v>
      </c>
      <c r="D3" s="29"/>
      <c r="E3" s="91"/>
    </row>
    <row r="4" spans="1:5">
      <c r="A4" s="14" t="s">
        <v>43</v>
      </c>
      <c r="B4" s="21" t="s">
        <v>19</v>
      </c>
      <c r="C4" s="29">
        <v>12004</v>
      </c>
      <c r="D4" s="29"/>
      <c r="E4" s="91"/>
    </row>
    <row r="5" spans="1:5">
      <c r="A5" s="14" t="s">
        <v>43</v>
      </c>
      <c r="B5" s="21" t="s">
        <v>20</v>
      </c>
      <c r="C5" s="29">
        <v>13482</v>
      </c>
      <c r="D5" s="29"/>
      <c r="E5" s="91"/>
    </row>
    <row r="6" spans="1:5">
      <c r="A6" s="14" t="s">
        <v>43</v>
      </c>
      <c r="B6" s="21" t="s">
        <v>21</v>
      </c>
      <c r="C6" s="29">
        <v>15000</v>
      </c>
      <c r="D6" s="29"/>
      <c r="E6" s="91"/>
    </row>
    <row r="7" spans="1:5">
      <c r="A7" s="14" t="s">
        <v>43</v>
      </c>
      <c r="B7" s="21" t="s">
        <v>22</v>
      </c>
      <c r="C7" s="29">
        <v>18294</v>
      </c>
      <c r="D7" s="29"/>
      <c r="E7" s="91"/>
    </row>
    <row r="8" spans="1:5">
      <c r="A8" s="14" t="s">
        <v>43</v>
      </c>
      <c r="B8" s="21" t="s">
        <v>23</v>
      </c>
      <c r="C8" s="29">
        <v>20805</v>
      </c>
      <c r="D8" s="29"/>
      <c r="E8" s="91"/>
    </row>
    <row r="9" spans="1:5">
      <c r="A9" s="14" t="s">
        <v>43</v>
      </c>
      <c r="B9" s="21" t="s">
        <v>24</v>
      </c>
      <c r="C9" s="29">
        <v>15161</v>
      </c>
      <c r="D9" s="29"/>
      <c r="E9" s="91"/>
    </row>
    <row r="10" spans="1:5">
      <c r="A10" s="14" t="s">
        <v>43</v>
      </c>
      <c r="B10" s="21" t="s">
        <v>25</v>
      </c>
      <c r="C10" s="29">
        <v>10841</v>
      </c>
      <c r="D10" s="29"/>
      <c r="E10" s="91"/>
    </row>
    <row r="11" spans="1:5">
      <c r="A11" s="14" t="s">
        <v>43</v>
      </c>
      <c r="B11" s="21" t="s">
        <v>26</v>
      </c>
      <c r="C11" s="29">
        <v>15489</v>
      </c>
      <c r="D11" s="29"/>
      <c r="E11" s="91"/>
    </row>
    <row r="12" spans="1:5">
      <c r="A12" s="14" t="s">
        <v>43</v>
      </c>
      <c r="B12" s="21" t="s">
        <v>27</v>
      </c>
      <c r="C12" s="29">
        <v>14546</v>
      </c>
      <c r="D12" s="29"/>
      <c r="E12" s="91"/>
    </row>
    <row r="13" spans="1:5">
      <c r="A13" s="14" t="s">
        <v>43</v>
      </c>
      <c r="B13" s="21" t="s">
        <v>28</v>
      </c>
      <c r="C13" s="29">
        <v>13116</v>
      </c>
      <c r="D13" s="29"/>
      <c r="E13" s="91"/>
    </row>
    <row r="14" spans="1:5">
      <c r="A14" s="14" t="s">
        <v>43</v>
      </c>
      <c r="B14" s="21" t="s">
        <v>29</v>
      </c>
      <c r="C14" s="29">
        <v>13244</v>
      </c>
      <c r="D14" s="29"/>
      <c r="E14" s="91"/>
    </row>
    <row r="15" spans="1:5">
      <c r="A15" s="14" t="s">
        <v>43</v>
      </c>
      <c r="B15" s="21" t="s">
        <v>30</v>
      </c>
      <c r="C15" s="29">
        <v>14481</v>
      </c>
      <c r="D15" s="29"/>
      <c r="E15" s="91"/>
    </row>
    <row r="16" spans="1:5">
      <c r="A16" s="14" t="s">
        <v>43</v>
      </c>
      <c r="B16" s="21" t="s">
        <v>31</v>
      </c>
      <c r="C16" s="29">
        <v>15089</v>
      </c>
      <c r="D16" s="29"/>
      <c r="E16" s="91"/>
    </row>
    <row r="17" spans="1:5">
      <c r="A17" s="14" t="s">
        <v>43</v>
      </c>
      <c r="B17" s="21" t="s">
        <v>32</v>
      </c>
      <c r="C17" s="29">
        <v>12335</v>
      </c>
      <c r="D17" s="29"/>
      <c r="E17" s="91"/>
    </row>
    <row r="18" spans="1:5">
      <c r="A18" s="14" t="s">
        <v>43</v>
      </c>
      <c r="B18" s="21" t="s">
        <v>33</v>
      </c>
      <c r="C18" s="29">
        <v>12618</v>
      </c>
      <c r="D18" s="29"/>
      <c r="E18" s="91"/>
    </row>
    <row r="19" spans="1:5">
      <c r="A19" s="14" t="s">
        <v>43</v>
      </c>
      <c r="B19" s="21" t="s">
        <v>34</v>
      </c>
      <c r="C19" s="29">
        <v>13909</v>
      </c>
      <c r="D19" s="29"/>
      <c r="E19" s="91"/>
    </row>
    <row r="20" spans="1:5">
      <c r="A20" s="14" t="s">
        <v>43</v>
      </c>
      <c r="B20" s="21" t="s">
        <v>35</v>
      </c>
      <c r="C20" s="29">
        <v>14104</v>
      </c>
      <c r="D20" s="29"/>
      <c r="E20" s="91"/>
    </row>
    <row r="21" spans="1:5">
      <c r="A21" s="14" t="s">
        <v>43</v>
      </c>
      <c r="B21" s="21" t="s">
        <v>36</v>
      </c>
      <c r="C21" s="29">
        <v>15604</v>
      </c>
      <c r="D21" s="29"/>
      <c r="E21" s="91"/>
    </row>
    <row r="22" spans="1:5">
      <c r="A22" s="14" t="s">
        <v>43</v>
      </c>
      <c r="B22" s="21" t="s">
        <v>37</v>
      </c>
      <c r="C22" s="29">
        <v>13837</v>
      </c>
      <c r="D22" s="29"/>
      <c r="E22" s="91"/>
    </row>
    <row r="23" spans="1:5">
      <c r="A23" s="14" t="s">
        <v>43</v>
      </c>
      <c r="B23" s="21" t="s">
        <v>38</v>
      </c>
      <c r="C23" s="29">
        <v>15411</v>
      </c>
      <c r="D23" s="29"/>
      <c r="E23" s="91"/>
    </row>
    <row r="24" spans="1:5">
      <c r="A24" s="14" t="s">
        <v>43</v>
      </c>
      <c r="B24" s="21" t="s">
        <v>39</v>
      </c>
      <c r="C24" s="29">
        <v>13859</v>
      </c>
      <c r="D24" s="29"/>
      <c r="E24" s="91"/>
    </row>
    <row r="25" spans="1:5">
      <c r="A25" s="14" t="s">
        <v>43</v>
      </c>
      <c r="B25" s="21" t="s">
        <v>40</v>
      </c>
      <c r="C25" s="29">
        <v>7784</v>
      </c>
      <c r="D25" s="29"/>
      <c r="E25" s="91"/>
    </row>
    <row r="26" spans="1:5">
      <c r="A26" s="14" t="s">
        <v>47</v>
      </c>
      <c r="B26" s="21" t="s">
        <v>17</v>
      </c>
      <c r="C26" s="29">
        <v>7067</v>
      </c>
      <c r="D26" s="29"/>
      <c r="E26" s="91"/>
    </row>
    <row r="27" spans="1:5">
      <c r="A27" s="14" t="s">
        <v>47</v>
      </c>
      <c r="B27" s="21" t="s">
        <v>18</v>
      </c>
      <c r="C27" s="29">
        <v>6894</v>
      </c>
      <c r="D27" s="29"/>
      <c r="E27" s="91"/>
    </row>
    <row r="28" spans="1:5">
      <c r="A28" s="14" t="s">
        <v>47</v>
      </c>
      <c r="B28" s="21" t="s">
        <v>19</v>
      </c>
      <c r="C28" s="29">
        <v>9797</v>
      </c>
      <c r="D28" s="29"/>
      <c r="E28" s="91"/>
    </row>
    <row r="29" spans="1:5">
      <c r="A29" s="14" t="s">
        <v>47</v>
      </c>
      <c r="B29" s="21" t="s">
        <v>20</v>
      </c>
      <c r="C29" s="29">
        <v>10240</v>
      </c>
      <c r="D29" s="29"/>
      <c r="E29" s="91"/>
    </row>
    <row r="30" spans="1:5">
      <c r="A30" s="14" t="s">
        <v>47</v>
      </c>
      <c r="B30" s="21" t="s">
        <v>21</v>
      </c>
      <c r="C30" s="29">
        <v>13365</v>
      </c>
      <c r="D30" s="29"/>
      <c r="E30" s="91"/>
    </row>
    <row r="31" spans="1:5">
      <c r="A31" s="14" t="s">
        <v>47</v>
      </c>
      <c r="B31" s="21" t="s">
        <v>22</v>
      </c>
      <c r="C31" s="29">
        <v>17950</v>
      </c>
      <c r="D31" s="29"/>
      <c r="E31" s="91"/>
    </row>
    <row r="32" spans="1:5">
      <c r="A32" s="14" t="s">
        <v>47</v>
      </c>
      <c r="B32" s="21" t="s">
        <v>23</v>
      </c>
      <c r="C32" s="29">
        <v>18068</v>
      </c>
      <c r="D32" s="29"/>
      <c r="E32" s="91"/>
    </row>
    <row r="33" spans="1:5">
      <c r="A33" s="14" t="s">
        <v>47</v>
      </c>
      <c r="B33" s="21" t="s">
        <v>24</v>
      </c>
      <c r="C33" s="29">
        <v>14981</v>
      </c>
      <c r="D33" s="29"/>
      <c r="E33" s="91"/>
    </row>
    <row r="34" spans="1:5">
      <c r="A34" s="14" t="s">
        <v>47</v>
      </c>
      <c r="B34" s="21" t="s">
        <v>25</v>
      </c>
      <c r="C34" s="29">
        <v>16208</v>
      </c>
      <c r="D34" s="29"/>
      <c r="E34" s="91"/>
    </row>
    <row r="35" spans="1:5">
      <c r="A35" s="14" t="s">
        <v>47</v>
      </c>
      <c r="B35" s="21" t="s">
        <v>26</v>
      </c>
      <c r="C35" s="29">
        <v>14585</v>
      </c>
      <c r="D35" s="29"/>
      <c r="E35" s="91"/>
    </row>
    <row r="36" spans="1:5">
      <c r="A36" s="14" t="s">
        <v>47</v>
      </c>
      <c r="B36" s="21" t="s">
        <v>27</v>
      </c>
      <c r="C36" s="29">
        <v>14689</v>
      </c>
      <c r="D36" s="29"/>
      <c r="E36" s="91"/>
    </row>
    <row r="37" spans="1:5">
      <c r="A37" s="14" t="s">
        <v>47</v>
      </c>
      <c r="B37" s="21" t="s">
        <v>28</v>
      </c>
      <c r="C37" s="29">
        <v>13742</v>
      </c>
      <c r="D37" s="29"/>
      <c r="E37" s="91"/>
    </row>
    <row r="38" spans="1:5">
      <c r="A38" s="14" t="s">
        <v>47</v>
      </c>
      <c r="B38" s="21" t="s">
        <v>29</v>
      </c>
      <c r="C38" s="29">
        <v>12619</v>
      </c>
      <c r="D38" s="29"/>
      <c r="E38" s="91"/>
    </row>
    <row r="39" spans="1:5">
      <c r="A39" s="14" t="s">
        <v>47</v>
      </c>
      <c r="B39" s="21" t="s">
        <v>30</v>
      </c>
      <c r="C39" s="29">
        <v>14855</v>
      </c>
      <c r="D39" s="29"/>
      <c r="E39" s="91"/>
    </row>
    <row r="40" spans="1:5">
      <c r="A40" s="14" t="s">
        <v>47</v>
      </c>
      <c r="B40" s="21" t="s">
        <v>31</v>
      </c>
      <c r="C40" s="29">
        <v>15167</v>
      </c>
      <c r="D40" s="29"/>
      <c r="E40" s="91"/>
    </row>
    <row r="41" spans="1:5">
      <c r="A41" s="14" t="s">
        <v>47</v>
      </c>
      <c r="B41" s="21" t="s">
        <v>32</v>
      </c>
      <c r="C41" s="29">
        <v>15667</v>
      </c>
      <c r="D41" s="29"/>
      <c r="E41" s="91"/>
    </row>
    <row r="42" spans="1:5">
      <c r="A42" s="14" t="s">
        <v>47</v>
      </c>
      <c r="B42" s="21" t="s">
        <v>33</v>
      </c>
      <c r="C42" s="29">
        <v>13917</v>
      </c>
      <c r="D42" s="29"/>
      <c r="E42" s="91"/>
    </row>
    <row r="43" spans="1:5">
      <c r="A43" s="14" t="s">
        <v>47</v>
      </c>
      <c r="B43" s="21" t="s">
        <v>34</v>
      </c>
      <c r="C43" s="29">
        <v>14680</v>
      </c>
      <c r="D43" s="29"/>
      <c r="E43" s="91"/>
    </row>
    <row r="44" spans="1:5">
      <c r="A44" s="14" t="s">
        <v>47</v>
      </c>
      <c r="B44" s="21" t="s">
        <v>35</v>
      </c>
      <c r="C44" s="29">
        <v>15388</v>
      </c>
      <c r="D44" s="29"/>
      <c r="E44" s="91"/>
    </row>
    <row r="45" spans="1:5">
      <c r="A45" s="14" t="s">
        <v>47</v>
      </c>
      <c r="B45" s="21" t="s">
        <v>36</v>
      </c>
      <c r="C45" s="29">
        <v>15042</v>
      </c>
      <c r="D45" s="29"/>
      <c r="E45" s="91"/>
    </row>
    <row r="46" spans="1:5">
      <c r="A46" s="14" t="s">
        <v>47</v>
      </c>
      <c r="B46" s="21" t="s">
        <v>37</v>
      </c>
      <c r="C46" s="29">
        <v>13512</v>
      </c>
      <c r="D46" s="29"/>
      <c r="E46" s="91"/>
    </row>
    <row r="47" spans="1:5">
      <c r="A47" s="14" t="s">
        <v>47</v>
      </c>
      <c r="B47" s="21" t="s">
        <v>38</v>
      </c>
      <c r="C47" s="29">
        <v>14513</v>
      </c>
      <c r="D47" s="29"/>
      <c r="E47" s="91"/>
    </row>
    <row r="48" spans="1:5">
      <c r="A48" s="14" t="s">
        <v>47</v>
      </c>
      <c r="B48" s="21" t="s">
        <v>39</v>
      </c>
      <c r="C48" s="29">
        <v>13469</v>
      </c>
      <c r="D48" s="29"/>
      <c r="E48" s="91"/>
    </row>
    <row r="49" spans="1:5">
      <c r="A49" s="14" t="s">
        <v>47</v>
      </c>
      <c r="B49" s="21" t="s">
        <v>40</v>
      </c>
      <c r="C49" s="29">
        <v>6533</v>
      </c>
      <c r="D49" s="29"/>
      <c r="E49" s="91"/>
    </row>
    <row r="50" spans="1:5">
      <c r="A50" s="14" t="s">
        <v>111</v>
      </c>
      <c r="B50" s="21" t="s">
        <v>17</v>
      </c>
      <c r="C50" s="29">
        <v>6259</v>
      </c>
      <c r="D50" s="29"/>
      <c r="E50" s="91"/>
    </row>
    <row r="51" spans="1:5">
      <c r="A51" s="14" t="s">
        <v>111</v>
      </c>
      <c r="B51" s="21" t="s">
        <v>18</v>
      </c>
      <c r="C51" s="29">
        <v>9564</v>
      </c>
      <c r="D51" s="29"/>
      <c r="E51" s="91"/>
    </row>
    <row r="52" spans="1:5">
      <c r="A52" s="14" t="s">
        <v>111</v>
      </c>
      <c r="B52" s="21" t="s">
        <v>19</v>
      </c>
      <c r="C52" s="29">
        <v>12128</v>
      </c>
      <c r="D52" s="29"/>
      <c r="E52" s="91"/>
    </row>
    <row r="53" spans="1:5">
      <c r="A53" s="14" t="s">
        <v>111</v>
      </c>
      <c r="B53" s="21" t="s">
        <v>20</v>
      </c>
      <c r="C53" s="29">
        <v>12855</v>
      </c>
      <c r="D53" s="29"/>
      <c r="E53" s="91"/>
    </row>
    <row r="54" spans="1:5">
      <c r="A54" s="14" t="s">
        <v>111</v>
      </c>
      <c r="B54" s="21" t="s">
        <v>21</v>
      </c>
      <c r="C54" s="29">
        <v>13715</v>
      </c>
      <c r="D54" s="29"/>
      <c r="E54" s="91"/>
    </row>
    <row r="55" spans="1:5">
      <c r="A55" s="14" t="s">
        <v>111</v>
      </c>
      <c r="B55" s="21" t="s">
        <v>22</v>
      </c>
      <c r="C55" s="29">
        <v>16160</v>
      </c>
      <c r="D55" s="29"/>
      <c r="E55" s="91"/>
    </row>
    <row r="56" spans="1:5">
      <c r="A56" s="14" t="s">
        <v>111</v>
      </c>
      <c r="B56" s="21" t="s">
        <v>23</v>
      </c>
      <c r="C56" s="29">
        <v>15665</v>
      </c>
      <c r="D56" s="29"/>
      <c r="E56" s="91"/>
    </row>
    <row r="57" spans="1:5">
      <c r="A57" s="14" t="s">
        <v>111</v>
      </c>
      <c r="B57" s="21" t="s">
        <v>24</v>
      </c>
      <c r="C57" s="29">
        <v>15523</v>
      </c>
      <c r="D57" s="29"/>
      <c r="E57" s="91"/>
    </row>
    <row r="58" spans="1:5">
      <c r="A58" s="14" t="s">
        <v>111</v>
      </c>
      <c r="B58" s="21" t="s">
        <v>25</v>
      </c>
      <c r="C58" s="29">
        <v>18022</v>
      </c>
      <c r="D58" s="29"/>
      <c r="E58" s="91"/>
    </row>
    <row r="59" spans="1:5">
      <c r="A59" s="14" t="s">
        <v>111</v>
      </c>
      <c r="B59" s="21" t="s">
        <v>26</v>
      </c>
      <c r="C59" s="29">
        <v>17194</v>
      </c>
      <c r="D59" s="29"/>
      <c r="E59" s="91"/>
    </row>
    <row r="60" spans="1:5">
      <c r="A60" s="14" t="s">
        <v>111</v>
      </c>
      <c r="B60" s="21" t="s">
        <v>27</v>
      </c>
      <c r="C60" s="29">
        <v>15035</v>
      </c>
      <c r="D60" s="29"/>
      <c r="E60" s="91"/>
    </row>
    <row r="61" spans="1:5">
      <c r="A61" s="14" t="s">
        <v>111</v>
      </c>
      <c r="B61" s="21" t="s">
        <v>28</v>
      </c>
      <c r="C61" s="29">
        <v>14137</v>
      </c>
      <c r="D61" s="29"/>
      <c r="E61" s="91"/>
    </row>
    <row r="62" spans="1:5">
      <c r="A62" s="14" t="s">
        <v>111</v>
      </c>
      <c r="B62" s="21" t="s">
        <v>29</v>
      </c>
      <c r="C62" s="29">
        <v>14195</v>
      </c>
      <c r="D62" s="29"/>
      <c r="E62" s="91"/>
    </row>
    <row r="63" spans="1:5">
      <c r="A63" s="14" t="s">
        <v>111</v>
      </c>
      <c r="B63" s="21" t="s">
        <v>30</v>
      </c>
      <c r="C63" s="29">
        <v>15081</v>
      </c>
      <c r="D63" s="29"/>
      <c r="E63" s="91"/>
    </row>
    <row r="64" spans="1:5">
      <c r="A64" s="14" t="s">
        <v>111</v>
      </c>
      <c r="B64" s="21" t="s">
        <v>31</v>
      </c>
      <c r="C64" s="29">
        <v>15388</v>
      </c>
      <c r="D64" s="29"/>
      <c r="E64" s="91"/>
    </row>
    <row r="65" spans="1:5">
      <c r="A65" s="14" t="s">
        <v>111</v>
      </c>
      <c r="B65" s="21" t="s">
        <v>32</v>
      </c>
      <c r="C65" s="29">
        <v>15908</v>
      </c>
      <c r="D65" s="29"/>
      <c r="E65" s="91"/>
    </row>
    <row r="66" spans="1:5">
      <c r="A66" s="14" t="s">
        <v>111</v>
      </c>
      <c r="B66" s="21" t="s">
        <v>33</v>
      </c>
      <c r="C66" s="29">
        <v>15103</v>
      </c>
      <c r="D66" s="29"/>
      <c r="E66" s="91"/>
    </row>
    <row r="67" spans="1:5">
      <c r="A67" s="14" t="s">
        <v>111</v>
      </c>
      <c r="B67" s="21" t="s">
        <v>34</v>
      </c>
      <c r="C67" s="29">
        <v>15773</v>
      </c>
      <c r="D67" s="29"/>
      <c r="E67" s="91"/>
    </row>
    <row r="68" spans="1:5">
      <c r="A68" s="14" t="s">
        <v>111</v>
      </c>
      <c r="B68" s="21" t="s">
        <v>35</v>
      </c>
      <c r="C68" s="29">
        <v>15734</v>
      </c>
      <c r="D68" s="29"/>
      <c r="E68" s="91"/>
    </row>
    <row r="69" spans="1:5">
      <c r="A69" s="14" t="s">
        <v>111</v>
      </c>
      <c r="B69" s="21" t="s">
        <v>36</v>
      </c>
      <c r="C69" s="29">
        <v>15855</v>
      </c>
      <c r="D69" s="29"/>
      <c r="E69" s="91"/>
    </row>
    <row r="70" spans="1:5">
      <c r="A70" s="14" t="s">
        <v>111</v>
      </c>
      <c r="B70" s="21" t="s">
        <v>37</v>
      </c>
      <c r="C70" s="29">
        <v>13495</v>
      </c>
      <c r="D70" s="29"/>
      <c r="E70" s="91"/>
    </row>
    <row r="71" spans="1:5">
      <c r="A71" s="14" t="s">
        <v>111</v>
      </c>
      <c r="B71" s="21" t="s">
        <v>38</v>
      </c>
      <c r="C71" s="29">
        <v>14791</v>
      </c>
      <c r="D71" s="29"/>
      <c r="E71" s="91"/>
    </row>
    <row r="72" spans="1:5">
      <c r="A72" s="14" t="s">
        <v>111</v>
      </c>
      <c r="B72" s="21" t="s">
        <v>39</v>
      </c>
      <c r="C72" s="29">
        <v>14192</v>
      </c>
      <c r="D72" s="29"/>
      <c r="E72" s="91"/>
    </row>
    <row r="73" spans="1:5">
      <c r="A73" s="14" t="s">
        <v>111</v>
      </c>
      <c r="B73" s="21" t="s">
        <v>40</v>
      </c>
      <c r="C73" s="29">
        <v>6283</v>
      </c>
      <c r="D73" s="29"/>
      <c r="E73" s="91"/>
    </row>
    <row r="74" spans="1:5">
      <c r="A74" s="14" t="s">
        <v>112</v>
      </c>
      <c r="B74" s="21" t="s">
        <v>17</v>
      </c>
      <c r="C74" s="29">
        <v>6729</v>
      </c>
      <c r="D74" s="29"/>
      <c r="E74" s="91"/>
    </row>
    <row r="75" spans="1:5">
      <c r="A75" s="14" t="s">
        <v>112</v>
      </c>
      <c r="B75" s="21" t="s">
        <v>18</v>
      </c>
      <c r="C75" s="29">
        <v>9229</v>
      </c>
      <c r="D75" s="29"/>
      <c r="E75" s="91"/>
    </row>
    <row r="76" spans="1:5">
      <c r="A76" s="14" t="s">
        <v>112</v>
      </c>
      <c r="B76" s="21" t="s">
        <v>19</v>
      </c>
      <c r="C76" s="29">
        <v>8660</v>
      </c>
      <c r="D76" s="29"/>
      <c r="E76" s="91"/>
    </row>
    <row r="77" spans="1:5">
      <c r="A77" s="14" t="s">
        <v>112</v>
      </c>
      <c r="B77" s="21" t="s">
        <v>20</v>
      </c>
      <c r="C77" s="29">
        <v>10490</v>
      </c>
      <c r="D77" s="29"/>
      <c r="E77" s="91"/>
    </row>
    <row r="78" spans="1:5">
      <c r="A78" s="14" t="s">
        <v>112</v>
      </c>
      <c r="B78" s="21" t="s">
        <v>21</v>
      </c>
      <c r="C78" s="29">
        <v>14961</v>
      </c>
      <c r="D78" s="29"/>
      <c r="E78" s="91"/>
    </row>
    <row r="79" spans="1:5">
      <c r="A79" s="14" t="s">
        <v>112</v>
      </c>
      <c r="B79" s="21" t="s">
        <v>22</v>
      </c>
      <c r="C79" s="29">
        <v>18456</v>
      </c>
      <c r="D79" s="29"/>
      <c r="E79" s="91"/>
    </row>
    <row r="80" spans="1:5">
      <c r="A80" s="14" t="s">
        <v>112</v>
      </c>
      <c r="B80" s="21" t="s">
        <v>23</v>
      </c>
      <c r="C80" s="29">
        <v>17972</v>
      </c>
      <c r="D80" s="29"/>
      <c r="E80" s="91"/>
    </row>
    <row r="81" spans="1:5">
      <c r="A81" s="14" t="s">
        <v>112</v>
      </c>
      <c r="B81" s="21" t="s">
        <v>24</v>
      </c>
      <c r="C81" s="29">
        <v>13779</v>
      </c>
      <c r="D81" s="29"/>
      <c r="E81" s="91"/>
    </row>
    <row r="82" spans="1:5">
      <c r="A82" s="14" t="s">
        <v>112</v>
      </c>
      <c r="B82" s="21" t="s">
        <v>25</v>
      </c>
      <c r="C82" s="29">
        <v>13935</v>
      </c>
      <c r="D82" s="29"/>
      <c r="E82" s="91"/>
    </row>
    <row r="83" spans="1:5">
      <c r="A83" s="14" t="s">
        <v>112</v>
      </c>
      <c r="B83" s="21" t="s">
        <v>26</v>
      </c>
      <c r="C83" s="29">
        <v>14730</v>
      </c>
      <c r="D83" s="29"/>
      <c r="E83" s="91"/>
    </row>
    <row r="84" spans="1:5">
      <c r="A84" s="14" t="s">
        <v>112</v>
      </c>
      <c r="B84" s="21" t="s">
        <v>27</v>
      </c>
      <c r="C84" s="29">
        <v>15488</v>
      </c>
      <c r="D84" s="29"/>
      <c r="E84" s="91"/>
    </row>
    <row r="85" spans="1:5">
      <c r="A85" s="14" t="s">
        <v>112</v>
      </c>
      <c r="B85" s="21" t="s">
        <v>28</v>
      </c>
      <c r="C85" s="29">
        <v>15697</v>
      </c>
      <c r="D85" s="29"/>
      <c r="E85" s="91"/>
    </row>
    <row r="86" spans="1:5">
      <c r="A86" s="14" t="s">
        <v>112</v>
      </c>
      <c r="B86" s="21" t="s">
        <v>29</v>
      </c>
      <c r="C86" s="29">
        <v>15655</v>
      </c>
      <c r="D86" s="29"/>
      <c r="E86" s="91"/>
    </row>
    <row r="87" spans="1:5">
      <c r="A87" s="14" t="s">
        <v>112</v>
      </c>
      <c r="B87" s="21" t="s">
        <v>30</v>
      </c>
      <c r="C87" s="29">
        <v>18128</v>
      </c>
      <c r="D87" s="29"/>
      <c r="E87" s="91"/>
    </row>
    <row r="88" spans="1:5">
      <c r="A88" s="14" t="s">
        <v>112</v>
      </c>
      <c r="B88" s="21" t="s">
        <v>31</v>
      </c>
      <c r="C88" s="29">
        <v>18419</v>
      </c>
      <c r="D88" s="29"/>
      <c r="E88" s="91"/>
    </row>
    <row r="89" spans="1:5">
      <c r="A89" s="14" t="s">
        <v>112</v>
      </c>
      <c r="B89" s="21" t="s">
        <v>32</v>
      </c>
      <c r="C89" s="29">
        <v>15653</v>
      </c>
      <c r="D89" s="29"/>
      <c r="E89" s="91"/>
    </row>
    <row r="90" spans="1:5">
      <c r="A90" s="14" t="s">
        <v>112</v>
      </c>
      <c r="B90" s="21" t="s">
        <v>33</v>
      </c>
      <c r="C90" s="29">
        <v>15858</v>
      </c>
      <c r="D90" s="29"/>
      <c r="E90" s="91"/>
    </row>
    <row r="91" spans="1:5">
      <c r="A91" s="14" t="s">
        <v>112</v>
      </c>
      <c r="B91" s="21" t="s">
        <v>34</v>
      </c>
      <c r="C91" s="29">
        <v>16264</v>
      </c>
      <c r="D91" s="29"/>
      <c r="E91" s="91"/>
    </row>
    <row r="92" spans="1:5">
      <c r="A92" s="14" t="s">
        <v>112</v>
      </c>
      <c r="B92" s="21" t="s">
        <v>35</v>
      </c>
      <c r="C92" s="29">
        <v>16511</v>
      </c>
      <c r="D92" s="29"/>
      <c r="E92" s="91"/>
    </row>
    <row r="93" spans="1:5">
      <c r="A93" s="14" t="s">
        <v>112</v>
      </c>
      <c r="B93" s="21" t="s">
        <v>36</v>
      </c>
      <c r="C93" s="29">
        <v>18619</v>
      </c>
      <c r="D93" s="29"/>
      <c r="E93" s="91"/>
    </row>
    <row r="94" spans="1:5">
      <c r="A94" s="14" t="s">
        <v>112</v>
      </c>
      <c r="B94" s="21" t="s">
        <v>37</v>
      </c>
      <c r="C94" s="29">
        <v>18524</v>
      </c>
      <c r="D94" s="29"/>
      <c r="E94" s="91"/>
    </row>
    <row r="95" spans="1:5">
      <c r="A95" s="14" t="s">
        <v>112</v>
      </c>
      <c r="B95" s="21" t="s">
        <v>38</v>
      </c>
      <c r="C95" s="29">
        <v>18465</v>
      </c>
      <c r="D95" s="29"/>
      <c r="E95" s="91"/>
    </row>
    <row r="96" spans="1:5">
      <c r="A96" s="14" t="s">
        <v>112</v>
      </c>
      <c r="B96" s="21" t="s">
        <v>39</v>
      </c>
      <c r="C96" s="29">
        <v>15858</v>
      </c>
      <c r="D96" s="29"/>
      <c r="E96" s="91"/>
    </row>
    <row r="97" spans="1:5">
      <c r="A97" s="14" t="s">
        <v>112</v>
      </c>
      <c r="B97" s="21" t="s">
        <v>40</v>
      </c>
      <c r="C97" s="29">
        <v>7784</v>
      </c>
      <c r="D97" s="29"/>
      <c r="E97" s="91"/>
    </row>
    <row r="98" spans="1:5">
      <c r="A98" s="14" t="s">
        <v>113</v>
      </c>
      <c r="B98" s="21" t="s">
        <v>17</v>
      </c>
      <c r="C98" s="29">
        <v>8825</v>
      </c>
      <c r="D98" s="29"/>
      <c r="E98" s="91"/>
    </row>
    <row r="99" spans="1:5">
      <c r="A99" s="14" t="s">
        <v>113</v>
      </c>
      <c r="B99" s="21" t="s">
        <v>18</v>
      </c>
      <c r="C99" s="29">
        <v>9398</v>
      </c>
      <c r="D99" s="29"/>
      <c r="E99" s="91"/>
    </row>
    <row r="100" spans="1:5">
      <c r="A100" s="14" t="s">
        <v>113</v>
      </c>
      <c r="B100" s="21" t="s">
        <v>19</v>
      </c>
      <c r="C100" s="29">
        <v>11589</v>
      </c>
      <c r="D100" s="29"/>
      <c r="E100" s="91"/>
    </row>
    <row r="101" spans="1:5">
      <c r="A101" s="14" t="s">
        <v>113</v>
      </c>
      <c r="B101" s="21" t="s">
        <v>20</v>
      </c>
      <c r="C101" s="29">
        <v>11303</v>
      </c>
      <c r="D101" s="29"/>
      <c r="E101" s="91"/>
    </row>
    <row r="102" spans="1:5">
      <c r="A102" s="14" t="s">
        <v>113</v>
      </c>
      <c r="B102" s="21" t="s">
        <v>21</v>
      </c>
      <c r="C102" s="29">
        <v>17621</v>
      </c>
      <c r="D102" s="29"/>
      <c r="E102" s="91"/>
    </row>
    <row r="103" spans="1:5">
      <c r="A103" s="14" t="s">
        <v>113</v>
      </c>
      <c r="B103" s="21" t="s">
        <v>22</v>
      </c>
      <c r="C103" s="29">
        <v>19671</v>
      </c>
      <c r="D103" s="29"/>
      <c r="E103" s="91"/>
    </row>
    <row r="104" spans="1:5">
      <c r="A104" s="14" t="s">
        <v>113</v>
      </c>
      <c r="B104" s="21" t="s">
        <v>23</v>
      </c>
      <c r="C104" s="29">
        <v>19658</v>
      </c>
      <c r="D104" s="29"/>
      <c r="E104" s="91"/>
    </row>
    <row r="105" spans="1:5">
      <c r="A105" s="14" t="s">
        <v>113</v>
      </c>
      <c r="B105" s="21" t="s">
        <v>24</v>
      </c>
      <c r="C105" s="29">
        <v>18156</v>
      </c>
      <c r="D105" s="29"/>
      <c r="E105" s="91"/>
    </row>
    <row r="106" spans="1:5">
      <c r="A106" s="14" t="s">
        <v>113</v>
      </c>
      <c r="B106" s="21" t="s">
        <v>25</v>
      </c>
      <c r="C106" s="29">
        <v>16206</v>
      </c>
      <c r="D106" s="29"/>
      <c r="E106" s="91"/>
    </row>
    <row r="107" spans="1:5">
      <c r="A107" s="14" t="s">
        <v>113</v>
      </c>
      <c r="B107" s="21" t="s">
        <v>26</v>
      </c>
      <c r="C107" s="29">
        <v>18282</v>
      </c>
      <c r="D107" s="29"/>
      <c r="E107" s="91"/>
    </row>
    <row r="108" spans="1:5">
      <c r="A108" s="14" t="s">
        <v>113</v>
      </c>
      <c r="B108" s="21" t="s">
        <v>27</v>
      </c>
      <c r="C108" s="29">
        <v>18339</v>
      </c>
      <c r="D108" s="29"/>
      <c r="E108" s="91"/>
    </row>
    <row r="109" spans="1:5">
      <c r="A109" s="14" t="s">
        <v>113</v>
      </c>
      <c r="B109" s="21" t="s">
        <v>28</v>
      </c>
      <c r="C109" s="29">
        <v>18246</v>
      </c>
      <c r="D109" s="29"/>
      <c r="E109" s="91"/>
    </row>
    <row r="110" spans="1:5">
      <c r="A110" s="14" t="s">
        <v>113</v>
      </c>
      <c r="B110" s="21" t="s">
        <v>29</v>
      </c>
      <c r="C110" s="29">
        <v>18153</v>
      </c>
      <c r="D110" s="29"/>
      <c r="E110" s="91"/>
    </row>
    <row r="111" spans="1:5">
      <c r="A111" s="14" t="s">
        <v>113</v>
      </c>
      <c r="B111" s="21" t="s">
        <v>30</v>
      </c>
      <c r="C111" s="29">
        <v>18255</v>
      </c>
      <c r="D111" s="29"/>
      <c r="E111" s="91"/>
    </row>
    <row r="112" spans="1:5">
      <c r="A112" s="14" t="s">
        <v>113</v>
      </c>
      <c r="B112" s="21" t="s">
        <v>31</v>
      </c>
      <c r="C112" s="29">
        <v>18760</v>
      </c>
      <c r="D112" s="29"/>
      <c r="E112" s="91"/>
    </row>
    <row r="113" spans="1:5">
      <c r="A113" s="14" t="s">
        <v>113</v>
      </c>
      <c r="B113" s="21" t="s">
        <v>32</v>
      </c>
      <c r="C113" s="29">
        <v>19356</v>
      </c>
      <c r="D113" s="29"/>
      <c r="E113" s="91"/>
    </row>
    <row r="114" spans="1:5">
      <c r="A114" s="14" t="s">
        <v>113</v>
      </c>
      <c r="B114" s="21" t="s">
        <v>33</v>
      </c>
      <c r="C114" s="29">
        <v>19119</v>
      </c>
      <c r="D114" s="29"/>
      <c r="E114" s="91"/>
    </row>
    <row r="115" spans="1:5">
      <c r="A115" s="14" t="s">
        <v>113</v>
      </c>
      <c r="B115" s="21" t="s">
        <v>34</v>
      </c>
      <c r="C115" s="29">
        <v>18552</v>
      </c>
      <c r="D115" s="29"/>
      <c r="E115" s="91"/>
    </row>
    <row r="116" spans="1:5">
      <c r="A116" s="14" t="s">
        <v>113</v>
      </c>
      <c r="B116" s="21" t="s">
        <v>35</v>
      </c>
      <c r="C116" s="29">
        <v>18761</v>
      </c>
      <c r="D116" s="29"/>
      <c r="E116" s="91"/>
    </row>
    <row r="117" spans="1:5">
      <c r="A117" s="14" t="s">
        <v>113</v>
      </c>
      <c r="B117" s="21" t="s">
        <v>36</v>
      </c>
      <c r="C117" s="29">
        <v>19052</v>
      </c>
      <c r="D117" s="29"/>
      <c r="E117" s="91"/>
    </row>
    <row r="118" spans="1:5">
      <c r="A118" s="14" t="s">
        <v>113</v>
      </c>
      <c r="B118" s="21" t="s">
        <v>37</v>
      </c>
      <c r="C118" s="29">
        <v>18235</v>
      </c>
      <c r="D118" s="29"/>
      <c r="E118" s="91"/>
    </row>
    <row r="119" spans="1:5">
      <c r="A119" s="14" t="s">
        <v>113</v>
      </c>
      <c r="B119" s="21" t="s">
        <v>38</v>
      </c>
      <c r="C119" s="29">
        <v>18684</v>
      </c>
      <c r="D119" s="29"/>
      <c r="E119" s="91"/>
    </row>
    <row r="120" spans="1:5">
      <c r="A120" s="14" t="s">
        <v>113</v>
      </c>
      <c r="B120" s="21" t="s">
        <v>39</v>
      </c>
      <c r="C120" s="29">
        <v>15983</v>
      </c>
      <c r="D120" s="29"/>
      <c r="E120" s="91"/>
    </row>
    <row r="121" spans="1:5">
      <c r="A121" s="14" t="s">
        <v>113</v>
      </c>
      <c r="B121" s="21" t="s">
        <v>40</v>
      </c>
      <c r="C121" s="29">
        <v>10704</v>
      </c>
      <c r="D121" s="29"/>
      <c r="E121" s="91"/>
    </row>
    <row r="122" spans="1:5">
      <c r="A122" s="14" t="s">
        <v>114</v>
      </c>
      <c r="B122" s="21" t="s">
        <v>17</v>
      </c>
      <c r="C122" s="29">
        <v>9422</v>
      </c>
      <c r="D122" s="29"/>
      <c r="E122" s="91"/>
    </row>
    <row r="123" spans="1:5">
      <c r="A123" s="14" t="s">
        <v>114</v>
      </c>
      <c r="B123" s="21" t="s">
        <v>18</v>
      </c>
      <c r="C123" s="29">
        <v>10510</v>
      </c>
      <c r="D123" s="29"/>
      <c r="E123" s="91"/>
    </row>
    <row r="124" spans="1:5">
      <c r="A124" s="14" t="s">
        <v>114</v>
      </c>
      <c r="B124" s="21" t="s">
        <v>19</v>
      </c>
      <c r="C124" s="29">
        <v>11499</v>
      </c>
      <c r="D124" s="29"/>
      <c r="E124" s="91"/>
    </row>
    <row r="125" spans="1:5">
      <c r="A125" s="14" t="s">
        <v>114</v>
      </c>
      <c r="B125" s="21" t="s">
        <v>20</v>
      </c>
      <c r="C125" s="29">
        <v>13262</v>
      </c>
      <c r="D125" s="29"/>
      <c r="E125" s="91"/>
    </row>
    <row r="126" spans="1:5">
      <c r="A126" s="14" t="s">
        <v>114</v>
      </c>
      <c r="B126" s="21" t="s">
        <v>21</v>
      </c>
      <c r="C126" s="29">
        <v>16001</v>
      </c>
      <c r="D126" s="29"/>
      <c r="E126" s="91"/>
    </row>
    <row r="127" spans="1:5">
      <c r="A127" s="14" t="s">
        <v>114</v>
      </c>
      <c r="B127" s="21" t="s">
        <v>22</v>
      </c>
      <c r="C127" s="29">
        <v>20881</v>
      </c>
      <c r="D127" s="29"/>
      <c r="E127" s="91"/>
    </row>
    <row r="128" spans="1:5">
      <c r="A128" s="14" t="s">
        <v>114</v>
      </c>
      <c r="B128" s="21" t="s">
        <v>23</v>
      </c>
      <c r="C128" s="29">
        <v>21678</v>
      </c>
      <c r="D128" s="29"/>
      <c r="E128" s="91"/>
    </row>
    <row r="129" spans="1:5">
      <c r="A129" s="14" t="s">
        <v>114</v>
      </c>
      <c r="B129" s="21" t="s">
        <v>24</v>
      </c>
      <c r="C129" s="29">
        <v>21999</v>
      </c>
      <c r="D129" s="29"/>
      <c r="E129" s="91"/>
    </row>
    <row r="130" spans="1:5">
      <c r="A130" s="14" t="s">
        <v>114</v>
      </c>
      <c r="B130" s="21" t="s">
        <v>25</v>
      </c>
      <c r="C130" s="29">
        <v>18590</v>
      </c>
      <c r="D130" s="29"/>
      <c r="E130" s="91"/>
    </row>
    <row r="131" spans="1:5">
      <c r="A131" s="14" t="s">
        <v>114</v>
      </c>
      <c r="B131" s="21" t="s">
        <v>26</v>
      </c>
      <c r="C131" s="29">
        <v>18651</v>
      </c>
      <c r="D131" s="29"/>
      <c r="E131" s="91"/>
    </row>
    <row r="132" spans="1:5">
      <c r="A132" s="14" t="s">
        <v>114</v>
      </c>
      <c r="B132" s="21" t="s">
        <v>27</v>
      </c>
      <c r="C132" s="29">
        <v>18395</v>
      </c>
      <c r="D132" s="29"/>
      <c r="E132" s="91"/>
    </row>
    <row r="133" spans="1:5">
      <c r="A133" s="14" t="s">
        <v>114</v>
      </c>
      <c r="B133" s="21" t="s">
        <v>28</v>
      </c>
      <c r="C133" s="29">
        <v>17426</v>
      </c>
      <c r="D133" s="29"/>
      <c r="E133" s="91"/>
    </row>
    <row r="134" spans="1:5">
      <c r="A134" s="14" t="s">
        <v>114</v>
      </c>
      <c r="B134" s="21" t="s">
        <v>29</v>
      </c>
      <c r="C134" s="29">
        <v>16585</v>
      </c>
      <c r="D134" s="29"/>
      <c r="E134" s="91"/>
    </row>
    <row r="135" spans="1:5">
      <c r="A135" s="14" t="s">
        <v>114</v>
      </c>
      <c r="B135" s="21" t="s">
        <v>30</v>
      </c>
      <c r="C135" s="29">
        <v>18095</v>
      </c>
      <c r="D135" s="29"/>
      <c r="E135" s="91"/>
    </row>
    <row r="136" spans="1:5">
      <c r="A136" s="14" t="s">
        <v>114</v>
      </c>
      <c r="B136" s="21" t="s">
        <v>31</v>
      </c>
      <c r="C136" s="29">
        <v>18813</v>
      </c>
      <c r="D136" s="29"/>
      <c r="E136" s="91"/>
    </row>
    <row r="137" spans="1:5">
      <c r="A137" s="14" t="s">
        <v>114</v>
      </c>
      <c r="B137" s="21" t="s">
        <v>32</v>
      </c>
      <c r="C137" s="29">
        <v>19488</v>
      </c>
      <c r="D137" s="29"/>
      <c r="E137" s="91"/>
    </row>
    <row r="138" spans="1:5">
      <c r="A138" s="14" t="s">
        <v>114</v>
      </c>
      <c r="B138" s="21" t="s">
        <v>33</v>
      </c>
      <c r="C138" s="29">
        <v>17991</v>
      </c>
      <c r="D138" s="29"/>
      <c r="E138" s="91"/>
    </row>
    <row r="139" spans="1:5">
      <c r="A139" s="14" t="s">
        <v>114</v>
      </c>
      <c r="B139" s="21" t="s">
        <v>34</v>
      </c>
      <c r="C139" s="29">
        <v>17237</v>
      </c>
      <c r="D139" s="29"/>
      <c r="E139" s="91"/>
    </row>
    <row r="140" spans="1:5">
      <c r="A140" s="14" t="s">
        <v>114</v>
      </c>
      <c r="B140" s="21" t="s">
        <v>35</v>
      </c>
      <c r="C140" s="29">
        <v>19074</v>
      </c>
      <c r="D140" s="29"/>
      <c r="E140" s="91"/>
    </row>
    <row r="141" spans="1:5">
      <c r="A141" s="14" t="s">
        <v>114</v>
      </c>
      <c r="B141" s="21" t="s">
        <v>36</v>
      </c>
      <c r="C141" s="29">
        <v>19579</v>
      </c>
      <c r="D141" s="29"/>
      <c r="E141" s="91"/>
    </row>
    <row r="142" spans="1:5">
      <c r="A142" s="14" t="s">
        <v>114</v>
      </c>
      <c r="B142" s="21" t="s">
        <v>37</v>
      </c>
      <c r="C142" s="29">
        <v>19017</v>
      </c>
      <c r="D142" s="29"/>
      <c r="E142" s="91"/>
    </row>
    <row r="143" spans="1:5">
      <c r="A143" s="14" t="s">
        <v>114</v>
      </c>
      <c r="B143" s="21" t="s">
        <v>38</v>
      </c>
      <c r="C143" s="29">
        <v>20776</v>
      </c>
      <c r="D143" s="29"/>
      <c r="E143" s="91"/>
    </row>
    <row r="144" spans="1:5">
      <c r="A144" s="14" t="s">
        <v>114</v>
      </c>
      <c r="B144" s="21" t="s">
        <v>39</v>
      </c>
      <c r="C144" s="29">
        <v>18577</v>
      </c>
      <c r="D144" s="29"/>
      <c r="E144" s="91"/>
    </row>
    <row r="145" spans="1:5">
      <c r="A145" s="14" t="s">
        <v>114</v>
      </c>
      <c r="B145" s="21" t="s">
        <v>40</v>
      </c>
      <c r="C145" s="29">
        <v>11505</v>
      </c>
      <c r="D145" s="29"/>
      <c r="E145" s="91"/>
    </row>
    <row r="146" spans="1:5">
      <c r="A146" s="14" t="s">
        <v>115</v>
      </c>
      <c r="B146" s="21" t="s">
        <v>17</v>
      </c>
      <c r="C146" s="29">
        <v>13481</v>
      </c>
      <c r="D146" s="29"/>
      <c r="E146" s="91"/>
    </row>
    <row r="147" spans="1:5">
      <c r="A147" s="14" t="s">
        <v>115</v>
      </c>
      <c r="B147" s="21" t="s">
        <v>18</v>
      </c>
      <c r="C147" s="29">
        <v>14092</v>
      </c>
      <c r="D147" s="29"/>
      <c r="E147" s="91"/>
    </row>
    <row r="148" spans="1:5">
      <c r="A148" s="14" t="s">
        <v>115</v>
      </c>
      <c r="B148" s="21" t="s">
        <v>19</v>
      </c>
      <c r="C148" s="29">
        <v>12782</v>
      </c>
      <c r="D148" s="29"/>
      <c r="E148" s="91"/>
    </row>
    <row r="149" spans="1:5">
      <c r="A149" s="14" t="s">
        <v>115</v>
      </c>
      <c r="B149" s="21" t="s">
        <v>20</v>
      </c>
      <c r="C149" s="29">
        <v>16700</v>
      </c>
      <c r="D149" s="29"/>
      <c r="E149" s="91"/>
    </row>
    <row r="150" spans="1:5">
      <c r="A150" s="14" t="s">
        <v>115</v>
      </c>
      <c r="B150" s="21" t="s">
        <v>21</v>
      </c>
      <c r="C150" s="29">
        <v>22120</v>
      </c>
      <c r="D150" s="29"/>
      <c r="E150" s="91"/>
    </row>
    <row r="151" spans="1:5">
      <c r="A151" s="14" t="s">
        <v>115</v>
      </c>
      <c r="B151" s="21" t="s">
        <v>22</v>
      </c>
      <c r="C151" s="29">
        <v>22032</v>
      </c>
      <c r="D151" s="29"/>
      <c r="E151" s="91"/>
    </row>
    <row r="152" spans="1:5">
      <c r="A152" s="14" t="s">
        <v>115</v>
      </c>
      <c r="B152" s="21" t="s">
        <v>23</v>
      </c>
      <c r="C152" s="29">
        <v>21971</v>
      </c>
      <c r="D152" s="29"/>
      <c r="E152" s="91"/>
    </row>
    <row r="153" spans="1:5">
      <c r="A153" s="14" t="s">
        <v>115</v>
      </c>
      <c r="B153" s="21" t="s">
        <v>24</v>
      </c>
      <c r="C153" s="29">
        <v>22683</v>
      </c>
      <c r="D153" s="29"/>
      <c r="E153" s="91"/>
    </row>
    <row r="154" spans="1:5">
      <c r="A154" s="14" t="s">
        <v>115</v>
      </c>
      <c r="B154" s="21" t="s">
        <v>25</v>
      </c>
      <c r="C154" s="29">
        <v>19001</v>
      </c>
      <c r="D154" s="29"/>
      <c r="E154" s="91"/>
    </row>
    <row r="155" spans="1:5">
      <c r="A155" s="14" t="s">
        <v>115</v>
      </c>
      <c r="B155" s="21" t="s">
        <v>26</v>
      </c>
      <c r="C155" s="29">
        <v>18688</v>
      </c>
      <c r="D155" s="29"/>
      <c r="E155" s="91"/>
    </row>
    <row r="156" spans="1:5">
      <c r="A156" s="14" t="s">
        <v>115</v>
      </c>
      <c r="B156" s="21" t="s">
        <v>27</v>
      </c>
      <c r="C156" s="29">
        <v>18496</v>
      </c>
      <c r="D156" s="29"/>
      <c r="E156" s="91"/>
    </row>
    <row r="157" spans="1:5">
      <c r="A157" s="14" t="s">
        <v>115</v>
      </c>
      <c r="B157" s="21" t="s">
        <v>28</v>
      </c>
      <c r="C157" s="29">
        <v>12661</v>
      </c>
      <c r="D157" s="29"/>
      <c r="E157" s="91"/>
    </row>
    <row r="158" spans="1:5">
      <c r="A158" s="14" t="s">
        <v>115</v>
      </c>
      <c r="B158" s="21" t="s">
        <v>29</v>
      </c>
      <c r="C158" s="29">
        <v>15640</v>
      </c>
      <c r="D158" s="29"/>
      <c r="E158" s="91"/>
    </row>
    <row r="159" spans="1:5">
      <c r="A159" s="14" t="s">
        <v>115</v>
      </c>
      <c r="B159" s="21" t="s">
        <v>30</v>
      </c>
      <c r="C159" s="29">
        <v>18312</v>
      </c>
      <c r="D159" s="29"/>
      <c r="E159" s="91"/>
    </row>
    <row r="160" spans="1:5">
      <c r="A160" s="14" t="s">
        <v>115</v>
      </c>
      <c r="B160" s="21" t="s">
        <v>31</v>
      </c>
      <c r="C160" s="29">
        <v>18748</v>
      </c>
      <c r="D160" s="29"/>
      <c r="E160" s="91"/>
    </row>
    <row r="161" spans="1:5">
      <c r="A161" s="14" t="s">
        <v>115</v>
      </c>
      <c r="B161" s="21" t="s">
        <v>32</v>
      </c>
      <c r="C161" s="29">
        <v>17157</v>
      </c>
      <c r="D161" s="29"/>
      <c r="E161" s="91"/>
    </row>
    <row r="162" spans="1:5">
      <c r="A162" s="14" t="s">
        <v>115</v>
      </c>
      <c r="B162" s="21" t="s">
        <v>33</v>
      </c>
      <c r="C162" s="29">
        <v>17979</v>
      </c>
      <c r="D162" s="29"/>
      <c r="E162" s="91"/>
    </row>
    <row r="163" spans="1:5">
      <c r="A163" s="14" t="s">
        <v>115</v>
      </c>
      <c r="B163" s="21" t="s">
        <v>34</v>
      </c>
      <c r="C163" s="29">
        <v>18990</v>
      </c>
      <c r="D163" s="29"/>
      <c r="E163" s="91"/>
    </row>
    <row r="164" spans="1:5">
      <c r="A164" s="14" t="s">
        <v>115</v>
      </c>
      <c r="B164" s="21" t="s">
        <v>35</v>
      </c>
      <c r="C164" s="29">
        <v>18012</v>
      </c>
      <c r="D164" s="29"/>
      <c r="E164" s="91"/>
    </row>
    <row r="165" spans="1:5">
      <c r="A165" s="14" t="s">
        <v>115</v>
      </c>
      <c r="B165" s="21" t="s">
        <v>36</v>
      </c>
      <c r="C165" s="29">
        <v>18185</v>
      </c>
      <c r="D165" s="29"/>
      <c r="E165" s="91"/>
    </row>
    <row r="166" spans="1:5">
      <c r="A166" s="14" t="s">
        <v>115</v>
      </c>
      <c r="B166" s="21" t="s">
        <v>37</v>
      </c>
      <c r="C166" s="29">
        <v>18649</v>
      </c>
      <c r="D166" s="29"/>
      <c r="E166" s="91"/>
    </row>
    <row r="167" spans="1:5">
      <c r="A167" s="14" t="s">
        <v>115</v>
      </c>
      <c r="B167" s="21" t="s">
        <v>38</v>
      </c>
      <c r="C167" s="29">
        <v>16640</v>
      </c>
      <c r="D167" s="29"/>
      <c r="E167" s="91"/>
    </row>
    <row r="168" spans="1:5">
      <c r="A168" s="14" t="s">
        <v>115</v>
      </c>
      <c r="B168" s="21" t="s">
        <v>39</v>
      </c>
      <c r="C168" s="29">
        <v>13900</v>
      </c>
      <c r="D168" s="29"/>
      <c r="E168" s="91"/>
    </row>
    <row r="169" spans="1:5">
      <c r="A169" s="14" t="s">
        <v>115</v>
      </c>
      <c r="B169" s="21" t="s">
        <v>40</v>
      </c>
      <c r="C169" s="29">
        <v>8008</v>
      </c>
      <c r="D169" s="29"/>
      <c r="E169" s="91"/>
    </row>
    <row r="170" spans="1:5">
      <c r="A170" s="14" t="s">
        <v>116</v>
      </c>
      <c r="B170" s="21" t="s">
        <v>17</v>
      </c>
      <c r="C170" s="29">
        <v>8811</v>
      </c>
      <c r="D170" s="29"/>
      <c r="E170" s="91"/>
    </row>
    <row r="171" spans="1:5">
      <c r="A171" s="14" t="s">
        <v>116</v>
      </c>
      <c r="B171" s="21" t="s">
        <v>18</v>
      </c>
      <c r="C171" s="29">
        <v>12378</v>
      </c>
      <c r="D171" s="29"/>
      <c r="E171" s="91"/>
    </row>
    <row r="172" spans="1:5">
      <c r="A172" s="14" t="s">
        <v>116</v>
      </c>
      <c r="B172" s="21" t="s">
        <v>19</v>
      </c>
      <c r="C172" s="29">
        <v>13391</v>
      </c>
      <c r="D172" s="29"/>
      <c r="E172" s="91"/>
    </row>
    <row r="173" spans="1:5">
      <c r="A173" s="14" t="s">
        <v>116</v>
      </c>
      <c r="B173" s="21" t="s">
        <v>20</v>
      </c>
      <c r="C173" s="29">
        <v>15518</v>
      </c>
      <c r="D173" s="29"/>
      <c r="E173" s="91"/>
    </row>
    <row r="174" spans="1:5">
      <c r="A174" s="14" t="s">
        <v>116</v>
      </c>
      <c r="B174" s="21" t="s">
        <v>21</v>
      </c>
      <c r="C174" s="29">
        <v>15307</v>
      </c>
      <c r="D174" s="29"/>
      <c r="E174" s="91"/>
    </row>
    <row r="175" spans="1:5">
      <c r="A175" s="14" t="s">
        <v>116</v>
      </c>
      <c r="B175" s="21" t="s">
        <v>22</v>
      </c>
      <c r="C175" s="29">
        <v>17608</v>
      </c>
      <c r="D175" s="29"/>
      <c r="E175" s="91"/>
    </row>
    <row r="176" spans="1:5">
      <c r="A176" s="14" t="s">
        <v>116</v>
      </c>
      <c r="B176" s="21" t="s">
        <v>23</v>
      </c>
      <c r="C176" s="29">
        <v>18580</v>
      </c>
      <c r="D176" s="29"/>
      <c r="E176" s="91"/>
    </row>
    <row r="177" spans="1:5">
      <c r="A177" s="14" t="s">
        <v>116</v>
      </c>
      <c r="B177" s="21" t="s">
        <v>24</v>
      </c>
      <c r="C177" s="29">
        <v>18135</v>
      </c>
      <c r="D177" s="29"/>
      <c r="E177" s="91"/>
    </row>
    <row r="178" spans="1:5">
      <c r="A178" s="14" t="s">
        <v>116</v>
      </c>
      <c r="B178" s="21" t="s">
        <v>25</v>
      </c>
      <c r="C178" s="29">
        <v>18252</v>
      </c>
      <c r="D178" s="29"/>
      <c r="E178" s="91"/>
    </row>
    <row r="179" spans="1:5">
      <c r="A179" s="14" t="s">
        <v>116</v>
      </c>
      <c r="B179" s="21" t="s">
        <v>26</v>
      </c>
      <c r="C179" s="29">
        <v>18075</v>
      </c>
      <c r="D179" s="29"/>
      <c r="E179" s="91"/>
    </row>
    <row r="180" spans="1:5">
      <c r="A180" s="14" t="s">
        <v>116</v>
      </c>
      <c r="B180" s="21" t="s">
        <v>27</v>
      </c>
      <c r="C180" s="29">
        <v>16599</v>
      </c>
      <c r="D180" s="29"/>
      <c r="E180" s="91"/>
    </row>
    <row r="181" spans="1:5">
      <c r="A181" s="14" t="s">
        <v>116</v>
      </c>
      <c r="B181" s="21" t="s">
        <v>28</v>
      </c>
      <c r="C181" s="29">
        <v>15120</v>
      </c>
      <c r="D181" s="29"/>
      <c r="E181" s="91"/>
    </row>
    <row r="182" spans="1:5">
      <c r="A182" s="14" t="s">
        <v>116</v>
      </c>
      <c r="B182" s="21" t="s">
        <v>29</v>
      </c>
      <c r="C182" s="29">
        <v>15547</v>
      </c>
      <c r="D182" s="29"/>
      <c r="E182" s="91"/>
    </row>
    <row r="183" spans="1:5">
      <c r="A183" s="14" t="s">
        <v>116</v>
      </c>
      <c r="B183" s="21" t="s">
        <v>30</v>
      </c>
      <c r="C183" s="29">
        <v>16925</v>
      </c>
      <c r="D183" s="29"/>
      <c r="E183" s="91"/>
    </row>
    <row r="184" spans="1:5">
      <c r="A184" s="14" t="s">
        <v>116</v>
      </c>
      <c r="B184" s="21" t="s">
        <v>31</v>
      </c>
      <c r="C184" s="29">
        <v>16193</v>
      </c>
      <c r="D184" s="29"/>
      <c r="E184" s="91"/>
    </row>
    <row r="185" spans="1:5">
      <c r="A185" s="14" t="s">
        <v>116</v>
      </c>
      <c r="B185" s="21" t="s">
        <v>32</v>
      </c>
      <c r="C185" s="29">
        <v>13674</v>
      </c>
      <c r="D185" s="29"/>
      <c r="E185" s="91"/>
    </row>
    <row r="186" spans="1:5">
      <c r="A186" s="14" t="s">
        <v>116</v>
      </c>
      <c r="B186" s="21" t="s">
        <v>33</v>
      </c>
      <c r="C186" s="29">
        <v>15174</v>
      </c>
      <c r="D186" s="29"/>
      <c r="E186" s="91"/>
    </row>
    <row r="187" spans="1:5">
      <c r="A187" s="14" t="s">
        <v>116</v>
      </c>
      <c r="B187" s="21" t="s">
        <v>34</v>
      </c>
      <c r="C187" s="29">
        <v>18250</v>
      </c>
      <c r="D187" s="29"/>
      <c r="E187" s="91"/>
    </row>
    <row r="188" spans="1:5">
      <c r="A188" s="14" t="s">
        <v>116</v>
      </c>
      <c r="B188" s="21" t="s">
        <v>35</v>
      </c>
      <c r="C188" s="29">
        <v>18732</v>
      </c>
      <c r="D188" s="29"/>
      <c r="E188" s="91"/>
    </row>
    <row r="189" spans="1:5">
      <c r="A189" s="14" t="s">
        <v>116</v>
      </c>
      <c r="B189" s="21" t="s">
        <v>36</v>
      </c>
      <c r="C189" s="29">
        <v>18974</v>
      </c>
      <c r="D189" s="29"/>
      <c r="E189" s="91"/>
    </row>
    <row r="190" spans="1:5">
      <c r="A190" s="14" t="s">
        <v>116</v>
      </c>
      <c r="B190" s="21" t="s">
        <v>37</v>
      </c>
      <c r="C190" s="29">
        <v>21189</v>
      </c>
      <c r="D190" s="29"/>
      <c r="E190" s="91"/>
    </row>
    <row r="191" spans="1:5">
      <c r="A191" s="14" t="s">
        <v>116</v>
      </c>
      <c r="B191" s="21" t="s">
        <v>38</v>
      </c>
      <c r="C191" s="29">
        <v>18773</v>
      </c>
      <c r="D191" s="29"/>
      <c r="E191" s="91"/>
    </row>
    <row r="192" spans="1:5">
      <c r="A192" s="14" t="s">
        <v>116</v>
      </c>
      <c r="B192" s="21" t="s">
        <v>39</v>
      </c>
      <c r="C192" s="29">
        <v>18614</v>
      </c>
      <c r="D192" s="29"/>
      <c r="E192" s="91"/>
    </row>
    <row r="193" spans="1:5">
      <c r="A193" s="14" t="s">
        <v>116</v>
      </c>
      <c r="B193" s="21" t="s">
        <v>40</v>
      </c>
      <c r="C193" s="29">
        <v>10158</v>
      </c>
      <c r="D193" s="29"/>
      <c r="E193" s="91"/>
    </row>
    <row r="194" spans="1:5">
      <c r="A194" s="14" t="s">
        <v>117</v>
      </c>
      <c r="B194" s="21" t="s">
        <v>17</v>
      </c>
      <c r="C194" s="29">
        <v>11727</v>
      </c>
      <c r="D194" s="29"/>
      <c r="E194" s="91"/>
    </row>
    <row r="195" spans="1:5">
      <c r="A195" s="14" t="s">
        <v>117</v>
      </c>
      <c r="B195" s="21" t="s">
        <v>18</v>
      </c>
      <c r="C195" s="29">
        <v>14199</v>
      </c>
      <c r="D195" s="29"/>
      <c r="E195" s="91"/>
    </row>
    <row r="196" spans="1:5">
      <c r="A196" s="14" t="s">
        <v>117</v>
      </c>
      <c r="B196" s="21" t="s">
        <v>19</v>
      </c>
      <c r="C196" s="29">
        <v>13834</v>
      </c>
      <c r="D196" s="29"/>
      <c r="E196" s="91"/>
    </row>
    <row r="197" spans="1:5">
      <c r="A197" s="14" t="s">
        <v>117</v>
      </c>
      <c r="B197" s="21" t="s">
        <v>20</v>
      </c>
      <c r="C197" s="29">
        <v>13483</v>
      </c>
      <c r="D197" s="29"/>
      <c r="E197" s="91"/>
    </row>
    <row r="198" spans="1:5">
      <c r="A198" s="14" t="s">
        <v>117</v>
      </c>
      <c r="B198" s="21" t="s">
        <v>21</v>
      </c>
      <c r="C198" s="29">
        <v>18097</v>
      </c>
      <c r="D198" s="29"/>
      <c r="E198" s="91"/>
    </row>
    <row r="199" spans="1:5">
      <c r="A199" s="14" t="s">
        <v>117</v>
      </c>
      <c r="B199" s="21" t="s">
        <v>22</v>
      </c>
      <c r="C199" s="29">
        <v>20114</v>
      </c>
      <c r="D199" s="29"/>
      <c r="E199" s="91"/>
    </row>
    <row r="200" spans="1:5">
      <c r="A200" s="14" t="s">
        <v>117</v>
      </c>
      <c r="B200" s="21" t="s">
        <v>23</v>
      </c>
      <c r="C200" s="29">
        <v>23638</v>
      </c>
      <c r="D200" s="29"/>
      <c r="E200" s="91"/>
    </row>
    <row r="201" spans="1:5">
      <c r="A201" s="14" t="s">
        <v>117</v>
      </c>
      <c r="B201" s="21" t="s">
        <v>24</v>
      </c>
      <c r="C201" s="29">
        <v>23253</v>
      </c>
      <c r="D201" s="29"/>
      <c r="E201" s="91"/>
    </row>
    <row r="202" spans="1:5">
      <c r="A202" s="14" t="s">
        <v>117</v>
      </c>
      <c r="B202" s="21" t="s">
        <v>25</v>
      </c>
      <c r="C202" s="29">
        <v>23330</v>
      </c>
      <c r="D202" s="29"/>
      <c r="E202" s="91"/>
    </row>
    <row r="203" spans="1:5">
      <c r="A203" s="14" t="s">
        <v>117</v>
      </c>
      <c r="B203" s="21" t="s">
        <v>26</v>
      </c>
      <c r="C203" s="29">
        <v>21820</v>
      </c>
      <c r="D203" s="29"/>
      <c r="E203" s="91"/>
    </row>
    <row r="204" spans="1:5">
      <c r="A204" s="14" t="s">
        <v>117</v>
      </c>
      <c r="B204" s="21" t="s">
        <v>27</v>
      </c>
      <c r="C204" s="29">
        <v>20252</v>
      </c>
      <c r="D204" s="29"/>
      <c r="E204" s="91"/>
    </row>
    <row r="205" spans="1:5">
      <c r="A205" s="14" t="s">
        <v>117</v>
      </c>
      <c r="B205" s="21" t="s">
        <v>28</v>
      </c>
      <c r="C205" s="29">
        <v>17749</v>
      </c>
      <c r="D205" s="29"/>
      <c r="E205" s="91"/>
    </row>
    <row r="206" spans="1:5">
      <c r="A206" s="14" t="s">
        <v>117</v>
      </c>
      <c r="B206" s="21" t="s">
        <v>29</v>
      </c>
      <c r="C206" s="29">
        <v>17412</v>
      </c>
      <c r="D206" s="29"/>
      <c r="E206" s="91"/>
    </row>
    <row r="207" spans="1:5">
      <c r="A207" s="14" t="s">
        <v>117</v>
      </c>
      <c r="B207" s="21" t="s">
        <v>30</v>
      </c>
      <c r="C207" s="29">
        <v>14127</v>
      </c>
      <c r="D207" s="29"/>
      <c r="E207" s="91"/>
    </row>
    <row r="208" spans="1:5">
      <c r="A208" s="14" t="s">
        <v>117</v>
      </c>
      <c r="B208" s="21" t="s">
        <v>31</v>
      </c>
      <c r="C208" s="29">
        <v>15587</v>
      </c>
      <c r="D208" s="29"/>
      <c r="E208" s="91"/>
    </row>
    <row r="209" spans="1:5">
      <c r="A209" s="14" t="s">
        <v>117</v>
      </c>
      <c r="B209" s="21" t="s">
        <v>32</v>
      </c>
      <c r="C209" s="29">
        <v>15230</v>
      </c>
      <c r="D209" s="29"/>
      <c r="E209" s="91"/>
    </row>
    <row r="210" spans="1:5">
      <c r="A210" s="14" t="s">
        <v>117</v>
      </c>
      <c r="B210" s="21" t="s">
        <v>33</v>
      </c>
      <c r="C210" s="29">
        <v>16231</v>
      </c>
      <c r="D210" s="29"/>
      <c r="E210" s="91"/>
    </row>
    <row r="211" spans="1:5">
      <c r="A211" s="14" t="s">
        <v>117</v>
      </c>
      <c r="B211" s="21" t="s">
        <v>34</v>
      </c>
      <c r="C211" s="29">
        <v>18068</v>
      </c>
      <c r="D211" s="29"/>
      <c r="E211" s="91"/>
    </row>
    <row r="212" spans="1:5">
      <c r="A212" s="14" t="s">
        <v>117</v>
      </c>
      <c r="B212" s="21" t="s">
        <v>35</v>
      </c>
      <c r="C212" s="29">
        <v>18744</v>
      </c>
      <c r="D212" s="29"/>
      <c r="E212" s="91"/>
    </row>
    <row r="213" spans="1:5">
      <c r="A213" s="14" t="s">
        <v>117</v>
      </c>
      <c r="B213" s="21" t="s">
        <v>36</v>
      </c>
      <c r="C213" s="29">
        <v>20800</v>
      </c>
      <c r="D213" s="29"/>
      <c r="E213" s="91"/>
    </row>
    <row r="214" spans="1:5">
      <c r="A214" s="14" t="s">
        <v>117</v>
      </c>
      <c r="B214" s="21" t="s">
        <v>37</v>
      </c>
      <c r="C214" s="29">
        <v>20935</v>
      </c>
      <c r="D214" s="29"/>
      <c r="E214" s="91"/>
    </row>
    <row r="215" spans="1:5">
      <c r="A215" s="14" t="s">
        <v>117</v>
      </c>
      <c r="B215" s="21" t="s">
        <v>38</v>
      </c>
      <c r="C215" s="29">
        <v>18457</v>
      </c>
      <c r="D215" s="29"/>
      <c r="E215" s="91"/>
    </row>
    <row r="216" spans="1:5">
      <c r="A216" s="14" t="s">
        <v>117</v>
      </c>
      <c r="B216" s="21" t="s">
        <v>39</v>
      </c>
      <c r="C216" s="29">
        <v>18806</v>
      </c>
      <c r="D216" s="29"/>
      <c r="E216" s="91"/>
    </row>
    <row r="217" spans="1:5">
      <c r="A217" s="14" t="s">
        <v>117</v>
      </c>
      <c r="B217" s="21" t="s">
        <v>40</v>
      </c>
      <c r="C217" s="29">
        <v>10823</v>
      </c>
      <c r="D217" s="29"/>
      <c r="E217" s="91"/>
    </row>
    <row r="218" spans="1:5">
      <c r="A218" s="14" t="s">
        <v>118</v>
      </c>
      <c r="B218" s="21" t="s">
        <v>17</v>
      </c>
      <c r="C218" s="29">
        <v>10819</v>
      </c>
      <c r="D218" s="29"/>
      <c r="E218" s="91"/>
    </row>
    <row r="219" spans="1:5">
      <c r="A219" s="14" t="s">
        <v>118</v>
      </c>
      <c r="B219" s="21" t="s">
        <v>18</v>
      </c>
      <c r="C219" s="29">
        <v>13808</v>
      </c>
      <c r="D219" s="29"/>
      <c r="E219" s="91"/>
    </row>
    <row r="220" spans="1:5">
      <c r="A220" s="14" t="s">
        <v>118</v>
      </c>
      <c r="B220" s="21" t="s">
        <v>19</v>
      </c>
      <c r="C220" s="29">
        <v>13362</v>
      </c>
      <c r="D220" s="29"/>
      <c r="E220" s="91"/>
    </row>
    <row r="221" spans="1:5">
      <c r="A221" s="14" t="s">
        <v>118</v>
      </c>
      <c r="B221" s="21" t="s">
        <v>20</v>
      </c>
      <c r="C221" s="29">
        <v>16733</v>
      </c>
      <c r="D221" s="29"/>
      <c r="E221" s="91"/>
    </row>
    <row r="222" spans="1:5">
      <c r="A222" s="14" t="s">
        <v>118</v>
      </c>
      <c r="B222" s="21" t="s">
        <v>21</v>
      </c>
      <c r="C222" s="29">
        <v>18953</v>
      </c>
      <c r="D222" s="29"/>
      <c r="E222" s="91"/>
    </row>
    <row r="223" spans="1:5">
      <c r="A223" s="14" t="s">
        <v>118</v>
      </c>
      <c r="B223" s="21" t="s">
        <v>22</v>
      </c>
      <c r="C223" s="29">
        <v>21753</v>
      </c>
      <c r="D223" s="29"/>
      <c r="E223" s="91"/>
    </row>
    <row r="224" spans="1:5">
      <c r="A224" s="14" t="s">
        <v>118</v>
      </c>
      <c r="B224" s="21" t="s">
        <v>23</v>
      </c>
      <c r="C224" s="29">
        <v>21614</v>
      </c>
      <c r="D224" s="29"/>
      <c r="E224" s="91"/>
    </row>
    <row r="225" spans="1:5">
      <c r="A225" s="14" t="s">
        <v>118</v>
      </c>
      <c r="B225" s="21" t="s">
        <v>24</v>
      </c>
      <c r="C225" s="29">
        <v>20967</v>
      </c>
      <c r="D225" s="29"/>
      <c r="E225" s="91"/>
    </row>
    <row r="226" spans="1:5">
      <c r="A226" s="14" t="s">
        <v>118</v>
      </c>
      <c r="B226" s="21" t="s">
        <v>25</v>
      </c>
      <c r="C226" s="29">
        <v>21918</v>
      </c>
      <c r="D226" s="29"/>
      <c r="E226" s="91"/>
    </row>
    <row r="227" spans="1:5">
      <c r="A227" s="14" t="s">
        <v>118</v>
      </c>
      <c r="B227" s="21" t="s">
        <v>26</v>
      </c>
      <c r="C227" s="29">
        <v>21755</v>
      </c>
      <c r="D227" s="29"/>
      <c r="E227" s="91"/>
    </row>
    <row r="228" spans="1:5">
      <c r="A228" s="14" t="s">
        <v>118</v>
      </c>
      <c r="B228" s="21" t="s">
        <v>27</v>
      </c>
      <c r="C228" s="29">
        <v>18544</v>
      </c>
      <c r="D228" s="29"/>
      <c r="E228" s="91"/>
    </row>
    <row r="229" spans="1:5">
      <c r="A229" s="14" t="s">
        <v>118</v>
      </c>
      <c r="B229" s="21" t="s">
        <v>28</v>
      </c>
      <c r="C229" s="29">
        <v>18236</v>
      </c>
      <c r="D229" s="29"/>
      <c r="E229" s="91"/>
    </row>
    <row r="230" spans="1:5">
      <c r="A230" s="14" t="s">
        <v>118</v>
      </c>
      <c r="B230" s="21" t="s">
        <v>29</v>
      </c>
      <c r="C230" s="29">
        <v>18343</v>
      </c>
      <c r="D230" s="29"/>
      <c r="E230" s="91"/>
    </row>
    <row r="231" spans="1:5">
      <c r="A231" s="14" t="s">
        <v>118</v>
      </c>
      <c r="B231" s="21" t="s">
        <v>30</v>
      </c>
      <c r="C231" s="29">
        <v>16941</v>
      </c>
      <c r="D231" s="29"/>
      <c r="E231" s="91"/>
    </row>
    <row r="232" spans="1:5">
      <c r="A232" s="14" t="s">
        <v>118</v>
      </c>
      <c r="B232" s="21" t="s">
        <v>31</v>
      </c>
      <c r="C232" s="29">
        <v>14321</v>
      </c>
      <c r="D232" s="29"/>
      <c r="E232" s="91"/>
    </row>
    <row r="233" spans="1:5">
      <c r="A233" s="14" t="s">
        <v>118</v>
      </c>
      <c r="B233" s="21" t="s">
        <v>32</v>
      </c>
      <c r="C233" s="29">
        <v>14212</v>
      </c>
      <c r="D233" s="29"/>
      <c r="E233" s="91"/>
    </row>
    <row r="234" spans="1:5">
      <c r="A234" s="14" t="s">
        <v>118</v>
      </c>
      <c r="B234" s="21" t="s">
        <v>33</v>
      </c>
      <c r="C234" s="29">
        <v>16061</v>
      </c>
      <c r="D234" s="29"/>
      <c r="E234" s="91"/>
    </row>
    <row r="235" spans="1:5">
      <c r="A235" s="14" t="s">
        <v>118</v>
      </c>
      <c r="B235" s="21" t="s">
        <v>34</v>
      </c>
      <c r="C235" s="29">
        <v>18581</v>
      </c>
      <c r="D235" s="29"/>
      <c r="E235" s="91"/>
    </row>
    <row r="236" spans="1:5">
      <c r="A236" s="14" t="s">
        <v>118</v>
      </c>
      <c r="B236" s="21" t="s">
        <v>35</v>
      </c>
      <c r="C236" s="29">
        <v>18653</v>
      </c>
      <c r="D236" s="29"/>
      <c r="E236" s="91"/>
    </row>
    <row r="237" spans="1:5">
      <c r="A237" s="14" t="s">
        <v>118</v>
      </c>
      <c r="B237" s="21" t="s">
        <v>36</v>
      </c>
      <c r="C237" s="29">
        <v>19000</v>
      </c>
      <c r="D237" s="29"/>
      <c r="E237" s="91"/>
    </row>
    <row r="238" spans="1:5">
      <c r="A238" s="14" t="s">
        <v>118</v>
      </c>
      <c r="B238" s="21" t="s">
        <v>37</v>
      </c>
      <c r="C238" s="29">
        <v>18505</v>
      </c>
      <c r="D238" s="29"/>
      <c r="E238" s="91"/>
    </row>
    <row r="239" spans="1:5">
      <c r="A239" s="14" t="s">
        <v>118</v>
      </c>
      <c r="B239" s="21" t="s">
        <v>38</v>
      </c>
      <c r="C239" s="29">
        <v>18712</v>
      </c>
      <c r="D239" s="29"/>
      <c r="E239" s="91"/>
    </row>
    <row r="240" spans="1:5">
      <c r="A240" s="14" t="s">
        <v>118</v>
      </c>
      <c r="B240" s="21" t="s">
        <v>39</v>
      </c>
      <c r="C240" s="29">
        <v>18459</v>
      </c>
      <c r="D240" s="29"/>
      <c r="E240" s="91"/>
    </row>
    <row r="241" spans="1:5">
      <c r="A241" s="14" t="s">
        <v>118</v>
      </c>
      <c r="B241" s="21" t="s">
        <v>40</v>
      </c>
      <c r="C241" s="29">
        <v>13458</v>
      </c>
      <c r="D241" s="29"/>
      <c r="E241" s="91"/>
    </row>
    <row r="242" spans="1:5">
      <c r="A242" s="14" t="s">
        <v>119</v>
      </c>
      <c r="B242" s="21" t="s">
        <v>17</v>
      </c>
      <c r="C242" s="29">
        <v>11708</v>
      </c>
      <c r="D242" s="29"/>
      <c r="E242" s="91"/>
    </row>
    <row r="243" spans="1:5">
      <c r="A243" s="14" t="s">
        <v>119</v>
      </c>
      <c r="B243" s="21" t="s">
        <v>18</v>
      </c>
      <c r="C243" s="29">
        <v>11994</v>
      </c>
      <c r="D243" s="29"/>
      <c r="E243" s="91"/>
    </row>
    <row r="244" spans="1:5">
      <c r="A244" s="14" t="s">
        <v>119</v>
      </c>
      <c r="B244" s="21" t="s">
        <v>19</v>
      </c>
      <c r="C244" s="29">
        <v>15491</v>
      </c>
      <c r="D244" s="29"/>
      <c r="E244" s="91"/>
    </row>
    <row r="245" spans="1:5">
      <c r="A245" s="14" t="s">
        <v>119</v>
      </c>
      <c r="B245" s="21" t="s">
        <v>20</v>
      </c>
      <c r="C245" s="29">
        <v>15767</v>
      </c>
      <c r="D245" s="29"/>
      <c r="E245" s="91"/>
    </row>
    <row r="246" spans="1:5">
      <c r="A246" s="14" t="s">
        <v>119</v>
      </c>
      <c r="B246" s="21" t="s">
        <v>21</v>
      </c>
      <c r="C246" s="29">
        <v>22090</v>
      </c>
      <c r="D246" s="29"/>
      <c r="E246" s="91"/>
    </row>
    <row r="247" spans="1:5">
      <c r="A247" s="14" t="s">
        <v>119</v>
      </c>
      <c r="B247" s="21" t="s">
        <v>22</v>
      </c>
      <c r="C247" s="29">
        <v>20690</v>
      </c>
      <c r="D247" s="29"/>
      <c r="E247" s="91"/>
    </row>
    <row r="248" spans="1:5">
      <c r="A248" s="14" t="s">
        <v>119</v>
      </c>
      <c r="B248" s="21" t="s">
        <v>23</v>
      </c>
      <c r="C248" s="29">
        <v>20159</v>
      </c>
      <c r="D248" s="29"/>
      <c r="E248" s="91"/>
    </row>
    <row r="249" spans="1:5">
      <c r="A249" s="14" t="s">
        <v>119</v>
      </c>
      <c r="B249" s="21" t="s">
        <v>24</v>
      </c>
      <c r="C249" s="29">
        <v>21417</v>
      </c>
      <c r="D249" s="29"/>
      <c r="E249" s="91"/>
    </row>
    <row r="250" spans="1:5">
      <c r="A250" s="14" t="s">
        <v>119</v>
      </c>
      <c r="B250" s="21" t="s">
        <v>25</v>
      </c>
      <c r="C250" s="29">
        <v>19637</v>
      </c>
      <c r="D250" s="29"/>
      <c r="E250" s="91"/>
    </row>
    <row r="251" spans="1:5">
      <c r="A251" s="14" t="s">
        <v>119</v>
      </c>
      <c r="B251" s="21" t="s">
        <v>26</v>
      </c>
      <c r="C251" s="29">
        <v>19380</v>
      </c>
      <c r="D251" s="29"/>
      <c r="E251" s="91"/>
    </row>
    <row r="252" spans="1:5">
      <c r="A252" s="14" t="s">
        <v>119</v>
      </c>
      <c r="B252" s="21" t="s">
        <v>27</v>
      </c>
      <c r="C252" s="29">
        <v>18791</v>
      </c>
      <c r="D252" s="29"/>
      <c r="E252" s="91"/>
    </row>
    <row r="253" spans="1:5">
      <c r="A253" s="14" t="s">
        <v>119</v>
      </c>
      <c r="B253" s="21" t="s">
        <v>28</v>
      </c>
      <c r="C253" s="29">
        <v>19127</v>
      </c>
      <c r="D253" s="29"/>
      <c r="E253" s="91"/>
    </row>
    <row r="254" spans="1:5">
      <c r="A254" s="14" t="s">
        <v>119</v>
      </c>
      <c r="B254" s="21" t="s">
        <v>29</v>
      </c>
      <c r="C254" s="29">
        <v>16807</v>
      </c>
      <c r="D254" s="29"/>
      <c r="E254" s="91"/>
    </row>
    <row r="255" spans="1:5">
      <c r="A255" s="14" t="s">
        <v>119</v>
      </c>
      <c r="B255" s="21" t="s">
        <v>30</v>
      </c>
      <c r="C255" s="29">
        <v>14764</v>
      </c>
      <c r="D255" s="29"/>
      <c r="E255" s="91"/>
    </row>
    <row r="256" spans="1:5">
      <c r="A256" s="14" t="s">
        <v>119</v>
      </c>
      <c r="B256" s="21" t="s">
        <v>31</v>
      </c>
      <c r="C256" s="29">
        <v>15342</v>
      </c>
      <c r="D256" s="29"/>
      <c r="E256" s="91"/>
    </row>
    <row r="257" spans="1:5">
      <c r="A257" s="14" t="s">
        <v>119</v>
      </c>
      <c r="B257" s="21" t="s">
        <v>32</v>
      </c>
      <c r="C257" s="29">
        <v>15819</v>
      </c>
      <c r="D257" s="29"/>
      <c r="E257" s="91"/>
    </row>
    <row r="258" spans="1:5">
      <c r="A258" s="14" t="s">
        <v>119</v>
      </c>
      <c r="B258" s="21" t="s">
        <v>33</v>
      </c>
      <c r="C258" s="29">
        <v>16601</v>
      </c>
      <c r="D258" s="29"/>
      <c r="E258" s="91"/>
    </row>
    <row r="259" spans="1:5">
      <c r="A259" s="14" t="s">
        <v>119</v>
      </c>
      <c r="B259" s="21" t="s">
        <v>34</v>
      </c>
      <c r="C259" s="29">
        <v>17793</v>
      </c>
      <c r="D259" s="29"/>
      <c r="E259" s="91"/>
    </row>
    <row r="260" spans="1:5">
      <c r="A260" s="14" t="s">
        <v>119</v>
      </c>
      <c r="B260" s="21" t="s">
        <v>35</v>
      </c>
      <c r="C260" s="29">
        <v>19529</v>
      </c>
      <c r="D260" s="29"/>
      <c r="E260" s="91"/>
    </row>
    <row r="261" spans="1:5">
      <c r="A261" s="14" t="s">
        <v>119</v>
      </c>
      <c r="B261" s="21" t="s">
        <v>36</v>
      </c>
      <c r="C261" s="29">
        <v>18735</v>
      </c>
      <c r="D261" s="29"/>
      <c r="E261" s="91"/>
    </row>
    <row r="262" spans="1:5">
      <c r="A262" s="14" t="s">
        <v>119</v>
      </c>
      <c r="B262" s="21" t="s">
        <v>37</v>
      </c>
      <c r="C262" s="29">
        <v>17904</v>
      </c>
      <c r="D262" s="29"/>
      <c r="E262" s="91"/>
    </row>
    <row r="263" spans="1:5">
      <c r="A263" s="14" t="s">
        <v>119</v>
      </c>
      <c r="B263" s="21" t="s">
        <v>38</v>
      </c>
      <c r="C263" s="29">
        <v>17568</v>
      </c>
      <c r="D263" s="29"/>
      <c r="E263" s="91"/>
    </row>
    <row r="264" spans="1:5">
      <c r="A264" s="14" t="s">
        <v>119</v>
      </c>
      <c r="B264" s="21" t="s">
        <v>39</v>
      </c>
      <c r="C264" s="29">
        <v>14743</v>
      </c>
      <c r="D264" s="29"/>
      <c r="E264" s="91"/>
    </row>
    <row r="265" spans="1:5">
      <c r="A265" s="14" t="s">
        <v>119</v>
      </c>
      <c r="B265" s="21" t="s">
        <v>40</v>
      </c>
      <c r="C265" s="29">
        <v>7604</v>
      </c>
      <c r="D265" s="29"/>
      <c r="E265" s="91"/>
    </row>
    <row r="266" spans="1:5">
      <c r="A266" s="14" t="s">
        <v>120</v>
      </c>
      <c r="B266" s="21" t="s">
        <v>17</v>
      </c>
      <c r="C266" s="29">
        <v>8047</v>
      </c>
      <c r="D266" s="29"/>
      <c r="E266" s="91"/>
    </row>
    <row r="267" spans="1:5">
      <c r="A267" s="14" t="s">
        <v>120</v>
      </c>
      <c r="B267" s="21" t="s">
        <v>18</v>
      </c>
      <c r="C267" s="29">
        <v>10003</v>
      </c>
      <c r="D267" s="29"/>
      <c r="E267" s="91"/>
    </row>
    <row r="268" spans="1:5">
      <c r="A268" s="14" t="s">
        <v>120</v>
      </c>
      <c r="B268" s="21" t="s">
        <v>19</v>
      </c>
      <c r="C268" s="29">
        <v>10775</v>
      </c>
      <c r="D268" s="29"/>
      <c r="E268" s="91"/>
    </row>
    <row r="269" spans="1:5">
      <c r="A269" s="14" t="s">
        <v>120</v>
      </c>
      <c r="B269" s="21" t="s">
        <v>20</v>
      </c>
      <c r="C269" s="29">
        <v>10163</v>
      </c>
      <c r="D269" s="29"/>
      <c r="E269" s="91"/>
    </row>
    <row r="270" spans="1:5">
      <c r="A270" s="14" t="s">
        <v>120</v>
      </c>
      <c r="B270" s="21" t="s">
        <v>21</v>
      </c>
      <c r="C270" s="29">
        <v>12756</v>
      </c>
      <c r="D270" s="29"/>
      <c r="E270" s="91"/>
    </row>
    <row r="271" spans="1:5">
      <c r="A271" s="14" t="s">
        <v>120</v>
      </c>
      <c r="B271" s="21" t="s">
        <v>22</v>
      </c>
      <c r="C271" s="29">
        <v>21687</v>
      </c>
      <c r="D271" s="29"/>
      <c r="E271" s="91"/>
    </row>
    <row r="272" spans="1:5">
      <c r="A272" s="14" t="s">
        <v>120</v>
      </c>
      <c r="B272" s="21" t="s">
        <v>23</v>
      </c>
      <c r="C272" s="29">
        <v>17578</v>
      </c>
      <c r="D272" s="29"/>
      <c r="E272" s="91"/>
    </row>
    <row r="273" spans="1:5">
      <c r="A273" s="14" t="s">
        <v>120</v>
      </c>
      <c r="B273" s="21" t="s">
        <v>24</v>
      </c>
      <c r="C273" s="29">
        <v>15870</v>
      </c>
      <c r="D273" s="29"/>
      <c r="E273" s="91"/>
    </row>
    <row r="274" spans="1:5">
      <c r="A274" s="14" t="s">
        <v>120</v>
      </c>
      <c r="B274" s="21" t="s">
        <v>25</v>
      </c>
      <c r="C274" s="29">
        <v>15486</v>
      </c>
      <c r="D274" s="29"/>
      <c r="E274" s="91"/>
    </row>
    <row r="275" spans="1:5">
      <c r="A275" s="14" t="s">
        <v>120</v>
      </c>
      <c r="B275" s="21" t="s">
        <v>26</v>
      </c>
      <c r="C275" s="29">
        <v>15521</v>
      </c>
      <c r="D275" s="29"/>
      <c r="E275" s="91"/>
    </row>
    <row r="276" spans="1:5">
      <c r="A276" s="14" t="s">
        <v>120</v>
      </c>
      <c r="B276" s="21" t="s">
        <v>27</v>
      </c>
      <c r="C276" s="29">
        <v>15436</v>
      </c>
      <c r="D276" s="29"/>
      <c r="E276" s="91"/>
    </row>
    <row r="277" spans="1:5">
      <c r="A277" s="14" t="s">
        <v>120</v>
      </c>
      <c r="B277" s="21" t="s">
        <v>28</v>
      </c>
      <c r="C277" s="29">
        <v>15251</v>
      </c>
      <c r="D277" s="29"/>
      <c r="E277" s="91"/>
    </row>
    <row r="278" spans="1:5">
      <c r="A278" s="14" t="s">
        <v>120</v>
      </c>
      <c r="B278" s="21" t="s">
        <v>29</v>
      </c>
      <c r="C278" s="29">
        <v>14253</v>
      </c>
      <c r="D278" s="29"/>
      <c r="E278" s="91"/>
    </row>
    <row r="279" spans="1:5">
      <c r="A279" s="14" t="s">
        <v>120</v>
      </c>
      <c r="B279" s="21" t="s">
        <v>30</v>
      </c>
      <c r="C279" s="29">
        <v>14450</v>
      </c>
      <c r="D279" s="29"/>
      <c r="E279" s="91"/>
    </row>
    <row r="280" spans="1:5">
      <c r="A280" s="14" t="s">
        <v>120</v>
      </c>
      <c r="B280" s="21" t="s">
        <v>31</v>
      </c>
      <c r="C280" s="29">
        <v>14748</v>
      </c>
      <c r="D280" s="29"/>
      <c r="E280" s="91"/>
    </row>
    <row r="281" spans="1:5">
      <c r="A281" s="14" t="s">
        <v>120</v>
      </c>
      <c r="B281" s="21" t="s">
        <v>32</v>
      </c>
      <c r="C281" s="29">
        <v>14568</v>
      </c>
      <c r="D281" s="29"/>
      <c r="E281" s="91"/>
    </row>
    <row r="282" spans="1:5">
      <c r="A282" s="14" t="s">
        <v>120</v>
      </c>
      <c r="B282" s="21" t="s">
        <v>33</v>
      </c>
      <c r="C282" s="29">
        <v>12166</v>
      </c>
      <c r="D282" s="29"/>
      <c r="E282" s="91"/>
    </row>
    <row r="283" spans="1:5">
      <c r="A283" s="14" t="s">
        <v>120</v>
      </c>
      <c r="B283" s="21" t="s">
        <v>34</v>
      </c>
      <c r="C283" s="29">
        <v>15568</v>
      </c>
      <c r="D283" s="29"/>
      <c r="E283" s="91"/>
    </row>
    <row r="284" spans="1:5">
      <c r="A284" s="14" t="s">
        <v>120</v>
      </c>
      <c r="B284" s="21" t="s">
        <v>35</v>
      </c>
      <c r="C284" s="29">
        <v>17296</v>
      </c>
      <c r="D284" s="29"/>
      <c r="E284" s="91"/>
    </row>
    <row r="285" spans="1:5">
      <c r="A285" s="14" t="s">
        <v>120</v>
      </c>
      <c r="B285" s="21" t="s">
        <v>36</v>
      </c>
      <c r="C285" s="29">
        <v>17404</v>
      </c>
      <c r="D285" s="29"/>
      <c r="E285" s="91"/>
    </row>
    <row r="286" spans="1:5">
      <c r="A286" s="14" t="s">
        <v>120</v>
      </c>
      <c r="B286" s="21" t="s">
        <v>37</v>
      </c>
      <c r="C286" s="29">
        <v>18784</v>
      </c>
      <c r="D286" s="29"/>
      <c r="E286" s="91"/>
    </row>
    <row r="287" spans="1:5">
      <c r="A287" s="14" t="s">
        <v>120</v>
      </c>
      <c r="B287" s="21" t="s">
        <v>38</v>
      </c>
      <c r="C287" s="29">
        <v>19848</v>
      </c>
      <c r="D287" s="29"/>
      <c r="E287" s="91"/>
    </row>
    <row r="288" spans="1:5">
      <c r="A288" s="14" t="s">
        <v>120</v>
      </c>
      <c r="B288" s="21" t="s">
        <v>39</v>
      </c>
      <c r="C288" s="29">
        <v>12539</v>
      </c>
      <c r="D288" s="29"/>
      <c r="E288" s="91"/>
    </row>
    <row r="289" spans="1:5">
      <c r="A289" s="14" t="s">
        <v>120</v>
      </c>
      <c r="B289" s="21" t="s">
        <v>40</v>
      </c>
      <c r="C289" s="29">
        <v>12622</v>
      </c>
      <c r="D289" s="29"/>
      <c r="E289" s="91"/>
    </row>
    <row r="290" spans="1:5">
      <c r="A290" s="14" t="s">
        <v>121</v>
      </c>
      <c r="B290" s="21" t="s">
        <v>17</v>
      </c>
      <c r="C290" s="29">
        <v>12712</v>
      </c>
      <c r="D290" s="29"/>
      <c r="E290" s="91"/>
    </row>
    <row r="291" spans="1:5">
      <c r="A291" s="14" t="s">
        <v>121</v>
      </c>
      <c r="B291" s="21" t="s">
        <v>18</v>
      </c>
      <c r="C291" s="29">
        <v>13422</v>
      </c>
      <c r="D291" s="29"/>
      <c r="E291" s="91"/>
    </row>
    <row r="292" spans="1:5">
      <c r="A292" s="14" t="s">
        <v>121</v>
      </c>
      <c r="B292" s="21" t="s">
        <v>19</v>
      </c>
      <c r="C292" s="29">
        <v>13494</v>
      </c>
      <c r="D292" s="29"/>
      <c r="E292" s="91"/>
    </row>
    <row r="293" spans="1:5">
      <c r="A293" s="14" t="s">
        <v>121</v>
      </c>
      <c r="B293" s="21" t="s">
        <v>20</v>
      </c>
      <c r="C293" s="29">
        <v>15207</v>
      </c>
      <c r="D293" s="29"/>
      <c r="E293" s="91"/>
    </row>
    <row r="294" spans="1:5">
      <c r="A294" s="14" t="s">
        <v>121</v>
      </c>
      <c r="B294" s="21" t="s">
        <v>21</v>
      </c>
      <c r="C294" s="29">
        <v>18733</v>
      </c>
      <c r="D294" s="29"/>
      <c r="E294" s="91"/>
    </row>
    <row r="295" spans="1:5">
      <c r="A295" s="14" t="s">
        <v>121</v>
      </c>
      <c r="B295" s="21" t="s">
        <v>22</v>
      </c>
      <c r="C295" s="29">
        <v>19463</v>
      </c>
      <c r="D295" s="29"/>
      <c r="E295" s="91"/>
    </row>
    <row r="296" spans="1:5">
      <c r="A296" s="14" t="s">
        <v>121</v>
      </c>
      <c r="B296" s="21" t="s">
        <v>23</v>
      </c>
      <c r="C296" s="29">
        <v>14594</v>
      </c>
      <c r="D296" s="29"/>
      <c r="E296" s="91"/>
    </row>
    <row r="297" spans="1:5">
      <c r="A297" s="14" t="s">
        <v>121</v>
      </c>
      <c r="B297" s="21" t="s">
        <v>24</v>
      </c>
      <c r="C297" s="29">
        <v>15039</v>
      </c>
      <c r="D297" s="29"/>
      <c r="E297" s="91"/>
    </row>
    <row r="298" spans="1:5">
      <c r="A298" s="14" t="s">
        <v>121</v>
      </c>
      <c r="B298" s="21" t="s">
        <v>25</v>
      </c>
      <c r="C298" s="29">
        <v>17603</v>
      </c>
      <c r="D298" s="29"/>
      <c r="E298" s="91"/>
    </row>
    <row r="299" spans="1:5">
      <c r="A299" s="14" t="s">
        <v>121</v>
      </c>
      <c r="B299" s="21" t="s">
        <v>26</v>
      </c>
      <c r="C299" s="29">
        <v>15703</v>
      </c>
      <c r="D299" s="29"/>
      <c r="E299" s="91"/>
    </row>
    <row r="300" spans="1:5">
      <c r="A300" s="14" t="s">
        <v>121</v>
      </c>
      <c r="B300" s="21" t="s">
        <v>27</v>
      </c>
      <c r="C300" s="29">
        <v>12451</v>
      </c>
      <c r="D300" s="29"/>
      <c r="E300" s="91"/>
    </row>
    <row r="301" spans="1:5">
      <c r="A301" s="14" t="s">
        <v>121</v>
      </c>
      <c r="B301" s="21" t="s">
        <v>28</v>
      </c>
      <c r="C301" s="29">
        <v>13866</v>
      </c>
      <c r="D301" s="29"/>
      <c r="E301" s="91"/>
    </row>
    <row r="302" spans="1:5">
      <c r="A302" s="14" t="s">
        <v>121</v>
      </c>
      <c r="B302" s="21" t="s">
        <v>29</v>
      </c>
      <c r="C302" s="29">
        <v>13381</v>
      </c>
      <c r="D302" s="29"/>
      <c r="E302" s="91"/>
    </row>
    <row r="303" spans="1:5">
      <c r="A303" s="14" t="s">
        <v>121</v>
      </c>
      <c r="B303" s="21" t="s">
        <v>30</v>
      </c>
      <c r="C303" s="29">
        <v>14798</v>
      </c>
      <c r="D303" s="29"/>
      <c r="E303" s="91"/>
    </row>
    <row r="304" spans="1:5">
      <c r="A304" s="14" t="s">
        <v>121</v>
      </c>
      <c r="B304" s="21" t="s">
        <v>31</v>
      </c>
      <c r="C304" s="29">
        <v>13975</v>
      </c>
      <c r="D304" s="29"/>
      <c r="E304" s="91"/>
    </row>
    <row r="305" spans="1:5">
      <c r="A305" s="14" t="s">
        <v>121</v>
      </c>
      <c r="B305" s="21" t="s">
        <v>32</v>
      </c>
      <c r="C305" s="29">
        <v>13623</v>
      </c>
      <c r="D305" s="29"/>
      <c r="E305" s="91"/>
    </row>
    <row r="306" spans="1:5">
      <c r="A306" s="14" t="s">
        <v>121</v>
      </c>
      <c r="B306" s="21" t="s">
        <v>33</v>
      </c>
      <c r="C306" s="29">
        <v>13469</v>
      </c>
      <c r="D306" s="29"/>
      <c r="E306" s="91"/>
    </row>
    <row r="307" spans="1:5">
      <c r="A307" s="14" t="s">
        <v>121</v>
      </c>
      <c r="B307" s="21" t="s">
        <v>34</v>
      </c>
      <c r="C307" s="29">
        <v>14334</v>
      </c>
      <c r="D307" s="29"/>
      <c r="E307" s="91"/>
    </row>
    <row r="308" spans="1:5">
      <c r="A308" s="14" t="s">
        <v>121</v>
      </c>
      <c r="B308" s="21" t="s">
        <v>35</v>
      </c>
      <c r="C308" s="29">
        <v>15386</v>
      </c>
      <c r="D308" s="29"/>
      <c r="E308" s="91"/>
    </row>
    <row r="309" spans="1:5">
      <c r="A309" s="14" t="s">
        <v>121</v>
      </c>
      <c r="B309" s="21" t="s">
        <v>36</v>
      </c>
      <c r="C309" s="29">
        <v>14698</v>
      </c>
      <c r="D309" s="29"/>
      <c r="E309" s="91"/>
    </row>
    <row r="310" spans="1:5">
      <c r="A310" s="14" t="s">
        <v>121</v>
      </c>
      <c r="B310" s="21" t="s">
        <v>37</v>
      </c>
      <c r="C310" s="29">
        <v>16612</v>
      </c>
      <c r="D310" s="29"/>
      <c r="E310" s="91"/>
    </row>
    <row r="311" spans="1:5">
      <c r="A311" s="14" t="s">
        <v>121</v>
      </c>
      <c r="B311" s="21" t="s">
        <v>38</v>
      </c>
      <c r="C311" s="29">
        <v>14156</v>
      </c>
      <c r="D311" s="29"/>
      <c r="E311" s="91"/>
    </row>
    <row r="312" spans="1:5">
      <c r="A312" s="14" t="s">
        <v>121</v>
      </c>
      <c r="B312" s="21" t="s">
        <v>39</v>
      </c>
      <c r="C312" s="29">
        <v>13188</v>
      </c>
      <c r="D312" s="29"/>
      <c r="E312" s="91"/>
    </row>
    <row r="313" spans="1:5">
      <c r="A313" s="14" t="s">
        <v>121</v>
      </c>
      <c r="B313" s="21" t="s">
        <v>40</v>
      </c>
      <c r="C313" s="29">
        <v>7132</v>
      </c>
      <c r="D313" s="29"/>
      <c r="E313" s="91"/>
    </row>
    <row r="314" spans="1:5">
      <c r="A314" s="14" t="s">
        <v>122</v>
      </c>
      <c r="B314" s="21" t="s">
        <v>17</v>
      </c>
      <c r="C314" s="29">
        <v>6668</v>
      </c>
      <c r="D314" s="29"/>
      <c r="E314" s="91"/>
    </row>
    <row r="315" spans="1:5">
      <c r="A315" s="14" t="s">
        <v>122</v>
      </c>
      <c r="B315" s="21" t="s">
        <v>18</v>
      </c>
      <c r="C315" s="29">
        <v>7631</v>
      </c>
      <c r="D315" s="29"/>
      <c r="E315" s="91"/>
    </row>
    <row r="316" spans="1:5">
      <c r="A316" s="14" t="s">
        <v>122</v>
      </c>
      <c r="B316" s="21" t="s">
        <v>19</v>
      </c>
      <c r="C316" s="29">
        <v>7797</v>
      </c>
      <c r="D316" s="29"/>
      <c r="E316" s="91"/>
    </row>
    <row r="317" spans="1:5">
      <c r="A317" s="14" t="s">
        <v>122</v>
      </c>
      <c r="B317" s="21" t="s">
        <v>20</v>
      </c>
      <c r="C317" s="29">
        <v>8837</v>
      </c>
      <c r="D317" s="29"/>
      <c r="E317" s="91"/>
    </row>
    <row r="318" spans="1:5">
      <c r="A318" s="14" t="s">
        <v>122</v>
      </c>
      <c r="B318" s="21" t="s">
        <v>21</v>
      </c>
      <c r="C318" s="29">
        <v>14418</v>
      </c>
      <c r="D318" s="29"/>
      <c r="E318" s="91"/>
    </row>
    <row r="319" spans="1:5">
      <c r="A319" s="14" t="s">
        <v>122</v>
      </c>
      <c r="B319" s="21" t="s">
        <v>22</v>
      </c>
      <c r="C319" s="29">
        <v>18141</v>
      </c>
      <c r="D319" s="29"/>
      <c r="E319" s="91"/>
    </row>
    <row r="320" spans="1:5">
      <c r="A320" s="14" t="s">
        <v>122</v>
      </c>
      <c r="B320" s="21" t="s">
        <v>23</v>
      </c>
      <c r="C320" s="29">
        <v>18085</v>
      </c>
      <c r="D320" s="29"/>
      <c r="E320" s="91"/>
    </row>
    <row r="321" spans="1:5">
      <c r="A321" s="14" t="s">
        <v>122</v>
      </c>
      <c r="B321" s="21" t="s">
        <v>24</v>
      </c>
      <c r="C321" s="29">
        <v>15945</v>
      </c>
      <c r="D321" s="29"/>
      <c r="E321" s="91"/>
    </row>
    <row r="322" spans="1:5">
      <c r="A322" s="14" t="s">
        <v>122</v>
      </c>
      <c r="B322" s="21" t="s">
        <v>25</v>
      </c>
      <c r="C322" s="29">
        <v>14349</v>
      </c>
      <c r="D322" s="29"/>
      <c r="E322" s="91"/>
    </row>
    <row r="323" spans="1:5">
      <c r="A323" s="14" t="s">
        <v>122</v>
      </c>
      <c r="B323" s="21" t="s">
        <v>26</v>
      </c>
      <c r="C323" s="29">
        <v>14007</v>
      </c>
      <c r="D323" s="29"/>
      <c r="E323" s="91"/>
    </row>
    <row r="324" spans="1:5">
      <c r="A324" s="14" t="s">
        <v>122</v>
      </c>
      <c r="B324" s="21" t="s">
        <v>27</v>
      </c>
      <c r="C324" s="29">
        <v>14709</v>
      </c>
      <c r="D324" s="29"/>
      <c r="E324" s="91"/>
    </row>
    <row r="325" spans="1:5">
      <c r="A325" s="14" t="s">
        <v>122</v>
      </c>
      <c r="B325" s="21" t="s">
        <v>28</v>
      </c>
      <c r="C325" s="29">
        <v>13988</v>
      </c>
      <c r="D325" s="29"/>
      <c r="E325" s="91"/>
    </row>
    <row r="326" spans="1:5">
      <c r="A326" s="14" t="s">
        <v>122</v>
      </c>
      <c r="B326" s="21" t="s">
        <v>29</v>
      </c>
      <c r="C326" s="29">
        <v>13682</v>
      </c>
      <c r="D326" s="29"/>
      <c r="E326" s="91"/>
    </row>
    <row r="327" spans="1:5">
      <c r="A327" s="14" t="s">
        <v>122</v>
      </c>
      <c r="B327" s="21" t="s">
        <v>30</v>
      </c>
      <c r="C327" s="29">
        <v>14239</v>
      </c>
      <c r="D327" s="29"/>
      <c r="E327" s="91"/>
    </row>
    <row r="328" spans="1:5">
      <c r="A328" s="14" t="s">
        <v>122</v>
      </c>
      <c r="B328" s="21" t="s">
        <v>31</v>
      </c>
      <c r="C328" s="29">
        <v>14501</v>
      </c>
      <c r="D328" s="29"/>
      <c r="E328" s="91"/>
    </row>
    <row r="329" spans="1:5">
      <c r="A329" s="14" t="s">
        <v>122</v>
      </c>
      <c r="B329" s="21" t="s">
        <v>32</v>
      </c>
      <c r="C329" s="29">
        <v>12567</v>
      </c>
      <c r="D329" s="29"/>
      <c r="E329" s="91"/>
    </row>
    <row r="330" spans="1:5">
      <c r="A330" s="14" t="s">
        <v>122</v>
      </c>
      <c r="B330" s="21" t="s">
        <v>33</v>
      </c>
      <c r="C330" s="29">
        <v>12684</v>
      </c>
      <c r="D330" s="29"/>
      <c r="E330" s="91"/>
    </row>
    <row r="331" spans="1:5">
      <c r="A331" s="14" t="s">
        <v>122</v>
      </c>
      <c r="B331" s="21" t="s">
        <v>34</v>
      </c>
      <c r="C331" s="29">
        <v>13809</v>
      </c>
      <c r="D331" s="29"/>
      <c r="E331" s="91"/>
    </row>
    <row r="332" spans="1:5">
      <c r="A332" s="14" t="s">
        <v>122</v>
      </c>
      <c r="B332" s="21" t="s">
        <v>35</v>
      </c>
      <c r="C332" s="29">
        <v>14869</v>
      </c>
      <c r="D332" s="29"/>
      <c r="E332" s="91"/>
    </row>
    <row r="333" spans="1:5">
      <c r="A333" s="14" t="s">
        <v>122</v>
      </c>
      <c r="B333" s="21" t="s">
        <v>36</v>
      </c>
      <c r="C333" s="29">
        <v>14445</v>
      </c>
      <c r="D333" s="29"/>
      <c r="E333" s="91"/>
    </row>
    <row r="334" spans="1:5">
      <c r="A334" s="14" t="s">
        <v>122</v>
      </c>
      <c r="B334" s="21" t="s">
        <v>37</v>
      </c>
      <c r="C334" s="29">
        <v>14401</v>
      </c>
      <c r="D334" s="29"/>
      <c r="E334" s="91"/>
    </row>
    <row r="335" spans="1:5">
      <c r="A335" s="14" t="s">
        <v>122</v>
      </c>
      <c r="B335" s="21" t="s">
        <v>38</v>
      </c>
      <c r="C335" s="29">
        <v>12965</v>
      </c>
      <c r="D335" s="29"/>
      <c r="E335" s="91"/>
    </row>
    <row r="336" spans="1:5">
      <c r="A336" s="14" t="s">
        <v>122</v>
      </c>
      <c r="B336" s="21" t="s">
        <v>39</v>
      </c>
      <c r="C336" s="29">
        <v>11494</v>
      </c>
      <c r="D336" s="29"/>
      <c r="E336" s="91"/>
    </row>
    <row r="337" spans="1:5">
      <c r="A337" s="14" t="s">
        <v>122</v>
      </c>
      <c r="B337" s="21" t="s">
        <v>40</v>
      </c>
      <c r="C337" s="29">
        <v>5914</v>
      </c>
      <c r="D337" s="29"/>
      <c r="E337" s="91"/>
    </row>
    <row r="338" spans="1:5">
      <c r="A338" s="14" t="s">
        <v>123</v>
      </c>
      <c r="B338" s="21" t="s">
        <v>17</v>
      </c>
      <c r="C338" s="29">
        <v>5261</v>
      </c>
      <c r="D338" s="29"/>
      <c r="E338" s="91"/>
    </row>
    <row r="339" spans="1:5">
      <c r="A339" s="14" t="s">
        <v>123</v>
      </c>
      <c r="B339" s="21" t="s">
        <v>18</v>
      </c>
      <c r="C339" s="29">
        <v>6423</v>
      </c>
      <c r="D339" s="29"/>
      <c r="E339" s="91"/>
    </row>
    <row r="340" spans="1:5">
      <c r="A340" s="14" t="s">
        <v>123</v>
      </c>
      <c r="B340" s="21" t="s">
        <v>19</v>
      </c>
      <c r="C340" s="29">
        <v>6605</v>
      </c>
      <c r="D340" s="29"/>
      <c r="E340" s="91"/>
    </row>
    <row r="341" spans="1:5">
      <c r="A341" s="14" t="s">
        <v>123</v>
      </c>
      <c r="B341" s="21" t="s">
        <v>20</v>
      </c>
      <c r="C341" s="29">
        <v>8247</v>
      </c>
      <c r="D341" s="29"/>
      <c r="E341" s="91"/>
    </row>
    <row r="342" spans="1:5">
      <c r="A342" s="14" t="s">
        <v>123</v>
      </c>
      <c r="B342" s="21" t="s">
        <v>21</v>
      </c>
      <c r="C342" s="29">
        <v>14825</v>
      </c>
      <c r="D342" s="29"/>
      <c r="E342" s="91"/>
    </row>
    <row r="343" spans="1:5">
      <c r="A343" s="14" t="s">
        <v>123</v>
      </c>
      <c r="B343" s="21" t="s">
        <v>22</v>
      </c>
      <c r="C343" s="29">
        <v>18009</v>
      </c>
      <c r="D343" s="29"/>
      <c r="E343" s="91"/>
    </row>
    <row r="344" spans="1:5">
      <c r="A344" s="14" t="s">
        <v>123</v>
      </c>
      <c r="B344" s="21" t="s">
        <v>23</v>
      </c>
      <c r="C344" s="29">
        <v>18154</v>
      </c>
      <c r="D344" s="29"/>
      <c r="E344" s="91"/>
    </row>
    <row r="345" spans="1:5">
      <c r="A345" s="14" t="s">
        <v>123</v>
      </c>
      <c r="B345" s="21" t="s">
        <v>24</v>
      </c>
      <c r="C345" s="29">
        <v>12860</v>
      </c>
      <c r="D345" s="29"/>
      <c r="E345" s="91"/>
    </row>
    <row r="346" spans="1:5">
      <c r="A346" s="14" t="s">
        <v>123</v>
      </c>
      <c r="B346" s="21" t="s">
        <v>25</v>
      </c>
      <c r="C346" s="29">
        <v>16950</v>
      </c>
      <c r="D346" s="29"/>
      <c r="E346" s="91"/>
    </row>
    <row r="347" spans="1:5">
      <c r="A347" s="14" t="s">
        <v>123</v>
      </c>
      <c r="B347" s="21" t="s">
        <v>26</v>
      </c>
      <c r="C347" s="29">
        <v>14638</v>
      </c>
      <c r="D347" s="29"/>
      <c r="E347" s="91"/>
    </row>
    <row r="348" spans="1:5">
      <c r="A348" s="14" t="s">
        <v>123</v>
      </c>
      <c r="B348" s="21" t="s">
        <v>27</v>
      </c>
      <c r="C348" s="29">
        <v>14252</v>
      </c>
      <c r="D348" s="29"/>
      <c r="E348" s="91"/>
    </row>
    <row r="349" spans="1:5">
      <c r="A349" s="14" t="s">
        <v>123</v>
      </c>
      <c r="B349" s="21" t="s">
        <v>28</v>
      </c>
      <c r="C349" s="29">
        <v>13365</v>
      </c>
      <c r="D349" s="29"/>
      <c r="E349" s="91"/>
    </row>
    <row r="350" spans="1:5">
      <c r="A350" s="14" t="s">
        <v>123</v>
      </c>
      <c r="B350" s="21" t="s">
        <v>29</v>
      </c>
      <c r="C350" s="29">
        <v>12372</v>
      </c>
      <c r="D350" s="29"/>
      <c r="E350" s="91"/>
    </row>
    <row r="351" spans="1:5">
      <c r="A351" s="14" t="s">
        <v>123</v>
      </c>
      <c r="B351" s="21" t="s">
        <v>30</v>
      </c>
      <c r="C351" s="29">
        <v>13910</v>
      </c>
      <c r="D351" s="29"/>
      <c r="E351" s="91"/>
    </row>
    <row r="352" spans="1:5">
      <c r="A352" s="14" t="s">
        <v>123</v>
      </c>
      <c r="B352" s="21" t="s">
        <v>31</v>
      </c>
      <c r="C352" s="29">
        <v>12514</v>
      </c>
      <c r="D352" s="29"/>
      <c r="E352" s="91"/>
    </row>
    <row r="353" spans="1:5">
      <c r="A353" s="14" t="s">
        <v>123</v>
      </c>
      <c r="B353" s="21" t="s">
        <v>32</v>
      </c>
      <c r="C353" s="29">
        <v>10205</v>
      </c>
      <c r="D353" s="29"/>
      <c r="E353" s="91"/>
    </row>
    <row r="354" spans="1:5">
      <c r="A354" s="14" t="s">
        <v>123</v>
      </c>
      <c r="B354" s="21" t="s">
        <v>33</v>
      </c>
      <c r="C354" s="29">
        <v>11652</v>
      </c>
      <c r="D354" s="29"/>
      <c r="E354" s="91"/>
    </row>
    <row r="355" spans="1:5">
      <c r="A355" s="14" t="s">
        <v>123</v>
      </c>
      <c r="B355" s="21" t="s">
        <v>34</v>
      </c>
      <c r="C355" s="29">
        <v>12854</v>
      </c>
      <c r="D355" s="29"/>
      <c r="E355" s="91"/>
    </row>
    <row r="356" spans="1:5">
      <c r="A356" s="14" t="s">
        <v>123</v>
      </c>
      <c r="B356" s="21" t="s">
        <v>35</v>
      </c>
      <c r="C356" s="29">
        <v>15601</v>
      </c>
      <c r="D356" s="29"/>
      <c r="E356" s="91"/>
    </row>
    <row r="357" spans="1:5">
      <c r="A357" s="14" t="s">
        <v>123</v>
      </c>
      <c r="B357" s="21" t="s">
        <v>36</v>
      </c>
      <c r="C357" s="29">
        <v>15547</v>
      </c>
      <c r="D357" s="29"/>
      <c r="E357" s="91"/>
    </row>
    <row r="358" spans="1:5">
      <c r="A358" s="14" t="s">
        <v>123</v>
      </c>
      <c r="B358" s="21" t="s">
        <v>37</v>
      </c>
      <c r="C358" s="29">
        <v>16516</v>
      </c>
      <c r="D358" s="29"/>
      <c r="E358" s="91"/>
    </row>
    <row r="359" spans="1:5">
      <c r="A359" s="14" t="s">
        <v>123</v>
      </c>
      <c r="B359" s="21" t="s">
        <v>38</v>
      </c>
      <c r="C359" s="29">
        <v>16641</v>
      </c>
      <c r="D359" s="29"/>
      <c r="E359" s="91"/>
    </row>
    <row r="360" spans="1:5">
      <c r="A360" s="14" t="s">
        <v>123</v>
      </c>
      <c r="B360" s="21" t="s">
        <v>39</v>
      </c>
      <c r="C360" s="29">
        <v>13371</v>
      </c>
      <c r="D360" s="29"/>
      <c r="E360" s="91"/>
    </row>
    <row r="361" spans="1:5">
      <c r="A361" s="14" t="s">
        <v>123</v>
      </c>
      <c r="B361" s="21" t="s">
        <v>40</v>
      </c>
      <c r="C361" s="29">
        <v>8929</v>
      </c>
      <c r="D361" s="29"/>
      <c r="E361" s="91"/>
    </row>
    <row r="362" spans="1:5">
      <c r="A362" s="14" t="s">
        <v>124</v>
      </c>
      <c r="B362" s="21" t="s">
        <v>17</v>
      </c>
      <c r="C362" s="29">
        <v>7163</v>
      </c>
      <c r="D362" s="29"/>
      <c r="E362" s="91"/>
    </row>
    <row r="363" spans="1:5">
      <c r="A363" s="14" t="s">
        <v>124</v>
      </c>
      <c r="B363" s="21" t="s">
        <v>18</v>
      </c>
      <c r="C363" s="29">
        <v>9458</v>
      </c>
      <c r="D363" s="29"/>
      <c r="E363" s="91"/>
    </row>
    <row r="364" spans="1:5">
      <c r="A364" s="14" t="s">
        <v>124</v>
      </c>
      <c r="B364" s="21" t="s">
        <v>19</v>
      </c>
      <c r="C364" s="29">
        <v>9142</v>
      </c>
      <c r="D364" s="29"/>
      <c r="E364" s="91"/>
    </row>
    <row r="365" spans="1:5">
      <c r="A365" s="14" t="s">
        <v>124</v>
      </c>
      <c r="B365" s="21" t="s">
        <v>20</v>
      </c>
      <c r="C365" s="29">
        <v>9625</v>
      </c>
      <c r="D365" s="29"/>
      <c r="E365" s="91"/>
    </row>
    <row r="366" spans="1:5">
      <c r="A366" s="14" t="s">
        <v>124</v>
      </c>
      <c r="B366" s="21" t="s">
        <v>21</v>
      </c>
      <c r="C366" s="29">
        <v>14479</v>
      </c>
      <c r="D366" s="29"/>
      <c r="E366" s="91"/>
    </row>
    <row r="367" spans="1:5">
      <c r="A367" s="14" t="s">
        <v>124</v>
      </c>
      <c r="B367" s="21" t="s">
        <v>22</v>
      </c>
      <c r="C367" s="29">
        <v>18311</v>
      </c>
      <c r="D367" s="29"/>
      <c r="E367" s="91"/>
    </row>
    <row r="368" spans="1:5">
      <c r="A368" s="14" t="s">
        <v>124</v>
      </c>
      <c r="B368" s="21" t="s">
        <v>23</v>
      </c>
      <c r="C368" s="29">
        <v>17995</v>
      </c>
      <c r="D368" s="29"/>
      <c r="E368" s="91"/>
    </row>
    <row r="369" spans="1:5">
      <c r="A369" s="14" t="s">
        <v>124</v>
      </c>
      <c r="B369" s="21" t="s">
        <v>24</v>
      </c>
      <c r="C369" s="29">
        <v>13422</v>
      </c>
      <c r="D369" s="29"/>
      <c r="E369" s="91"/>
    </row>
    <row r="370" spans="1:5">
      <c r="A370" s="14" t="s">
        <v>124</v>
      </c>
      <c r="B370" s="21" t="s">
        <v>25</v>
      </c>
      <c r="C370" s="29">
        <v>16848</v>
      </c>
      <c r="D370" s="29"/>
      <c r="E370" s="91"/>
    </row>
    <row r="371" spans="1:5">
      <c r="A371" s="14" t="s">
        <v>124</v>
      </c>
      <c r="B371" s="21" t="s">
        <v>26</v>
      </c>
      <c r="C371" s="29">
        <v>15660</v>
      </c>
      <c r="D371" s="29"/>
      <c r="E371" s="91"/>
    </row>
    <row r="372" spans="1:5">
      <c r="A372" s="14" t="s">
        <v>124</v>
      </c>
      <c r="B372" s="21" t="s">
        <v>27</v>
      </c>
      <c r="C372" s="29">
        <v>15765</v>
      </c>
      <c r="D372" s="29"/>
      <c r="E372" s="91"/>
    </row>
    <row r="373" spans="1:5">
      <c r="A373" s="14" t="s">
        <v>124</v>
      </c>
      <c r="B373" s="21" t="s">
        <v>28</v>
      </c>
      <c r="C373" s="29">
        <v>14819</v>
      </c>
      <c r="D373" s="29"/>
      <c r="E373" s="91"/>
    </row>
    <row r="374" spans="1:5">
      <c r="A374" s="14" t="s">
        <v>124</v>
      </c>
      <c r="B374" s="21" t="s">
        <v>29</v>
      </c>
      <c r="C374" s="29">
        <v>14473</v>
      </c>
      <c r="D374" s="29"/>
      <c r="E374" s="91"/>
    </row>
    <row r="375" spans="1:5">
      <c r="A375" s="14" t="s">
        <v>124</v>
      </c>
      <c r="B375" s="21" t="s">
        <v>30</v>
      </c>
      <c r="C375" s="29">
        <v>13437</v>
      </c>
      <c r="D375" s="29"/>
      <c r="E375" s="91"/>
    </row>
    <row r="376" spans="1:5">
      <c r="A376" s="14" t="s">
        <v>124</v>
      </c>
      <c r="B376" s="21" t="s">
        <v>31</v>
      </c>
      <c r="C376" s="29">
        <v>13343</v>
      </c>
      <c r="D376" s="29"/>
      <c r="E376" s="91"/>
    </row>
    <row r="377" spans="1:5">
      <c r="A377" s="14" t="s">
        <v>124</v>
      </c>
      <c r="B377" s="21" t="s">
        <v>32</v>
      </c>
      <c r="C377" s="29">
        <v>14418</v>
      </c>
      <c r="D377" s="29"/>
      <c r="E377" s="91"/>
    </row>
    <row r="378" spans="1:5">
      <c r="A378" s="14" t="s">
        <v>124</v>
      </c>
      <c r="B378" s="21" t="s">
        <v>33</v>
      </c>
      <c r="C378" s="29">
        <v>13949</v>
      </c>
      <c r="D378" s="29"/>
      <c r="E378" s="91"/>
    </row>
    <row r="379" spans="1:5">
      <c r="A379" s="14" t="s">
        <v>124</v>
      </c>
      <c r="B379" s="21" t="s">
        <v>34</v>
      </c>
      <c r="C379" s="29">
        <v>13770</v>
      </c>
      <c r="D379" s="29"/>
      <c r="E379" s="91"/>
    </row>
    <row r="380" spans="1:5">
      <c r="A380" s="14" t="s">
        <v>124</v>
      </c>
      <c r="B380" s="21" t="s">
        <v>35</v>
      </c>
      <c r="C380" s="29">
        <v>14746</v>
      </c>
      <c r="D380" s="29"/>
      <c r="E380" s="91"/>
    </row>
    <row r="381" spans="1:5">
      <c r="A381" s="14" t="s">
        <v>124</v>
      </c>
      <c r="B381" s="21" t="s">
        <v>36</v>
      </c>
      <c r="C381" s="29">
        <v>12930</v>
      </c>
      <c r="D381" s="29"/>
      <c r="E381" s="91"/>
    </row>
    <row r="382" spans="1:5">
      <c r="A382" s="14" t="s">
        <v>124</v>
      </c>
      <c r="B382" s="21" t="s">
        <v>37</v>
      </c>
      <c r="C382" s="29">
        <v>15408</v>
      </c>
      <c r="D382" s="29"/>
      <c r="E382" s="91"/>
    </row>
    <row r="383" spans="1:5">
      <c r="A383" s="14" t="s">
        <v>124</v>
      </c>
      <c r="B383" s="21" t="s">
        <v>38</v>
      </c>
      <c r="C383" s="29">
        <v>14189</v>
      </c>
      <c r="D383" s="29"/>
      <c r="E383" s="91"/>
    </row>
    <row r="384" spans="1:5">
      <c r="A384" s="14" t="s">
        <v>124</v>
      </c>
      <c r="B384" s="21" t="s">
        <v>39</v>
      </c>
      <c r="C384" s="29">
        <v>12872</v>
      </c>
      <c r="D384" s="29"/>
      <c r="E384" s="91"/>
    </row>
    <row r="385" spans="1:5">
      <c r="A385" s="14" t="s">
        <v>124</v>
      </c>
      <c r="B385" s="21" t="s">
        <v>40</v>
      </c>
      <c r="C385" s="29">
        <v>6137</v>
      </c>
      <c r="D385" s="29"/>
      <c r="E385" s="91"/>
    </row>
    <row r="386" spans="1:5">
      <c r="A386" s="14" t="s">
        <v>125</v>
      </c>
      <c r="B386" s="21" t="s">
        <v>17</v>
      </c>
      <c r="C386" s="29">
        <v>5403</v>
      </c>
      <c r="D386" s="29"/>
      <c r="E386" s="91"/>
    </row>
    <row r="387" spans="1:5">
      <c r="A387" s="14" t="s">
        <v>125</v>
      </c>
      <c r="B387" s="21" t="s">
        <v>18</v>
      </c>
      <c r="C387" s="29">
        <v>7266</v>
      </c>
      <c r="D387" s="29"/>
      <c r="E387" s="91"/>
    </row>
    <row r="388" spans="1:5">
      <c r="A388" s="14" t="s">
        <v>125</v>
      </c>
      <c r="B388" s="21" t="s">
        <v>19</v>
      </c>
      <c r="C388" s="29">
        <v>8277</v>
      </c>
      <c r="D388" s="29"/>
      <c r="E388" s="91"/>
    </row>
    <row r="389" spans="1:5">
      <c r="A389" s="14" t="s">
        <v>125</v>
      </c>
      <c r="B389" s="21" t="s">
        <v>20</v>
      </c>
      <c r="C389" s="29">
        <v>9145</v>
      </c>
      <c r="D389" s="29"/>
      <c r="E389" s="91"/>
    </row>
    <row r="390" spans="1:5">
      <c r="A390" s="14" t="s">
        <v>125</v>
      </c>
      <c r="B390" s="21" t="s">
        <v>21</v>
      </c>
      <c r="C390" s="29">
        <v>13947</v>
      </c>
      <c r="D390" s="29"/>
      <c r="E390" s="91"/>
    </row>
    <row r="391" spans="1:5">
      <c r="A391" s="14" t="s">
        <v>125</v>
      </c>
      <c r="B391" s="21" t="s">
        <v>22</v>
      </c>
      <c r="C391" s="29">
        <v>16432</v>
      </c>
      <c r="D391" s="29"/>
      <c r="E391" s="91"/>
    </row>
    <row r="392" spans="1:5">
      <c r="A392" s="14" t="s">
        <v>125</v>
      </c>
      <c r="B392" s="21" t="s">
        <v>23</v>
      </c>
      <c r="C392" s="29">
        <v>18271</v>
      </c>
      <c r="D392" s="29"/>
      <c r="E392" s="91"/>
    </row>
    <row r="393" spans="1:5">
      <c r="A393" s="14" t="s">
        <v>125</v>
      </c>
      <c r="B393" s="21" t="s">
        <v>24</v>
      </c>
      <c r="C393" s="29">
        <v>16352</v>
      </c>
      <c r="D393" s="29"/>
      <c r="E393" s="91"/>
    </row>
    <row r="394" spans="1:5">
      <c r="A394" s="14" t="s">
        <v>125</v>
      </c>
      <c r="B394" s="21" t="s">
        <v>25</v>
      </c>
      <c r="C394" s="29">
        <v>15224</v>
      </c>
      <c r="D394" s="29"/>
      <c r="E394" s="91"/>
    </row>
    <row r="395" spans="1:5">
      <c r="A395" s="14" t="s">
        <v>125</v>
      </c>
      <c r="B395" s="21" t="s">
        <v>26</v>
      </c>
      <c r="C395" s="29">
        <v>15088</v>
      </c>
      <c r="D395" s="29"/>
      <c r="E395" s="91"/>
    </row>
    <row r="396" spans="1:5">
      <c r="A396" s="14" t="s">
        <v>125</v>
      </c>
      <c r="B396" s="21" t="s">
        <v>27</v>
      </c>
      <c r="C396" s="29">
        <v>14776</v>
      </c>
      <c r="D396" s="29"/>
      <c r="E396" s="91"/>
    </row>
    <row r="397" spans="1:5">
      <c r="A397" s="14" t="s">
        <v>125</v>
      </c>
      <c r="B397" s="21" t="s">
        <v>28</v>
      </c>
      <c r="C397" s="29">
        <v>13919</v>
      </c>
      <c r="D397" s="29"/>
      <c r="E397" s="91"/>
    </row>
    <row r="398" spans="1:5">
      <c r="A398" s="14" t="s">
        <v>125</v>
      </c>
      <c r="B398" s="21" t="s">
        <v>29</v>
      </c>
      <c r="C398" s="29">
        <v>14470</v>
      </c>
      <c r="D398" s="29"/>
      <c r="E398" s="91"/>
    </row>
    <row r="399" spans="1:5">
      <c r="A399" s="14" t="s">
        <v>125</v>
      </c>
      <c r="B399" s="21" t="s">
        <v>30</v>
      </c>
      <c r="C399" s="29">
        <v>13002</v>
      </c>
      <c r="D399" s="29"/>
      <c r="E399" s="91"/>
    </row>
    <row r="400" spans="1:5">
      <c r="A400" s="14" t="s">
        <v>125</v>
      </c>
      <c r="B400" s="21" t="s">
        <v>31</v>
      </c>
      <c r="C400" s="29">
        <v>14223</v>
      </c>
      <c r="D400" s="29"/>
      <c r="E400" s="91"/>
    </row>
    <row r="401" spans="1:5">
      <c r="A401" s="14" t="s">
        <v>125</v>
      </c>
      <c r="B401" s="21" t="s">
        <v>32</v>
      </c>
      <c r="C401" s="29">
        <v>14369</v>
      </c>
      <c r="D401" s="29"/>
      <c r="E401" s="91"/>
    </row>
    <row r="402" spans="1:5">
      <c r="A402" s="14" t="s">
        <v>125</v>
      </c>
      <c r="B402" s="21" t="s">
        <v>33</v>
      </c>
      <c r="C402" s="29">
        <v>14772</v>
      </c>
      <c r="D402" s="29"/>
      <c r="E402" s="91"/>
    </row>
    <row r="403" spans="1:5">
      <c r="A403" s="14" t="s">
        <v>125</v>
      </c>
      <c r="B403" s="21" t="s">
        <v>34</v>
      </c>
      <c r="C403" s="29">
        <v>15020</v>
      </c>
      <c r="D403" s="29"/>
      <c r="E403" s="91"/>
    </row>
    <row r="404" spans="1:5">
      <c r="A404" s="14" t="s">
        <v>125</v>
      </c>
      <c r="B404" s="21" t="s">
        <v>35</v>
      </c>
      <c r="C404" s="29">
        <v>14693</v>
      </c>
      <c r="D404" s="29"/>
      <c r="E404" s="91"/>
    </row>
    <row r="405" spans="1:5">
      <c r="A405" s="14" t="s">
        <v>125</v>
      </c>
      <c r="B405" s="21" t="s">
        <v>36</v>
      </c>
      <c r="C405" s="29">
        <v>15019</v>
      </c>
      <c r="D405" s="29"/>
      <c r="E405" s="91"/>
    </row>
    <row r="406" spans="1:5">
      <c r="A406" s="14" t="s">
        <v>125</v>
      </c>
      <c r="B406" s="21" t="s">
        <v>37</v>
      </c>
      <c r="C406" s="29">
        <v>15058</v>
      </c>
      <c r="D406" s="29"/>
      <c r="E406" s="91"/>
    </row>
    <row r="407" spans="1:5">
      <c r="A407" s="14" t="s">
        <v>125</v>
      </c>
      <c r="B407" s="21" t="s">
        <v>38</v>
      </c>
      <c r="C407" s="29">
        <v>13864</v>
      </c>
      <c r="D407" s="29"/>
      <c r="E407" s="91"/>
    </row>
    <row r="408" spans="1:5">
      <c r="A408" s="14" t="s">
        <v>125</v>
      </c>
      <c r="B408" s="21" t="s">
        <v>39</v>
      </c>
      <c r="C408" s="29">
        <v>11000</v>
      </c>
      <c r="D408" s="29"/>
      <c r="E408" s="91"/>
    </row>
    <row r="409" spans="1:5">
      <c r="A409" s="14" t="s">
        <v>125</v>
      </c>
      <c r="B409" s="21" t="s">
        <v>40</v>
      </c>
      <c r="C409" s="29">
        <v>5788</v>
      </c>
      <c r="D409" s="29"/>
      <c r="E409" s="91"/>
    </row>
    <row r="410" spans="1:5">
      <c r="A410" s="14" t="s">
        <v>126</v>
      </c>
      <c r="B410" s="21" t="s">
        <v>17</v>
      </c>
      <c r="C410" s="29">
        <v>5279</v>
      </c>
      <c r="D410" s="29"/>
      <c r="E410" s="91"/>
    </row>
    <row r="411" spans="1:5">
      <c r="A411" s="14" t="s">
        <v>126</v>
      </c>
      <c r="B411" s="21" t="s">
        <v>18</v>
      </c>
      <c r="C411" s="29">
        <v>10372</v>
      </c>
      <c r="D411" s="29"/>
      <c r="E411" s="91"/>
    </row>
    <row r="412" spans="1:5">
      <c r="A412" s="14" t="s">
        <v>126</v>
      </c>
      <c r="B412" s="21" t="s">
        <v>19</v>
      </c>
      <c r="C412" s="29">
        <v>10544</v>
      </c>
      <c r="D412" s="29"/>
      <c r="E412" s="91"/>
    </row>
    <row r="413" spans="1:5">
      <c r="A413" s="14" t="s">
        <v>126</v>
      </c>
      <c r="B413" s="21" t="s">
        <v>20</v>
      </c>
      <c r="C413" s="29">
        <v>10777</v>
      </c>
      <c r="D413" s="29"/>
      <c r="E413" s="91"/>
    </row>
    <row r="414" spans="1:5">
      <c r="A414" s="14" t="s">
        <v>126</v>
      </c>
      <c r="B414" s="21" t="s">
        <v>21</v>
      </c>
      <c r="C414" s="29">
        <v>12295</v>
      </c>
      <c r="D414" s="29"/>
      <c r="E414" s="91"/>
    </row>
    <row r="415" spans="1:5">
      <c r="A415" s="14" t="s">
        <v>126</v>
      </c>
      <c r="B415" s="21" t="s">
        <v>22</v>
      </c>
      <c r="C415" s="29">
        <v>12209</v>
      </c>
      <c r="D415" s="29"/>
      <c r="E415" s="91"/>
    </row>
    <row r="416" spans="1:5">
      <c r="A416" s="14" t="s">
        <v>126</v>
      </c>
      <c r="B416" s="21" t="s">
        <v>23</v>
      </c>
      <c r="C416" s="29">
        <v>12735</v>
      </c>
      <c r="D416" s="29"/>
      <c r="E416" s="91"/>
    </row>
    <row r="417" spans="1:5">
      <c r="A417" s="14" t="s">
        <v>126</v>
      </c>
      <c r="B417" s="21" t="s">
        <v>24</v>
      </c>
      <c r="C417" s="29">
        <v>12033</v>
      </c>
      <c r="D417" s="29"/>
      <c r="E417" s="91"/>
    </row>
    <row r="418" spans="1:5">
      <c r="A418" s="14" t="s">
        <v>126</v>
      </c>
      <c r="B418" s="21" t="s">
        <v>25</v>
      </c>
      <c r="C418" s="29">
        <v>12039</v>
      </c>
      <c r="D418" s="29"/>
      <c r="E418" s="91"/>
    </row>
    <row r="419" spans="1:5">
      <c r="A419" s="14" t="s">
        <v>126</v>
      </c>
      <c r="B419" s="21" t="s">
        <v>26</v>
      </c>
      <c r="C419" s="29">
        <v>11987</v>
      </c>
      <c r="D419" s="29"/>
      <c r="E419" s="91"/>
    </row>
    <row r="420" spans="1:5">
      <c r="A420" s="14" t="s">
        <v>126</v>
      </c>
      <c r="B420" s="21" t="s">
        <v>27</v>
      </c>
      <c r="C420" s="29">
        <v>11908</v>
      </c>
      <c r="D420" s="29"/>
      <c r="E420" s="91"/>
    </row>
    <row r="421" spans="1:5">
      <c r="A421" s="14" t="s">
        <v>126</v>
      </c>
      <c r="B421" s="21" t="s">
        <v>28</v>
      </c>
      <c r="C421" s="29">
        <v>11979</v>
      </c>
      <c r="D421" s="29"/>
      <c r="E421" s="91"/>
    </row>
    <row r="422" spans="1:5">
      <c r="A422" s="14" t="s">
        <v>126</v>
      </c>
      <c r="B422" s="21" t="s">
        <v>29</v>
      </c>
      <c r="C422" s="29">
        <v>12214</v>
      </c>
      <c r="D422" s="29"/>
      <c r="E422" s="91"/>
    </row>
    <row r="423" spans="1:5">
      <c r="A423" s="14" t="s">
        <v>126</v>
      </c>
      <c r="B423" s="21" t="s">
        <v>30</v>
      </c>
      <c r="C423" s="29">
        <v>12108</v>
      </c>
      <c r="D423" s="29"/>
      <c r="E423" s="91"/>
    </row>
    <row r="424" spans="1:5">
      <c r="A424" s="14" t="s">
        <v>126</v>
      </c>
      <c r="B424" s="21" t="s">
        <v>31</v>
      </c>
      <c r="C424" s="29">
        <v>11641</v>
      </c>
      <c r="D424" s="29"/>
      <c r="E424" s="91"/>
    </row>
    <row r="425" spans="1:5">
      <c r="A425" s="14" t="s">
        <v>126</v>
      </c>
      <c r="B425" s="21" t="s">
        <v>32</v>
      </c>
      <c r="C425" s="29">
        <v>10790</v>
      </c>
      <c r="D425" s="29"/>
      <c r="E425" s="91"/>
    </row>
    <row r="426" spans="1:5">
      <c r="A426" s="14" t="s">
        <v>126</v>
      </c>
      <c r="B426" s="21" t="s">
        <v>33</v>
      </c>
      <c r="C426" s="29">
        <v>11088</v>
      </c>
      <c r="D426" s="29"/>
      <c r="E426" s="91"/>
    </row>
    <row r="427" spans="1:5">
      <c r="A427" s="14" t="s">
        <v>126</v>
      </c>
      <c r="B427" s="21" t="s">
        <v>34</v>
      </c>
      <c r="C427" s="29">
        <v>12089</v>
      </c>
      <c r="D427" s="29"/>
      <c r="E427" s="91"/>
    </row>
    <row r="428" spans="1:5">
      <c r="A428" s="14" t="s">
        <v>126</v>
      </c>
      <c r="B428" s="21" t="s">
        <v>35</v>
      </c>
      <c r="C428" s="29">
        <v>11930</v>
      </c>
      <c r="D428" s="29"/>
      <c r="E428" s="91"/>
    </row>
    <row r="429" spans="1:5">
      <c r="A429" s="14" t="s">
        <v>126</v>
      </c>
      <c r="B429" s="21" t="s">
        <v>36</v>
      </c>
      <c r="C429" s="29">
        <v>12124</v>
      </c>
      <c r="D429" s="29"/>
      <c r="E429" s="91"/>
    </row>
    <row r="430" spans="1:5">
      <c r="A430" s="14" t="s">
        <v>126</v>
      </c>
      <c r="B430" s="21" t="s">
        <v>37</v>
      </c>
      <c r="C430" s="29">
        <v>12587</v>
      </c>
      <c r="D430" s="29"/>
      <c r="E430" s="91"/>
    </row>
    <row r="431" spans="1:5">
      <c r="A431" s="14" t="s">
        <v>126</v>
      </c>
      <c r="B431" s="21" t="s">
        <v>38</v>
      </c>
      <c r="C431" s="29">
        <v>14435</v>
      </c>
      <c r="D431" s="29"/>
      <c r="E431" s="91"/>
    </row>
    <row r="432" spans="1:5">
      <c r="A432" s="14" t="s">
        <v>126</v>
      </c>
      <c r="B432" s="21" t="s">
        <v>39</v>
      </c>
      <c r="C432" s="29">
        <v>12360</v>
      </c>
      <c r="D432" s="29"/>
      <c r="E432" s="91"/>
    </row>
    <row r="433" spans="1:5">
      <c r="A433" s="14" t="s">
        <v>126</v>
      </c>
      <c r="B433" s="21" t="s">
        <v>40</v>
      </c>
      <c r="C433" s="29">
        <v>4849</v>
      </c>
      <c r="D433" s="29"/>
      <c r="E433" s="91"/>
    </row>
    <row r="434" spans="1:5">
      <c r="A434" s="14" t="s">
        <v>127</v>
      </c>
      <c r="B434" s="21" t="s">
        <v>17</v>
      </c>
      <c r="C434" s="29">
        <v>1834</v>
      </c>
      <c r="D434" s="29"/>
      <c r="E434" s="91"/>
    </row>
    <row r="435" spans="1:5">
      <c r="A435" s="14" t="s">
        <v>127</v>
      </c>
      <c r="B435" s="21" t="s">
        <v>18</v>
      </c>
      <c r="C435" s="29">
        <v>8421</v>
      </c>
      <c r="D435" s="29"/>
      <c r="E435" s="91"/>
    </row>
    <row r="436" spans="1:5">
      <c r="A436" s="14" t="s">
        <v>127</v>
      </c>
      <c r="B436" s="21" t="s">
        <v>19</v>
      </c>
      <c r="C436" s="29">
        <v>5427</v>
      </c>
      <c r="D436" s="29"/>
      <c r="E436" s="91"/>
    </row>
    <row r="437" spans="1:5">
      <c r="A437" s="14" t="s">
        <v>127</v>
      </c>
      <c r="B437" s="21" t="s">
        <v>20</v>
      </c>
      <c r="C437" s="29">
        <v>8368</v>
      </c>
      <c r="D437" s="29"/>
      <c r="E437" s="91"/>
    </row>
    <row r="438" spans="1:5">
      <c r="A438" s="14" t="s">
        <v>127</v>
      </c>
      <c r="B438" s="21" t="s">
        <v>21</v>
      </c>
      <c r="C438" s="29">
        <v>10384</v>
      </c>
      <c r="D438" s="29"/>
      <c r="E438" s="91"/>
    </row>
    <row r="439" spans="1:5">
      <c r="A439" s="14" t="s">
        <v>127</v>
      </c>
      <c r="B439" s="21" t="s">
        <v>22</v>
      </c>
      <c r="C439" s="29">
        <v>13294</v>
      </c>
      <c r="D439" s="29"/>
      <c r="E439" s="91"/>
    </row>
    <row r="440" spans="1:5">
      <c r="A440" s="14" t="s">
        <v>127</v>
      </c>
      <c r="B440" s="21" t="s">
        <v>23</v>
      </c>
      <c r="C440" s="29">
        <v>12718</v>
      </c>
      <c r="D440" s="29"/>
      <c r="E440" s="91"/>
    </row>
    <row r="441" spans="1:5">
      <c r="A441" s="14" t="s">
        <v>127</v>
      </c>
      <c r="B441" s="21" t="s">
        <v>24</v>
      </c>
      <c r="C441" s="29">
        <v>10685</v>
      </c>
      <c r="D441" s="29"/>
      <c r="E441" s="91"/>
    </row>
    <row r="442" spans="1:5">
      <c r="A442" s="14" t="s">
        <v>127</v>
      </c>
      <c r="B442" s="21" t="s">
        <v>25</v>
      </c>
      <c r="C442" s="29">
        <v>10961</v>
      </c>
      <c r="D442" s="29"/>
      <c r="E442" s="91"/>
    </row>
    <row r="443" spans="1:5">
      <c r="A443" s="14" t="s">
        <v>127</v>
      </c>
      <c r="B443" s="21" t="s">
        <v>26</v>
      </c>
      <c r="C443" s="29">
        <v>11760</v>
      </c>
      <c r="D443" s="29"/>
      <c r="E443" s="91"/>
    </row>
    <row r="444" spans="1:5">
      <c r="A444" s="14" t="s">
        <v>127</v>
      </c>
      <c r="B444" s="21" t="s">
        <v>27</v>
      </c>
      <c r="C444" s="29">
        <v>12293</v>
      </c>
      <c r="D444" s="29"/>
      <c r="E444" s="91"/>
    </row>
    <row r="445" spans="1:5">
      <c r="A445" s="14" t="s">
        <v>127</v>
      </c>
      <c r="B445" s="21" t="s">
        <v>28</v>
      </c>
      <c r="C445" s="29">
        <v>12083</v>
      </c>
      <c r="D445" s="29"/>
      <c r="E445" s="91"/>
    </row>
    <row r="446" spans="1:5">
      <c r="A446" s="14" t="s">
        <v>127</v>
      </c>
      <c r="B446" s="21" t="s">
        <v>29</v>
      </c>
      <c r="C446" s="29">
        <v>11896</v>
      </c>
      <c r="D446" s="29"/>
      <c r="E446" s="91"/>
    </row>
    <row r="447" spans="1:5">
      <c r="A447" s="14" t="s">
        <v>127</v>
      </c>
      <c r="B447" s="21" t="s">
        <v>30</v>
      </c>
      <c r="C447" s="29">
        <v>12023</v>
      </c>
      <c r="D447" s="29"/>
      <c r="E447" s="91"/>
    </row>
    <row r="448" spans="1:5">
      <c r="A448" s="14" t="s">
        <v>127</v>
      </c>
      <c r="B448" s="21" t="s">
        <v>31</v>
      </c>
      <c r="C448" s="29">
        <v>11923</v>
      </c>
      <c r="D448" s="29"/>
      <c r="E448" s="91"/>
    </row>
    <row r="449" spans="1:5">
      <c r="A449" s="14" t="s">
        <v>127</v>
      </c>
      <c r="B449" s="21" t="s">
        <v>32</v>
      </c>
      <c r="C449" s="29">
        <v>14145</v>
      </c>
      <c r="D449" s="29"/>
      <c r="E449" s="91"/>
    </row>
    <row r="450" spans="1:5">
      <c r="A450" s="14" t="s">
        <v>127</v>
      </c>
      <c r="B450" s="21" t="s">
        <v>33</v>
      </c>
      <c r="C450" s="29">
        <v>12242</v>
      </c>
      <c r="D450" s="29"/>
      <c r="E450" s="91"/>
    </row>
    <row r="451" spans="1:5">
      <c r="A451" s="14" t="s">
        <v>127</v>
      </c>
      <c r="B451" s="21" t="s">
        <v>34</v>
      </c>
      <c r="C451" s="29">
        <v>11922</v>
      </c>
      <c r="D451" s="29"/>
      <c r="E451" s="91"/>
    </row>
    <row r="452" spans="1:5">
      <c r="A452" s="14" t="s">
        <v>127</v>
      </c>
      <c r="B452" s="21" t="s">
        <v>35</v>
      </c>
      <c r="C452" s="29">
        <v>14552</v>
      </c>
      <c r="D452" s="29"/>
      <c r="E452" s="91"/>
    </row>
    <row r="453" spans="1:5">
      <c r="A453" s="14" t="s">
        <v>127</v>
      </c>
      <c r="B453" s="21" t="s">
        <v>36</v>
      </c>
      <c r="C453" s="29">
        <v>14462</v>
      </c>
      <c r="D453" s="29"/>
      <c r="E453" s="91"/>
    </row>
    <row r="454" spans="1:5">
      <c r="A454" s="14" t="s">
        <v>127</v>
      </c>
      <c r="B454" s="21" t="s">
        <v>37</v>
      </c>
      <c r="C454" s="29">
        <v>14465</v>
      </c>
      <c r="D454" s="29"/>
      <c r="E454" s="91"/>
    </row>
    <row r="455" spans="1:5">
      <c r="A455" s="14" t="s">
        <v>127</v>
      </c>
      <c r="B455" s="21" t="s">
        <v>38</v>
      </c>
      <c r="C455" s="29">
        <v>14917</v>
      </c>
      <c r="D455" s="29"/>
      <c r="E455" s="91"/>
    </row>
    <row r="456" spans="1:5">
      <c r="A456" s="14" t="s">
        <v>127</v>
      </c>
      <c r="B456" s="21" t="s">
        <v>39</v>
      </c>
      <c r="C456" s="29">
        <v>11535</v>
      </c>
      <c r="D456" s="29"/>
      <c r="E456" s="91"/>
    </row>
    <row r="457" spans="1:5">
      <c r="A457" s="14" t="s">
        <v>127</v>
      </c>
      <c r="B457" s="21" t="s">
        <v>40</v>
      </c>
      <c r="C457" s="29">
        <v>7798</v>
      </c>
      <c r="D457" s="29"/>
      <c r="E457" s="91"/>
    </row>
    <row r="458" spans="1:5">
      <c r="A458" s="14" t="s">
        <v>128</v>
      </c>
      <c r="B458" s="21" t="s">
        <v>17</v>
      </c>
      <c r="C458" s="29">
        <v>6594</v>
      </c>
      <c r="D458" s="29"/>
      <c r="E458" s="91"/>
    </row>
    <row r="459" spans="1:5">
      <c r="A459" s="14" t="s">
        <v>128</v>
      </c>
      <c r="B459" s="21" t="s">
        <v>18</v>
      </c>
      <c r="C459" s="29">
        <v>8035</v>
      </c>
      <c r="D459" s="29"/>
      <c r="E459" s="91"/>
    </row>
    <row r="460" spans="1:5">
      <c r="A460" s="14" t="s">
        <v>128</v>
      </c>
      <c r="B460" s="21" t="s">
        <v>19</v>
      </c>
      <c r="C460" s="29">
        <v>7290</v>
      </c>
      <c r="D460" s="29"/>
      <c r="E460" s="91"/>
    </row>
    <row r="461" spans="1:5">
      <c r="A461" s="14" t="s">
        <v>128</v>
      </c>
      <c r="B461" s="21" t="s">
        <v>20</v>
      </c>
      <c r="C461" s="29">
        <v>9922</v>
      </c>
      <c r="D461" s="29"/>
      <c r="E461" s="91"/>
    </row>
    <row r="462" spans="1:5">
      <c r="A462" s="14" t="s">
        <v>128</v>
      </c>
      <c r="B462" s="21" t="s">
        <v>21</v>
      </c>
      <c r="C462" s="29">
        <v>14678</v>
      </c>
      <c r="D462" s="29"/>
      <c r="E462" s="91"/>
    </row>
    <row r="463" spans="1:5">
      <c r="A463" s="14" t="s">
        <v>128</v>
      </c>
      <c r="B463" s="21" t="s">
        <v>22</v>
      </c>
      <c r="C463" s="29">
        <v>17971</v>
      </c>
      <c r="D463" s="29"/>
      <c r="E463" s="91"/>
    </row>
    <row r="464" spans="1:5">
      <c r="A464" s="14" t="s">
        <v>128</v>
      </c>
      <c r="B464" s="21" t="s">
        <v>23</v>
      </c>
      <c r="C464" s="29">
        <v>18655</v>
      </c>
      <c r="D464" s="29"/>
      <c r="E464" s="91"/>
    </row>
    <row r="465" spans="1:5">
      <c r="A465" s="14" t="s">
        <v>128</v>
      </c>
      <c r="B465" s="21" t="s">
        <v>24</v>
      </c>
      <c r="C465" s="29">
        <v>16935</v>
      </c>
      <c r="D465" s="29"/>
      <c r="E465" s="91"/>
    </row>
    <row r="466" spans="1:5">
      <c r="A466" s="14" t="s">
        <v>128</v>
      </c>
      <c r="B466" s="21" t="s">
        <v>25</v>
      </c>
      <c r="C466" s="29">
        <v>15146</v>
      </c>
      <c r="D466" s="29"/>
      <c r="E466" s="91"/>
    </row>
    <row r="467" spans="1:5">
      <c r="A467" s="14" t="s">
        <v>128</v>
      </c>
      <c r="B467" s="21" t="s">
        <v>26</v>
      </c>
      <c r="C467" s="29">
        <v>12366</v>
      </c>
      <c r="D467" s="29"/>
      <c r="E467" s="91"/>
    </row>
    <row r="468" spans="1:5">
      <c r="A468" s="14" t="s">
        <v>128</v>
      </c>
      <c r="B468" s="21" t="s">
        <v>27</v>
      </c>
      <c r="C468" s="29">
        <v>13451</v>
      </c>
      <c r="D468" s="29"/>
      <c r="E468" s="91"/>
    </row>
    <row r="469" spans="1:5">
      <c r="A469" s="14" t="s">
        <v>128</v>
      </c>
      <c r="B469" s="21" t="s">
        <v>28</v>
      </c>
      <c r="C469" s="29">
        <v>11916</v>
      </c>
      <c r="D469" s="29"/>
      <c r="E469" s="91"/>
    </row>
    <row r="470" spans="1:5">
      <c r="A470" s="14" t="s">
        <v>128</v>
      </c>
      <c r="B470" s="21" t="s">
        <v>29</v>
      </c>
      <c r="C470" s="29">
        <v>11416</v>
      </c>
      <c r="D470" s="29"/>
      <c r="E470" s="91"/>
    </row>
    <row r="471" spans="1:5">
      <c r="A471" s="14" t="s">
        <v>128</v>
      </c>
      <c r="B471" s="21" t="s">
        <v>30</v>
      </c>
      <c r="C471" s="29">
        <v>12448</v>
      </c>
      <c r="D471" s="29"/>
      <c r="E471" s="91"/>
    </row>
    <row r="472" spans="1:5">
      <c r="A472" s="14" t="s">
        <v>128</v>
      </c>
      <c r="B472" s="21" t="s">
        <v>31</v>
      </c>
      <c r="C472" s="29">
        <v>12568</v>
      </c>
      <c r="D472" s="29"/>
      <c r="E472" s="91"/>
    </row>
    <row r="473" spans="1:5">
      <c r="A473" s="14" t="s">
        <v>128</v>
      </c>
      <c r="B473" s="21" t="s">
        <v>32</v>
      </c>
      <c r="C473" s="29">
        <v>13957</v>
      </c>
      <c r="D473" s="29"/>
      <c r="E473" s="91"/>
    </row>
    <row r="474" spans="1:5">
      <c r="A474" s="14" t="s">
        <v>128</v>
      </c>
      <c r="B474" s="21" t="s">
        <v>33</v>
      </c>
      <c r="C474" s="29">
        <v>11967</v>
      </c>
      <c r="D474" s="29"/>
      <c r="E474" s="91"/>
    </row>
    <row r="475" spans="1:5">
      <c r="A475" s="14" t="s">
        <v>128</v>
      </c>
      <c r="B475" s="21" t="s">
        <v>34</v>
      </c>
      <c r="C475" s="29">
        <v>12881</v>
      </c>
      <c r="D475" s="29"/>
      <c r="E475" s="91"/>
    </row>
    <row r="476" spans="1:5">
      <c r="A476" s="14" t="s">
        <v>128</v>
      </c>
      <c r="B476" s="21" t="s">
        <v>35</v>
      </c>
      <c r="C476" s="29">
        <v>13454</v>
      </c>
      <c r="D476" s="29"/>
      <c r="E476" s="91"/>
    </row>
    <row r="477" spans="1:5">
      <c r="A477" s="14" t="s">
        <v>128</v>
      </c>
      <c r="B477" s="21" t="s">
        <v>36</v>
      </c>
      <c r="C477" s="29">
        <v>14159</v>
      </c>
      <c r="D477" s="29"/>
      <c r="E477" s="91"/>
    </row>
    <row r="478" spans="1:5">
      <c r="A478" s="14" t="s">
        <v>128</v>
      </c>
      <c r="B478" s="21" t="s">
        <v>37</v>
      </c>
      <c r="C478" s="29">
        <v>13920</v>
      </c>
      <c r="D478" s="29"/>
      <c r="E478" s="91"/>
    </row>
    <row r="479" spans="1:5">
      <c r="A479" s="14" t="s">
        <v>128</v>
      </c>
      <c r="B479" s="21" t="s">
        <v>38</v>
      </c>
      <c r="C479" s="29">
        <v>12607</v>
      </c>
      <c r="D479" s="29"/>
      <c r="E479" s="91"/>
    </row>
    <row r="480" spans="1:5">
      <c r="A480" s="14" t="s">
        <v>128</v>
      </c>
      <c r="B480" s="21" t="s">
        <v>39</v>
      </c>
      <c r="C480" s="29">
        <v>11330</v>
      </c>
      <c r="D480" s="29"/>
      <c r="E480" s="91"/>
    </row>
    <row r="481" spans="1:5">
      <c r="A481" s="14" t="s">
        <v>128</v>
      </c>
      <c r="B481" s="21" t="s">
        <v>40</v>
      </c>
      <c r="C481" s="29">
        <v>4887</v>
      </c>
      <c r="D481" s="29"/>
      <c r="E481" s="91"/>
    </row>
    <row r="482" spans="1:5">
      <c r="A482" s="14" t="s">
        <v>129</v>
      </c>
      <c r="B482" s="21" t="s">
        <v>17</v>
      </c>
      <c r="C482" s="29">
        <v>3874</v>
      </c>
      <c r="D482" s="29"/>
      <c r="E482" s="91"/>
    </row>
    <row r="483" spans="1:5">
      <c r="A483" s="14" t="s">
        <v>129</v>
      </c>
      <c r="B483" s="21" t="s">
        <v>18</v>
      </c>
      <c r="C483" s="29">
        <v>2353</v>
      </c>
      <c r="D483" s="29"/>
      <c r="E483" s="91"/>
    </row>
    <row r="484" spans="1:5">
      <c r="A484" s="14" t="s">
        <v>129</v>
      </c>
      <c r="B484" s="21" t="s">
        <v>19</v>
      </c>
      <c r="C484" s="29">
        <v>2298</v>
      </c>
      <c r="D484" s="29"/>
      <c r="E484" s="91"/>
    </row>
    <row r="485" spans="1:5">
      <c r="A485" s="14" t="s">
        <v>129</v>
      </c>
      <c r="B485" s="21" t="s">
        <v>20</v>
      </c>
      <c r="C485" s="29">
        <v>2630</v>
      </c>
      <c r="D485" s="29"/>
      <c r="E485" s="91"/>
    </row>
    <row r="486" spans="1:5">
      <c r="A486" s="14" t="s">
        <v>129</v>
      </c>
      <c r="B486" s="21" t="s">
        <v>21</v>
      </c>
      <c r="C486" s="29">
        <v>8319</v>
      </c>
      <c r="D486" s="29"/>
      <c r="E486" s="91"/>
    </row>
    <row r="487" spans="1:5">
      <c r="A487" s="14" t="s">
        <v>129</v>
      </c>
      <c r="B487" s="21" t="s">
        <v>22</v>
      </c>
      <c r="C487" s="29">
        <v>14841</v>
      </c>
      <c r="D487" s="29"/>
      <c r="E487" s="91"/>
    </row>
    <row r="488" spans="1:5">
      <c r="A488" s="14" t="s">
        <v>129</v>
      </c>
      <c r="B488" s="21" t="s">
        <v>23</v>
      </c>
      <c r="C488" s="29">
        <v>12370</v>
      </c>
      <c r="D488" s="29"/>
      <c r="E488" s="91"/>
    </row>
    <row r="489" spans="1:5">
      <c r="A489" s="14" t="s">
        <v>129</v>
      </c>
      <c r="B489" s="21" t="s">
        <v>24</v>
      </c>
      <c r="C489" s="29">
        <v>10745</v>
      </c>
      <c r="D489" s="29"/>
      <c r="E489" s="91"/>
    </row>
    <row r="490" spans="1:5">
      <c r="A490" s="14" t="s">
        <v>129</v>
      </c>
      <c r="B490" s="21" t="s">
        <v>25</v>
      </c>
      <c r="C490" s="29">
        <v>13040</v>
      </c>
      <c r="D490" s="29"/>
      <c r="E490" s="91"/>
    </row>
    <row r="491" spans="1:5">
      <c r="A491" s="14" t="s">
        <v>129</v>
      </c>
      <c r="B491" s="21" t="s">
        <v>26</v>
      </c>
      <c r="C491" s="29">
        <v>13001</v>
      </c>
      <c r="D491" s="29"/>
      <c r="E491" s="91"/>
    </row>
    <row r="492" spans="1:5">
      <c r="A492" s="14" t="s">
        <v>129</v>
      </c>
      <c r="B492" s="21" t="s">
        <v>27</v>
      </c>
      <c r="C492" s="29">
        <v>11556</v>
      </c>
      <c r="D492" s="29"/>
      <c r="E492" s="91"/>
    </row>
    <row r="493" spans="1:5">
      <c r="A493" s="14" t="s">
        <v>129</v>
      </c>
      <c r="B493" s="21" t="s">
        <v>28</v>
      </c>
      <c r="C493" s="29">
        <v>10108</v>
      </c>
      <c r="D493" s="29"/>
      <c r="E493" s="91"/>
    </row>
    <row r="494" spans="1:5">
      <c r="A494" s="14" t="s">
        <v>129</v>
      </c>
      <c r="B494" s="21" t="s">
        <v>29</v>
      </c>
      <c r="C494" s="29">
        <v>10298</v>
      </c>
      <c r="D494" s="29"/>
      <c r="E494" s="91"/>
    </row>
    <row r="495" spans="1:5">
      <c r="A495" s="14" t="s">
        <v>129</v>
      </c>
      <c r="B495" s="21" t="s">
        <v>30</v>
      </c>
      <c r="C495" s="29">
        <v>11291</v>
      </c>
      <c r="D495" s="29"/>
      <c r="E495" s="91"/>
    </row>
    <row r="496" spans="1:5">
      <c r="A496" s="14" t="s">
        <v>129</v>
      </c>
      <c r="B496" s="21" t="s">
        <v>31</v>
      </c>
      <c r="C496" s="29">
        <v>10959</v>
      </c>
      <c r="D496" s="29"/>
      <c r="E496" s="91"/>
    </row>
    <row r="497" spans="1:5">
      <c r="A497" s="14" t="s">
        <v>129</v>
      </c>
      <c r="B497" s="21" t="s">
        <v>32</v>
      </c>
      <c r="C497" s="29">
        <v>11414</v>
      </c>
      <c r="D497" s="29"/>
      <c r="E497" s="91"/>
    </row>
    <row r="498" spans="1:5">
      <c r="A498" s="14" t="s">
        <v>129</v>
      </c>
      <c r="B498" s="21" t="s">
        <v>33</v>
      </c>
      <c r="C498" s="29">
        <v>11213</v>
      </c>
      <c r="D498" s="29"/>
      <c r="E498" s="91"/>
    </row>
    <row r="499" spans="1:5">
      <c r="A499" s="14" t="s">
        <v>129</v>
      </c>
      <c r="B499" s="21" t="s">
        <v>34</v>
      </c>
      <c r="C499" s="29">
        <v>10714</v>
      </c>
      <c r="D499" s="29"/>
      <c r="E499" s="91"/>
    </row>
    <row r="500" spans="1:5">
      <c r="A500" s="14" t="s">
        <v>129</v>
      </c>
      <c r="B500" s="21" t="s">
        <v>35</v>
      </c>
      <c r="C500" s="29">
        <v>11693</v>
      </c>
      <c r="D500" s="29"/>
      <c r="E500" s="91"/>
    </row>
    <row r="501" spans="1:5">
      <c r="A501" s="14" t="s">
        <v>129</v>
      </c>
      <c r="B501" s="21" t="s">
        <v>36</v>
      </c>
      <c r="C501" s="29">
        <v>12020</v>
      </c>
      <c r="D501" s="29"/>
      <c r="E501" s="91"/>
    </row>
    <row r="502" spans="1:5">
      <c r="A502" s="14" t="s">
        <v>129</v>
      </c>
      <c r="B502" s="21" t="s">
        <v>37</v>
      </c>
      <c r="C502" s="29">
        <v>12237</v>
      </c>
      <c r="D502" s="29"/>
      <c r="E502" s="91"/>
    </row>
    <row r="503" spans="1:5">
      <c r="A503" s="14" t="s">
        <v>129</v>
      </c>
      <c r="B503" s="21" t="s">
        <v>38</v>
      </c>
      <c r="C503" s="29">
        <v>11842</v>
      </c>
      <c r="D503" s="29"/>
      <c r="E503" s="91"/>
    </row>
    <row r="504" spans="1:5">
      <c r="A504" s="14" t="s">
        <v>129</v>
      </c>
      <c r="B504" s="21" t="s">
        <v>39</v>
      </c>
      <c r="C504" s="29">
        <v>9357</v>
      </c>
      <c r="D504" s="29"/>
      <c r="E504" s="91"/>
    </row>
    <row r="505" spans="1:5">
      <c r="A505" s="14" t="s">
        <v>129</v>
      </c>
      <c r="B505" s="21" t="s">
        <v>40</v>
      </c>
      <c r="C505" s="29">
        <v>4403</v>
      </c>
      <c r="D505" s="29"/>
      <c r="E505" s="91"/>
    </row>
    <row r="506" spans="1:5">
      <c r="A506" s="14" t="s">
        <v>130</v>
      </c>
      <c r="B506" s="21" t="s">
        <v>17</v>
      </c>
      <c r="C506" s="29">
        <v>1818</v>
      </c>
      <c r="D506" s="29"/>
      <c r="E506" s="91"/>
    </row>
    <row r="507" spans="1:5">
      <c r="A507" s="14" t="s">
        <v>130</v>
      </c>
      <c r="B507" s="21" t="s">
        <v>18</v>
      </c>
      <c r="C507" s="29">
        <v>2319</v>
      </c>
      <c r="D507" s="29"/>
      <c r="E507" s="91"/>
    </row>
    <row r="508" spans="1:5">
      <c r="A508" s="14" t="s">
        <v>130</v>
      </c>
      <c r="B508" s="21" t="s">
        <v>19</v>
      </c>
      <c r="C508" s="29">
        <v>3619</v>
      </c>
      <c r="D508" s="29"/>
      <c r="E508" s="91"/>
    </row>
    <row r="509" spans="1:5">
      <c r="A509" s="14" t="s">
        <v>130</v>
      </c>
      <c r="B509" s="21" t="s">
        <v>20</v>
      </c>
      <c r="C509" s="29">
        <v>3263</v>
      </c>
      <c r="D509" s="29"/>
      <c r="E509" s="91"/>
    </row>
    <row r="510" spans="1:5">
      <c r="A510" s="14" t="s">
        <v>130</v>
      </c>
      <c r="B510" s="21" t="s">
        <v>21</v>
      </c>
      <c r="C510" s="29">
        <v>12148</v>
      </c>
      <c r="D510" s="29"/>
      <c r="E510" s="91"/>
    </row>
    <row r="511" spans="1:5">
      <c r="A511" s="14" t="s">
        <v>130</v>
      </c>
      <c r="B511" s="21" t="s">
        <v>22</v>
      </c>
      <c r="C511" s="29">
        <v>15505</v>
      </c>
      <c r="D511" s="29"/>
      <c r="E511" s="91"/>
    </row>
    <row r="512" spans="1:5">
      <c r="A512" s="14" t="s">
        <v>130</v>
      </c>
      <c r="B512" s="21" t="s">
        <v>23</v>
      </c>
      <c r="C512" s="29">
        <v>15390</v>
      </c>
      <c r="D512" s="29"/>
      <c r="E512" s="91"/>
    </row>
    <row r="513" spans="1:5">
      <c r="A513" s="14" t="s">
        <v>130</v>
      </c>
      <c r="B513" s="21" t="s">
        <v>24</v>
      </c>
      <c r="C513" s="29">
        <v>12492</v>
      </c>
      <c r="D513" s="29"/>
      <c r="E513" s="91"/>
    </row>
    <row r="514" spans="1:5">
      <c r="A514" s="14" t="s">
        <v>130</v>
      </c>
      <c r="B514" s="21" t="s">
        <v>25</v>
      </c>
      <c r="C514" s="29">
        <v>15017</v>
      </c>
      <c r="D514" s="29"/>
      <c r="E514" s="91"/>
    </row>
    <row r="515" spans="1:5">
      <c r="A515" s="14" t="s">
        <v>130</v>
      </c>
      <c r="B515" s="21" t="s">
        <v>26</v>
      </c>
      <c r="C515" s="29">
        <v>11881</v>
      </c>
      <c r="D515" s="29"/>
      <c r="E515" s="91"/>
    </row>
    <row r="516" spans="1:5">
      <c r="A516" s="14" t="s">
        <v>130</v>
      </c>
      <c r="B516" s="21" t="s">
        <v>27</v>
      </c>
      <c r="C516" s="29">
        <v>10094</v>
      </c>
      <c r="D516" s="29"/>
      <c r="E516" s="91"/>
    </row>
    <row r="517" spans="1:5">
      <c r="A517" s="14" t="s">
        <v>130</v>
      </c>
      <c r="B517" s="21" t="s">
        <v>28</v>
      </c>
      <c r="C517" s="29">
        <v>10429</v>
      </c>
      <c r="D517" s="29"/>
      <c r="E517" s="91"/>
    </row>
    <row r="518" spans="1:5">
      <c r="A518" s="14" t="s">
        <v>130</v>
      </c>
      <c r="B518" s="21" t="s">
        <v>29</v>
      </c>
      <c r="C518" s="29">
        <v>10902</v>
      </c>
      <c r="D518" s="29"/>
      <c r="E518" s="91"/>
    </row>
    <row r="519" spans="1:5">
      <c r="A519" s="14" t="s">
        <v>130</v>
      </c>
      <c r="B519" s="21" t="s">
        <v>30</v>
      </c>
      <c r="C519" s="29">
        <v>12228</v>
      </c>
      <c r="D519" s="29"/>
      <c r="E519" s="91"/>
    </row>
    <row r="520" spans="1:5">
      <c r="A520" s="14" t="s">
        <v>130</v>
      </c>
      <c r="B520" s="21" t="s">
        <v>31</v>
      </c>
      <c r="C520" s="29">
        <v>11510</v>
      </c>
      <c r="D520" s="29"/>
      <c r="E520" s="91"/>
    </row>
    <row r="521" spans="1:5">
      <c r="A521" s="14" t="s">
        <v>130</v>
      </c>
      <c r="B521" s="21" t="s">
        <v>32</v>
      </c>
      <c r="C521" s="29">
        <v>10699</v>
      </c>
      <c r="D521" s="29"/>
      <c r="E521" s="91"/>
    </row>
    <row r="522" spans="1:5">
      <c r="A522" s="14" t="s">
        <v>130</v>
      </c>
      <c r="B522" s="21" t="s">
        <v>33</v>
      </c>
      <c r="C522" s="29">
        <v>11611</v>
      </c>
      <c r="D522" s="29"/>
      <c r="E522" s="91"/>
    </row>
    <row r="523" spans="1:5">
      <c r="A523" s="14" t="s">
        <v>130</v>
      </c>
      <c r="B523" s="21" t="s">
        <v>34</v>
      </c>
      <c r="C523" s="29">
        <v>11823</v>
      </c>
      <c r="D523" s="29"/>
      <c r="E523" s="91"/>
    </row>
    <row r="524" spans="1:5">
      <c r="A524" s="14" t="s">
        <v>130</v>
      </c>
      <c r="B524" s="21" t="s">
        <v>35</v>
      </c>
      <c r="C524" s="29">
        <v>12490</v>
      </c>
      <c r="D524" s="29"/>
      <c r="E524" s="91"/>
    </row>
    <row r="525" spans="1:5">
      <c r="A525" s="14" t="s">
        <v>130</v>
      </c>
      <c r="B525" s="21" t="s">
        <v>36</v>
      </c>
      <c r="C525" s="29">
        <v>12930</v>
      </c>
      <c r="D525" s="29"/>
      <c r="E525" s="91"/>
    </row>
    <row r="526" spans="1:5">
      <c r="A526" s="14" t="s">
        <v>130</v>
      </c>
      <c r="B526" s="21" t="s">
        <v>37</v>
      </c>
      <c r="C526" s="29">
        <v>13612</v>
      </c>
      <c r="D526" s="29"/>
      <c r="E526" s="91"/>
    </row>
    <row r="527" spans="1:5">
      <c r="A527" s="14" t="s">
        <v>130</v>
      </c>
      <c r="B527" s="21" t="s">
        <v>38</v>
      </c>
      <c r="C527" s="29">
        <v>13978</v>
      </c>
      <c r="D527" s="29"/>
      <c r="E527" s="91"/>
    </row>
    <row r="528" spans="1:5">
      <c r="A528" s="14" t="s">
        <v>130</v>
      </c>
      <c r="B528" s="21" t="s">
        <v>39</v>
      </c>
      <c r="C528" s="29">
        <v>12359</v>
      </c>
      <c r="D528" s="29"/>
      <c r="E528" s="91"/>
    </row>
    <row r="529" spans="1:5">
      <c r="A529" s="14" t="s">
        <v>130</v>
      </c>
      <c r="B529" s="21" t="s">
        <v>40</v>
      </c>
      <c r="C529" s="29">
        <v>6492</v>
      </c>
      <c r="D529" s="29"/>
      <c r="E529" s="91"/>
    </row>
    <row r="530" spans="1:5">
      <c r="A530" s="14" t="s">
        <v>131</v>
      </c>
      <c r="B530" s="21" t="s">
        <v>17</v>
      </c>
      <c r="C530" s="29">
        <v>6572</v>
      </c>
      <c r="D530" s="29"/>
      <c r="E530" s="91"/>
    </row>
    <row r="531" spans="1:5">
      <c r="A531" s="14" t="s">
        <v>131</v>
      </c>
      <c r="B531" s="21" t="s">
        <v>18</v>
      </c>
      <c r="C531" s="29">
        <v>8596</v>
      </c>
      <c r="D531" s="29"/>
      <c r="E531" s="91"/>
    </row>
    <row r="532" spans="1:5">
      <c r="A532" s="14" t="s">
        <v>131</v>
      </c>
      <c r="B532" s="21" t="s">
        <v>19</v>
      </c>
      <c r="C532" s="29">
        <v>8400</v>
      </c>
      <c r="D532" s="29"/>
      <c r="E532" s="91"/>
    </row>
    <row r="533" spans="1:5">
      <c r="A533" s="14" t="s">
        <v>131</v>
      </c>
      <c r="B533" s="21" t="s">
        <v>20</v>
      </c>
      <c r="C533" s="29">
        <v>13470</v>
      </c>
      <c r="D533" s="29"/>
      <c r="E533" s="91"/>
    </row>
    <row r="534" spans="1:5">
      <c r="A534" s="14" t="s">
        <v>131</v>
      </c>
      <c r="B534" s="21" t="s">
        <v>21</v>
      </c>
      <c r="C534" s="29">
        <v>15678</v>
      </c>
      <c r="D534" s="29"/>
      <c r="E534" s="91"/>
    </row>
    <row r="535" spans="1:5">
      <c r="A535" s="14" t="s">
        <v>131</v>
      </c>
      <c r="B535" s="21" t="s">
        <v>22</v>
      </c>
      <c r="C535" s="29">
        <v>17060</v>
      </c>
      <c r="D535" s="29"/>
      <c r="E535" s="91"/>
    </row>
    <row r="536" spans="1:5">
      <c r="A536" s="14" t="s">
        <v>131</v>
      </c>
      <c r="B536" s="21" t="s">
        <v>23</v>
      </c>
      <c r="C536" s="29">
        <v>18826</v>
      </c>
      <c r="D536" s="29"/>
      <c r="E536" s="91"/>
    </row>
    <row r="537" spans="1:5">
      <c r="A537" s="14" t="s">
        <v>131</v>
      </c>
      <c r="B537" s="21" t="s">
        <v>24</v>
      </c>
      <c r="C537" s="29">
        <v>16888</v>
      </c>
      <c r="D537" s="29"/>
      <c r="E537" s="91"/>
    </row>
    <row r="538" spans="1:5">
      <c r="A538" s="14" t="s">
        <v>131</v>
      </c>
      <c r="B538" s="21" t="s">
        <v>25</v>
      </c>
      <c r="C538" s="29">
        <v>14653</v>
      </c>
      <c r="D538" s="29"/>
      <c r="E538" s="91"/>
    </row>
    <row r="539" spans="1:5">
      <c r="A539" s="14" t="s">
        <v>131</v>
      </c>
      <c r="B539" s="21" t="s">
        <v>26</v>
      </c>
      <c r="C539" s="29">
        <v>14141</v>
      </c>
      <c r="D539" s="29"/>
      <c r="E539" s="91"/>
    </row>
    <row r="540" spans="1:5">
      <c r="A540" s="14" t="s">
        <v>131</v>
      </c>
      <c r="B540" s="21" t="s">
        <v>27</v>
      </c>
      <c r="C540" s="29">
        <v>12328</v>
      </c>
      <c r="D540" s="29"/>
      <c r="E540" s="91"/>
    </row>
    <row r="541" spans="1:5">
      <c r="A541" s="14" t="s">
        <v>131</v>
      </c>
      <c r="B541" s="21" t="s">
        <v>28</v>
      </c>
      <c r="C541" s="29">
        <v>12005</v>
      </c>
      <c r="D541" s="29"/>
      <c r="E541" s="91"/>
    </row>
    <row r="542" spans="1:5">
      <c r="A542" s="14" t="s">
        <v>131</v>
      </c>
      <c r="B542" s="21" t="s">
        <v>29</v>
      </c>
      <c r="C542" s="29">
        <v>11505</v>
      </c>
      <c r="D542" s="29"/>
      <c r="E542" s="91"/>
    </row>
    <row r="543" spans="1:5">
      <c r="A543" s="14" t="s">
        <v>131</v>
      </c>
      <c r="B543" s="21" t="s">
        <v>30</v>
      </c>
      <c r="C543" s="29">
        <v>10317</v>
      </c>
      <c r="D543" s="29"/>
      <c r="E543" s="91"/>
    </row>
    <row r="544" spans="1:5">
      <c r="A544" s="14" t="s">
        <v>131</v>
      </c>
      <c r="B544" s="21" t="s">
        <v>31</v>
      </c>
      <c r="C544" s="29">
        <v>10074</v>
      </c>
      <c r="D544" s="29"/>
      <c r="E544" s="91"/>
    </row>
    <row r="545" spans="1:5">
      <c r="A545" s="14" t="s">
        <v>131</v>
      </c>
      <c r="B545" s="21" t="s">
        <v>32</v>
      </c>
      <c r="C545" s="29">
        <v>11040</v>
      </c>
      <c r="D545" s="29"/>
      <c r="E545" s="91"/>
    </row>
    <row r="546" spans="1:5">
      <c r="A546" s="14" t="s">
        <v>131</v>
      </c>
      <c r="B546" s="21" t="s">
        <v>33</v>
      </c>
      <c r="C546" s="29">
        <v>11649</v>
      </c>
      <c r="D546" s="29"/>
      <c r="E546" s="91"/>
    </row>
    <row r="547" spans="1:5">
      <c r="A547" s="14" t="s">
        <v>131</v>
      </c>
      <c r="B547" s="21" t="s">
        <v>34</v>
      </c>
      <c r="C547" s="29">
        <v>11826</v>
      </c>
      <c r="D547" s="29"/>
      <c r="E547" s="91"/>
    </row>
    <row r="548" spans="1:5">
      <c r="A548" s="14" t="s">
        <v>131</v>
      </c>
      <c r="B548" s="21" t="s">
        <v>35</v>
      </c>
      <c r="C548" s="29">
        <v>12911</v>
      </c>
      <c r="D548" s="29"/>
      <c r="E548" s="91"/>
    </row>
    <row r="549" spans="1:5">
      <c r="A549" s="14" t="s">
        <v>131</v>
      </c>
      <c r="B549" s="21" t="s">
        <v>36</v>
      </c>
      <c r="C549" s="29">
        <v>13199</v>
      </c>
      <c r="D549" s="29"/>
      <c r="E549" s="91"/>
    </row>
    <row r="550" spans="1:5">
      <c r="A550" s="14" t="s">
        <v>131</v>
      </c>
      <c r="B550" s="21" t="s">
        <v>37</v>
      </c>
      <c r="C550" s="29">
        <v>13901</v>
      </c>
      <c r="D550" s="29"/>
      <c r="E550" s="91"/>
    </row>
    <row r="551" spans="1:5">
      <c r="A551" s="14" t="s">
        <v>131</v>
      </c>
      <c r="B551" s="21" t="s">
        <v>38</v>
      </c>
      <c r="C551" s="29">
        <v>12497</v>
      </c>
      <c r="D551" s="29"/>
      <c r="E551" s="91"/>
    </row>
    <row r="552" spans="1:5">
      <c r="A552" s="14" t="s">
        <v>131</v>
      </c>
      <c r="B552" s="21" t="s">
        <v>39</v>
      </c>
      <c r="C552" s="29">
        <v>12036</v>
      </c>
      <c r="D552" s="29"/>
      <c r="E552" s="91"/>
    </row>
    <row r="553" spans="1:5">
      <c r="A553" s="14" t="s">
        <v>131</v>
      </c>
      <c r="B553" s="21" t="s">
        <v>40</v>
      </c>
      <c r="C553" s="29">
        <v>5482</v>
      </c>
      <c r="D553" s="29"/>
      <c r="E553" s="91"/>
    </row>
    <row r="554" spans="1:5">
      <c r="A554" s="14" t="s">
        <v>132</v>
      </c>
      <c r="B554" s="21" t="s">
        <v>17</v>
      </c>
      <c r="C554" s="29">
        <v>6238</v>
      </c>
      <c r="D554" s="29"/>
      <c r="E554" s="91"/>
    </row>
    <row r="555" spans="1:5">
      <c r="A555" s="14" t="s">
        <v>132</v>
      </c>
      <c r="B555" s="21" t="s">
        <v>18</v>
      </c>
      <c r="C555" s="29">
        <v>7869</v>
      </c>
      <c r="D555" s="29"/>
      <c r="E555" s="91"/>
    </row>
    <row r="556" spans="1:5">
      <c r="A556" s="14" t="s">
        <v>132</v>
      </c>
      <c r="B556" s="21" t="s">
        <v>19</v>
      </c>
      <c r="C556" s="29">
        <v>7530</v>
      </c>
      <c r="D556" s="29"/>
      <c r="E556" s="91"/>
    </row>
    <row r="557" spans="1:5">
      <c r="A557" s="14" t="s">
        <v>132</v>
      </c>
      <c r="B557" s="21" t="s">
        <v>20</v>
      </c>
      <c r="C557" s="29">
        <v>8314</v>
      </c>
      <c r="D557" s="29"/>
      <c r="E557" s="91"/>
    </row>
    <row r="558" spans="1:5">
      <c r="A558" s="14" t="s">
        <v>132</v>
      </c>
      <c r="B558" s="21" t="s">
        <v>21</v>
      </c>
      <c r="C558" s="29">
        <v>13445</v>
      </c>
      <c r="D558" s="29"/>
      <c r="E558" s="91"/>
    </row>
    <row r="559" spans="1:5">
      <c r="A559" s="14" t="s">
        <v>132</v>
      </c>
      <c r="B559" s="21" t="s">
        <v>22</v>
      </c>
      <c r="C559" s="29">
        <v>14887</v>
      </c>
      <c r="D559" s="29"/>
      <c r="E559" s="91"/>
    </row>
    <row r="560" spans="1:5">
      <c r="A560" s="14" t="s">
        <v>132</v>
      </c>
      <c r="B560" s="21" t="s">
        <v>23</v>
      </c>
      <c r="C560" s="29">
        <v>17441</v>
      </c>
      <c r="D560" s="29"/>
      <c r="E560" s="91"/>
    </row>
    <row r="561" spans="1:5">
      <c r="A561" s="14" t="s">
        <v>132</v>
      </c>
      <c r="B561" s="21" t="s">
        <v>24</v>
      </c>
      <c r="C561" s="29">
        <v>14277</v>
      </c>
      <c r="D561" s="29"/>
      <c r="E561" s="91"/>
    </row>
    <row r="562" spans="1:5">
      <c r="A562" s="14" t="s">
        <v>132</v>
      </c>
      <c r="B562" s="21" t="s">
        <v>25</v>
      </c>
      <c r="C562" s="29">
        <v>14076</v>
      </c>
      <c r="D562" s="29"/>
      <c r="E562" s="91"/>
    </row>
    <row r="563" spans="1:5">
      <c r="A563" s="14" t="s">
        <v>132</v>
      </c>
      <c r="B563" s="21" t="s">
        <v>26</v>
      </c>
      <c r="C563" s="29">
        <v>13539</v>
      </c>
      <c r="D563" s="29"/>
      <c r="E563" s="91"/>
    </row>
    <row r="564" spans="1:5">
      <c r="A564" s="14" t="s">
        <v>132</v>
      </c>
      <c r="B564" s="21" t="s">
        <v>27</v>
      </c>
      <c r="C564" s="29">
        <v>12968</v>
      </c>
      <c r="D564" s="29"/>
      <c r="E564" s="91"/>
    </row>
    <row r="565" spans="1:5">
      <c r="A565" s="14" t="s">
        <v>132</v>
      </c>
      <c r="B565" s="21" t="s">
        <v>28</v>
      </c>
      <c r="C565" s="29">
        <v>12100</v>
      </c>
      <c r="D565" s="29"/>
      <c r="E565" s="91"/>
    </row>
    <row r="566" spans="1:5">
      <c r="A566" s="14" t="s">
        <v>132</v>
      </c>
      <c r="B566" s="21" t="s">
        <v>29</v>
      </c>
      <c r="C566" s="29">
        <v>12425</v>
      </c>
      <c r="D566" s="29"/>
      <c r="E566" s="91"/>
    </row>
    <row r="567" spans="1:5">
      <c r="A567" s="14" t="s">
        <v>132</v>
      </c>
      <c r="B567" s="21" t="s">
        <v>30</v>
      </c>
      <c r="C567" s="29">
        <v>12150</v>
      </c>
      <c r="D567" s="29"/>
      <c r="E567" s="91"/>
    </row>
    <row r="568" spans="1:5">
      <c r="A568" s="14" t="s">
        <v>132</v>
      </c>
      <c r="B568" s="21" t="s">
        <v>31</v>
      </c>
      <c r="C568" s="29">
        <v>11046</v>
      </c>
      <c r="D568" s="29"/>
      <c r="E568" s="91"/>
    </row>
    <row r="569" spans="1:5">
      <c r="A569" s="14" t="s">
        <v>132</v>
      </c>
      <c r="B569" s="21" t="s">
        <v>32</v>
      </c>
      <c r="C569" s="29">
        <v>12527</v>
      </c>
      <c r="D569" s="29"/>
      <c r="E569" s="91"/>
    </row>
    <row r="570" spans="1:5">
      <c r="A570" s="14" t="s">
        <v>132</v>
      </c>
      <c r="B570" s="21" t="s">
        <v>33</v>
      </c>
      <c r="C570" s="29">
        <v>12695</v>
      </c>
      <c r="D570" s="29"/>
      <c r="E570" s="91"/>
    </row>
    <row r="571" spans="1:5">
      <c r="A571" s="14" t="s">
        <v>132</v>
      </c>
      <c r="B571" s="21" t="s">
        <v>34</v>
      </c>
      <c r="C571" s="29">
        <v>12169</v>
      </c>
      <c r="D571" s="29"/>
      <c r="E571" s="91"/>
    </row>
    <row r="572" spans="1:5">
      <c r="A572" s="14" t="s">
        <v>132</v>
      </c>
      <c r="B572" s="21" t="s">
        <v>35</v>
      </c>
      <c r="C572" s="29">
        <v>11960</v>
      </c>
      <c r="D572" s="29"/>
      <c r="E572" s="91"/>
    </row>
    <row r="573" spans="1:5">
      <c r="A573" s="14" t="s">
        <v>132</v>
      </c>
      <c r="B573" s="21" t="s">
        <v>36</v>
      </c>
      <c r="C573" s="29">
        <v>12385</v>
      </c>
      <c r="D573" s="29"/>
      <c r="E573" s="91"/>
    </row>
    <row r="574" spans="1:5">
      <c r="A574" s="14" t="s">
        <v>132</v>
      </c>
      <c r="B574" s="21" t="s">
        <v>37</v>
      </c>
      <c r="C574" s="29">
        <v>13978</v>
      </c>
      <c r="D574" s="29"/>
      <c r="E574" s="91"/>
    </row>
    <row r="575" spans="1:5">
      <c r="A575" s="14" t="s">
        <v>132</v>
      </c>
      <c r="B575" s="21" t="s">
        <v>38</v>
      </c>
      <c r="C575" s="29">
        <v>12435</v>
      </c>
      <c r="D575" s="29"/>
      <c r="E575" s="91"/>
    </row>
    <row r="576" spans="1:5">
      <c r="A576" s="14" t="s">
        <v>132</v>
      </c>
      <c r="B576" s="21" t="s">
        <v>39</v>
      </c>
      <c r="C576" s="29">
        <v>9726</v>
      </c>
      <c r="D576" s="29"/>
      <c r="E576" s="91"/>
    </row>
    <row r="577" spans="1:5">
      <c r="A577" s="14" t="s">
        <v>132</v>
      </c>
      <c r="B577" s="21" t="s">
        <v>40</v>
      </c>
      <c r="C577" s="29">
        <v>4636</v>
      </c>
      <c r="D577" s="29"/>
      <c r="E577" s="91"/>
    </row>
    <row r="578" spans="1:5">
      <c r="A578" s="14" t="s">
        <v>133</v>
      </c>
      <c r="B578" s="21" t="s">
        <v>17</v>
      </c>
      <c r="C578" s="29">
        <v>3523</v>
      </c>
      <c r="D578" s="29"/>
      <c r="E578" s="91"/>
    </row>
    <row r="579" spans="1:5">
      <c r="A579" s="14" t="s">
        <v>133</v>
      </c>
      <c r="B579" s="21" t="s">
        <v>18</v>
      </c>
      <c r="C579" s="29">
        <v>2964</v>
      </c>
      <c r="D579" s="29"/>
      <c r="E579" s="91"/>
    </row>
    <row r="580" spans="1:5">
      <c r="A580" s="14" t="s">
        <v>133</v>
      </c>
      <c r="B580" s="21" t="s">
        <v>19</v>
      </c>
      <c r="C580" s="29">
        <v>2598</v>
      </c>
      <c r="D580" s="29"/>
      <c r="E580" s="91"/>
    </row>
    <row r="581" spans="1:5">
      <c r="A581" s="14" t="s">
        <v>133</v>
      </c>
      <c r="B581" s="21" t="s">
        <v>20</v>
      </c>
      <c r="C581" s="29">
        <v>2740</v>
      </c>
      <c r="D581" s="29"/>
      <c r="E581" s="91"/>
    </row>
    <row r="582" spans="1:5">
      <c r="A582" s="14" t="s">
        <v>133</v>
      </c>
      <c r="B582" s="21" t="s">
        <v>21</v>
      </c>
      <c r="C582" s="29">
        <v>11201</v>
      </c>
      <c r="D582" s="29"/>
      <c r="E582" s="91"/>
    </row>
    <row r="583" spans="1:5">
      <c r="A583" s="14" t="s">
        <v>133</v>
      </c>
      <c r="B583" s="21" t="s">
        <v>22</v>
      </c>
      <c r="C583" s="29">
        <v>12180</v>
      </c>
      <c r="D583" s="29"/>
      <c r="E583" s="91"/>
    </row>
    <row r="584" spans="1:5">
      <c r="A584" s="14" t="s">
        <v>133</v>
      </c>
      <c r="B584" s="21" t="s">
        <v>23</v>
      </c>
      <c r="C584" s="29">
        <v>15686</v>
      </c>
      <c r="D584" s="29"/>
      <c r="E584" s="91"/>
    </row>
    <row r="585" spans="1:5">
      <c r="A585" s="14" t="s">
        <v>133</v>
      </c>
      <c r="B585" s="21" t="s">
        <v>24</v>
      </c>
      <c r="C585" s="29">
        <v>11979</v>
      </c>
      <c r="D585" s="29"/>
      <c r="E585" s="91"/>
    </row>
    <row r="586" spans="1:5">
      <c r="A586" s="14" t="s">
        <v>133</v>
      </c>
      <c r="B586" s="21" t="s">
        <v>25</v>
      </c>
      <c r="C586" s="29">
        <v>11829</v>
      </c>
      <c r="D586" s="29"/>
      <c r="E586" s="91"/>
    </row>
    <row r="587" spans="1:5">
      <c r="A587" s="14" t="s">
        <v>133</v>
      </c>
      <c r="B587" s="21" t="s">
        <v>26</v>
      </c>
      <c r="C587" s="29">
        <v>15377</v>
      </c>
      <c r="D587" s="29"/>
      <c r="E587" s="91"/>
    </row>
    <row r="588" spans="1:5">
      <c r="A588" s="14" t="s">
        <v>133</v>
      </c>
      <c r="B588" s="21" t="s">
        <v>27</v>
      </c>
      <c r="C588" s="29">
        <v>15038</v>
      </c>
      <c r="D588" s="29"/>
      <c r="E588" s="91"/>
    </row>
    <row r="589" spans="1:5">
      <c r="A589" s="14" t="s">
        <v>133</v>
      </c>
      <c r="B589" s="21" t="s">
        <v>28</v>
      </c>
      <c r="C589" s="29">
        <v>10287</v>
      </c>
      <c r="D589" s="29"/>
      <c r="E589" s="91"/>
    </row>
    <row r="590" spans="1:5">
      <c r="A590" s="14" t="s">
        <v>133</v>
      </c>
      <c r="B590" s="21" t="s">
        <v>29</v>
      </c>
      <c r="C590" s="29">
        <v>11985</v>
      </c>
      <c r="D590" s="29"/>
      <c r="E590" s="91"/>
    </row>
    <row r="591" spans="1:5">
      <c r="A591" s="14" t="s">
        <v>133</v>
      </c>
      <c r="B591" s="21" t="s">
        <v>30</v>
      </c>
      <c r="C591" s="29">
        <v>12106</v>
      </c>
      <c r="D591" s="29"/>
      <c r="E591" s="91"/>
    </row>
    <row r="592" spans="1:5">
      <c r="A592" s="14" t="s">
        <v>133</v>
      </c>
      <c r="B592" s="21" t="s">
        <v>31</v>
      </c>
      <c r="C592" s="29">
        <v>12558</v>
      </c>
      <c r="D592" s="29"/>
      <c r="E592" s="91"/>
    </row>
    <row r="593" spans="1:5">
      <c r="A593" s="14" t="s">
        <v>133</v>
      </c>
      <c r="B593" s="21" t="s">
        <v>32</v>
      </c>
      <c r="C593" s="29">
        <v>12584</v>
      </c>
      <c r="D593" s="29"/>
      <c r="E593" s="91"/>
    </row>
    <row r="594" spans="1:5">
      <c r="A594" s="14" t="s">
        <v>133</v>
      </c>
      <c r="B594" s="21" t="s">
        <v>33</v>
      </c>
      <c r="C594" s="29">
        <v>12673</v>
      </c>
      <c r="D594" s="29"/>
      <c r="E594" s="91"/>
    </row>
    <row r="595" spans="1:5">
      <c r="A595" s="14" t="s">
        <v>133</v>
      </c>
      <c r="B595" s="21" t="s">
        <v>34</v>
      </c>
      <c r="C595" s="29">
        <v>12696</v>
      </c>
      <c r="D595" s="29"/>
      <c r="E595" s="91"/>
    </row>
    <row r="596" spans="1:5">
      <c r="A596" s="14" t="s">
        <v>133</v>
      </c>
      <c r="B596" s="21" t="s">
        <v>35</v>
      </c>
      <c r="C596" s="29">
        <v>12545</v>
      </c>
      <c r="D596" s="29"/>
      <c r="E596" s="91"/>
    </row>
    <row r="597" spans="1:5">
      <c r="A597" s="14" t="s">
        <v>133</v>
      </c>
      <c r="B597" s="21" t="s">
        <v>36</v>
      </c>
      <c r="C597" s="29">
        <v>12946</v>
      </c>
      <c r="D597" s="29"/>
      <c r="E597" s="91"/>
    </row>
    <row r="598" spans="1:5">
      <c r="A598" s="14" t="s">
        <v>133</v>
      </c>
      <c r="B598" s="21" t="s">
        <v>37</v>
      </c>
      <c r="C598" s="29">
        <v>12640</v>
      </c>
      <c r="D598" s="29"/>
      <c r="E598" s="91"/>
    </row>
    <row r="599" spans="1:5">
      <c r="A599" s="14" t="s">
        <v>133</v>
      </c>
      <c r="B599" s="21" t="s">
        <v>38</v>
      </c>
      <c r="C599" s="29">
        <v>11444</v>
      </c>
      <c r="D599" s="29"/>
      <c r="E599" s="91"/>
    </row>
    <row r="600" spans="1:5">
      <c r="A600" s="14" t="s">
        <v>133</v>
      </c>
      <c r="B600" s="21" t="s">
        <v>39</v>
      </c>
      <c r="C600" s="29">
        <v>11681</v>
      </c>
      <c r="D600" s="29"/>
      <c r="E600" s="91"/>
    </row>
    <row r="601" spans="1:5">
      <c r="A601" s="14" t="s">
        <v>133</v>
      </c>
      <c r="B601" s="21" t="s">
        <v>40</v>
      </c>
      <c r="C601" s="29">
        <v>8079</v>
      </c>
      <c r="D601" s="29"/>
      <c r="E601" s="91"/>
    </row>
    <row r="602" spans="1:5">
      <c r="A602" s="14" t="s">
        <v>134</v>
      </c>
      <c r="B602" s="21" t="s">
        <v>17</v>
      </c>
      <c r="C602" s="29">
        <v>8341</v>
      </c>
      <c r="D602" s="29"/>
      <c r="E602" s="91"/>
    </row>
    <row r="603" spans="1:5">
      <c r="A603" s="14" t="s">
        <v>134</v>
      </c>
      <c r="B603" s="21" t="s">
        <v>18</v>
      </c>
      <c r="C603" s="29">
        <v>9436</v>
      </c>
      <c r="D603" s="29"/>
      <c r="E603" s="91"/>
    </row>
    <row r="604" spans="1:5">
      <c r="A604" s="14" t="s">
        <v>134</v>
      </c>
      <c r="B604" s="21" t="s">
        <v>19</v>
      </c>
      <c r="C604" s="29">
        <v>11316</v>
      </c>
      <c r="D604" s="29"/>
      <c r="E604" s="91"/>
    </row>
    <row r="605" spans="1:5">
      <c r="A605" s="14" t="s">
        <v>134</v>
      </c>
      <c r="B605" s="21" t="s">
        <v>20</v>
      </c>
      <c r="C605" s="29">
        <v>11606</v>
      </c>
      <c r="D605" s="29"/>
      <c r="E605" s="91"/>
    </row>
    <row r="606" spans="1:5">
      <c r="A606" s="14" t="s">
        <v>134</v>
      </c>
      <c r="B606" s="21" t="s">
        <v>21</v>
      </c>
      <c r="C606" s="29">
        <v>13249</v>
      </c>
      <c r="D606" s="29"/>
      <c r="E606" s="91"/>
    </row>
    <row r="607" spans="1:5">
      <c r="A607" s="14" t="s">
        <v>134</v>
      </c>
      <c r="B607" s="21" t="s">
        <v>22</v>
      </c>
      <c r="C607" s="29">
        <v>10764</v>
      </c>
      <c r="D607" s="29"/>
      <c r="E607" s="91"/>
    </row>
    <row r="608" spans="1:5">
      <c r="A608" s="14" t="s">
        <v>134</v>
      </c>
      <c r="B608" s="21" t="s">
        <v>23</v>
      </c>
      <c r="C608" s="29">
        <v>11873</v>
      </c>
      <c r="D608" s="29"/>
      <c r="E608" s="91"/>
    </row>
    <row r="609" spans="1:5">
      <c r="A609" s="14" t="s">
        <v>134</v>
      </c>
      <c r="B609" s="21" t="s">
        <v>24</v>
      </c>
      <c r="C609" s="29">
        <v>12153</v>
      </c>
      <c r="D609" s="29"/>
      <c r="E609" s="91"/>
    </row>
    <row r="610" spans="1:5">
      <c r="A610" s="14" t="s">
        <v>134</v>
      </c>
      <c r="B610" s="21" t="s">
        <v>25</v>
      </c>
      <c r="C610" s="29">
        <v>12289</v>
      </c>
      <c r="D610" s="29"/>
      <c r="E610" s="91"/>
    </row>
    <row r="611" spans="1:5">
      <c r="A611" s="14" t="s">
        <v>134</v>
      </c>
      <c r="B611" s="21" t="s">
        <v>26</v>
      </c>
      <c r="C611" s="29">
        <v>11963</v>
      </c>
      <c r="D611" s="29"/>
      <c r="E611" s="91"/>
    </row>
    <row r="612" spans="1:5">
      <c r="A612" s="14" t="s">
        <v>134</v>
      </c>
      <c r="B612" s="21" t="s">
        <v>27</v>
      </c>
      <c r="C612" s="29">
        <v>13137</v>
      </c>
      <c r="D612" s="29"/>
      <c r="E612" s="91"/>
    </row>
    <row r="613" spans="1:5">
      <c r="A613" s="14" t="s">
        <v>134</v>
      </c>
      <c r="B613" s="21" t="s">
        <v>28</v>
      </c>
      <c r="C613" s="29">
        <v>13015</v>
      </c>
      <c r="D613" s="29"/>
      <c r="E613" s="91"/>
    </row>
    <row r="614" spans="1:5">
      <c r="A614" s="14" t="s">
        <v>134</v>
      </c>
      <c r="B614" s="21" t="s">
        <v>29</v>
      </c>
      <c r="C614" s="29">
        <v>14654</v>
      </c>
      <c r="D614" s="29"/>
      <c r="E614" s="91"/>
    </row>
    <row r="615" spans="1:5">
      <c r="A615" s="14" t="s">
        <v>134</v>
      </c>
      <c r="B615" s="21" t="s">
        <v>30</v>
      </c>
      <c r="C615" s="29">
        <v>15491</v>
      </c>
      <c r="D615" s="29"/>
      <c r="E615" s="91"/>
    </row>
    <row r="616" spans="1:5">
      <c r="A616" s="14" t="s">
        <v>134</v>
      </c>
      <c r="B616" s="21" t="s">
        <v>31</v>
      </c>
      <c r="C616" s="29">
        <v>15511</v>
      </c>
      <c r="D616" s="29"/>
      <c r="E616" s="91"/>
    </row>
    <row r="617" spans="1:5">
      <c r="A617" s="14" t="s">
        <v>134</v>
      </c>
      <c r="B617" s="21" t="s">
        <v>32</v>
      </c>
      <c r="C617" s="29">
        <v>15816</v>
      </c>
      <c r="D617" s="29"/>
      <c r="E617" s="91"/>
    </row>
    <row r="618" spans="1:5">
      <c r="A618" s="14" t="s">
        <v>134</v>
      </c>
      <c r="B618" s="21" t="s">
        <v>33</v>
      </c>
      <c r="C618" s="29">
        <v>16122</v>
      </c>
      <c r="D618" s="29"/>
      <c r="E618" s="91"/>
    </row>
    <row r="619" spans="1:5">
      <c r="A619" s="14" t="s">
        <v>134</v>
      </c>
      <c r="B619" s="21" t="s">
        <v>34</v>
      </c>
      <c r="C619" s="29">
        <v>17665</v>
      </c>
      <c r="D619" s="29"/>
      <c r="E619" s="91"/>
    </row>
    <row r="620" spans="1:5">
      <c r="A620" s="14" t="s">
        <v>134</v>
      </c>
      <c r="B620" s="21" t="s">
        <v>35</v>
      </c>
      <c r="C620" s="29">
        <v>16029</v>
      </c>
      <c r="D620" s="29"/>
      <c r="E620" s="91"/>
    </row>
    <row r="621" spans="1:5">
      <c r="A621" s="14" t="s">
        <v>134</v>
      </c>
      <c r="B621" s="21" t="s">
        <v>36</v>
      </c>
      <c r="C621" s="29">
        <v>14618</v>
      </c>
      <c r="D621" s="29"/>
      <c r="E621" s="91"/>
    </row>
    <row r="622" spans="1:5">
      <c r="A622" s="14" t="s">
        <v>134</v>
      </c>
      <c r="B622" s="21" t="s">
        <v>37</v>
      </c>
      <c r="C622" s="29">
        <v>14856</v>
      </c>
      <c r="D622" s="29"/>
      <c r="E622" s="91"/>
    </row>
    <row r="623" spans="1:5">
      <c r="A623" s="14" t="s">
        <v>134</v>
      </c>
      <c r="B623" s="21" t="s">
        <v>38</v>
      </c>
      <c r="C623" s="29">
        <v>12989</v>
      </c>
      <c r="D623" s="29"/>
      <c r="E623" s="91"/>
    </row>
    <row r="624" spans="1:5">
      <c r="A624" s="14" t="s">
        <v>134</v>
      </c>
      <c r="B624" s="21" t="s">
        <v>39</v>
      </c>
      <c r="C624" s="29">
        <v>12121</v>
      </c>
      <c r="D624" s="29"/>
      <c r="E624" s="91"/>
    </row>
    <row r="625" spans="1:5">
      <c r="A625" s="14" t="s">
        <v>134</v>
      </c>
      <c r="B625" s="21" t="s">
        <v>40</v>
      </c>
      <c r="C625" s="29">
        <v>10158</v>
      </c>
      <c r="D625" s="29"/>
      <c r="E625" s="91"/>
    </row>
    <row r="626" spans="1:5">
      <c r="A626" s="14" t="s">
        <v>135</v>
      </c>
      <c r="B626" s="21" t="s">
        <v>17</v>
      </c>
      <c r="C626" s="29">
        <v>10276</v>
      </c>
      <c r="D626" s="29"/>
      <c r="E626" s="91"/>
    </row>
    <row r="627" spans="1:5">
      <c r="A627" s="14" t="s">
        <v>135</v>
      </c>
      <c r="B627" s="21" t="s">
        <v>18</v>
      </c>
      <c r="C627" s="29">
        <v>10630</v>
      </c>
      <c r="D627" s="29"/>
      <c r="E627" s="91"/>
    </row>
    <row r="628" spans="1:5">
      <c r="A628" s="14" t="s">
        <v>135</v>
      </c>
      <c r="B628" s="21" t="s">
        <v>19</v>
      </c>
      <c r="C628" s="29">
        <v>11828</v>
      </c>
      <c r="D628" s="29"/>
      <c r="E628" s="91"/>
    </row>
    <row r="629" spans="1:5">
      <c r="A629" s="14" t="s">
        <v>135</v>
      </c>
      <c r="B629" s="21" t="s">
        <v>20</v>
      </c>
      <c r="C629" s="29">
        <v>13059</v>
      </c>
      <c r="D629" s="29"/>
      <c r="E629" s="91"/>
    </row>
    <row r="630" spans="1:5">
      <c r="A630" s="14" t="s">
        <v>135</v>
      </c>
      <c r="B630" s="21" t="s">
        <v>21</v>
      </c>
      <c r="C630" s="29">
        <v>12552</v>
      </c>
      <c r="D630" s="29"/>
      <c r="E630" s="91"/>
    </row>
    <row r="631" spans="1:5">
      <c r="A631" s="14" t="s">
        <v>135</v>
      </c>
      <c r="B631" s="21" t="s">
        <v>22</v>
      </c>
      <c r="C631" s="29">
        <v>14203</v>
      </c>
      <c r="D631" s="29"/>
      <c r="E631" s="91"/>
    </row>
    <row r="632" spans="1:5">
      <c r="A632" s="14" t="s">
        <v>135</v>
      </c>
      <c r="B632" s="21" t="s">
        <v>23</v>
      </c>
      <c r="C632" s="29">
        <v>12616</v>
      </c>
      <c r="D632" s="29"/>
      <c r="E632" s="91"/>
    </row>
    <row r="633" spans="1:5">
      <c r="A633" s="14" t="s">
        <v>135</v>
      </c>
      <c r="B633" s="21" t="s">
        <v>24</v>
      </c>
      <c r="C633" s="29">
        <v>14261</v>
      </c>
      <c r="D633" s="29"/>
      <c r="E633" s="91"/>
    </row>
    <row r="634" spans="1:5">
      <c r="A634" s="14" t="s">
        <v>135</v>
      </c>
      <c r="B634" s="21" t="s">
        <v>25</v>
      </c>
      <c r="C634" s="29">
        <v>15652</v>
      </c>
      <c r="D634" s="29"/>
      <c r="E634" s="91"/>
    </row>
    <row r="635" spans="1:5">
      <c r="A635" s="14" t="s">
        <v>135</v>
      </c>
      <c r="B635" s="21" t="s">
        <v>26</v>
      </c>
      <c r="C635" s="29">
        <v>16370</v>
      </c>
      <c r="D635" s="29"/>
      <c r="E635" s="91"/>
    </row>
    <row r="636" spans="1:5">
      <c r="A636" s="14" t="s">
        <v>135</v>
      </c>
      <c r="B636" s="21" t="s">
        <v>27</v>
      </c>
      <c r="C636" s="29">
        <v>16477</v>
      </c>
      <c r="D636" s="29"/>
      <c r="E636" s="91"/>
    </row>
    <row r="637" spans="1:5">
      <c r="A637" s="14" t="s">
        <v>135</v>
      </c>
      <c r="B637" s="21" t="s">
        <v>28</v>
      </c>
      <c r="C637" s="29">
        <v>16173</v>
      </c>
      <c r="D637" s="29"/>
      <c r="E637" s="91"/>
    </row>
    <row r="638" spans="1:5">
      <c r="A638" s="14" t="s">
        <v>135</v>
      </c>
      <c r="B638" s="21" t="s">
        <v>29</v>
      </c>
      <c r="C638" s="29">
        <v>14491</v>
      </c>
      <c r="D638" s="29"/>
      <c r="E638" s="91"/>
    </row>
    <row r="639" spans="1:5">
      <c r="A639" s="14" t="s">
        <v>135</v>
      </c>
      <c r="B639" s="21" t="s">
        <v>30</v>
      </c>
      <c r="C639" s="29">
        <v>18712</v>
      </c>
      <c r="D639" s="29"/>
      <c r="E639" s="91"/>
    </row>
    <row r="640" spans="1:5">
      <c r="A640" s="14" t="s">
        <v>135</v>
      </c>
      <c r="B640" s="21" t="s">
        <v>31</v>
      </c>
      <c r="C640" s="29">
        <v>15294</v>
      </c>
      <c r="D640" s="29"/>
      <c r="E640" s="91"/>
    </row>
    <row r="641" spans="1:5">
      <c r="A641" s="14" t="s">
        <v>135</v>
      </c>
      <c r="B641" s="21" t="s">
        <v>32</v>
      </c>
      <c r="C641" s="29">
        <v>13727</v>
      </c>
      <c r="D641" s="29"/>
      <c r="E641" s="91"/>
    </row>
    <row r="642" spans="1:5">
      <c r="A642" s="14" t="s">
        <v>135</v>
      </c>
      <c r="B642" s="21" t="s">
        <v>33</v>
      </c>
      <c r="C642" s="29">
        <v>10764</v>
      </c>
      <c r="D642" s="29"/>
      <c r="E642" s="91"/>
    </row>
    <row r="643" spans="1:5">
      <c r="A643" s="14" t="s">
        <v>135</v>
      </c>
      <c r="B643" s="21" t="s">
        <v>34</v>
      </c>
      <c r="C643" s="29">
        <v>13642</v>
      </c>
      <c r="D643" s="29"/>
      <c r="E643" s="91"/>
    </row>
    <row r="644" spans="1:5">
      <c r="A644" s="14" t="s">
        <v>135</v>
      </c>
      <c r="B644" s="21" t="s">
        <v>35</v>
      </c>
      <c r="C644" s="29">
        <v>16278</v>
      </c>
      <c r="D644" s="29"/>
      <c r="E644" s="91"/>
    </row>
    <row r="645" spans="1:5">
      <c r="A645" s="14" t="s">
        <v>135</v>
      </c>
      <c r="B645" s="21" t="s">
        <v>36</v>
      </c>
      <c r="C645" s="29">
        <v>15455</v>
      </c>
      <c r="D645" s="29"/>
      <c r="E645" s="91"/>
    </row>
    <row r="646" spans="1:5">
      <c r="A646" s="14" t="s">
        <v>135</v>
      </c>
      <c r="B646" s="21" t="s">
        <v>37</v>
      </c>
      <c r="C646" s="29">
        <v>18476</v>
      </c>
      <c r="D646" s="29"/>
      <c r="E646" s="91"/>
    </row>
    <row r="647" spans="1:5">
      <c r="A647" s="14" t="s">
        <v>135</v>
      </c>
      <c r="B647" s="21" t="s">
        <v>38</v>
      </c>
      <c r="C647" s="29">
        <v>17327</v>
      </c>
      <c r="D647" s="29"/>
      <c r="E647" s="91"/>
    </row>
    <row r="648" spans="1:5">
      <c r="A648" s="14" t="s">
        <v>135</v>
      </c>
      <c r="B648" s="21" t="s">
        <v>39</v>
      </c>
      <c r="C648" s="29">
        <v>13489</v>
      </c>
      <c r="D648" s="29"/>
      <c r="E648" s="91"/>
    </row>
    <row r="649" spans="1:5">
      <c r="A649" s="14" t="s">
        <v>135</v>
      </c>
      <c r="B649" s="21" t="s">
        <v>40</v>
      </c>
      <c r="C649" s="29">
        <v>6709</v>
      </c>
      <c r="D649" s="29"/>
      <c r="E649" s="91"/>
    </row>
    <row r="650" spans="1:5">
      <c r="A650" s="14" t="s">
        <v>136</v>
      </c>
      <c r="B650" s="21" t="s">
        <v>17</v>
      </c>
      <c r="C650" s="29">
        <v>8777</v>
      </c>
      <c r="D650" s="29"/>
      <c r="E650" s="91"/>
    </row>
    <row r="651" spans="1:5">
      <c r="A651" s="14" t="s">
        <v>136</v>
      </c>
      <c r="B651" s="21" t="s">
        <v>18</v>
      </c>
      <c r="C651" s="29">
        <v>13319</v>
      </c>
      <c r="D651" s="29"/>
      <c r="E651" s="91"/>
    </row>
    <row r="652" spans="1:5">
      <c r="A652" s="14" t="s">
        <v>136</v>
      </c>
      <c r="B652" s="21" t="s">
        <v>19</v>
      </c>
      <c r="C652" s="29">
        <v>13414</v>
      </c>
      <c r="D652" s="29"/>
      <c r="E652" s="91"/>
    </row>
    <row r="653" spans="1:5">
      <c r="A653" s="14" t="s">
        <v>136</v>
      </c>
      <c r="B653" s="21" t="s">
        <v>20</v>
      </c>
      <c r="C653" s="29">
        <v>13584</v>
      </c>
      <c r="D653" s="29"/>
      <c r="E653" s="91"/>
    </row>
    <row r="654" spans="1:5">
      <c r="A654" s="14" t="s">
        <v>136</v>
      </c>
      <c r="B654" s="21" t="s">
        <v>21</v>
      </c>
      <c r="C654" s="29">
        <v>14707</v>
      </c>
      <c r="D654" s="29"/>
      <c r="E654" s="91"/>
    </row>
    <row r="655" spans="1:5">
      <c r="A655" s="14" t="s">
        <v>136</v>
      </c>
      <c r="B655" s="21" t="s">
        <v>22</v>
      </c>
      <c r="C655" s="29">
        <v>17172</v>
      </c>
      <c r="D655" s="29"/>
      <c r="E655" s="91"/>
    </row>
    <row r="656" spans="1:5">
      <c r="A656" s="14" t="s">
        <v>136</v>
      </c>
      <c r="B656" s="21" t="s">
        <v>23</v>
      </c>
      <c r="C656" s="29">
        <v>18461</v>
      </c>
      <c r="D656" s="29"/>
      <c r="E656" s="91"/>
    </row>
    <row r="657" spans="1:5">
      <c r="A657" s="14" t="s">
        <v>136</v>
      </c>
      <c r="B657" s="21" t="s">
        <v>24</v>
      </c>
      <c r="C657" s="29">
        <v>17398</v>
      </c>
      <c r="D657" s="29"/>
      <c r="E657" s="91"/>
    </row>
    <row r="658" spans="1:5">
      <c r="A658" s="14" t="s">
        <v>136</v>
      </c>
      <c r="B658" s="21" t="s">
        <v>25</v>
      </c>
      <c r="C658" s="29">
        <v>17626</v>
      </c>
      <c r="D658" s="29"/>
      <c r="E658" s="91"/>
    </row>
    <row r="659" spans="1:5">
      <c r="A659" s="14" t="s">
        <v>136</v>
      </c>
      <c r="B659" s="21" t="s">
        <v>26</v>
      </c>
      <c r="C659" s="29">
        <v>15209</v>
      </c>
      <c r="D659" s="29"/>
      <c r="E659" s="91"/>
    </row>
    <row r="660" spans="1:5">
      <c r="A660" s="14" t="s">
        <v>136</v>
      </c>
      <c r="B660" s="21" t="s">
        <v>27</v>
      </c>
      <c r="C660" s="29">
        <v>14736</v>
      </c>
      <c r="D660" s="29"/>
      <c r="E660" s="91"/>
    </row>
    <row r="661" spans="1:5">
      <c r="A661" s="14" t="s">
        <v>136</v>
      </c>
      <c r="B661" s="21" t="s">
        <v>28</v>
      </c>
      <c r="C661" s="29">
        <v>13410</v>
      </c>
      <c r="D661" s="29"/>
      <c r="E661" s="91"/>
    </row>
    <row r="662" spans="1:5">
      <c r="A662" s="14" t="s">
        <v>136</v>
      </c>
      <c r="B662" s="21" t="s">
        <v>29</v>
      </c>
      <c r="C662" s="29">
        <v>13573</v>
      </c>
      <c r="D662" s="29"/>
      <c r="E662" s="91"/>
    </row>
    <row r="663" spans="1:5">
      <c r="A663" s="14" t="s">
        <v>136</v>
      </c>
      <c r="B663" s="21" t="s">
        <v>30</v>
      </c>
      <c r="C663" s="29">
        <v>13057</v>
      </c>
      <c r="D663" s="29"/>
      <c r="E663" s="91"/>
    </row>
    <row r="664" spans="1:5">
      <c r="A664" s="14" t="s">
        <v>136</v>
      </c>
      <c r="B664" s="21" t="s">
        <v>31</v>
      </c>
      <c r="C664" s="29">
        <v>13002</v>
      </c>
      <c r="D664" s="29"/>
      <c r="E664" s="91"/>
    </row>
    <row r="665" spans="1:5">
      <c r="A665" s="14" t="s">
        <v>136</v>
      </c>
      <c r="B665" s="21" t="s">
        <v>32</v>
      </c>
      <c r="C665" s="29">
        <v>13381</v>
      </c>
      <c r="D665" s="29"/>
      <c r="E665" s="91"/>
    </row>
    <row r="666" spans="1:5">
      <c r="A666" s="14" t="s">
        <v>136</v>
      </c>
      <c r="B666" s="21" t="s">
        <v>33</v>
      </c>
      <c r="C666" s="29">
        <v>14951</v>
      </c>
      <c r="D666" s="29"/>
      <c r="E666" s="91"/>
    </row>
    <row r="667" spans="1:5">
      <c r="A667" s="14" t="s">
        <v>136</v>
      </c>
      <c r="B667" s="21" t="s">
        <v>34</v>
      </c>
      <c r="C667" s="29">
        <v>14156</v>
      </c>
      <c r="D667" s="29"/>
      <c r="E667" s="91"/>
    </row>
    <row r="668" spans="1:5">
      <c r="A668" s="14" t="s">
        <v>136</v>
      </c>
      <c r="B668" s="21" t="s">
        <v>35</v>
      </c>
      <c r="C668" s="29">
        <v>14907</v>
      </c>
      <c r="D668" s="29"/>
      <c r="E668" s="91"/>
    </row>
    <row r="669" spans="1:5">
      <c r="A669" s="14" t="s">
        <v>136</v>
      </c>
      <c r="B669" s="21" t="s">
        <v>36</v>
      </c>
      <c r="C669" s="29">
        <v>17060</v>
      </c>
      <c r="D669" s="29"/>
      <c r="E669" s="91"/>
    </row>
    <row r="670" spans="1:5">
      <c r="A670" s="14" t="s">
        <v>136</v>
      </c>
      <c r="B670" s="21" t="s">
        <v>37</v>
      </c>
      <c r="C670" s="29">
        <v>15178</v>
      </c>
      <c r="D670" s="29"/>
      <c r="E670" s="91"/>
    </row>
    <row r="671" spans="1:5">
      <c r="A671" s="14" t="s">
        <v>136</v>
      </c>
      <c r="B671" s="21" t="s">
        <v>38</v>
      </c>
      <c r="C671" s="29">
        <v>16401</v>
      </c>
      <c r="D671" s="29"/>
      <c r="E671" s="91"/>
    </row>
    <row r="672" spans="1:5">
      <c r="A672" s="14" t="s">
        <v>136</v>
      </c>
      <c r="B672" s="21" t="s">
        <v>39</v>
      </c>
      <c r="C672" s="29">
        <v>13929</v>
      </c>
      <c r="D672" s="29"/>
      <c r="E672" s="91"/>
    </row>
    <row r="673" spans="1:5">
      <c r="A673" s="14" t="s">
        <v>136</v>
      </c>
      <c r="B673" s="21" t="s">
        <v>40</v>
      </c>
      <c r="C673" s="29">
        <v>8965</v>
      </c>
      <c r="D673" s="29"/>
      <c r="E673" s="91"/>
    </row>
    <row r="674" spans="1:5">
      <c r="A674" s="14" t="s">
        <v>137</v>
      </c>
      <c r="B674" s="21" t="s">
        <v>17</v>
      </c>
      <c r="C674" s="29"/>
      <c r="D674" s="29"/>
      <c r="E674" s="91"/>
    </row>
    <row r="675" spans="1:5">
      <c r="A675" s="14" t="s">
        <v>137</v>
      </c>
      <c r="B675" s="21" t="s">
        <v>18</v>
      </c>
      <c r="C675" s="29"/>
      <c r="D675" s="29"/>
      <c r="E675" s="91"/>
    </row>
    <row r="676" spans="1:5">
      <c r="A676" s="14" t="s">
        <v>137</v>
      </c>
      <c r="B676" s="21" t="s">
        <v>19</v>
      </c>
      <c r="C676" s="29"/>
      <c r="D676" s="29"/>
      <c r="E676" s="91"/>
    </row>
    <row r="677" spans="1:5">
      <c r="A677" s="14" t="s">
        <v>137</v>
      </c>
      <c r="B677" s="21" t="s">
        <v>20</v>
      </c>
      <c r="C677" s="29"/>
      <c r="D677" s="29"/>
      <c r="E677" s="91"/>
    </row>
    <row r="678" spans="1:5">
      <c r="A678" s="14" t="s">
        <v>137</v>
      </c>
      <c r="B678" s="21" t="s">
        <v>21</v>
      </c>
      <c r="C678" s="29"/>
      <c r="D678" s="29"/>
      <c r="E678" s="91"/>
    </row>
    <row r="679" spans="1:5">
      <c r="A679" s="14" t="s">
        <v>137</v>
      </c>
      <c r="B679" s="21" t="s">
        <v>22</v>
      </c>
      <c r="C679" s="29"/>
      <c r="D679" s="29"/>
      <c r="E679" s="91"/>
    </row>
    <row r="680" spans="1:5">
      <c r="A680" s="14" t="s">
        <v>137</v>
      </c>
      <c r="B680" s="21" t="s">
        <v>23</v>
      </c>
      <c r="C680" s="29"/>
      <c r="D680" s="29"/>
      <c r="E680" s="91"/>
    </row>
    <row r="681" spans="1:5">
      <c r="A681" s="14" t="s">
        <v>137</v>
      </c>
      <c r="B681" s="21" t="s">
        <v>24</v>
      </c>
      <c r="C681" s="29"/>
      <c r="D681" s="29"/>
      <c r="E681" s="91"/>
    </row>
    <row r="682" spans="1:5">
      <c r="A682" s="14" t="s">
        <v>137</v>
      </c>
      <c r="B682" s="21" t="s">
        <v>25</v>
      </c>
      <c r="C682" s="29"/>
      <c r="D682" s="29"/>
      <c r="E682" s="91"/>
    </row>
    <row r="683" spans="1:5">
      <c r="A683" s="14" t="s">
        <v>137</v>
      </c>
      <c r="B683" s="21" t="s">
        <v>26</v>
      </c>
      <c r="C683" s="29"/>
      <c r="D683" s="29"/>
      <c r="E683" s="91"/>
    </row>
    <row r="684" spans="1:5">
      <c r="A684" s="14" t="s">
        <v>137</v>
      </c>
      <c r="B684" s="21" t="s">
        <v>27</v>
      </c>
      <c r="C684" s="29"/>
      <c r="D684" s="29"/>
      <c r="E684" s="91"/>
    </row>
    <row r="685" spans="1:5">
      <c r="A685" s="14" t="s">
        <v>137</v>
      </c>
      <c r="B685" s="21" t="s">
        <v>28</v>
      </c>
      <c r="C685" s="29"/>
      <c r="D685" s="29"/>
      <c r="E685" s="91"/>
    </row>
    <row r="686" spans="1:5">
      <c r="A686" s="14" t="s">
        <v>137</v>
      </c>
      <c r="B686" s="21" t="s">
        <v>29</v>
      </c>
      <c r="C686" s="29"/>
      <c r="D686" s="29"/>
      <c r="E686" s="91"/>
    </row>
    <row r="687" spans="1:5">
      <c r="A687" s="14" t="s">
        <v>137</v>
      </c>
      <c r="B687" s="21" t="s">
        <v>30</v>
      </c>
      <c r="C687" s="29"/>
      <c r="D687" s="29"/>
      <c r="E687" s="91"/>
    </row>
    <row r="688" spans="1:5">
      <c r="A688" s="14" t="s">
        <v>137</v>
      </c>
      <c r="B688" s="21" t="s">
        <v>31</v>
      </c>
      <c r="C688" s="29"/>
      <c r="D688" s="29"/>
      <c r="E688" s="91"/>
    </row>
    <row r="689" spans="1:5">
      <c r="A689" s="14" t="s">
        <v>137</v>
      </c>
      <c r="B689" s="21" t="s">
        <v>32</v>
      </c>
      <c r="C689" s="29"/>
      <c r="D689" s="29"/>
      <c r="E689" s="91"/>
    </row>
    <row r="690" spans="1:5">
      <c r="A690" s="14" t="s">
        <v>137</v>
      </c>
      <c r="B690" s="21" t="s">
        <v>33</v>
      </c>
      <c r="C690" s="29"/>
      <c r="D690" s="29"/>
      <c r="E690" s="91"/>
    </row>
    <row r="691" spans="1:5">
      <c r="A691" s="14" t="s">
        <v>137</v>
      </c>
      <c r="B691" s="21" t="s">
        <v>34</v>
      </c>
      <c r="C691" s="29"/>
      <c r="D691" s="29"/>
      <c r="E691" s="91"/>
    </row>
    <row r="692" spans="1:5">
      <c r="A692" s="14" t="s">
        <v>137</v>
      </c>
      <c r="B692" s="21" t="s">
        <v>35</v>
      </c>
      <c r="C692" s="29"/>
      <c r="D692" s="29"/>
      <c r="E692" s="91"/>
    </row>
    <row r="693" spans="1:5">
      <c r="A693" s="14" t="s">
        <v>137</v>
      </c>
      <c r="B693" s="21" t="s">
        <v>36</v>
      </c>
      <c r="C693" s="29"/>
      <c r="D693" s="29"/>
      <c r="E693" s="91"/>
    </row>
    <row r="694" spans="1:5">
      <c r="A694" s="14" t="s">
        <v>137</v>
      </c>
      <c r="B694" s="21" t="s">
        <v>37</v>
      </c>
      <c r="C694" s="29"/>
      <c r="D694" s="29"/>
      <c r="E694" s="91"/>
    </row>
    <row r="695" spans="1:5">
      <c r="A695" s="14" t="s">
        <v>137</v>
      </c>
      <c r="B695" s="21" t="s">
        <v>38</v>
      </c>
      <c r="C695" s="29"/>
      <c r="D695" s="29"/>
      <c r="E695" s="91"/>
    </row>
    <row r="696" spans="1:5">
      <c r="A696" s="14" t="s">
        <v>137</v>
      </c>
      <c r="B696" s="21" t="s">
        <v>39</v>
      </c>
      <c r="C696" s="29"/>
      <c r="D696" s="29"/>
      <c r="E696" s="91"/>
    </row>
    <row r="697" spans="1:5">
      <c r="A697" s="14" t="s">
        <v>137</v>
      </c>
      <c r="B697" s="21" t="s">
        <v>40</v>
      </c>
      <c r="C697" s="29"/>
      <c r="D697" s="29"/>
      <c r="E697" s="91"/>
    </row>
    <row r="698" spans="1:5">
      <c r="A698" s="14" t="s">
        <v>107</v>
      </c>
      <c r="B698" s="21" t="s">
        <v>17</v>
      </c>
      <c r="C698" s="29"/>
      <c r="D698" s="29"/>
      <c r="E698" s="91"/>
    </row>
    <row r="699" spans="1:5">
      <c r="A699" s="14" t="s">
        <v>107</v>
      </c>
      <c r="B699" s="21" t="s">
        <v>18</v>
      </c>
      <c r="C699" s="29"/>
      <c r="D699" s="29"/>
      <c r="E699" s="91"/>
    </row>
    <row r="700" spans="1:5">
      <c r="A700" s="14" t="s">
        <v>107</v>
      </c>
      <c r="B700" s="21" t="s">
        <v>19</v>
      </c>
      <c r="C700" s="29"/>
      <c r="D700" s="29"/>
      <c r="E700" s="91"/>
    </row>
    <row r="701" spans="1:5">
      <c r="A701" s="14" t="s">
        <v>107</v>
      </c>
      <c r="B701" s="21" t="s">
        <v>20</v>
      </c>
      <c r="C701" s="29"/>
      <c r="D701" s="29"/>
      <c r="E701" s="91"/>
    </row>
    <row r="702" spans="1:5">
      <c r="A702" s="14" t="s">
        <v>107</v>
      </c>
      <c r="B702" s="21" t="s">
        <v>21</v>
      </c>
      <c r="C702" s="29"/>
      <c r="D702" s="29"/>
      <c r="E702" s="91"/>
    </row>
    <row r="703" spans="1:5">
      <c r="A703" s="14" t="s">
        <v>107</v>
      </c>
      <c r="B703" s="21" t="s">
        <v>22</v>
      </c>
      <c r="C703" s="29"/>
      <c r="D703" s="29"/>
      <c r="E703" s="91"/>
    </row>
    <row r="704" spans="1:5">
      <c r="A704" s="14" t="s">
        <v>107</v>
      </c>
      <c r="B704" s="21" t="s">
        <v>23</v>
      </c>
      <c r="C704" s="29"/>
      <c r="D704" s="29"/>
      <c r="E704" s="91"/>
    </row>
    <row r="705" spans="1:5">
      <c r="A705" s="14" t="s">
        <v>107</v>
      </c>
      <c r="B705" s="21" t="s">
        <v>24</v>
      </c>
      <c r="C705" s="29"/>
      <c r="D705" s="29"/>
      <c r="E705" s="91"/>
    </row>
    <row r="706" spans="1:5">
      <c r="A706" s="14" t="s">
        <v>107</v>
      </c>
      <c r="B706" s="21" t="s">
        <v>25</v>
      </c>
      <c r="C706" s="29"/>
      <c r="D706" s="29"/>
      <c r="E706" s="91"/>
    </row>
    <row r="707" spans="1:5">
      <c r="A707" s="14" t="s">
        <v>107</v>
      </c>
      <c r="B707" s="21" t="s">
        <v>26</v>
      </c>
      <c r="C707" s="29"/>
      <c r="D707" s="29"/>
      <c r="E707" s="91"/>
    </row>
    <row r="708" spans="1:5">
      <c r="A708" s="14" t="s">
        <v>107</v>
      </c>
      <c r="B708" s="21" t="s">
        <v>27</v>
      </c>
      <c r="C708" s="29"/>
      <c r="D708" s="29"/>
      <c r="E708" s="91"/>
    </row>
    <row r="709" spans="1:5">
      <c r="A709" s="14" t="s">
        <v>107</v>
      </c>
      <c r="B709" s="21" t="s">
        <v>28</v>
      </c>
      <c r="C709" s="29"/>
      <c r="D709" s="29"/>
      <c r="E709" s="91"/>
    </row>
    <row r="710" spans="1:5">
      <c r="A710" s="14" t="s">
        <v>107</v>
      </c>
      <c r="B710" s="21" t="s">
        <v>29</v>
      </c>
      <c r="C710" s="29"/>
      <c r="D710" s="29"/>
      <c r="E710" s="91"/>
    </row>
    <row r="711" spans="1:5">
      <c r="A711" s="14" t="s">
        <v>107</v>
      </c>
      <c r="B711" s="21" t="s">
        <v>30</v>
      </c>
      <c r="C711" s="29"/>
      <c r="D711" s="29"/>
      <c r="E711" s="91"/>
    </row>
    <row r="712" spans="1:5">
      <c r="A712" s="14" t="s">
        <v>107</v>
      </c>
      <c r="B712" s="21" t="s">
        <v>31</v>
      </c>
      <c r="C712" s="29"/>
      <c r="D712" s="29"/>
      <c r="E712" s="91"/>
    </row>
    <row r="713" spans="1:5">
      <c r="A713" s="14" t="s">
        <v>107</v>
      </c>
      <c r="B713" s="21" t="s">
        <v>32</v>
      </c>
      <c r="C713" s="29"/>
      <c r="D713" s="29"/>
      <c r="E713" s="91"/>
    </row>
    <row r="714" spans="1:5">
      <c r="A714" s="14" t="s">
        <v>107</v>
      </c>
      <c r="B714" s="21" t="s">
        <v>33</v>
      </c>
      <c r="C714" s="29"/>
      <c r="D714" s="29"/>
      <c r="E714" s="91"/>
    </row>
    <row r="715" spans="1:5">
      <c r="A715" s="14" t="s">
        <v>107</v>
      </c>
      <c r="B715" s="21" t="s">
        <v>34</v>
      </c>
      <c r="C715" s="29"/>
      <c r="D715" s="29"/>
      <c r="E715" s="91"/>
    </row>
    <row r="716" spans="1:5">
      <c r="A716" s="14" t="s">
        <v>107</v>
      </c>
      <c r="B716" s="21" t="s">
        <v>35</v>
      </c>
      <c r="C716" s="29"/>
      <c r="D716" s="29"/>
      <c r="E716" s="91"/>
    </row>
    <row r="717" spans="1:5">
      <c r="A717" s="14" t="s">
        <v>107</v>
      </c>
      <c r="B717" s="21" t="s">
        <v>36</v>
      </c>
      <c r="C717" s="29"/>
      <c r="D717" s="29"/>
      <c r="E717" s="91"/>
    </row>
    <row r="718" spans="1:5">
      <c r="A718" s="14" t="s">
        <v>107</v>
      </c>
      <c r="B718" s="21" t="s">
        <v>37</v>
      </c>
      <c r="C718" s="29"/>
      <c r="D718" s="29"/>
      <c r="E718" s="91"/>
    </row>
    <row r="719" spans="1:5">
      <c r="A719" s="14" t="s">
        <v>107</v>
      </c>
      <c r="B719" s="21" t="s">
        <v>38</v>
      </c>
      <c r="C719" s="29"/>
      <c r="D719" s="29"/>
      <c r="E719" s="91"/>
    </row>
    <row r="720" spans="1:5">
      <c r="A720" s="14" t="s">
        <v>107</v>
      </c>
      <c r="B720" s="21" t="s">
        <v>39</v>
      </c>
      <c r="C720" s="29"/>
      <c r="D720" s="29"/>
      <c r="E720" s="91"/>
    </row>
    <row r="721" spans="1:5">
      <c r="A721" s="14" t="s">
        <v>107</v>
      </c>
      <c r="B721" s="21" t="s">
        <v>40</v>
      </c>
      <c r="C721" s="29"/>
      <c r="D721" s="29"/>
      <c r="E721" s="91"/>
    </row>
    <row r="722" spans="1:5">
      <c r="A722" s="14" t="s">
        <v>108</v>
      </c>
      <c r="B722" s="21" t="s">
        <v>17</v>
      </c>
      <c r="C722" s="29"/>
      <c r="D722" s="29"/>
      <c r="E722" s="91"/>
    </row>
    <row r="723" spans="1:5">
      <c r="A723" s="14" t="s">
        <v>108</v>
      </c>
      <c r="B723" s="21" t="s">
        <v>18</v>
      </c>
      <c r="C723" s="29"/>
      <c r="D723" s="29"/>
      <c r="E723" s="91"/>
    </row>
    <row r="724" spans="1:5">
      <c r="A724" s="14" t="s">
        <v>108</v>
      </c>
      <c r="B724" s="21" t="s">
        <v>19</v>
      </c>
      <c r="C724" s="29"/>
      <c r="D724" s="29"/>
      <c r="E724" s="91"/>
    </row>
    <row r="725" spans="1:5">
      <c r="A725" s="14" t="s">
        <v>108</v>
      </c>
      <c r="B725" s="21" t="s">
        <v>20</v>
      </c>
      <c r="C725" s="29"/>
      <c r="D725" s="29"/>
      <c r="E725" s="91"/>
    </row>
    <row r="726" spans="1:5">
      <c r="A726" s="14" t="s">
        <v>108</v>
      </c>
      <c r="B726" s="21" t="s">
        <v>21</v>
      </c>
      <c r="C726" s="29"/>
      <c r="D726" s="29"/>
      <c r="E726" s="91"/>
    </row>
    <row r="727" spans="1:5">
      <c r="A727" s="14" t="s">
        <v>108</v>
      </c>
      <c r="B727" s="21" t="s">
        <v>22</v>
      </c>
      <c r="C727" s="29"/>
      <c r="D727" s="29"/>
      <c r="E727" s="91"/>
    </row>
    <row r="728" spans="1:5">
      <c r="A728" s="14" t="s">
        <v>108</v>
      </c>
      <c r="B728" s="21" t="s">
        <v>23</v>
      </c>
      <c r="C728" s="29"/>
      <c r="D728" s="29"/>
      <c r="E728" s="91"/>
    </row>
    <row r="729" spans="1:5">
      <c r="A729" s="14" t="s">
        <v>108</v>
      </c>
      <c r="B729" s="21" t="s">
        <v>24</v>
      </c>
      <c r="C729" s="29"/>
      <c r="D729" s="29"/>
      <c r="E729" s="91"/>
    </row>
    <row r="730" spans="1:5">
      <c r="A730" s="14" t="s">
        <v>108</v>
      </c>
      <c r="B730" s="21" t="s">
        <v>25</v>
      </c>
      <c r="C730" s="29"/>
      <c r="D730" s="29"/>
      <c r="E730" s="91"/>
    </row>
    <row r="731" spans="1:5">
      <c r="A731" s="14" t="s">
        <v>108</v>
      </c>
      <c r="B731" s="21" t="s">
        <v>26</v>
      </c>
      <c r="C731" s="29"/>
      <c r="D731" s="29"/>
      <c r="E731" s="91"/>
    </row>
    <row r="732" spans="1:5">
      <c r="A732" s="14" t="s">
        <v>108</v>
      </c>
      <c r="B732" s="21" t="s">
        <v>27</v>
      </c>
      <c r="C732" s="29"/>
      <c r="D732" s="29"/>
      <c r="E732" s="91"/>
    </row>
    <row r="733" spans="1:5">
      <c r="A733" s="14" t="s">
        <v>108</v>
      </c>
      <c r="B733" s="21" t="s">
        <v>28</v>
      </c>
      <c r="C733" s="29"/>
      <c r="D733" s="29"/>
      <c r="E733" s="91"/>
    </row>
    <row r="734" spans="1:5">
      <c r="A734" s="14" t="s">
        <v>108</v>
      </c>
      <c r="B734" s="21" t="s">
        <v>29</v>
      </c>
      <c r="C734" s="29"/>
      <c r="D734" s="29"/>
      <c r="E734" s="91"/>
    </row>
    <row r="735" spans="1:5">
      <c r="A735" s="14" t="s">
        <v>108</v>
      </c>
      <c r="B735" s="21" t="s">
        <v>30</v>
      </c>
      <c r="C735" s="29"/>
      <c r="D735" s="29"/>
      <c r="E735" s="91"/>
    </row>
    <row r="736" spans="1:5">
      <c r="A736" s="14" t="s">
        <v>108</v>
      </c>
      <c r="B736" s="21" t="s">
        <v>31</v>
      </c>
      <c r="C736" s="29"/>
      <c r="D736" s="29"/>
      <c r="E736" s="91"/>
    </row>
    <row r="737" spans="1:5">
      <c r="A737" s="14" t="s">
        <v>108</v>
      </c>
      <c r="B737" s="21" t="s">
        <v>32</v>
      </c>
      <c r="C737" s="29"/>
      <c r="D737" s="29"/>
      <c r="E737" s="91"/>
    </row>
    <row r="738" spans="1:5">
      <c r="A738" s="14" t="s">
        <v>108</v>
      </c>
      <c r="B738" s="21" t="s">
        <v>33</v>
      </c>
      <c r="C738" s="29"/>
      <c r="D738" s="29"/>
      <c r="E738" s="91"/>
    </row>
    <row r="739" spans="1:5">
      <c r="A739" s="14" t="s">
        <v>108</v>
      </c>
      <c r="B739" s="21" t="s">
        <v>34</v>
      </c>
      <c r="C739" s="29"/>
      <c r="D739" s="29"/>
      <c r="E739" s="91"/>
    </row>
    <row r="740" spans="1:5">
      <c r="A740" s="14" t="s">
        <v>108</v>
      </c>
      <c r="B740" s="21" t="s">
        <v>35</v>
      </c>
      <c r="C740" s="29"/>
      <c r="D740" s="29"/>
      <c r="E740" s="91"/>
    </row>
    <row r="741" spans="1:5">
      <c r="A741" s="14" t="s">
        <v>108</v>
      </c>
      <c r="B741" s="21" t="s">
        <v>36</v>
      </c>
      <c r="C741" s="29"/>
      <c r="D741" s="29"/>
      <c r="E741" s="91"/>
    </row>
    <row r="742" spans="1:5">
      <c r="A742" s="14" t="s">
        <v>108</v>
      </c>
      <c r="B742" s="21" t="s">
        <v>37</v>
      </c>
      <c r="C742" s="29"/>
      <c r="D742" s="29"/>
      <c r="E742" s="91"/>
    </row>
    <row r="743" spans="1:5">
      <c r="A743" s="14" t="s">
        <v>108</v>
      </c>
      <c r="B743" s="21" t="s">
        <v>38</v>
      </c>
      <c r="C743" s="29"/>
      <c r="D743" s="29"/>
      <c r="E743" s="91"/>
    </row>
    <row r="744" spans="1:5">
      <c r="A744" s="14" t="s">
        <v>108</v>
      </c>
      <c r="B744" s="21" t="s">
        <v>39</v>
      </c>
      <c r="C744" s="29"/>
      <c r="D744" s="29"/>
      <c r="E744" s="91"/>
    </row>
    <row r="745" spans="1:5" ht="15.75" thickBot="1">
      <c r="A745" s="14" t="s">
        <v>108</v>
      </c>
      <c r="B745" s="22" t="s">
        <v>40</v>
      </c>
      <c r="C745" s="31"/>
      <c r="D745" s="31"/>
      <c r="E745" s="9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45"/>
  <sheetViews>
    <sheetView topLeftCell="A127" workbookViewId="0">
      <selection activeCell="G11" sqref="G11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</cols>
  <sheetData>
    <row r="1" spans="1:5" ht="15.75" thickBot="1">
      <c r="A1" s="12" t="s">
        <v>0</v>
      </c>
      <c r="B1" s="13" t="s">
        <v>1</v>
      </c>
      <c r="C1" s="5" t="s">
        <v>2</v>
      </c>
      <c r="D1" s="5" t="s">
        <v>3</v>
      </c>
      <c r="E1" s="6" t="s">
        <v>4</v>
      </c>
    </row>
    <row r="2" spans="1:5">
      <c r="A2" s="19" t="s">
        <v>44</v>
      </c>
      <c r="B2" s="20" t="s">
        <v>17</v>
      </c>
      <c r="C2" s="13">
        <v>8299</v>
      </c>
      <c r="D2" s="13"/>
      <c r="E2" s="90"/>
    </row>
    <row r="3" spans="1:5">
      <c r="A3" s="14" t="s">
        <v>44</v>
      </c>
      <c r="B3" s="21" t="s">
        <v>18</v>
      </c>
      <c r="C3" s="29">
        <v>13492</v>
      </c>
      <c r="D3" s="29"/>
      <c r="E3" s="91"/>
    </row>
    <row r="4" spans="1:5">
      <c r="A4" s="14" t="s">
        <v>44</v>
      </c>
      <c r="B4" s="21" t="s">
        <v>19</v>
      </c>
      <c r="C4" s="29">
        <v>15191</v>
      </c>
      <c r="D4" s="29"/>
      <c r="E4" s="91"/>
    </row>
    <row r="5" spans="1:5">
      <c r="A5" s="14" t="s">
        <v>44</v>
      </c>
      <c r="B5" s="21" t="s">
        <v>20</v>
      </c>
      <c r="C5" s="29">
        <v>15023</v>
      </c>
      <c r="D5" s="29"/>
      <c r="E5" s="91"/>
    </row>
    <row r="6" spans="1:5">
      <c r="A6" s="14" t="s">
        <v>44</v>
      </c>
      <c r="B6" s="21" t="s">
        <v>21</v>
      </c>
      <c r="C6" s="29">
        <v>16675</v>
      </c>
      <c r="D6" s="29"/>
      <c r="E6" s="91"/>
    </row>
    <row r="7" spans="1:5">
      <c r="A7" s="14" t="s">
        <v>44</v>
      </c>
      <c r="B7" s="21" t="s">
        <v>22</v>
      </c>
      <c r="C7" s="29">
        <v>13126</v>
      </c>
      <c r="D7" s="29"/>
      <c r="E7" s="91"/>
    </row>
    <row r="8" spans="1:5">
      <c r="A8" s="14" t="s">
        <v>44</v>
      </c>
      <c r="B8" s="21" t="s">
        <v>23</v>
      </c>
      <c r="C8" s="29">
        <v>16966</v>
      </c>
      <c r="D8" s="29"/>
      <c r="E8" s="91"/>
    </row>
    <row r="9" spans="1:5">
      <c r="A9" s="14" t="s">
        <v>44</v>
      </c>
      <c r="B9" s="21" t="s">
        <v>24</v>
      </c>
      <c r="C9" s="29">
        <v>13607</v>
      </c>
      <c r="D9" s="29"/>
      <c r="E9" s="91"/>
    </row>
    <row r="10" spans="1:5">
      <c r="A10" s="14" t="s">
        <v>44</v>
      </c>
      <c r="B10" s="21" t="s">
        <v>25</v>
      </c>
      <c r="C10" s="29">
        <v>14998</v>
      </c>
      <c r="D10" s="29"/>
      <c r="E10" s="91"/>
    </row>
    <row r="11" spans="1:5">
      <c r="A11" s="14" t="s">
        <v>44</v>
      </c>
      <c r="B11" s="21" t="s">
        <v>26</v>
      </c>
      <c r="C11" s="29">
        <v>15617</v>
      </c>
      <c r="D11" s="29"/>
      <c r="E11" s="91"/>
    </row>
    <row r="12" spans="1:5">
      <c r="A12" s="14" t="s">
        <v>44</v>
      </c>
      <c r="B12" s="21" t="s">
        <v>27</v>
      </c>
      <c r="C12" s="29">
        <v>15452</v>
      </c>
      <c r="D12" s="29"/>
      <c r="E12" s="91"/>
    </row>
    <row r="13" spans="1:5">
      <c r="A13" s="14" t="s">
        <v>44</v>
      </c>
      <c r="B13" s="21" t="s">
        <v>28</v>
      </c>
      <c r="C13" s="29">
        <v>15807</v>
      </c>
      <c r="D13" s="29"/>
      <c r="E13" s="91"/>
    </row>
    <row r="14" spans="1:5">
      <c r="A14" s="14" t="s">
        <v>44</v>
      </c>
      <c r="B14" s="21" t="s">
        <v>29</v>
      </c>
      <c r="C14" s="29">
        <v>15728</v>
      </c>
      <c r="D14" s="29"/>
      <c r="E14" s="91"/>
    </row>
    <row r="15" spans="1:5">
      <c r="A15" s="14" t="s">
        <v>44</v>
      </c>
      <c r="B15" s="21" t="s">
        <v>30</v>
      </c>
      <c r="C15" s="29">
        <v>15246</v>
      </c>
      <c r="D15" s="29"/>
      <c r="E15" s="91"/>
    </row>
    <row r="16" spans="1:5">
      <c r="A16" s="14" t="s">
        <v>44</v>
      </c>
      <c r="B16" s="21" t="s">
        <v>31</v>
      </c>
      <c r="C16" s="29">
        <v>15223</v>
      </c>
      <c r="D16" s="29"/>
      <c r="E16" s="91"/>
    </row>
    <row r="17" spans="1:5">
      <c r="A17" s="14" t="s">
        <v>44</v>
      </c>
      <c r="B17" s="21" t="s">
        <v>32</v>
      </c>
      <c r="C17" s="29">
        <v>16054</v>
      </c>
      <c r="D17" s="29"/>
      <c r="E17" s="91"/>
    </row>
    <row r="18" spans="1:5">
      <c r="A18" s="14" t="s">
        <v>44</v>
      </c>
      <c r="B18" s="21" t="s">
        <v>33</v>
      </c>
      <c r="C18" s="29">
        <v>16322</v>
      </c>
      <c r="D18" s="29"/>
      <c r="E18" s="91"/>
    </row>
    <row r="19" spans="1:5">
      <c r="A19" s="14" t="s">
        <v>44</v>
      </c>
      <c r="B19" s="21" t="s">
        <v>34</v>
      </c>
      <c r="C19" s="29">
        <v>16839</v>
      </c>
      <c r="D19" s="29"/>
      <c r="E19" s="91"/>
    </row>
    <row r="20" spans="1:5">
      <c r="A20" s="14" t="s">
        <v>44</v>
      </c>
      <c r="B20" s="21" t="s">
        <v>35</v>
      </c>
      <c r="C20" s="29">
        <v>15774</v>
      </c>
      <c r="D20" s="29"/>
      <c r="E20" s="91"/>
    </row>
    <row r="21" spans="1:5">
      <c r="A21" s="14" t="s">
        <v>44</v>
      </c>
      <c r="B21" s="21" t="s">
        <v>36</v>
      </c>
      <c r="C21" s="29">
        <v>16564</v>
      </c>
      <c r="D21" s="29"/>
      <c r="E21" s="91"/>
    </row>
    <row r="22" spans="1:5">
      <c r="A22" s="14" t="s">
        <v>44</v>
      </c>
      <c r="B22" s="21" t="s">
        <v>37</v>
      </c>
      <c r="C22" s="29">
        <v>17571</v>
      </c>
      <c r="D22" s="29"/>
      <c r="E22" s="91"/>
    </row>
    <row r="23" spans="1:5">
      <c r="A23" s="14" t="s">
        <v>44</v>
      </c>
      <c r="B23" s="21" t="s">
        <v>38</v>
      </c>
      <c r="C23" s="29">
        <v>16697</v>
      </c>
      <c r="D23" s="29"/>
      <c r="E23" s="91"/>
    </row>
    <row r="24" spans="1:5">
      <c r="A24" s="14" t="s">
        <v>44</v>
      </c>
      <c r="B24" s="21" t="s">
        <v>39</v>
      </c>
      <c r="C24" s="29">
        <v>12728</v>
      </c>
      <c r="D24" s="29"/>
      <c r="E24" s="91"/>
    </row>
    <row r="25" spans="1:5">
      <c r="A25" s="14" t="s">
        <v>44</v>
      </c>
      <c r="B25" s="21" t="s">
        <v>40</v>
      </c>
      <c r="C25" s="29">
        <v>7656</v>
      </c>
      <c r="D25" s="29"/>
      <c r="E25" s="91"/>
    </row>
    <row r="26" spans="1:5">
      <c r="A26" s="14" t="s">
        <v>48</v>
      </c>
      <c r="B26" s="21" t="s">
        <v>17</v>
      </c>
      <c r="C26" s="29">
        <v>12477</v>
      </c>
      <c r="D26" s="29"/>
      <c r="E26" s="91"/>
    </row>
    <row r="27" spans="1:5">
      <c r="A27" s="14" t="s">
        <v>48</v>
      </c>
      <c r="B27" s="21" t="s">
        <v>18</v>
      </c>
      <c r="C27" s="29">
        <v>12613</v>
      </c>
      <c r="D27" s="29"/>
      <c r="E27" s="91"/>
    </row>
    <row r="28" spans="1:5">
      <c r="A28" s="14" t="s">
        <v>48</v>
      </c>
      <c r="B28" s="21" t="s">
        <v>19</v>
      </c>
      <c r="C28" s="29">
        <v>11477</v>
      </c>
      <c r="D28" s="29"/>
      <c r="E28" s="91"/>
    </row>
    <row r="29" spans="1:5">
      <c r="A29" s="14" t="s">
        <v>48</v>
      </c>
      <c r="B29" s="21" t="s">
        <v>20</v>
      </c>
      <c r="C29" s="29">
        <v>12706</v>
      </c>
      <c r="D29" s="29"/>
      <c r="E29" s="91"/>
    </row>
    <row r="30" spans="1:5">
      <c r="A30" s="14" t="s">
        <v>48</v>
      </c>
      <c r="B30" s="21" t="s">
        <v>21</v>
      </c>
      <c r="C30" s="29">
        <v>14419</v>
      </c>
      <c r="D30" s="29"/>
      <c r="E30" s="91"/>
    </row>
    <row r="31" spans="1:5">
      <c r="A31" s="14" t="s">
        <v>48</v>
      </c>
      <c r="B31" s="21" t="s">
        <v>22</v>
      </c>
      <c r="C31" s="29">
        <v>13441</v>
      </c>
      <c r="D31" s="29"/>
      <c r="E31" s="91"/>
    </row>
    <row r="32" spans="1:5">
      <c r="A32" s="14" t="s">
        <v>48</v>
      </c>
      <c r="B32" s="21" t="s">
        <v>23</v>
      </c>
      <c r="C32" s="29">
        <v>14815</v>
      </c>
      <c r="D32" s="29"/>
      <c r="E32" s="91"/>
    </row>
    <row r="33" spans="1:5">
      <c r="A33" s="14" t="s">
        <v>48</v>
      </c>
      <c r="B33" s="21" t="s">
        <v>24</v>
      </c>
      <c r="C33" s="29">
        <v>12840</v>
      </c>
      <c r="D33" s="29"/>
      <c r="E33" s="91"/>
    </row>
    <row r="34" spans="1:5">
      <c r="A34" s="14" t="s">
        <v>48</v>
      </c>
      <c r="B34" s="21" t="s">
        <v>25</v>
      </c>
      <c r="C34" s="29">
        <v>12719</v>
      </c>
      <c r="D34" s="29"/>
      <c r="E34" s="91"/>
    </row>
    <row r="35" spans="1:5">
      <c r="A35" s="14" t="s">
        <v>48</v>
      </c>
      <c r="B35" s="21" t="s">
        <v>26</v>
      </c>
      <c r="C35" s="29">
        <v>14386</v>
      </c>
      <c r="D35" s="29"/>
      <c r="E35" s="91"/>
    </row>
    <row r="36" spans="1:5">
      <c r="A36" s="14" t="s">
        <v>48</v>
      </c>
      <c r="B36" s="21" t="s">
        <v>27</v>
      </c>
      <c r="C36" s="29">
        <v>14955</v>
      </c>
      <c r="D36" s="29"/>
      <c r="E36" s="91"/>
    </row>
    <row r="37" spans="1:5">
      <c r="A37" s="14" t="s">
        <v>48</v>
      </c>
      <c r="B37" s="21" t="s">
        <v>28</v>
      </c>
      <c r="C37" s="29">
        <v>14037</v>
      </c>
      <c r="D37" s="29"/>
      <c r="E37" s="91"/>
    </row>
    <row r="38" spans="1:5">
      <c r="A38" s="14" t="s">
        <v>48</v>
      </c>
      <c r="B38" s="21" t="s">
        <v>29</v>
      </c>
      <c r="C38" s="29">
        <v>14461</v>
      </c>
      <c r="D38" s="29"/>
      <c r="E38" s="91"/>
    </row>
    <row r="39" spans="1:5">
      <c r="A39" s="14" t="s">
        <v>48</v>
      </c>
      <c r="B39" s="21" t="s">
        <v>30</v>
      </c>
      <c r="C39" s="29">
        <v>14441</v>
      </c>
      <c r="D39" s="29"/>
      <c r="E39" s="91"/>
    </row>
    <row r="40" spans="1:5">
      <c r="A40" s="14" t="s">
        <v>48</v>
      </c>
      <c r="B40" s="21" t="s">
        <v>31</v>
      </c>
      <c r="C40" s="29">
        <v>13406</v>
      </c>
      <c r="D40" s="29"/>
      <c r="E40" s="91"/>
    </row>
    <row r="41" spans="1:5">
      <c r="A41" s="14" t="s">
        <v>48</v>
      </c>
      <c r="B41" s="21" t="s">
        <v>32</v>
      </c>
      <c r="C41" s="29">
        <v>12882</v>
      </c>
      <c r="D41" s="29"/>
      <c r="E41" s="91"/>
    </row>
    <row r="42" spans="1:5">
      <c r="A42" s="14" t="s">
        <v>48</v>
      </c>
      <c r="B42" s="21" t="s">
        <v>33</v>
      </c>
      <c r="C42" s="29">
        <v>14361</v>
      </c>
      <c r="D42" s="29"/>
      <c r="E42" s="91"/>
    </row>
    <row r="43" spans="1:5">
      <c r="A43" s="14" t="s">
        <v>48</v>
      </c>
      <c r="B43" s="21" t="s">
        <v>34</v>
      </c>
      <c r="C43" s="29">
        <v>15886</v>
      </c>
      <c r="D43" s="29"/>
      <c r="E43" s="91"/>
    </row>
    <row r="44" spans="1:5">
      <c r="A44" s="14" t="s">
        <v>48</v>
      </c>
      <c r="B44" s="21" t="s">
        <v>35</v>
      </c>
      <c r="C44" s="29">
        <v>15996</v>
      </c>
      <c r="D44" s="29"/>
      <c r="E44" s="91"/>
    </row>
    <row r="45" spans="1:5">
      <c r="A45" s="14" t="s">
        <v>48</v>
      </c>
      <c r="B45" s="21" t="s">
        <v>36</v>
      </c>
      <c r="C45" s="29">
        <v>14548</v>
      </c>
      <c r="D45" s="29"/>
      <c r="E45" s="91"/>
    </row>
    <row r="46" spans="1:5">
      <c r="A46" s="14" t="s">
        <v>48</v>
      </c>
      <c r="B46" s="21" t="s">
        <v>37</v>
      </c>
      <c r="C46" s="29">
        <v>16133</v>
      </c>
      <c r="D46" s="29"/>
      <c r="E46" s="91"/>
    </row>
    <row r="47" spans="1:5">
      <c r="A47" s="14" t="s">
        <v>48</v>
      </c>
      <c r="B47" s="21" t="s">
        <v>38</v>
      </c>
      <c r="C47" s="29">
        <v>14993</v>
      </c>
      <c r="D47" s="29"/>
      <c r="E47" s="91"/>
    </row>
    <row r="48" spans="1:5">
      <c r="A48" s="14" t="s">
        <v>48</v>
      </c>
      <c r="B48" s="21" t="s">
        <v>39</v>
      </c>
      <c r="C48" s="29">
        <v>13362</v>
      </c>
      <c r="D48" s="29"/>
      <c r="E48" s="91"/>
    </row>
    <row r="49" spans="1:5">
      <c r="A49" s="14" t="s">
        <v>48</v>
      </c>
      <c r="B49" s="21" t="s">
        <v>40</v>
      </c>
      <c r="C49" s="29">
        <v>7957</v>
      </c>
      <c r="D49" s="29"/>
      <c r="E49" s="91"/>
    </row>
    <row r="50" spans="1:5">
      <c r="A50" s="14" t="s">
        <v>138</v>
      </c>
      <c r="B50" s="21" t="s">
        <v>17</v>
      </c>
      <c r="C50" s="29">
        <v>11105</v>
      </c>
      <c r="D50" s="29"/>
      <c r="E50" s="91"/>
    </row>
    <row r="51" spans="1:5">
      <c r="A51" s="14" t="s">
        <v>138</v>
      </c>
      <c r="B51" s="21" t="s">
        <v>18</v>
      </c>
      <c r="C51" s="29">
        <v>11953</v>
      </c>
      <c r="D51" s="29"/>
      <c r="E51" s="91"/>
    </row>
    <row r="52" spans="1:5">
      <c r="A52" s="14" t="s">
        <v>138</v>
      </c>
      <c r="B52" s="21" t="s">
        <v>19</v>
      </c>
      <c r="C52" s="29">
        <v>9656</v>
      </c>
      <c r="D52" s="29"/>
      <c r="E52" s="91"/>
    </row>
    <row r="53" spans="1:5">
      <c r="A53" s="14" t="s">
        <v>138</v>
      </c>
      <c r="B53" s="21" t="s">
        <v>20</v>
      </c>
      <c r="C53" s="29">
        <v>12831</v>
      </c>
      <c r="D53" s="29"/>
      <c r="E53" s="91"/>
    </row>
    <row r="54" spans="1:5">
      <c r="A54" s="14" t="s">
        <v>138</v>
      </c>
      <c r="B54" s="21" t="s">
        <v>21</v>
      </c>
      <c r="C54" s="29">
        <v>14023</v>
      </c>
      <c r="D54" s="29"/>
      <c r="E54" s="91"/>
    </row>
    <row r="55" spans="1:5">
      <c r="A55" s="14" t="s">
        <v>138</v>
      </c>
      <c r="B55" s="21" t="s">
        <v>22</v>
      </c>
      <c r="C55" s="29">
        <v>11867</v>
      </c>
      <c r="D55" s="29"/>
      <c r="E55" s="91"/>
    </row>
    <row r="56" spans="1:5">
      <c r="A56" s="14" t="s">
        <v>138</v>
      </c>
      <c r="B56" s="21" t="s">
        <v>23</v>
      </c>
      <c r="C56" s="29">
        <v>12619</v>
      </c>
      <c r="D56" s="29"/>
      <c r="E56" s="91"/>
    </row>
    <row r="57" spans="1:5">
      <c r="A57" s="14" t="s">
        <v>138</v>
      </c>
      <c r="B57" s="21" t="s">
        <v>24</v>
      </c>
      <c r="C57" s="29">
        <v>13045</v>
      </c>
      <c r="D57" s="29"/>
      <c r="E57" s="91"/>
    </row>
    <row r="58" spans="1:5">
      <c r="A58" s="14" t="s">
        <v>138</v>
      </c>
      <c r="B58" s="21" t="s">
        <v>25</v>
      </c>
      <c r="C58" s="29">
        <v>15002</v>
      </c>
      <c r="D58" s="29"/>
      <c r="E58" s="91"/>
    </row>
    <row r="59" spans="1:5">
      <c r="A59" s="14" t="s">
        <v>138</v>
      </c>
      <c r="B59" s="21" t="s">
        <v>26</v>
      </c>
      <c r="C59" s="29">
        <v>16471</v>
      </c>
      <c r="D59" s="29"/>
      <c r="E59" s="91"/>
    </row>
    <row r="60" spans="1:5">
      <c r="A60" s="14" t="s">
        <v>138</v>
      </c>
      <c r="B60" s="21" t="s">
        <v>27</v>
      </c>
      <c r="C60" s="29">
        <v>14915</v>
      </c>
      <c r="D60" s="29"/>
      <c r="E60" s="91"/>
    </row>
    <row r="61" spans="1:5">
      <c r="A61" s="14" t="s">
        <v>138</v>
      </c>
      <c r="B61" s="21" t="s">
        <v>28</v>
      </c>
      <c r="C61" s="29">
        <v>15713</v>
      </c>
      <c r="D61" s="29"/>
      <c r="E61" s="91"/>
    </row>
    <row r="62" spans="1:5">
      <c r="A62" s="14" t="s">
        <v>138</v>
      </c>
      <c r="B62" s="21" t="s">
        <v>29</v>
      </c>
      <c r="C62" s="29">
        <v>15607</v>
      </c>
      <c r="D62" s="29"/>
      <c r="E62" s="91"/>
    </row>
    <row r="63" spans="1:5">
      <c r="A63" s="14" t="s">
        <v>138</v>
      </c>
      <c r="B63" s="21" t="s">
        <v>30</v>
      </c>
      <c r="C63" s="29">
        <v>14106</v>
      </c>
      <c r="D63" s="29"/>
      <c r="E63" s="91"/>
    </row>
    <row r="64" spans="1:5">
      <c r="A64" s="14" t="s">
        <v>138</v>
      </c>
      <c r="B64" s="21" t="s">
        <v>31</v>
      </c>
      <c r="C64" s="29">
        <v>14254</v>
      </c>
      <c r="D64" s="29"/>
      <c r="E64" s="91"/>
    </row>
    <row r="65" spans="1:5">
      <c r="A65" s="14" t="s">
        <v>138</v>
      </c>
      <c r="B65" s="21" t="s">
        <v>32</v>
      </c>
      <c r="C65" s="29">
        <v>14551</v>
      </c>
      <c r="D65" s="29"/>
      <c r="E65" s="91"/>
    </row>
    <row r="66" spans="1:5">
      <c r="A66" s="14" t="s">
        <v>138</v>
      </c>
      <c r="B66" s="21" t="s">
        <v>33</v>
      </c>
      <c r="C66" s="29">
        <v>13779</v>
      </c>
      <c r="D66" s="29"/>
      <c r="E66" s="91"/>
    </row>
    <row r="67" spans="1:5">
      <c r="A67" s="14" t="s">
        <v>138</v>
      </c>
      <c r="B67" s="21" t="s">
        <v>34</v>
      </c>
      <c r="C67" s="29">
        <v>15159</v>
      </c>
      <c r="D67" s="29"/>
      <c r="E67" s="91"/>
    </row>
    <row r="68" spans="1:5">
      <c r="A68" s="14" t="s">
        <v>138</v>
      </c>
      <c r="B68" s="21" t="s">
        <v>35</v>
      </c>
      <c r="C68" s="29">
        <v>15029</v>
      </c>
      <c r="D68" s="29"/>
      <c r="E68" s="91"/>
    </row>
    <row r="69" spans="1:5">
      <c r="A69" s="14" t="s">
        <v>138</v>
      </c>
      <c r="B69" s="21" t="s">
        <v>36</v>
      </c>
      <c r="C69" s="29">
        <v>15089</v>
      </c>
      <c r="D69" s="29"/>
      <c r="E69" s="91"/>
    </row>
    <row r="70" spans="1:5">
      <c r="A70" s="14" t="s">
        <v>138</v>
      </c>
      <c r="B70" s="21" t="s">
        <v>37</v>
      </c>
      <c r="C70" s="29">
        <v>15620</v>
      </c>
      <c r="D70" s="29"/>
      <c r="E70" s="91"/>
    </row>
    <row r="71" spans="1:5">
      <c r="A71" s="14" t="s">
        <v>138</v>
      </c>
      <c r="B71" s="21" t="s">
        <v>38</v>
      </c>
      <c r="C71" s="29">
        <v>14769</v>
      </c>
      <c r="D71" s="29"/>
      <c r="E71" s="91"/>
    </row>
    <row r="72" spans="1:5">
      <c r="A72" s="14" t="s">
        <v>138</v>
      </c>
      <c r="B72" s="21" t="s">
        <v>39</v>
      </c>
      <c r="C72" s="29">
        <v>12589</v>
      </c>
      <c r="D72" s="29"/>
      <c r="E72" s="91"/>
    </row>
    <row r="73" spans="1:5">
      <c r="A73" s="14" t="s">
        <v>138</v>
      </c>
      <c r="B73" s="21" t="s">
        <v>40</v>
      </c>
      <c r="C73" s="29">
        <v>6987</v>
      </c>
      <c r="D73" s="29"/>
      <c r="E73" s="91"/>
    </row>
    <row r="74" spans="1:5">
      <c r="A74" s="14" t="s">
        <v>139</v>
      </c>
      <c r="B74" s="21" t="s">
        <v>17</v>
      </c>
      <c r="C74" s="29">
        <v>7329</v>
      </c>
      <c r="D74" s="29"/>
      <c r="E74" s="91"/>
    </row>
    <row r="75" spans="1:5">
      <c r="A75" s="14" t="s">
        <v>139</v>
      </c>
      <c r="B75" s="21" t="s">
        <v>18</v>
      </c>
      <c r="C75" s="29">
        <v>10978</v>
      </c>
      <c r="D75" s="29"/>
      <c r="E75" s="91"/>
    </row>
    <row r="76" spans="1:5">
      <c r="A76" s="14" t="s">
        <v>139</v>
      </c>
      <c r="B76" s="21" t="s">
        <v>19</v>
      </c>
      <c r="C76" s="29">
        <v>12383</v>
      </c>
      <c r="D76" s="29"/>
      <c r="E76" s="91"/>
    </row>
    <row r="77" spans="1:5">
      <c r="A77" s="14" t="s">
        <v>139</v>
      </c>
      <c r="B77" s="21" t="s">
        <v>20</v>
      </c>
      <c r="C77" s="29">
        <v>10665</v>
      </c>
      <c r="D77" s="29"/>
      <c r="E77" s="91"/>
    </row>
    <row r="78" spans="1:5">
      <c r="A78" s="14" t="s">
        <v>139</v>
      </c>
      <c r="B78" s="21" t="s">
        <v>21</v>
      </c>
      <c r="C78" s="29">
        <v>14056</v>
      </c>
      <c r="D78" s="29"/>
      <c r="E78" s="91"/>
    </row>
    <row r="79" spans="1:5">
      <c r="A79" s="14" t="s">
        <v>139</v>
      </c>
      <c r="B79" s="21" t="s">
        <v>22</v>
      </c>
      <c r="C79" s="29">
        <v>12460</v>
      </c>
      <c r="D79" s="29"/>
      <c r="E79" s="91"/>
    </row>
    <row r="80" spans="1:5">
      <c r="A80" s="14" t="s">
        <v>139</v>
      </c>
      <c r="B80" s="21" t="s">
        <v>23</v>
      </c>
      <c r="C80" s="29">
        <v>12674</v>
      </c>
      <c r="D80" s="29"/>
      <c r="E80" s="91"/>
    </row>
    <row r="81" spans="1:5">
      <c r="A81" s="14" t="s">
        <v>139</v>
      </c>
      <c r="B81" s="21" t="s">
        <v>24</v>
      </c>
      <c r="C81" s="29">
        <v>11256</v>
      </c>
      <c r="D81" s="29"/>
      <c r="E81" s="91"/>
    </row>
    <row r="82" spans="1:5">
      <c r="A82" s="14" t="s">
        <v>139</v>
      </c>
      <c r="B82" s="21" t="s">
        <v>25</v>
      </c>
      <c r="C82" s="29">
        <v>13459</v>
      </c>
      <c r="D82" s="29"/>
      <c r="E82" s="91"/>
    </row>
    <row r="83" spans="1:5">
      <c r="A83" s="14" t="s">
        <v>139</v>
      </c>
      <c r="B83" s="21" t="s">
        <v>26</v>
      </c>
      <c r="C83" s="29">
        <v>14410</v>
      </c>
      <c r="D83" s="29"/>
      <c r="E83" s="91"/>
    </row>
    <row r="84" spans="1:5">
      <c r="A84" s="14" t="s">
        <v>139</v>
      </c>
      <c r="B84" s="21" t="s">
        <v>27</v>
      </c>
      <c r="C84" s="29">
        <v>14181</v>
      </c>
      <c r="D84" s="29"/>
      <c r="E84" s="91"/>
    </row>
    <row r="85" spans="1:5">
      <c r="A85" s="14" t="s">
        <v>139</v>
      </c>
      <c r="B85" s="21" t="s">
        <v>28</v>
      </c>
      <c r="C85" s="29">
        <v>13319</v>
      </c>
      <c r="D85" s="29"/>
      <c r="E85" s="91"/>
    </row>
    <row r="86" spans="1:5">
      <c r="A86" s="14" t="s">
        <v>139</v>
      </c>
      <c r="B86" s="21" t="s">
        <v>29</v>
      </c>
      <c r="C86" s="29">
        <v>12679</v>
      </c>
      <c r="D86" s="29"/>
      <c r="E86" s="91"/>
    </row>
    <row r="87" spans="1:5">
      <c r="A87" s="14" t="s">
        <v>139</v>
      </c>
      <c r="B87" s="21" t="s">
        <v>30</v>
      </c>
      <c r="C87" s="29">
        <v>11194</v>
      </c>
      <c r="D87" s="29"/>
      <c r="E87" s="91"/>
    </row>
    <row r="88" spans="1:5">
      <c r="A88" s="14" t="s">
        <v>139</v>
      </c>
      <c r="B88" s="21" t="s">
        <v>31</v>
      </c>
      <c r="C88" s="29">
        <v>10811</v>
      </c>
      <c r="D88" s="29"/>
      <c r="E88" s="91"/>
    </row>
    <row r="89" spans="1:5">
      <c r="A89" s="14" t="s">
        <v>139</v>
      </c>
      <c r="B89" s="21" t="s">
        <v>32</v>
      </c>
      <c r="C89" s="29">
        <v>10812</v>
      </c>
      <c r="D89" s="29"/>
      <c r="E89" s="91"/>
    </row>
    <row r="90" spans="1:5">
      <c r="A90" s="14" t="s">
        <v>139</v>
      </c>
      <c r="B90" s="21" t="s">
        <v>33</v>
      </c>
      <c r="C90" s="29">
        <v>10957</v>
      </c>
      <c r="D90" s="29"/>
      <c r="E90" s="91"/>
    </row>
    <row r="91" spans="1:5">
      <c r="A91" s="14" t="s">
        <v>139</v>
      </c>
      <c r="B91" s="21" t="s">
        <v>34</v>
      </c>
      <c r="C91" s="29">
        <v>11783</v>
      </c>
      <c r="D91" s="29"/>
      <c r="E91" s="91"/>
    </row>
    <row r="92" spans="1:5">
      <c r="A92" s="14" t="s">
        <v>139</v>
      </c>
      <c r="B92" s="21" t="s">
        <v>35</v>
      </c>
      <c r="C92" s="29">
        <v>13114</v>
      </c>
      <c r="D92" s="29"/>
      <c r="E92" s="91"/>
    </row>
    <row r="93" spans="1:5">
      <c r="A93" s="14" t="s">
        <v>139</v>
      </c>
      <c r="B93" s="21" t="s">
        <v>36</v>
      </c>
      <c r="C93" s="29">
        <v>13359</v>
      </c>
      <c r="D93" s="29"/>
      <c r="E93" s="91"/>
    </row>
    <row r="94" spans="1:5">
      <c r="A94" s="14" t="s">
        <v>139</v>
      </c>
      <c r="B94" s="21" t="s">
        <v>37</v>
      </c>
      <c r="C94" s="29">
        <v>13589</v>
      </c>
      <c r="D94" s="29"/>
      <c r="E94" s="91"/>
    </row>
    <row r="95" spans="1:5">
      <c r="A95" s="14" t="s">
        <v>139</v>
      </c>
      <c r="B95" s="21" t="s">
        <v>38</v>
      </c>
      <c r="C95" s="29">
        <v>13749</v>
      </c>
      <c r="D95" s="29"/>
      <c r="E95" s="91"/>
    </row>
    <row r="96" spans="1:5">
      <c r="A96" s="14" t="s">
        <v>139</v>
      </c>
      <c r="B96" s="21" t="s">
        <v>39</v>
      </c>
      <c r="C96" s="29">
        <v>9681</v>
      </c>
      <c r="D96" s="29"/>
      <c r="E96" s="91"/>
    </row>
    <row r="97" spans="1:5">
      <c r="A97" s="14" t="s">
        <v>139</v>
      </c>
      <c r="B97" s="21" t="s">
        <v>40</v>
      </c>
      <c r="C97" s="29">
        <v>5787</v>
      </c>
      <c r="D97" s="29"/>
      <c r="E97" s="91"/>
    </row>
    <row r="98" spans="1:5">
      <c r="A98" s="14" t="s">
        <v>140</v>
      </c>
      <c r="B98" s="21" t="s">
        <v>17</v>
      </c>
      <c r="C98" s="29">
        <v>5594</v>
      </c>
      <c r="D98" s="29"/>
      <c r="E98" s="91"/>
    </row>
    <row r="99" spans="1:5">
      <c r="A99" s="14" t="s">
        <v>140</v>
      </c>
      <c r="B99" s="21" t="s">
        <v>18</v>
      </c>
      <c r="C99" s="29">
        <v>5781</v>
      </c>
      <c r="D99" s="29"/>
      <c r="E99" s="91"/>
    </row>
    <row r="100" spans="1:5">
      <c r="A100" s="14" t="s">
        <v>140</v>
      </c>
      <c r="B100" s="21" t="s">
        <v>19</v>
      </c>
      <c r="C100" s="29">
        <v>5315</v>
      </c>
      <c r="D100" s="29"/>
      <c r="E100" s="91"/>
    </row>
    <row r="101" spans="1:5">
      <c r="A101" s="14" t="s">
        <v>140</v>
      </c>
      <c r="B101" s="21" t="s">
        <v>20</v>
      </c>
      <c r="C101" s="29">
        <v>8587</v>
      </c>
      <c r="D101" s="29"/>
      <c r="E101" s="91"/>
    </row>
    <row r="102" spans="1:5">
      <c r="A102" s="14" t="s">
        <v>140</v>
      </c>
      <c r="B102" s="21" t="s">
        <v>21</v>
      </c>
      <c r="C102" s="29">
        <v>12704</v>
      </c>
      <c r="D102" s="29"/>
      <c r="E102" s="91"/>
    </row>
    <row r="103" spans="1:5">
      <c r="A103" s="14" t="s">
        <v>140</v>
      </c>
      <c r="B103" s="21" t="s">
        <v>22</v>
      </c>
      <c r="C103" s="29">
        <v>12660</v>
      </c>
      <c r="D103" s="29"/>
      <c r="E103" s="91"/>
    </row>
    <row r="104" spans="1:5">
      <c r="A104" s="14" t="s">
        <v>140</v>
      </c>
      <c r="B104" s="21" t="s">
        <v>23</v>
      </c>
      <c r="C104" s="29">
        <v>16239</v>
      </c>
      <c r="D104" s="29"/>
      <c r="E104" s="91"/>
    </row>
    <row r="105" spans="1:5">
      <c r="A105" s="14" t="s">
        <v>140</v>
      </c>
      <c r="B105" s="21" t="s">
        <v>24</v>
      </c>
      <c r="C105" s="29">
        <v>17092</v>
      </c>
      <c r="D105" s="29"/>
      <c r="E105" s="91"/>
    </row>
    <row r="106" spans="1:5">
      <c r="A106" s="14" t="s">
        <v>140</v>
      </c>
      <c r="B106" s="21" t="s">
        <v>25</v>
      </c>
      <c r="C106" s="29">
        <v>15933</v>
      </c>
      <c r="D106" s="29"/>
      <c r="E106" s="91"/>
    </row>
    <row r="107" spans="1:5">
      <c r="A107" s="14" t="s">
        <v>140</v>
      </c>
      <c r="B107" s="21" t="s">
        <v>26</v>
      </c>
      <c r="C107" s="29">
        <v>14925</v>
      </c>
      <c r="D107" s="29"/>
      <c r="E107" s="91"/>
    </row>
    <row r="108" spans="1:5">
      <c r="A108" s="14" t="s">
        <v>140</v>
      </c>
      <c r="B108" s="21" t="s">
        <v>27</v>
      </c>
      <c r="C108" s="29">
        <v>12307</v>
      </c>
      <c r="D108" s="29"/>
      <c r="E108" s="91"/>
    </row>
    <row r="109" spans="1:5">
      <c r="A109" s="14" t="s">
        <v>140</v>
      </c>
      <c r="B109" s="21" t="s">
        <v>28</v>
      </c>
      <c r="C109" s="29">
        <v>12221</v>
      </c>
      <c r="D109" s="29"/>
      <c r="E109" s="91"/>
    </row>
    <row r="110" spans="1:5">
      <c r="A110" s="14" t="s">
        <v>140</v>
      </c>
      <c r="B110" s="21" t="s">
        <v>29</v>
      </c>
      <c r="C110" s="29">
        <v>12026</v>
      </c>
      <c r="D110" s="29"/>
      <c r="E110" s="91"/>
    </row>
    <row r="111" spans="1:5">
      <c r="A111" s="14" t="s">
        <v>140</v>
      </c>
      <c r="B111" s="21" t="s">
        <v>30</v>
      </c>
      <c r="C111" s="29">
        <v>12804</v>
      </c>
      <c r="D111" s="29"/>
      <c r="E111" s="91"/>
    </row>
    <row r="112" spans="1:5">
      <c r="A112" s="14" t="s">
        <v>140</v>
      </c>
      <c r="B112" s="21" t="s">
        <v>31</v>
      </c>
      <c r="C112" s="29">
        <v>10459</v>
      </c>
      <c r="D112" s="29"/>
      <c r="E112" s="91"/>
    </row>
    <row r="113" spans="1:5">
      <c r="A113" s="14" t="s">
        <v>140</v>
      </c>
      <c r="B113" s="21" t="s">
        <v>32</v>
      </c>
      <c r="C113" s="29">
        <v>10318</v>
      </c>
      <c r="D113" s="29"/>
      <c r="E113" s="91"/>
    </row>
    <row r="114" spans="1:5">
      <c r="A114" s="14" t="s">
        <v>140</v>
      </c>
      <c r="B114" s="21" t="s">
        <v>33</v>
      </c>
      <c r="C114" s="29">
        <v>10573</v>
      </c>
      <c r="D114" s="29"/>
      <c r="E114" s="91"/>
    </row>
    <row r="115" spans="1:5">
      <c r="A115" s="14" t="s">
        <v>140</v>
      </c>
      <c r="B115" s="21" t="s">
        <v>34</v>
      </c>
      <c r="C115" s="29">
        <v>11655</v>
      </c>
      <c r="D115" s="29"/>
      <c r="E115" s="91"/>
    </row>
    <row r="116" spans="1:5">
      <c r="A116" s="14" t="s">
        <v>140</v>
      </c>
      <c r="B116" s="21" t="s">
        <v>35</v>
      </c>
      <c r="C116" s="29">
        <v>11050</v>
      </c>
      <c r="D116" s="29"/>
      <c r="E116" s="91"/>
    </row>
    <row r="117" spans="1:5">
      <c r="A117" s="14" t="s">
        <v>140</v>
      </c>
      <c r="B117" s="21" t="s">
        <v>36</v>
      </c>
      <c r="C117" s="29">
        <v>11616</v>
      </c>
      <c r="D117" s="29"/>
      <c r="E117" s="91"/>
    </row>
    <row r="118" spans="1:5">
      <c r="A118" s="14" t="s">
        <v>140</v>
      </c>
      <c r="B118" s="21" t="s">
        <v>37</v>
      </c>
      <c r="C118" s="29">
        <v>11897</v>
      </c>
      <c r="D118" s="29"/>
      <c r="E118" s="91"/>
    </row>
    <row r="119" spans="1:5">
      <c r="A119" s="14" t="s">
        <v>140</v>
      </c>
      <c r="B119" s="21" t="s">
        <v>38</v>
      </c>
      <c r="C119" s="29">
        <v>11864</v>
      </c>
      <c r="D119" s="29"/>
      <c r="E119" s="91"/>
    </row>
    <row r="120" spans="1:5">
      <c r="A120" s="14" t="s">
        <v>140</v>
      </c>
      <c r="B120" s="21" t="s">
        <v>39</v>
      </c>
      <c r="C120" s="29">
        <v>9062</v>
      </c>
      <c r="D120" s="29"/>
      <c r="E120" s="91"/>
    </row>
    <row r="121" spans="1:5">
      <c r="A121" s="14" t="s">
        <v>140</v>
      </c>
      <c r="B121" s="21" t="s">
        <v>40</v>
      </c>
      <c r="C121" s="29">
        <v>4724</v>
      </c>
      <c r="D121" s="29"/>
      <c r="E121" s="91"/>
    </row>
    <row r="122" spans="1:5">
      <c r="A122" s="14" t="s">
        <v>141</v>
      </c>
      <c r="B122" s="21" t="s">
        <v>17</v>
      </c>
      <c r="C122" s="29">
        <v>6594</v>
      </c>
      <c r="D122" s="29"/>
      <c r="E122" s="91"/>
    </row>
    <row r="123" spans="1:5">
      <c r="A123" s="14" t="s">
        <v>141</v>
      </c>
      <c r="B123" s="21" t="s">
        <v>18</v>
      </c>
      <c r="C123" s="29">
        <v>6428</v>
      </c>
      <c r="D123" s="29"/>
      <c r="E123" s="91"/>
    </row>
    <row r="124" spans="1:5">
      <c r="A124" s="14" t="s">
        <v>141</v>
      </c>
      <c r="B124" s="21" t="s">
        <v>19</v>
      </c>
      <c r="C124" s="29">
        <v>6109</v>
      </c>
      <c r="D124" s="29"/>
      <c r="E124" s="91"/>
    </row>
    <row r="125" spans="1:5">
      <c r="A125" s="14" t="s">
        <v>141</v>
      </c>
      <c r="B125" s="21" t="s">
        <v>20</v>
      </c>
      <c r="C125" s="29">
        <v>8896</v>
      </c>
      <c r="D125" s="29"/>
      <c r="E125" s="91"/>
    </row>
    <row r="126" spans="1:5">
      <c r="A126" s="14" t="s">
        <v>141</v>
      </c>
      <c r="B126" s="21" t="s">
        <v>21</v>
      </c>
      <c r="C126" s="29">
        <v>3539</v>
      </c>
      <c r="D126" s="29"/>
      <c r="E126" s="91"/>
    </row>
    <row r="127" spans="1:5">
      <c r="A127" s="14" t="s">
        <v>141</v>
      </c>
      <c r="B127" s="21" t="s">
        <v>22</v>
      </c>
      <c r="C127" s="29">
        <v>10468</v>
      </c>
      <c r="D127" s="29"/>
      <c r="E127" s="91"/>
    </row>
    <row r="128" spans="1:5">
      <c r="A128" s="14" t="s">
        <v>141</v>
      </c>
      <c r="B128" s="21" t="s">
        <v>23</v>
      </c>
      <c r="C128" s="29">
        <v>13079</v>
      </c>
      <c r="D128" s="29"/>
      <c r="E128" s="91"/>
    </row>
    <row r="129" spans="1:5">
      <c r="A129" s="14" t="s">
        <v>141</v>
      </c>
      <c r="B129" s="21" t="s">
        <v>24</v>
      </c>
      <c r="C129" s="29">
        <v>14286</v>
      </c>
      <c r="D129" s="29"/>
      <c r="E129" s="91"/>
    </row>
    <row r="130" spans="1:5">
      <c r="A130" s="14" t="s">
        <v>141</v>
      </c>
      <c r="B130" s="21" t="s">
        <v>25</v>
      </c>
      <c r="C130" s="29">
        <v>12532</v>
      </c>
      <c r="D130" s="29"/>
      <c r="E130" s="91"/>
    </row>
    <row r="131" spans="1:5">
      <c r="A131" s="14" t="s">
        <v>141</v>
      </c>
      <c r="B131" s="21" t="s">
        <v>26</v>
      </c>
      <c r="C131" s="29">
        <v>13792</v>
      </c>
      <c r="D131" s="29"/>
      <c r="E131" s="91"/>
    </row>
    <row r="132" spans="1:5">
      <c r="A132" s="14" t="s">
        <v>141</v>
      </c>
      <c r="B132" s="21" t="s">
        <v>27</v>
      </c>
      <c r="C132" s="29">
        <v>13675</v>
      </c>
      <c r="D132" s="29"/>
      <c r="E132" s="91"/>
    </row>
    <row r="133" spans="1:5">
      <c r="A133" s="14" t="s">
        <v>141</v>
      </c>
      <c r="B133" s="21" t="s">
        <v>28</v>
      </c>
      <c r="C133" s="29">
        <v>13199</v>
      </c>
      <c r="D133" s="29"/>
      <c r="E133" s="91"/>
    </row>
    <row r="134" spans="1:5">
      <c r="A134" s="14" t="s">
        <v>141</v>
      </c>
      <c r="B134" s="21" t="s">
        <v>29</v>
      </c>
      <c r="C134" s="29">
        <v>14278</v>
      </c>
      <c r="D134" s="29"/>
      <c r="E134" s="91"/>
    </row>
    <row r="135" spans="1:5">
      <c r="A135" s="14" t="s">
        <v>141</v>
      </c>
      <c r="B135" s="21" t="s">
        <v>30</v>
      </c>
      <c r="C135" s="29">
        <v>13121</v>
      </c>
      <c r="D135" s="29"/>
      <c r="E135" s="91"/>
    </row>
    <row r="136" spans="1:5">
      <c r="A136" s="14" t="s">
        <v>141</v>
      </c>
      <c r="B136" s="21" t="s">
        <v>31</v>
      </c>
      <c r="C136" s="29">
        <v>9756</v>
      </c>
      <c r="D136" s="29"/>
      <c r="E136" s="91"/>
    </row>
    <row r="137" spans="1:5">
      <c r="A137" s="14" t="s">
        <v>141</v>
      </c>
      <c r="B137" s="21" t="s">
        <v>32</v>
      </c>
      <c r="C137" s="29">
        <v>10136</v>
      </c>
      <c r="D137" s="29"/>
      <c r="E137" s="91"/>
    </row>
    <row r="138" spans="1:5">
      <c r="A138" s="14" t="s">
        <v>141</v>
      </c>
      <c r="B138" s="21" t="s">
        <v>33</v>
      </c>
      <c r="C138" s="29">
        <v>11171</v>
      </c>
      <c r="D138" s="29"/>
      <c r="E138" s="91"/>
    </row>
    <row r="139" spans="1:5">
      <c r="A139" s="14" t="s">
        <v>141</v>
      </c>
      <c r="B139" s="21" t="s">
        <v>34</v>
      </c>
      <c r="C139" s="29">
        <v>14168</v>
      </c>
      <c r="D139" s="29"/>
      <c r="E139" s="91"/>
    </row>
    <row r="140" spans="1:5">
      <c r="A140" s="14" t="s">
        <v>141</v>
      </c>
      <c r="B140" s="21" t="s">
        <v>35</v>
      </c>
      <c r="C140" s="29">
        <v>10606</v>
      </c>
      <c r="D140" s="29"/>
      <c r="E140" s="91"/>
    </row>
    <row r="141" spans="1:5">
      <c r="A141" s="14" t="s">
        <v>141</v>
      </c>
      <c r="B141" s="21" t="s">
        <v>36</v>
      </c>
      <c r="C141" s="29">
        <v>11588</v>
      </c>
      <c r="D141" s="29"/>
      <c r="E141" s="91"/>
    </row>
    <row r="142" spans="1:5">
      <c r="A142" s="14" t="s">
        <v>141</v>
      </c>
      <c r="B142" s="21" t="s">
        <v>37</v>
      </c>
      <c r="C142" s="29">
        <v>14562</v>
      </c>
      <c r="D142" s="29"/>
      <c r="E142" s="91"/>
    </row>
    <row r="143" spans="1:5">
      <c r="A143" s="14" t="s">
        <v>141</v>
      </c>
      <c r="B143" s="21" t="s">
        <v>38</v>
      </c>
      <c r="C143" s="29">
        <v>14072</v>
      </c>
      <c r="D143" s="29"/>
      <c r="E143" s="91"/>
    </row>
    <row r="144" spans="1:5">
      <c r="A144" s="14" t="s">
        <v>141</v>
      </c>
      <c r="B144" s="21" t="s">
        <v>39</v>
      </c>
      <c r="C144" s="29">
        <v>12002</v>
      </c>
      <c r="D144" s="29"/>
      <c r="E144" s="91"/>
    </row>
    <row r="145" spans="1:5">
      <c r="A145" s="14" t="s">
        <v>141</v>
      </c>
      <c r="B145" s="21" t="s">
        <v>40</v>
      </c>
      <c r="C145" s="29">
        <v>7697</v>
      </c>
      <c r="D145" s="29"/>
      <c r="E145" s="91"/>
    </row>
    <row r="146" spans="1:5">
      <c r="A146" s="14" t="s">
        <v>142</v>
      </c>
      <c r="B146" s="21" t="s">
        <v>17</v>
      </c>
      <c r="C146" s="29">
        <v>6065</v>
      </c>
      <c r="D146" s="29"/>
      <c r="E146" s="91"/>
    </row>
    <row r="147" spans="1:5">
      <c r="A147" s="14" t="s">
        <v>142</v>
      </c>
      <c r="B147" s="21" t="s">
        <v>18</v>
      </c>
      <c r="C147" s="29">
        <v>10842</v>
      </c>
      <c r="D147" s="29"/>
      <c r="E147" s="91"/>
    </row>
    <row r="148" spans="1:5">
      <c r="A148" s="14" t="s">
        <v>142</v>
      </c>
      <c r="B148" s="21" t="s">
        <v>19</v>
      </c>
      <c r="C148" s="29">
        <v>12877</v>
      </c>
      <c r="D148" s="29"/>
      <c r="E148" s="91"/>
    </row>
    <row r="149" spans="1:5">
      <c r="A149" s="14" t="s">
        <v>142</v>
      </c>
      <c r="B149" s="21" t="s">
        <v>20</v>
      </c>
      <c r="C149" s="29">
        <v>13050</v>
      </c>
      <c r="D149" s="29"/>
      <c r="E149" s="91"/>
    </row>
    <row r="150" spans="1:5">
      <c r="A150" s="14" t="s">
        <v>142</v>
      </c>
      <c r="B150" s="21" t="s">
        <v>21</v>
      </c>
      <c r="C150" s="29">
        <v>14341</v>
      </c>
      <c r="D150" s="29"/>
      <c r="E150" s="91"/>
    </row>
    <row r="151" spans="1:5">
      <c r="A151" s="14" t="s">
        <v>142</v>
      </c>
      <c r="B151" s="21" t="s">
        <v>22</v>
      </c>
      <c r="C151" s="29">
        <v>11106</v>
      </c>
      <c r="D151" s="29"/>
      <c r="E151" s="91"/>
    </row>
    <row r="152" spans="1:5">
      <c r="A152" s="14" t="s">
        <v>142</v>
      </c>
      <c r="B152" s="21" t="s">
        <v>23</v>
      </c>
      <c r="C152" s="29">
        <v>11991</v>
      </c>
      <c r="D152" s="29"/>
      <c r="E152" s="91"/>
    </row>
    <row r="153" spans="1:5">
      <c r="A153" s="14" t="s">
        <v>142</v>
      </c>
      <c r="B153" s="21" t="s">
        <v>24</v>
      </c>
      <c r="C153" s="29">
        <v>12528</v>
      </c>
      <c r="D153" s="29"/>
      <c r="E153" s="91"/>
    </row>
    <row r="154" spans="1:5">
      <c r="A154" s="14" t="s">
        <v>142</v>
      </c>
      <c r="B154" s="21" t="s">
        <v>25</v>
      </c>
      <c r="C154" s="29">
        <v>14453</v>
      </c>
      <c r="D154" s="29"/>
      <c r="E154" s="91"/>
    </row>
    <row r="155" spans="1:5">
      <c r="A155" s="14" t="s">
        <v>142</v>
      </c>
      <c r="B155" s="21" t="s">
        <v>26</v>
      </c>
      <c r="C155" s="29">
        <v>14622</v>
      </c>
      <c r="D155" s="29"/>
      <c r="E155" s="91"/>
    </row>
    <row r="156" spans="1:5">
      <c r="A156" s="14" t="s">
        <v>142</v>
      </c>
      <c r="B156" s="21" t="s">
        <v>27</v>
      </c>
      <c r="C156" s="29">
        <v>14116</v>
      </c>
      <c r="D156" s="29"/>
      <c r="E156" s="91"/>
    </row>
    <row r="157" spans="1:5">
      <c r="A157" s="14" t="s">
        <v>142</v>
      </c>
      <c r="B157" s="21" t="s">
        <v>28</v>
      </c>
      <c r="C157" s="29">
        <v>14745</v>
      </c>
      <c r="D157" s="29"/>
      <c r="E157" s="91"/>
    </row>
    <row r="158" spans="1:5">
      <c r="A158" s="14" t="s">
        <v>142</v>
      </c>
      <c r="B158" s="21" t="s">
        <v>29</v>
      </c>
      <c r="C158" s="29">
        <v>12479</v>
      </c>
      <c r="D158" s="29"/>
      <c r="E158" s="91"/>
    </row>
    <row r="159" spans="1:5">
      <c r="A159" s="14" t="s">
        <v>142</v>
      </c>
      <c r="B159" s="21" t="s">
        <v>30</v>
      </c>
      <c r="C159" s="29">
        <v>10870</v>
      </c>
      <c r="D159" s="29"/>
      <c r="E159" s="91"/>
    </row>
    <row r="160" spans="1:5">
      <c r="A160" s="14" t="s">
        <v>142</v>
      </c>
      <c r="B160" s="21" t="s">
        <v>31</v>
      </c>
      <c r="C160" s="29">
        <v>10772</v>
      </c>
      <c r="D160" s="29"/>
      <c r="E160" s="91"/>
    </row>
    <row r="161" spans="1:5">
      <c r="A161" s="14" t="s">
        <v>142</v>
      </c>
      <c r="B161" s="21" t="s">
        <v>32</v>
      </c>
      <c r="C161" s="29">
        <v>11112</v>
      </c>
      <c r="D161" s="29"/>
      <c r="E161" s="91"/>
    </row>
    <row r="162" spans="1:5">
      <c r="A162" s="14" t="s">
        <v>142</v>
      </c>
      <c r="B162" s="21" t="s">
        <v>33</v>
      </c>
      <c r="C162" s="29">
        <v>11687</v>
      </c>
      <c r="D162" s="29"/>
      <c r="E162" s="91"/>
    </row>
    <row r="163" spans="1:5">
      <c r="A163" s="14" t="s">
        <v>142</v>
      </c>
      <c r="B163" s="21" t="s">
        <v>34</v>
      </c>
      <c r="C163" s="29">
        <v>10565</v>
      </c>
      <c r="D163" s="29"/>
      <c r="E163" s="91"/>
    </row>
    <row r="164" spans="1:5">
      <c r="A164" s="14" t="s">
        <v>142</v>
      </c>
      <c r="B164" s="21" t="s">
        <v>35</v>
      </c>
      <c r="C164" s="29">
        <v>11121</v>
      </c>
      <c r="D164" s="29"/>
      <c r="E164" s="91"/>
    </row>
    <row r="165" spans="1:5">
      <c r="A165" s="14" t="s">
        <v>142</v>
      </c>
      <c r="B165" s="21" t="s">
        <v>36</v>
      </c>
      <c r="C165" s="29">
        <v>12457</v>
      </c>
      <c r="D165" s="29"/>
      <c r="E165" s="91"/>
    </row>
    <row r="166" spans="1:5">
      <c r="A166" s="14" t="s">
        <v>142</v>
      </c>
      <c r="B166" s="21" t="s">
        <v>37</v>
      </c>
      <c r="C166" s="29">
        <v>12906</v>
      </c>
      <c r="D166" s="29"/>
      <c r="E166" s="91"/>
    </row>
    <row r="167" spans="1:5">
      <c r="A167" s="14" t="s">
        <v>142</v>
      </c>
      <c r="B167" s="21" t="s">
        <v>38</v>
      </c>
      <c r="C167" s="29">
        <v>13036</v>
      </c>
      <c r="D167" s="29"/>
      <c r="E167" s="91"/>
    </row>
    <row r="168" spans="1:5">
      <c r="A168" s="14" t="s">
        <v>142</v>
      </c>
      <c r="B168" s="21" t="s">
        <v>39</v>
      </c>
      <c r="C168" s="29">
        <v>10701</v>
      </c>
      <c r="D168" s="29"/>
      <c r="E168" s="91"/>
    </row>
    <row r="169" spans="1:5">
      <c r="A169" s="14" t="s">
        <v>142</v>
      </c>
      <c r="B169" s="21" t="s">
        <v>40</v>
      </c>
      <c r="C169" s="29">
        <v>5989</v>
      </c>
      <c r="D169" s="29"/>
      <c r="E169" s="91"/>
    </row>
    <row r="170" spans="1:5">
      <c r="A170" s="14" t="s">
        <v>143</v>
      </c>
      <c r="B170" s="21" t="s">
        <v>17</v>
      </c>
      <c r="C170" s="29">
        <v>6047</v>
      </c>
      <c r="D170" s="29"/>
      <c r="E170" s="91"/>
    </row>
    <row r="171" spans="1:5">
      <c r="A171" s="14" t="s">
        <v>143</v>
      </c>
      <c r="B171" s="21" t="s">
        <v>18</v>
      </c>
      <c r="C171" s="29">
        <v>9517</v>
      </c>
      <c r="D171" s="29"/>
      <c r="E171" s="91"/>
    </row>
    <row r="172" spans="1:5">
      <c r="A172" s="14" t="s">
        <v>143</v>
      </c>
      <c r="B172" s="21" t="s">
        <v>19</v>
      </c>
      <c r="C172" s="29">
        <v>10919</v>
      </c>
      <c r="D172" s="29"/>
      <c r="E172" s="91"/>
    </row>
    <row r="173" spans="1:5">
      <c r="A173" s="14" t="s">
        <v>143</v>
      </c>
      <c r="B173" s="21" t="s">
        <v>20</v>
      </c>
      <c r="C173" s="29">
        <v>10046</v>
      </c>
      <c r="D173" s="29"/>
      <c r="E173" s="91"/>
    </row>
    <row r="174" spans="1:5">
      <c r="A174" s="14" t="s">
        <v>143</v>
      </c>
      <c r="B174" s="21" t="s">
        <v>21</v>
      </c>
      <c r="C174" s="29">
        <v>13094</v>
      </c>
      <c r="D174" s="29"/>
      <c r="E174" s="91"/>
    </row>
    <row r="175" spans="1:5">
      <c r="A175" s="14" t="s">
        <v>143</v>
      </c>
      <c r="B175" s="21" t="s">
        <v>22</v>
      </c>
      <c r="C175" s="29">
        <v>14394</v>
      </c>
      <c r="D175" s="29"/>
      <c r="E175" s="91"/>
    </row>
    <row r="176" spans="1:5">
      <c r="A176" s="14" t="s">
        <v>143</v>
      </c>
      <c r="B176" s="21" t="s">
        <v>23</v>
      </c>
      <c r="C176" s="29">
        <v>14195</v>
      </c>
      <c r="D176" s="29"/>
      <c r="E176" s="91"/>
    </row>
    <row r="177" spans="1:5">
      <c r="A177" s="14" t="s">
        <v>143</v>
      </c>
      <c r="B177" s="21" t="s">
        <v>24</v>
      </c>
      <c r="C177" s="29">
        <v>14120</v>
      </c>
      <c r="D177" s="29"/>
      <c r="E177" s="91"/>
    </row>
    <row r="178" spans="1:5">
      <c r="A178" s="14" t="s">
        <v>143</v>
      </c>
      <c r="B178" s="21" t="s">
        <v>25</v>
      </c>
      <c r="C178" s="29">
        <v>13579</v>
      </c>
      <c r="D178" s="29"/>
      <c r="E178" s="91"/>
    </row>
    <row r="179" spans="1:5">
      <c r="A179" s="14" t="s">
        <v>143</v>
      </c>
      <c r="B179" s="21" t="s">
        <v>26</v>
      </c>
      <c r="C179" s="29">
        <v>15304</v>
      </c>
      <c r="D179" s="29"/>
      <c r="E179" s="91"/>
    </row>
    <row r="180" spans="1:5">
      <c r="A180" s="14" t="s">
        <v>143</v>
      </c>
      <c r="B180" s="21" t="s">
        <v>27</v>
      </c>
      <c r="C180" s="29">
        <v>14183</v>
      </c>
      <c r="D180" s="29"/>
      <c r="E180" s="91"/>
    </row>
    <row r="181" spans="1:5">
      <c r="A181" s="14" t="s">
        <v>143</v>
      </c>
      <c r="B181" s="21" t="s">
        <v>28</v>
      </c>
      <c r="C181" s="29">
        <v>15452</v>
      </c>
      <c r="D181" s="29"/>
      <c r="E181" s="91"/>
    </row>
    <row r="182" spans="1:5">
      <c r="A182" s="14" t="s">
        <v>143</v>
      </c>
      <c r="B182" s="21" t="s">
        <v>29</v>
      </c>
      <c r="C182" s="29">
        <v>14447</v>
      </c>
      <c r="D182" s="29"/>
      <c r="E182" s="91"/>
    </row>
    <row r="183" spans="1:5">
      <c r="A183" s="14" t="s">
        <v>143</v>
      </c>
      <c r="B183" s="21" t="s">
        <v>30</v>
      </c>
      <c r="C183" s="29">
        <v>13703</v>
      </c>
      <c r="D183" s="29"/>
      <c r="E183" s="91"/>
    </row>
    <row r="184" spans="1:5">
      <c r="A184" s="14" t="s">
        <v>143</v>
      </c>
      <c r="B184" s="21" t="s">
        <v>31</v>
      </c>
      <c r="C184" s="29">
        <v>11372</v>
      </c>
      <c r="D184" s="29"/>
      <c r="E184" s="91"/>
    </row>
    <row r="185" spans="1:5">
      <c r="A185" s="14" t="s">
        <v>143</v>
      </c>
      <c r="B185" s="21" t="s">
        <v>32</v>
      </c>
      <c r="C185" s="29">
        <v>13950</v>
      </c>
      <c r="D185" s="29"/>
      <c r="E185" s="91"/>
    </row>
    <row r="186" spans="1:5">
      <c r="A186" s="14" t="s">
        <v>143</v>
      </c>
      <c r="B186" s="21" t="s">
        <v>33</v>
      </c>
      <c r="C186" s="29">
        <v>13352</v>
      </c>
      <c r="D186" s="29"/>
      <c r="E186" s="91"/>
    </row>
    <row r="187" spans="1:5">
      <c r="A187" s="14" t="s">
        <v>143</v>
      </c>
      <c r="B187" s="21" t="s">
        <v>34</v>
      </c>
      <c r="C187" s="29">
        <v>13307</v>
      </c>
      <c r="D187" s="29"/>
      <c r="E187" s="91"/>
    </row>
    <row r="188" spans="1:5">
      <c r="A188" s="14" t="s">
        <v>143</v>
      </c>
      <c r="B188" s="21" t="s">
        <v>35</v>
      </c>
      <c r="C188" s="29">
        <v>14553</v>
      </c>
      <c r="D188" s="29"/>
      <c r="E188" s="91"/>
    </row>
    <row r="189" spans="1:5">
      <c r="A189" s="14" t="s">
        <v>143</v>
      </c>
      <c r="B189" s="21" t="s">
        <v>36</v>
      </c>
      <c r="C189" s="29">
        <v>14432</v>
      </c>
      <c r="D189" s="29"/>
      <c r="E189" s="91"/>
    </row>
    <row r="190" spans="1:5">
      <c r="A190" s="14" t="s">
        <v>143</v>
      </c>
      <c r="B190" s="21" t="s">
        <v>37</v>
      </c>
      <c r="C190" s="29">
        <v>14261</v>
      </c>
      <c r="D190" s="29"/>
      <c r="E190" s="91"/>
    </row>
    <row r="191" spans="1:5">
      <c r="A191" s="14" t="s">
        <v>143</v>
      </c>
      <c r="B191" s="21" t="s">
        <v>38</v>
      </c>
      <c r="C191" s="29">
        <v>13977</v>
      </c>
      <c r="D191" s="29"/>
      <c r="E191" s="91"/>
    </row>
    <row r="192" spans="1:5">
      <c r="A192" s="14" t="s">
        <v>143</v>
      </c>
      <c r="B192" s="21" t="s">
        <v>39</v>
      </c>
      <c r="C192" s="29">
        <v>11403</v>
      </c>
      <c r="D192" s="29"/>
      <c r="E192" s="91"/>
    </row>
    <row r="193" spans="1:5">
      <c r="A193" s="14" t="s">
        <v>143</v>
      </c>
      <c r="B193" s="21" t="s">
        <v>40</v>
      </c>
      <c r="C193" s="29">
        <v>6199</v>
      </c>
      <c r="D193" s="29"/>
      <c r="E193" s="91"/>
    </row>
    <row r="194" spans="1:5">
      <c r="A194" s="14" t="s">
        <v>144</v>
      </c>
      <c r="B194" s="21" t="s">
        <v>17</v>
      </c>
      <c r="C194" s="29">
        <v>6638</v>
      </c>
      <c r="D194" s="29"/>
      <c r="E194" s="91"/>
    </row>
    <row r="195" spans="1:5">
      <c r="A195" s="14" t="s">
        <v>144</v>
      </c>
      <c r="B195" s="21" t="s">
        <v>18</v>
      </c>
      <c r="C195" s="29">
        <v>9774</v>
      </c>
      <c r="D195" s="29"/>
      <c r="E195" s="91"/>
    </row>
    <row r="196" spans="1:5">
      <c r="A196" s="14" t="s">
        <v>144</v>
      </c>
      <c r="B196" s="21" t="s">
        <v>19</v>
      </c>
      <c r="C196" s="29">
        <v>10155</v>
      </c>
      <c r="D196" s="29"/>
      <c r="E196" s="91"/>
    </row>
    <row r="197" spans="1:5">
      <c r="A197" s="14" t="s">
        <v>144</v>
      </c>
      <c r="B197" s="21" t="s">
        <v>20</v>
      </c>
      <c r="C197" s="29">
        <v>11877</v>
      </c>
      <c r="D197" s="29"/>
      <c r="E197" s="91"/>
    </row>
    <row r="198" spans="1:5">
      <c r="A198" s="14" t="s">
        <v>144</v>
      </c>
      <c r="B198" s="21" t="s">
        <v>21</v>
      </c>
      <c r="C198" s="29">
        <v>12460</v>
      </c>
      <c r="D198" s="29"/>
      <c r="E198" s="91"/>
    </row>
    <row r="199" spans="1:5">
      <c r="A199" s="14" t="s">
        <v>144</v>
      </c>
      <c r="B199" s="21" t="s">
        <v>22</v>
      </c>
      <c r="C199" s="29">
        <v>14018</v>
      </c>
      <c r="D199" s="29"/>
      <c r="E199" s="91"/>
    </row>
    <row r="200" spans="1:5">
      <c r="A200" s="14" t="s">
        <v>144</v>
      </c>
      <c r="B200" s="21" t="s">
        <v>23</v>
      </c>
      <c r="C200" s="29">
        <v>14386</v>
      </c>
      <c r="D200" s="29"/>
      <c r="E200" s="91"/>
    </row>
    <row r="201" spans="1:5">
      <c r="A201" s="14" t="s">
        <v>144</v>
      </c>
      <c r="B201" s="21" t="s">
        <v>24</v>
      </c>
      <c r="C201" s="29">
        <v>12940</v>
      </c>
      <c r="D201" s="29"/>
      <c r="E201" s="91"/>
    </row>
    <row r="202" spans="1:5">
      <c r="A202" s="14" t="s">
        <v>144</v>
      </c>
      <c r="B202" s="21" t="s">
        <v>25</v>
      </c>
      <c r="C202" s="29">
        <v>13662</v>
      </c>
      <c r="D202" s="29"/>
      <c r="E202" s="91"/>
    </row>
    <row r="203" spans="1:5">
      <c r="A203" s="14" t="s">
        <v>144</v>
      </c>
      <c r="B203" s="21" t="s">
        <v>26</v>
      </c>
      <c r="C203" s="29">
        <v>14179</v>
      </c>
      <c r="D203" s="29"/>
      <c r="E203" s="91"/>
    </row>
    <row r="204" spans="1:5">
      <c r="A204" s="14" t="s">
        <v>144</v>
      </c>
      <c r="B204" s="21" t="s">
        <v>27</v>
      </c>
      <c r="C204" s="29">
        <v>14169</v>
      </c>
      <c r="D204" s="29"/>
      <c r="E204" s="91"/>
    </row>
    <row r="205" spans="1:5">
      <c r="A205" s="14" t="s">
        <v>144</v>
      </c>
      <c r="B205" s="21" t="s">
        <v>28</v>
      </c>
      <c r="C205" s="29">
        <v>12413</v>
      </c>
      <c r="D205" s="29"/>
      <c r="E205" s="91"/>
    </row>
    <row r="206" spans="1:5">
      <c r="A206" s="14" t="s">
        <v>144</v>
      </c>
      <c r="B206" s="21" t="s">
        <v>29</v>
      </c>
      <c r="C206" s="29">
        <v>11747</v>
      </c>
      <c r="D206" s="29"/>
      <c r="E206" s="91"/>
    </row>
    <row r="207" spans="1:5">
      <c r="A207" s="14" t="s">
        <v>144</v>
      </c>
      <c r="B207" s="21" t="s">
        <v>30</v>
      </c>
      <c r="C207" s="29">
        <v>12053</v>
      </c>
      <c r="D207" s="29"/>
      <c r="E207" s="91"/>
    </row>
    <row r="208" spans="1:5">
      <c r="A208" s="14" t="s">
        <v>144</v>
      </c>
      <c r="B208" s="21" t="s">
        <v>31</v>
      </c>
      <c r="C208" s="29">
        <v>11177</v>
      </c>
      <c r="D208" s="29"/>
      <c r="E208" s="91"/>
    </row>
    <row r="209" spans="1:5">
      <c r="A209" s="14" t="s">
        <v>144</v>
      </c>
      <c r="B209" s="21" t="s">
        <v>32</v>
      </c>
      <c r="C209" s="29">
        <v>10715</v>
      </c>
      <c r="D209" s="29"/>
      <c r="E209" s="91"/>
    </row>
    <row r="210" spans="1:5">
      <c r="A210" s="14" t="s">
        <v>144</v>
      </c>
      <c r="B210" s="21" t="s">
        <v>33</v>
      </c>
      <c r="C210" s="29">
        <v>11849</v>
      </c>
      <c r="D210" s="29"/>
      <c r="E210" s="91"/>
    </row>
    <row r="211" spans="1:5">
      <c r="A211" s="14" t="s">
        <v>144</v>
      </c>
      <c r="B211" s="21" t="s">
        <v>34</v>
      </c>
      <c r="C211" s="29">
        <v>12381</v>
      </c>
      <c r="D211" s="29"/>
      <c r="E211" s="91"/>
    </row>
    <row r="212" spans="1:5">
      <c r="A212" s="14" t="s">
        <v>144</v>
      </c>
      <c r="B212" s="21" t="s">
        <v>35</v>
      </c>
      <c r="C212" s="29">
        <v>11286</v>
      </c>
      <c r="D212" s="29"/>
      <c r="E212" s="91"/>
    </row>
    <row r="213" spans="1:5">
      <c r="A213" s="14" t="s">
        <v>144</v>
      </c>
      <c r="B213" s="21" t="s">
        <v>36</v>
      </c>
      <c r="C213" s="29">
        <v>10811</v>
      </c>
      <c r="D213" s="29"/>
      <c r="E213" s="91"/>
    </row>
    <row r="214" spans="1:5">
      <c r="A214" s="14" t="s">
        <v>144</v>
      </c>
      <c r="B214" s="21" t="s">
        <v>37</v>
      </c>
      <c r="C214" s="29">
        <v>11957</v>
      </c>
      <c r="D214" s="29"/>
      <c r="E214" s="91"/>
    </row>
    <row r="215" spans="1:5">
      <c r="A215" s="14" t="s">
        <v>144</v>
      </c>
      <c r="B215" s="21" t="s">
        <v>38</v>
      </c>
      <c r="C215" s="29">
        <v>11787</v>
      </c>
      <c r="D215" s="29"/>
      <c r="E215" s="91"/>
    </row>
    <row r="216" spans="1:5">
      <c r="A216" s="14" t="s">
        <v>144</v>
      </c>
      <c r="B216" s="21" t="s">
        <v>39</v>
      </c>
      <c r="C216" s="29">
        <v>10007</v>
      </c>
      <c r="D216" s="29"/>
      <c r="E216" s="91"/>
    </row>
    <row r="217" spans="1:5">
      <c r="A217" s="14" t="s">
        <v>144</v>
      </c>
      <c r="B217" s="21" t="s">
        <v>40</v>
      </c>
      <c r="C217" s="29">
        <v>4282</v>
      </c>
      <c r="D217" s="29"/>
      <c r="E217" s="91"/>
    </row>
    <row r="218" spans="1:5">
      <c r="A218" s="14" t="s">
        <v>145</v>
      </c>
      <c r="B218" s="21" t="s">
        <v>17</v>
      </c>
      <c r="C218" s="29">
        <v>4133</v>
      </c>
      <c r="D218" s="29"/>
      <c r="E218" s="91"/>
    </row>
    <row r="219" spans="1:5">
      <c r="A219" s="14" t="s">
        <v>145</v>
      </c>
      <c r="B219" s="21" t="s">
        <v>18</v>
      </c>
      <c r="C219" s="29">
        <v>3344</v>
      </c>
      <c r="D219" s="29"/>
      <c r="E219" s="91"/>
    </row>
    <row r="220" spans="1:5">
      <c r="A220" s="14" t="s">
        <v>145</v>
      </c>
      <c r="B220" s="21" t="s">
        <v>19</v>
      </c>
      <c r="C220" s="29">
        <v>2230</v>
      </c>
      <c r="D220" s="29"/>
      <c r="E220" s="91"/>
    </row>
    <row r="221" spans="1:5">
      <c r="A221" s="14" t="s">
        <v>145</v>
      </c>
      <c r="B221" s="21" t="s">
        <v>20</v>
      </c>
      <c r="C221" s="29">
        <v>3754</v>
      </c>
      <c r="D221" s="29"/>
      <c r="E221" s="91"/>
    </row>
    <row r="222" spans="1:5">
      <c r="A222" s="14" t="s">
        <v>145</v>
      </c>
      <c r="B222" s="21" t="s">
        <v>21</v>
      </c>
      <c r="C222" s="29">
        <v>10037</v>
      </c>
      <c r="D222" s="29"/>
      <c r="E222" s="91"/>
    </row>
    <row r="223" spans="1:5">
      <c r="A223" s="14" t="s">
        <v>145</v>
      </c>
      <c r="B223" s="21" t="s">
        <v>22</v>
      </c>
      <c r="C223" s="29">
        <v>10581</v>
      </c>
      <c r="D223" s="29"/>
      <c r="E223" s="91"/>
    </row>
    <row r="224" spans="1:5">
      <c r="A224" s="14" t="s">
        <v>145</v>
      </c>
      <c r="B224" s="21" t="s">
        <v>23</v>
      </c>
      <c r="C224" s="29">
        <v>12884</v>
      </c>
      <c r="D224" s="29"/>
      <c r="E224" s="91"/>
    </row>
    <row r="225" spans="1:5">
      <c r="A225" s="14" t="s">
        <v>145</v>
      </c>
      <c r="B225" s="21" t="s">
        <v>24</v>
      </c>
      <c r="C225" s="29">
        <v>8934</v>
      </c>
      <c r="D225" s="29"/>
      <c r="E225" s="91"/>
    </row>
    <row r="226" spans="1:5">
      <c r="A226" s="14" t="s">
        <v>145</v>
      </c>
      <c r="B226" s="21" t="s">
        <v>25</v>
      </c>
      <c r="C226" s="29">
        <v>9832</v>
      </c>
      <c r="D226" s="29"/>
      <c r="E226" s="91"/>
    </row>
    <row r="227" spans="1:5">
      <c r="A227" s="14" t="s">
        <v>145</v>
      </c>
      <c r="B227" s="21" t="s">
        <v>26</v>
      </c>
      <c r="C227" s="29">
        <v>11293</v>
      </c>
      <c r="D227" s="29"/>
      <c r="E227" s="91"/>
    </row>
    <row r="228" spans="1:5">
      <c r="A228" s="14" t="s">
        <v>145</v>
      </c>
      <c r="B228" s="21" t="s">
        <v>27</v>
      </c>
      <c r="C228" s="29">
        <v>11303</v>
      </c>
      <c r="D228" s="29"/>
      <c r="E228" s="91"/>
    </row>
    <row r="229" spans="1:5">
      <c r="A229" s="14" t="s">
        <v>145</v>
      </c>
      <c r="B229" s="21" t="s">
        <v>28</v>
      </c>
      <c r="C229" s="29">
        <v>11987</v>
      </c>
      <c r="D229" s="29"/>
      <c r="E229" s="91"/>
    </row>
    <row r="230" spans="1:5">
      <c r="A230" s="14" t="s">
        <v>145</v>
      </c>
      <c r="B230" s="21" t="s">
        <v>29</v>
      </c>
      <c r="C230" s="29">
        <v>11176</v>
      </c>
      <c r="D230" s="29"/>
      <c r="E230" s="91"/>
    </row>
    <row r="231" spans="1:5">
      <c r="A231" s="14" t="s">
        <v>145</v>
      </c>
      <c r="B231" s="21" t="s">
        <v>30</v>
      </c>
      <c r="C231" s="29">
        <v>9876</v>
      </c>
      <c r="D231" s="29"/>
      <c r="E231" s="91"/>
    </row>
    <row r="232" spans="1:5">
      <c r="A232" s="14" t="s">
        <v>145</v>
      </c>
      <c r="B232" s="21" t="s">
        <v>31</v>
      </c>
      <c r="C232" s="29">
        <v>8991</v>
      </c>
      <c r="D232" s="29"/>
      <c r="E232" s="91"/>
    </row>
    <row r="233" spans="1:5">
      <c r="A233" s="14" t="s">
        <v>145</v>
      </c>
      <c r="B233" s="21" t="s">
        <v>32</v>
      </c>
      <c r="C233" s="29">
        <v>9583</v>
      </c>
      <c r="D233" s="29"/>
      <c r="E233" s="91"/>
    </row>
    <row r="234" spans="1:5">
      <c r="A234" s="14" t="s">
        <v>145</v>
      </c>
      <c r="B234" s="21" t="s">
        <v>33</v>
      </c>
      <c r="C234" s="29">
        <v>10003</v>
      </c>
      <c r="D234" s="29"/>
      <c r="E234" s="91"/>
    </row>
    <row r="235" spans="1:5">
      <c r="A235" s="14" t="s">
        <v>145</v>
      </c>
      <c r="B235" s="21" t="s">
        <v>34</v>
      </c>
      <c r="C235" s="29">
        <v>10364</v>
      </c>
      <c r="D235" s="29"/>
      <c r="E235" s="91"/>
    </row>
    <row r="236" spans="1:5">
      <c r="A236" s="14" t="s">
        <v>145</v>
      </c>
      <c r="B236" s="21" t="s">
        <v>35</v>
      </c>
      <c r="C236" s="29">
        <v>11992</v>
      </c>
      <c r="D236" s="29"/>
      <c r="E236" s="91"/>
    </row>
    <row r="237" spans="1:5">
      <c r="A237" s="14" t="s">
        <v>145</v>
      </c>
      <c r="B237" s="21" t="s">
        <v>36</v>
      </c>
      <c r="C237" s="29">
        <v>12007</v>
      </c>
      <c r="D237" s="29"/>
      <c r="E237" s="91"/>
    </row>
    <row r="238" spans="1:5">
      <c r="A238" s="14" t="s">
        <v>145</v>
      </c>
      <c r="B238" s="21" t="s">
        <v>37</v>
      </c>
      <c r="C238" s="29">
        <v>12209</v>
      </c>
      <c r="D238" s="29"/>
      <c r="E238" s="91"/>
    </row>
    <row r="239" spans="1:5">
      <c r="A239" s="14" t="s">
        <v>145</v>
      </c>
      <c r="B239" s="21" t="s">
        <v>38</v>
      </c>
      <c r="C239" s="29">
        <v>11372</v>
      </c>
      <c r="D239" s="29"/>
      <c r="E239" s="91"/>
    </row>
    <row r="240" spans="1:5">
      <c r="A240" s="14" t="s">
        <v>145</v>
      </c>
      <c r="B240" s="21" t="s">
        <v>39</v>
      </c>
      <c r="C240" s="29">
        <v>9756</v>
      </c>
      <c r="D240" s="29"/>
      <c r="E240" s="91"/>
    </row>
    <row r="241" spans="1:5">
      <c r="A241" s="14" t="s">
        <v>145</v>
      </c>
      <c r="B241" s="21" t="s">
        <v>40</v>
      </c>
      <c r="C241" s="29">
        <v>4611</v>
      </c>
      <c r="D241" s="29"/>
      <c r="E241" s="91"/>
    </row>
    <row r="242" spans="1:5">
      <c r="A242" s="14" t="s">
        <v>146</v>
      </c>
      <c r="B242" s="21" t="s">
        <v>17</v>
      </c>
      <c r="C242" s="29">
        <v>5913</v>
      </c>
      <c r="D242" s="29"/>
      <c r="E242" s="91"/>
    </row>
    <row r="243" spans="1:5">
      <c r="A243" s="14" t="s">
        <v>146</v>
      </c>
      <c r="B243" s="21" t="s">
        <v>18</v>
      </c>
      <c r="C243" s="29">
        <v>3078</v>
      </c>
      <c r="D243" s="29"/>
      <c r="E243" s="91"/>
    </row>
    <row r="244" spans="1:5">
      <c r="A244" s="14" t="s">
        <v>146</v>
      </c>
      <c r="B244" s="21" t="s">
        <v>19</v>
      </c>
      <c r="C244" s="29">
        <v>2422</v>
      </c>
      <c r="D244" s="29"/>
      <c r="E244" s="91"/>
    </row>
    <row r="245" spans="1:5">
      <c r="A245" s="14" t="s">
        <v>146</v>
      </c>
      <c r="B245" s="21" t="s">
        <v>20</v>
      </c>
      <c r="C245" s="29">
        <v>3307</v>
      </c>
      <c r="D245" s="29"/>
      <c r="E245" s="91"/>
    </row>
    <row r="246" spans="1:5">
      <c r="A246" s="14" t="s">
        <v>146</v>
      </c>
      <c r="B246" s="21" t="s">
        <v>21</v>
      </c>
      <c r="C246" s="29">
        <v>6504</v>
      </c>
      <c r="D246" s="29"/>
      <c r="E246" s="91"/>
    </row>
    <row r="247" spans="1:5">
      <c r="A247" s="14" t="s">
        <v>146</v>
      </c>
      <c r="B247" s="21" t="s">
        <v>22</v>
      </c>
      <c r="C247" s="29">
        <v>9667</v>
      </c>
      <c r="D247" s="29"/>
      <c r="E247" s="91"/>
    </row>
    <row r="248" spans="1:5">
      <c r="A248" s="14" t="s">
        <v>146</v>
      </c>
      <c r="B248" s="21" t="s">
        <v>23</v>
      </c>
      <c r="C248" s="29">
        <v>11078</v>
      </c>
      <c r="D248" s="29"/>
      <c r="E248" s="91"/>
    </row>
    <row r="249" spans="1:5">
      <c r="A249" s="14" t="s">
        <v>146</v>
      </c>
      <c r="B249" s="21" t="s">
        <v>24</v>
      </c>
      <c r="C249" s="29">
        <v>9661</v>
      </c>
      <c r="D249" s="29"/>
      <c r="E249" s="91"/>
    </row>
    <row r="250" spans="1:5">
      <c r="A250" s="14" t="s">
        <v>146</v>
      </c>
      <c r="B250" s="21" t="s">
        <v>25</v>
      </c>
      <c r="C250" s="29">
        <v>11431</v>
      </c>
      <c r="D250" s="29"/>
      <c r="E250" s="91"/>
    </row>
    <row r="251" spans="1:5">
      <c r="A251" s="14" t="s">
        <v>146</v>
      </c>
      <c r="B251" s="21" t="s">
        <v>26</v>
      </c>
      <c r="C251" s="29">
        <v>11964</v>
      </c>
      <c r="D251" s="29"/>
      <c r="E251" s="91"/>
    </row>
    <row r="252" spans="1:5">
      <c r="A252" s="14" t="s">
        <v>146</v>
      </c>
      <c r="B252" s="21" t="s">
        <v>27</v>
      </c>
      <c r="C252" s="29">
        <v>11642</v>
      </c>
      <c r="D252" s="29"/>
      <c r="E252" s="91"/>
    </row>
    <row r="253" spans="1:5">
      <c r="A253" s="14" t="s">
        <v>146</v>
      </c>
      <c r="B253" s="21" t="s">
        <v>28</v>
      </c>
      <c r="C253" s="29">
        <v>11517</v>
      </c>
      <c r="D253" s="29"/>
      <c r="E253" s="91"/>
    </row>
    <row r="254" spans="1:5">
      <c r="A254" s="14" t="s">
        <v>146</v>
      </c>
      <c r="B254" s="21" t="s">
        <v>29</v>
      </c>
      <c r="C254" s="29">
        <v>10634</v>
      </c>
      <c r="D254" s="29"/>
      <c r="E254" s="91"/>
    </row>
    <row r="255" spans="1:5">
      <c r="A255" s="14" t="s">
        <v>146</v>
      </c>
      <c r="B255" s="21" t="s">
        <v>30</v>
      </c>
      <c r="C255" s="29">
        <v>10544</v>
      </c>
      <c r="D255" s="29"/>
      <c r="E255" s="91"/>
    </row>
    <row r="256" spans="1:5">
      <c r="A256" s="14" t="s">
        <v>146</v>
      </c>
      <c r="B256" s="21" t="s">
        <v>31</v>
      </c>
      <c r="C256" s="29">
        <v>9839</v>
      </c>
      <c r="D256" s="29"/>
      <c r="E256" s="91"/>
    </row>
    <row r="257" spans="1:5">
      <c r="A257" s="14" t="s">
        <v>146</v>
      </c>
      <c r="B257" s="21" t="s">
        <v>32</v>
      </c>
      <c r="C257" s="29">
        <v>10346</v>
      </c>
      <c r="D257" s="29"/>
      <c r="E257" s="91"/>
    </row>
    <row r="258" spans="1:5">
      <c r="A258" s="14" t="s">
        <v>146</v>
      </c>
      <c r="B258" s="21" t="s">
        <v>33</v>
      </c>
      <c r="C258" s="29">
        <v>10417</v>
      </c>
      <c r="D258" s="29"/>
      <c r="E258" s="91"/>
    </row>
    <row r="259" spans="1:5">
      <c r="A259" s="14" t="s">
        <v>146</v>
      </c>
      <c r="B259" s="21" t="s">
        <v>34</v>
      </c>
      <c r="C259" s="29">
        <v>10265</v>
      </c>
      <c r="D259" s="29"/>
      <c r="E259" s="91"/>
    </row>
    <row r="260" spans="1:5">
      <c r="A260" s="14" t="s">
        <v>146</v>
      </c>
      <c r="B260" s="21" t="s">
        <v>35</v>
      </c>
      <c r="C260" s="29">
        <v>10703</v>
      </c>
      <c r="D260" s="29"/>
      <c r="E260" s="91"/>
    </row>
    <row r="261" spans="1:5">
      <c r="A261" s="14" t="s">
        <v>146</v>
      </c>
      <c r="B261" s="21" t="s">
        <v>36</v>
      </c>
      <c r="C261" s="29">
        <v>12297</v>
      </c>
      <c r="D261" s="29"/>
      <c r="E261" s="91"/>
    </row>
    <row r="262" spans="1:5">
      <c r="A262" s="14" t="s">
        <v>146</v>
      </c>
      <c r="B262" s="21" t="s">
        <v>37</v>
      </c>
      <c r="C262" s="29">
        <v>11936</v>
      </c>
      <c r="D262" s="29"/>
      <c r="E262" s="91"/>
    </row>
    <row r="263" spans="1:5">
      <c r="A263" s="14" t="s">
        <v>146</v>
      </c>
      <c r="B263" s="21" t="s">
        <v>38</v>
      </c>
      <c r="C263" s="29">
        <v>12881</v>
      </c>
      <c r="D263" s="29"/>
      <c r="E263" s="91"/>
    </row>
    <row r="264" spans="1:5">
      <c r="A264" s="14" t="s">
        <v>146</v>
      </c>
      <c r="B264" s="21" t="s">
        <v>39</v>
      </c>
      <c r="C264" s="29">
        <v>10136</v>
      </c>
      <c r="D264" s="29"/>
      <c r="E264" s="91"/>
    </row>
    <row r="265" spans="1:5">
      <c r="A265" s="14" t="s">
        <v>146</v>
      </c>
      <c r="B265" s="21" t="s">
        <v>40</v>
      </c>
      <c r="C265" s="29">
        <v>5145</v>
      </c>
      <c r="D265" s="29"/>
      <c r="E265" s="91"/>
    </row>
    <row r="266" spans="1:5">
      <c r="A266" s="14" t="s">
        <v>147</v>
      </c>
      <c r="B266" s="21" t="s">
        <v>17</v>
      </c>
      <c r="C266" s="29">
        <v>2548</v>
      </c>
      <c r="D266" s="29"/>
      <c r="E266" s="91"/>
    </row>
    <row r="267" spans="1:5">
      <c r="A267" s="14" t="s">
        <v>147</v>
      </c>
      <c r="B267" s="21" t="s">
        <v>18</v>
      </c>
      <c r="C267" s="29">
        <v>4520</v>
      </c>
      <c r="D267" s="29"/>
      <c r="E267" s="91"/>
    </row>
    <row r="268" spans="1:5">
      <c r="A268" s="14" t="s">
        <v>147</v>
      </c>
      <c r="B268" s="21" t="s">
        <v>19</v>
      </c>
      <c r="C268" s="29">
        <v>2957</v>
      </c>
      <c r="D268" s="29"/>
      <c r="E268" s="91"/>
    </row>
    <row r="269" spans="1:5">
      <c r="A269" s="14" t="s">
        <v>147</v>
      </c>
      <c r="B269" s="21" t="s">
        <v>20</v>
      </c>
      <c r="C269" s="29">
        <v>4998</v>
      </c>
      <c r="D269" s="29"/>
      <c r="E269" s="91"/>
    </row>
    <row r="270" spans="1:5">
      <c r="A270" s="14" t="s">
        <v>147</v>
      </c>
      <c r="B270" s="21" t="s">
        <v>21</v>
      </c>
      <c r="C270" s="29">
        <v>8779</v>
      </c>
      <c r="D270" s="29"/>
      <c r="E270" s="91"/>
    </row>
    <row r="271" spans="1:5">
      <c r="A271" s="14" t="s">
        <v>147</v>
      </c>
      <c r="B271" s="21" t="s">
        <v>22</v>
      </c>
      <c r="C271" s="29">
        <v>11400</v>
      </c>
      <c r="D271" s="29"/>
      <c r="E271" s="91"/>
    </row>
    <row r="272" spans="1:5">
      <c r="A272" s="14" t="s">
        <v>147</v>
      </c>
      <c r="B272" s="21" t="s">
        <v>23</v>
      </c>
      <c r="C272" s="29">
        <v>12477</v>
      </c>
      <c r="D272" s="29"/>
      <c r="E272" s="91"/>
    </row>
    <row r="273" spans="1:5">
      <c r="A273" s="14" t="s">
        <v>147</v>
      </c>
      <c r="B273" s="21" t="s">
        <v>24</v>
      </c>
      <c r="C273" s="29">
        <v>12815</v>
      </c>
      <c r="D273" s="29"/>
      <c r="E273" s="91"/>
    </row>
    <row r="274" spans="1:5">
      <c r="A274" s="14" t="s">
        <v>147</v>
      </c>
      <c r="B274" s="21" t="s">
        <v>25</v>
      </c>
      <c r="C274" s="29">
        <v>12258</v>
      </c>
      <c r="D274" s="29"/>
      <c r="E274" s="91"/>
    </row>
    <row r="275" spans="1:5">
      <c r="A275" s="14" t="s">
        <v>147</v>
      </c>
      <c r="B275" s="21" t="s">
        <v>26</v>
      </c>
      <c r="C275" s="29">
        <v>12240</v>
      </c>
      <c r="D275" s="29"/>
      <c r="E275" s="91"/>
    </row>
    <row r="276" spans="1:5">
      <c r="A276" s="14" t="s">
        <v>147</v>
      </c>
      <c r="B276" s="21" t="s">
        <v>27</v>
      </c>
      <c r="C276" s="29">
        <v>12495</v>
      </c>
      <c r="D276" s="29"/>
      <c r="E276" s="91"/>
    </row>
    <row r="277" spans="1:5">
      <c r="A277" s="14" t="s">
        <v>147</v>
      </c>
      <c r="B277" s="21" t="s">
        <v>28</v>
      </c>
      <c r="C277" s="29">
        <v>11344</v>
      </c>
      <c r="D277" s="29"/>
      <c r="E277" s="91"/>
    </row>
    <row r="278" spans="1:5">
      <c r="A278" s="14" t="s">
        <v>147</v>
      </c>
      <c r="B278" s="21" t="s">
        <v>29</v>
      </c>
      <c r="C278" s="29">
        <v>10192</v>
      </c>
      <c r="D278" s="29"/>
      <c r="E278" s="91"/>
    </row>
    <row r="279" spans="1:5">
      <c r="A279" s="14" t="s">
        <v>147</v>
      </c>
      <c r="B279" s="21" t="s">
        <v>30</v>
      </c>
      <c r="C279" s="29">
        <v>12000</v>
      </c>
      <c r="D279" s="29"/>
      <c r="E279" s="91"/>
    </row>
    <row r="280" spans="1:5">
      <c r="A280" s="14" t="s">
        <v>147</v>
      </c>
      <c r="B280" s="21" t="s">
        <v>31</v>
      </c>
      <c r="C280" s="29">
        <v>12335</v>
      </c>
      <c r="D280" s="29"/>
      <c r="E280" s="91"/>
    </row>
    <row r="281" spans="1:5">
      <c r="A281" s="14" t="s">
        <v>147</v>
      </c>
      <c r="B281" s="21" t="s">
        <v>32</v>
      </c>
      <c r="C281" s="29">
        <v>12252</v>
      </c>
      <c r="D281" s="29"/>
      <c r="E281" s="91"/>
    </row>
    <row r="282" spans="1:5">
      <c r="A282" s="14" t="s">
        <v>147</v>
      </c>
      <c r="B282" s="21" t="s">
        <v>33</v>
      </c>
      <c r="C282" s="29">
        <v>10949</v>
      </c>
      <c r="D282" s="29"/>
      <c r="E282" s="91"/>
    </row>
    <row r="283" spans="1:5">
      <c r="A283" s="14" t="s">
        <v>147</v>
      </c>
      <c r="B283" s="21" t="s">
        <v>34</v>
      </c>
      <c r="C283" s="29">
        <v>11476</v>
      </c>
      <c r="D283" s="29"/>
      <c r="E283" s="91"/>
    </row>
    <row r="284" spans="1:5">
      <c r="A284" s="14" t="s">
        <v>147</v>
      </c>
      <c r="B284" s="21" t="s">
        <v>35</v>
      </c>
      <c r="C284" s="29">
        <v>11808</v>
      </c>
      <c r="D284" s="29"/>
      <c r="E284" s="91"/>
    </row>
    <row r="285" spans="1:5">
      <c r="A285" s="14" t="s">
        <v>147</v>
      </c>
      <c r="B285" s="21" t="s">
        <v>36</v>
      </c>
      <c r="C285" s="29">
        <v>12474</v>
      </c>
      <c r="D285" s="29"/>
      <c r="E285" s="91"/>
    </row>
    <row r="286" spans="1:5">
      <c r="A286" s="14" t="s">
        <v>147</v>
      </c>
      <c r="B286" s="21" t="s">
        <v>37</v>
      </c>
      <c r="C286" s="29">
        <v>12520</v>
      </c>
      <c r="D286" s="29"/>
      <c r="E286" s="91"/>
    </row>
    <row r="287" spans="1:5">
      <c r="A287" s="14" t="s">
        <v>147</v>
      </c>
      <c r="B287" s="21" t="s">
        <v>38</v>
      </c>
      <c r="C287" s="29">
        <v>12597</v>
      </c>
      <c r="D287" s="29"/>
      <c r="E287" s="91"/>
    </row>
    <row r="288" spans="1:5">
      <c r="A288" s="14" t="s">
        <v>147</v>
      </c>
      <c r="B288" s="21" t="s">
        <v>39</v>
      </c>
      <c r="C288" s="29">
        <v>9754</v>
      </c>
      <c r="D288" s="29"/>
      <c r="E288" s="91"/>
    </row>
    <row r="289" spans="1:5">
      <c r="A289" s="14" t="s">
        <v>147</v>
      </c>
      <c r="B289" s="21" t="s">
        <v>40</v>
      </c>
      <c r="C289" s="29">
        <v>5242</v>
      </c>
      <c r="D289" s="29"/>
      <c r="E289" s="91"/>
    </row>
    <row r="290" spans="1:5">
      <c r="A290" s="14" t="s">
        <v>148</v>
      </c>
      <c r="B290" s="21" t="s">
        <v>17</v>
      </c>
      <c r="C290" s="29">
        <v>2562</v>
      </c>
      <c r="D290" s="29"/>
      <c r="E290" s="91"/>
    </row>
    <row r="291" spans="1:5">
      <c r="A291" s="14" t="s">
        <v>148</v>
      </c>
      <c r="B291" s="21" t="s">
        <v>18</v>
      </c>
      <c r="C291" s="29">
        <v>3473</v>
      </c>
      <c r="D291" s="29"/>
      <c r="E291" s="91"/>
    </row>
    <row r="292" spans="1:5">
      <c r="A292" s="14" t="s">
        <v>148</v>
      </c>
      <c r="B292" s="21" t="s">
        <v>19</v>
      </c>
      <c r="C292" s="29">
        <v>3730</v>
      </c>
      <c r="D292" s="29"/>
      <c r="E292" s="91"/>
    </row>
    <row r="293" spans="1:5">
      <c r="A293" s="14" t="s">
        <v>148</v>
      </c>
      <c r="B293" s="21" t="s">
        <v>20</v>
      </c>
      <c r="C293" s="29">
        <v>3981</v>
      </c>
      <c r="D293" s="29"/>
      <c r="E293" s="91"/>
    </row>
    <row r="294" spans="1:5">
      <c r="A294" s="14" t="s">
        <v>148</v>
      </c>
      <c r="B294" s="21" t="s">
        <v>21</v>
      </c>
      <c r="C294" s="29">
        <v>8703</v>
      </c>
      <c r="D294" s="29"/>
      <c r="E294" s="91"/>
    </row>
    <row r="295" spans="1:5">
      <c r="A295" s="14" t="s">
        <v>148</v>
      </c>
      <c r="B295" s="21" t="s">
        <v>22</v>
      </c>
      <c r="C295" s="29">
        <v>11942</v>
      </c>
      <c r="D295" s="29"/>
      <c r="E295" s="91"/>
    </row>
    <row r="296" spans="1:5">
      <c r="A296" s="14" t="s">
        <v>148</v>
      </c>
      <c r="B296" s="21" t="s">
        <v>23</v>
      </c>
      <c r="C296" s="29">
        <v>13517</v>
      </c>
      <c r="D296" s="29"/>
      <c r="E296" s="91"/>
    </row>
    <row r="297" spans="1:5">
      <c r="A297" s="14" t="s">
        <v>148</v>
      </c>
      <c r="B297" s="21" t="s">
        <v>24</v>
      </c>
      <c r="C297" s="29">
        <v>13579</v>
      </c>
      <c r="D297" s="29"/>
      <c r="E297" s="91"/>
    </row>
    <row r="298" spans="1:5">
      <c r="A298" s="14" t="s">
        <v>148</v>
      </c>
      <c r="B298" s="21" t="s">
        <v>25</v>
      </c>
      <c r="C298" s="29">
        <v>13331</v>
      </c>
      <c r="D298" s="29"/>
      <c r="E298" s="91"/>
    </row>
    <row r="299" spans="1:5">
      <c r="A299" s="14" t="s">
        <v>148</v>
      </c>
      <c r="B299" s="21" t="s">
        <v>26</v>
      </c>
      <c r="C299" s="29">
        <v>13363</v>
      </c>
      <c r="D299" s="29"/>
      <c r="E299" s="91"/>
    </row>
    <row r="300" spans="1:5">
      <c r="A300" s="14" t="s">
        <v>148</v>
      </c>
      <c r="B300" s="21" t="s">
        <v>27</v>
      </c>
      <c r="C300" s="29">
        <v>14008</v>
      </c>
      <c r="D300" s="29"/>
      <c r="E300" s="91"/>
    </row>
    <row r="301" spans="1:5">
      <c r="A301" s="14" t="s">
        <v>148</v>
      </c>
      <c r="B301" s="21" t="s">
        <v>28</v>
      </c>
      <c r="C301" s="29">
        <v>14145</v>
      </c>
      <c r="D301" s="29"/>
      <c r="E301" s="91"/>
    </row>
    <row r="302" spans="1:5">
      <c r="A302" s="14" t="s">
        <v>148</v>
      </c>
      <c r="B302" s="21" t="s">
        <v>29</v>
      </c>
      <c r="C302" s="29">
        <v>14025</v>
      </c>
      <c r="D302" s="29"/>
      <c r="E302" s="91"/>
    </row>
    <row r="303" spans="1:5">
      <c r="A303" s="14" t="s">
        <v>148</v>
      </c>
      <c r="B303" s="21" t="s">
        <v>30</v>
      </c>
      <c r="C303" s="29">
        <v>13911</v>
      </c>
      <c r="D303" s="29"/>
      <c r="E303" s="91"/>
    </row>
    <row r="304" spans="1:5">
      <c r="A304" s="14" t="s">
        <v>148</v>
      </c>
      <c r="B304" s="21" t="s">
        <v>31</v>
      </c>
      <c r="C304" s="29">
        <v>13272</v>
      </c>
      <c r="D304" s="29"/>
      <c r="E304" s="91"/>
    </row>
    <row r="305" spans="1:5">
      <c r="A305" s="14" t="s">
        <v>148</v>
      </c>
      <c r="B305" s="21" t="s">
        <v>32</v>
      </c>
      <c r="C305" s="29">
        <v>11556</v>
      </c>
      <c r="D305" s="29"/>
      <c r="E305" s="91"/>
    </row>
    <row r="306" spans="1:5">
      <c r="A306" s="14" t="s">
        <v>148</v>
      </c>
      <c r="B306" s="21" t="s">
        <v>33</v>
      </c>
      <c r="C306" s="29">
        <v>11672</v>
      </c>
      <c r="D306" s="29"/>
      <c r="E306" s="91"/>
    </row>
    <row r="307" spans="1:5">
      <c r="A307" s="14" t="s">
        <v>148</v>
      </c>
      <c r="B307" s="21" t="s">
        <v>34</v>
      </c>
      <c r="C307" s="29">
        <v>11965</v>
      </c>
      <c r="D307" s="29"/>
      <c r="E307" s="91"/>
    </row>
    <row r="308" spans="1:5">
      <c r="A308" s="14" t="s">
        <v>148</v>
      </c>
      <c r="B308" s="21" t="s">
        <v>35</v>
      </c>
      <c r="C308" s="29">
        <v>12808</v>
      </c>
      <c r="D308" s="29"/>
      <c r="E308" s="91"/>
    </row>
    <row r="309" spans="1:5">
      <c r="A309" s="14" t="s">
        <v>148</v>
      </c>
      <c r="B309" s="21" t="s">
        <v>36</v>
      </c>
      <c r="C309" s="29">
        <v>13059</v>
      </c>
      <c r="D309" s="29"/>
      <c r="E309" s="91"/>
    </row>
    <row r="310" spans="1:5">
      <c r="A310" s="14" t="s">
        <v>148</v>
      </c>
      <c r="B310" s="21" t="s">
        <v>37</v>
      </c>
      <c r="C310" s="29">
        <v>13052</v>
      </c>
      <c r="D310" s="29"/>
      <c r="E310" s="91"/>
    </row>
    <row r="311" spans="1:5">
      <c r="A311" s="14" t="s">
        <v>148</v>
      </c>
      <c r="B311" s="21" t="s">
        <v>38</v>
      </c>
      <c r="C311" s="29">
        <v>12893</v>
      </c>
      <c r="D311" s="29"/>
      <c r="E311" s="91"/>
    </row>
    <row r="312" spans="1:5">
      <c r="A312" s="14" t="s">
        <v>148</v>
      </c>
      <c r="B312" s="21" t="s">
        <v>39</v>
      </c>
      <c r="C312" s="29">
        <v>12525</v>
      </c>
      <c r="D312" s="29"/>
      <c r="E312" s="91"/>
    </row>
    <row r="313" spans="1:5">
      <c r="A313" s="14" t="s">
        <v>148</v>
      </c>
      <c r="B313" s="21" t="s">
        <v>40</v>
      </c>
      <c r="C313" s="29">
        <v>12534</v>
      </c>
      <c r="D313" s="29"/>
      <c r="E313" s="91"/>
    </row>
    <row r="314" spans="1:5">
      <c r="A314" s="14" t="s">
        <v>149</v>
      </c>
      <c r="B314" s="21" t="s">
        <v>17</v>
      </c>
      <c r="C314" s="29">
        <v>8322</v>
      </c>
      <c r="D314" s="29"/>
      <c r="E314" s="91"/>
    </row>
    <row r="315" spans="1:5">
      <c r="A315" s="14" t="s">
        <v>149</v>
      </c>
      <c r="B315" s="21" t="s">
        <v>18</v>
      </c>
      <c r="C315" s="29">
        <v>7101</v>
      </c>
      <c r="D315" s="29"/>
      <c r="E315" s="91"/>
    </row>
    <row r="316" spans="1:5">
      <c r="A316" s="14" t="s">
        <v>149</v>
      </c>
      <c r="B316" s="21" t="s">
        <v>19</v>
      </c>
      <c r="C316" s="29">
        <v>6719</v>
      </c>
      <c r="D316" s="29"/>
      <c r="E316" s="91"/>
    </row>
    <row r="317" spans="1:5">
      <c r="A317" s="14" t="s">
        <v>149</v>
      </c>
      <c r="B317" s="21" t="s">
        <v>20</v>
      </c>
      <c r="C317" s="29">
        <v>7639</v>
      </c>
      <c r="D317" s="29"/>
      <c r="E317" s="91"/>
    </row>
    <row r="318" spans="1:5">
      <c r="A318" s="14" t="s">
        <v>149</v>
      </c>
      <c r="B318" s="21" t="s">
        <v>21</v>
      </c>
      <c r="C318" s="29">
        <v>12667</v>
      </c>
      <c r="D318" s="29"/>
      <c r="E318" s="91"/>
    </row>
    <row r="319" spans="1:5">
      <c r="A319" s="14" t="s">
        <v>149</v>
      </c>
      <c r="B319" s="21" t="s">
        <v>22</v>
      </c>
      <c r="C319" s="29">
        <v>13674</v>
      </c>
      <c r="D319" s="29"/>
      <c r="E319" s="91"/>
    </row>
    <row r="320" spans="1:5">
      <c r="A320" s="14" t="s">
        <v>149</v>
      </c>
      <c r="B320" s="21" t="s">
        <v>23</v>
      </c>
      <c r="C320" s="29">
        <v>14369</v>
      </c>
      <c r="D320" s="29"/>
      <c r="E320" s="91"/>
    </row>
    <row r="321" spans="1:5">
      <c r="A321" s="14" t="s">
        <v>149</v>
      </c>
      <c r="B321" s="21" t="s">
        <v>24</v>
      </c>
      <c r="C321" s="29">
        <v>14171</v>
      </c>
      <c r="D321" s="29"/>
      <c r="E321" s="91"/>
    </row>
    <row r="322" spans="1:5">
      <c r="A322" s="14" t="s">
        <v>149</v>
      </c>
      <c r="B322" s="21" t="s">
        <v>25</v>
      </c>
      <c r="C322" s="29">
        <v>15085</v>
      </c>
      <c r="D322" s="29"/>
      <c r="E322" s="91"/>
    </row>
    <row r="323" spans="1:5">
      <c r="A323" s="14" t="s">
        <v>149</v>
      </c>
      <c r="B323" s="21" t="s">
        <v>26</v>
      </c>
      <c r="C323" s="29">
        <v>14834</v>
      </c>
      <c r="D323" s="29"/>
      <c r="E323" s="91"/>
    </row>
    <row r="324" spans="1:5">
      <c r="A324" s="14" t="s">
        <v>149</v>
      </c>
      <c r="B324" s="21" t="s">
        <v>27</v>
      </c>
      <c r="C324" s="29">
        <v>14646</v>
      </c>
      <c r="D324" s="29"/>
      <c r="E324" s="91"/>
    </row>
    <row r="325" spans="1:5">
      <c r="A325" s="14" t="s">
        <v>149</v>
      </c>
      <c r="B325" s="21" t="s">
        <v>28</v>
      </c>
      <c r="C325" s="29">
        <v>12810</v>
      </c>
      <c r="D325" s="29"/>
      <c r="E325" s="91"/>
    </row>
    <row r="326" spans="1:5">
      <c r="A326" s="14" t="s">
        <v>149</v>
      </c>
      <c r="B326" s="21" t="s">
        <v>29</v>
      </c>
      <c r="C326" s="29">
        <v>13379</v>
      </c>
      <c r="D326" s="29"/>
      <c r="E326" s="91"/>
    </row>
    <row r="327" spans="1:5">
      <c r="A327" s="14" t="s">
        <v>149</v>
      </c>
      <c r="B327" s="21" t="s">
        <v>30</v>
      </c>
      <c r="C327" s="29">
        <v>11260</v>
      </c>
      <c r="D327" s="29"/>
      <c r="E327" s="91"/>
    </row>
    <row r="328" spans="1:5">
      <c r="A328" s="14" t="s">
        <v>149</v>
      </c>
      <c r="B328" s="21" t="s">
        <v>31</v>
      </c>
      <c r="C328" s="29">
        <v>13102</v>
      </c>
      <c r="D328" s="29"/>
      <c r="E328" s="91"/>
    </row>
    <row r="329" spans="1:5">
      <c r="A329" s="14" t="s">
        <v>149</v>
      </c>
      <c r="B329" s="21" t="s">
        <v>32</v>
      </c>
      <c r="C329" s="29">
        <v>12093</v>
      </c>
      <c r="D329" s="29"/>
      <c r="E329" s="91"/>
    </row>
    <row r="330" spans="1:5">
      <c r="A330" s="14" t="s">
        <v>149</v>
      </c>
      <c r="B330" s="21" t="s">
        <v>33</v>
      </c>
      <c r="C330" s="29">
        <v>11777</v>
      </c>
      <c r="D330" s="29"/>
      <c r="E330" s="91"/>
    </row>
    <row r="331" spans="1:5">
      <c r="A331" s="14" t="s">
        <v>149</v>
      </c>
      <c r="B331" s="21" t="s">
        <v>34</v>
      </c>
      <c r="C331" s="29">
        <v>12529</v>
      </c>
      <c r="D331" s="29"/>
      <c r="E331" s="91"/>
    </row>
    <row r="332" spans="1:5">
      <c r="A332" s="14" t="s">
        <v>149</v>
      </c>
      <c r="B332" s="21" t="s">
        <v>35</v>
      </c>
      <c r="C332" s="29">
        <v>13545</v>
      </c>
      <c r="D332" s="29"/>
      <c r="E332" s="91"/>
    </row>
    <row r="333" spans="1:5">
      <c r="A333" s="14" t="s">
        <v>149</v>
      </c>
      <c r="B333" s="21" t="s">
        <v>36</v>
      </c>
      <c r="C333" s="29">
        <v>14598</v>
      </c>
      <c r="D333" s="29"/>
      <c r="E333" s="91"/>
    </row>
    <row r="334" spans="1:5">
      <c r="A334" s="14" t="s">
        <v>149</v>
      </c>
      <c r="B334" s="21" t="s">
        <v>37</v>
      </c>
      <c r="C334" s="29">
        <v>15285</v>
      </c>
      <c r="D334" s="29"/>
      <c r="E334" s="91"/>
    </row>
    <row r="335" spans="1:5">
      <c r="A335" s="14" t="s">
        <v>149</v>
      </c>
      <c r="B335" s="21" t="s">
        <v>38</v>
      </c>
      <c r="C335" s="29">
        <v>15164</v>
      </c>
      <c r="D335" s="29"/>
      <c r="E335" s="91"/>
    </row>
    <row r="336" spans="1:5">
      <c r="A336" s="14" t="s">
        <v>149</v>
      </c>
      <c r="B336" s="21" t="s">
        <v>39</v>
      </c>
      <c r="C336" s="29">
        <v>15329</v>
      </c>
      <c r="D336" s="29"/>
      <c r="E336" s="91"/>
    </row>
    <row r="337" spans="1:5">
      <c r="A337" s="14" t="s">
        <v>149</v>
      </c>
      <c r="B337" s="21" t="s">
        <v>40</v>
      </c>
      <c r="C337" s="29">
        <v>8110</v>
      </c>
      <c r="D337" s="29"/>
      <c r="E337" s="91"/>
    </row>
    <row r="338" spans="1:5">
      <c r="A338" s="14" t="s">
        <v>150</v>
      </c>
      <c r="B338" s="21" t="s">
        <v>17</v>
      </c>
      <c r="C338" s="29">
        <v>8743</v>
      </c>
      <c r="D338" s="29"/>
      <c r="E338" s="91"/>
    </row>
    <row r="339" spans="1:5">
      <c r="A339" s="14" t="s">
        <v>150</v>
      </c>
      <c r="B339" s="21" t="s">
        <v>18</v>
      </c>
      <c r="C339" s="29">
        <v>10821</v>
      </c>
      <c r="D339" s="29"/>
      <c r="E339" s="91"/>
    </row>
    <row r="340" spans="1:5">
      <c r="A340" s="14" t="s">
        <v>150</v>
      </c>
      <c r="B340" s="21" t="s">
        <v>19</v>
      </c>
      <c r="C340" s="29">
        <v>12321</v>
      </c>
      <c r="D340" s="29"/>
      <c r="E340" s="91"/>
    </row>
    <row r="341" spans="1:5">
      <c r="A341" s="14" t="s">
        <v>150</v>
      </c>
      <c r="B341" s="21" t="s">
        <v>20</v>
      </c>
      <c r="C341" s="29">
        <v>12014</v>
      </c>
      <c r="D341" s="29"/>
      <c r="E341" s="91"/>
    </row>
    <row r="342" spans="1:5">
      <c r="A342" s="14" t="s">
        <v>150</v>
      </c>
      <c r="B342" s="21" t="s">
        <v>21</v>
      </c>
      <c r="C342" s="29">
        <v>14390</v>
      </c>
      <c r="D342" s="29"/>
      <c r="E342" s="91"/>
    </row>
    <row r="343" spans="1:5">
      <c r="A343" s="14" t="s">
        <v>150</v>
      </c>
      <c r="B343" s="21" t="s">
        <v>22</v>
      </c>
      <c r="C343" s="29">
        <v>13675</v>
      </c>
      <c r="D343" s="29"/>
      <c r="E343" s="91"/>
    </row>
    <row r="344" spans="1:5">
      <c r="A344" s="14" t="s">
        <v>150</v>
      </c>
      <c r="B344" s="21" t="s">
        <v>23</v>
      </c>
      <c r="C344" s="29">
        <v>15040</v>
      </c>
      <c r="D344" s="29"/>
      <c r="E344" s="91"/>
    </row>
    <row r="345" spans="1:5">
      <c r="A345" s="14" t="s">
        <v>150</v>
      </c>
      <c r="B345" s="21" t="s">
        <v>24</v>
      </c>
      <c r="C345" s="29">
        <v>15467</v>
      </c>
      <c r="D345" s="29"/>
      <c r="E345" s="91"/>
    </row>
    <row r="346" spans="1:5">
      <c r="A346" s="14" t="s">
        <v>150</v>
      </c>
      <c r="B346" s="21" t="s">
        <v>25</v>
      </c>
      <c r="C346" s="29">
        <v>14703</v>
      </c>
      <c r="D346" s="29"/>
      <c r="E346" s="91"/>
    </row>
    <row r="347" spans="1:5">
      <c r="A347" s="14" t="s">
        <v>150</v>
      </c>
      <c r="B347" s="21" t="s">
        <v>26</v>
      </c>
      <c r="C347" s="29">
        <v>14705</v>
      </c>
      <c r="D347" s="29"/>
      <c r="E347" s="91"/>
    </row>
    <row r="348" spans="1:5">
      <c r="A348" s="14" t="s">
        <v>150</v>
      </c>
      <c r="B348" s="21" t="s">
        <v>27</v>
      </c>
      <c r="C348" s="29">
        <v>14534</v>
      </c>
      <c r="D348" s="29"/>
      <c r="E348" s="91"/>
    </row>
    <row r="349" spans="1:5">
      <c r="A349" s="14" t="s">
        <v>150</v>
      </c>
      <c r="B349" s="21" t="s">
        <v>28</v>
      </c>
      <c r="C349" s="29">
        <v>13926</v>
      </c>
      <c r="D349" s="29"/>
      <c r="E349" s="91"/>
    </row>
    <row r="350" spans="1:5">
      <c r="A350" s="14" t="s">
        <v>150</v>
      </c>
      <c r="B350" s="21" t="s">
        <v>29</v>
      </c>
      <c r="C350" s="29">
        <v>12884</v>
      </c>
      <c r="D350" s="29"/>
      <c r="E350" s="91"/>
    </row>
    <row r="351" spans="1:5">
      <c r="A351" s="14" t="s">
        <v>150</v>
      </c>
      <c r="B351" s="21" t="s">
        <v>30</v>
      </c>
      <c r="C351" s="29">
        <v>11638</v>
      </c>
      <c r="D351" s="29"/>
      <c r="E351" s="91"/>
    </row>
    <row r="352" spans="1:5">
      <c r="A352" s="14" t="s">
        <v>150</v>
      </c>
      <c r="B352" s="21" t="s">
        <v>31</v>
      </c>
      <c r="C352" s="29">
        <v>10577</v>
      </c>
      <c r="D352" s="29"/>
      <c r="E352" s="91"/>
    </row>
    <row r="353" spans="1:5">
      <c r="A353" s="14" t="s">
        <v>150</v>
      </c>
      <c r="B353" s="21" t="s">
        <v>32</v>
      </c>
      <c r="C353" s="29">
        <v>11180</v>
      </c>
      <c r="D353" s="29"/>
      <c r="E353" s="91"/>
    </row>
    <row r="354" spans="1:5">
      <c r="A354" s="14" t="s">
        <v>150</v>
      </c>
      <c r="B354" s="21" t="s">
        <v>33</v>
      </c>
      <c r="C354" s="29">
        <v>10965</v>
      </c>
      <c r="D354" s="29"/>
      <c r="E354" s="91"/>
    </row>
    <row r="355" spans="1:5">
      <c r="A355" s="14" t="s">
        <v>150</v>
      </c>
      <c r="B355" s="21" t="s">
        <v>34</v>
      </c>
      <c r="C355" s="29">
        <v>12289</v>
      </c>
      <c r="D355" s="29"/>
      <c r="E355" s="91"/>
    </row>
    <row r="356" spans="1:5">
      <c r="A356" s="14" t="s">
        <v>150</v>
      </c>
      <c r="B356" s="21" t="s">
        <v>35</v>
      </c>
      <c r="C356" s="29">
        <v>13413</v>
      </c>
      <c r="D356" s="29"/>
      <c r="E356" s="91"/>
    </row>
    <row r="357" spans="1:5">
      <c r="A357" s="14" t="s">
        <v>150</v>
      </c>
      <c r="B357" s="21" t="s">
        <v>36</v>
      </c>
      <c r="C357" s="29">
        <v>15023</v>
      </c>
      <c r="D357" s="29"/>
      <c r="E357" s="91"/>
    </row>
    <row r="358" spans="1:5">
      <c r="A358" s="14" t="s">
        <v>150</v>
      </c>
      <c r="B358" s="21" t="s">
        <v>37</v>
      </c>
      <c r="C358" s="29">
        <v>14824</v>
      </c>
      <c r="D358" s="29"/>
      <c r="E358" s="91"/>
    </row>
    <row r="359" spans="1:5">
      <c r="A359" s="14" t="s">
        <v>150</v>
      </c>
      <c r="B359" s="21" t="s">
        <v>38</v>
      </c>
      <c r="C359" s="29">
        <v>15084</v>
      </c>
      <c r="D359" s="29"/>
      <c r="E359" s="91"/>
    </row>
    <row r="360" spans="1:5">
      <c r="A360" s="14" t="s">
        <v>150</v>
      </c>
      <c r="B360" s="21" t="s">
        <v>39</v>
      </c>
      <c r="C360" s="29">
        <v>14837</v>
      </c>
      <c r="D360" s="29"/>
      <c r="E360" s="91"/>
    </row>
    <row r="361" spans="1:5">
      <c r="A361" s="14" t="s">
        <v>150</v>
      </c>
      <c r="B361" s="21" t="s">
        <v>40</v>
      </c>
      <c r="C361" s="29">
        <v>7647</v>
      </c>
      <c r="D361" s="29"/>
      <c r="E361" s="91"/>
    </row>
    <row r="362" spans="1:5">
      <c r="A362" s="14" t="s">
        <v>151</v>
      </c>
      <c r="B362" s="21" t="s">
        <v>17</v>
      </c>
      <c r="C362" s="29">
        <v>9435</v>
      </c>
      <c r="D362" s="29"/>
      <c r="E362" s="91"/>
    </row>
    <row r="363" spans="1:5">
      <c r="A363" s="14" t="s">
        <v>151</v>
      </c>
      <c r="B363" s="21" t="s">
        <v>18</v>
      </c>
      <c r="C363" s="29">
        <v>8529</v>
      </c>
      <c r="D363" s="29"/>
      <c r="E363" s="91"/>
    </row>
    <row r="364" spans="1:5">
      <c r="A364" s="14" t="s">
        <v>151</v>
      </c>
      <c r="B364" s="21" t="s">
        <v>19</v>
      </c>
      <c r="C364" s="29">
        <v>12025</v>
      </c>
      <c r="D364" s="29"/>
      <c r="E364" s="91"/>
    </row>
    <row r="365" spans="1:5">
      <c r="A365" s="14" t="s">
        <v>151</v>
      </c>
      <c r="B365" s="21" t="s">
        <v>20</v>
      </c>
      <c r="C365" s="29">
        <v>12353</v>
      </c>
      <c r="D365" s="29"/>
      <c r="E365" s="91"/>
    </row>
    <row r="366" spans="1:5">
      <c r="A366" s="14" t="s">
        <v>151</v>
      </c>
      <c r="B366" s="21" t="s">
        <v>21</v>
      </c>
      <c r="C366" s="29">
        <v>14982</v>
      </c>
      <c r="D366" s="29"/>
      <c r="E366" s="91"/>
    </row>
    <row r="367" spans="1:5">
      <c r="A367" s="14" t="s">
        <v>151</v>
      </c>
      <c r="B367" s="21" t="s">
        <v>22</v>
      </c>
      <c r="C367" s="29">
        <v>16604</v>
      </c>
      <c r="D367" s="29"/>
      <c r="E367" s="91"/>
    </row>
    <row r="368" spans="1:5">
      <c r="A368" s="14" t="s">
        <v>151</v>
      </c>
      <c r="B368" s="21" t="s">
        <v>23</v>
      </c>
      <c r="C368" s="29">
        <v>16438</v>
      </c>
      <c r="D368" s="29"/>
      <c r="E368" s="91"/>
    </row>
    <row r="369" spans="1:5">
      <c r="A369" s="14" t="s">
        <v>151</v>
      </c>
      <c r="B369" s="21" t="s">
        <v>24</v>
      </c>
      <c r="C369" s="29">
        <v>16602</v>
      </c>
      <c r="D369" s="29"/>
      <c r="E369" s="91"/>
    </row>
    <row r="370" spans="1:5">
      <c r="A370" s="14" t="s">
        <v>151</v>
      </c>
      <c r="B370" s="21" t="s">
        <v>25</v>
      </c>
      <c r="C370" s="29">
        <v>16794</v>
      </c>
      <c r="D370" s="29"/>
      <c r="E370" s="91"/>
    </row>
    <row r="371" spans="1:5">
      <c r="A371" s="14" t="s">
        <v>151</v>
      </c>
      <c r="B371" s="21" t="s">
        <v>26</v>
      </c>
      <c r="C371" s="29">
        <v>17346</v>
      </c>
      <c r="D371" s="29"/>
      <c r="E371" s="91"/>
    </row>
    <row r="372" spans="1:5">
      <c r="A372" s="14" t="s">
        <v>151</v>
      </c>
      <c r="B372" s="21" t="s">
        <v>27</v>
      </c>
      <c r="C372" s="29">
        <v>14474</v>
      </c>
      <c r="D372" s="29"/>
      <c r="E372" s="91"/>
    </row>
    <row r="373" spans="1:5">
      <c r="A373" s="14" t="s">
        <v>151</v>
      </c>
      <c r="B373" s="21" t="s">
        <v>28</v>
      </c>
      <c r="C373" s="29">
        <v>11509</v>
      </c>
      <c r="D373" s="29"/>
      <c r="E373" s="91"/>
    </row>
    <row r="374" spans="1:5">
      <c r="A374" s="14" t="s">
        <v>151</v>
      </c>
      <c r="B374" s="21" t="s">
        <v>29</v>
      </c>
      <c r="C374" s="29">
        <v>11173</v>
      </c>
      <c r="D374" s="29"/>
      <c r="E374" s="91"/>
    </row>
    <row r="375" spans="1:5">
      <c r="A375" s="14" t="s">
        <v>151</v>
      </c>
      <c r="B375" s="21" t="s">
        <v>30</v>
      </c>
      <c r="C375" s="29">
        <v>11221</v>
      </c>
      <c r="D375" s="29"/>
      <c r="E375" s="91"/>
    </row>
    <row r="376" spans="1:5">
      <c r="A376" s="14" t="s">
        <v>151</v>
      </c>
      <c r="B376" s="21" t="s">
        <v>31</v>
      </c>
      <c r="C376" s="29">
        <v>10963</v>
      </c>
      <c r="D376" s="29"/>
      <c r="E376" s="91"/>
    </row>
    <row r="377" spans="1:5">
      <c r="A377" s="14" t="s">
        <v>151</v>
      </c>
      <c r="B377" s="21" t="s">
        <v>32</v>
      </c>
      <c r="C377" s="29">
        <v>11172</v>
      </c>
      <c r="D377" s="29"/>
      <c r="E377" s="91"/>
    </row>
    <row r="378" spans="1:5">
      <c r="A378" s="14" t="s">
        <v>151</v>
      </c>
      <c r="B378" s="21" t="s">
        <v>33</v>
      </c>
      <c r="C378" s="29">
        <v>11397</v>
      </c>
      <c r="D378" s="29"/>
      <c r="E378" s="91"/>
    </row>
    <row r="379" spans="1:5">
      <c r="A379" s="14" t="s">
        <v>151</v>
      </c>
      <c r="B379" s="21" t="s">
        <v>34</v>
      </c>
      <c r="C379" s="29">
        <v>11758</v>
      </c>
      <c r="D379" s="29"/>
      <c r="E379" s="91"/>
    </row>
    <row r="380" spans="1:5">
      <c r="A380" s="14" t="s">
        <v>151</v>
      </c>
      <c r="B380" s="21" t="s">
        <v>35</v>
      </c>
      <c r="C380" s="29">
        <v>12533</v>
      </c>
      <c r="D380" s="29"/>
      <c r="E380" s="91"/>
    </row>
    <row r="381" spans="1:5">
      <c r="A381" s="14" t="s">
        <v>151</v>
      </c>
      <c r="B381" s="21" t="s">
        <v>36</v>
      </c>
      <c r="C381" s="29">
        <v>13636</v>
      </c>
      <c r="D381" s="29"/>
      <c r="E381" s="91"/>
    </row>
    <row r="382" spans="1:5">
      <c r="A382" s="14" t="s">
        <v>151</v>
      </c>
      <c r="B382" s="21" t="s">
        <v>37</v>
      </c>
      <c r="C382" s="29">
        <v>13974</v>
      </c>
      <c r="D382" s="29"/>
      <c r="E382" s="91"/>
    </row>
    <row r="383" spans="1:5">
      <c r="A383" s="14" t="s">
        <v>151</v>
      </c>
      <c r="B383" s="21" t="s">
        <v>38</v>
      </c>
      <c r="C383" s="29">
        <v>14094</v>
      </c>
      <c r="D383" s="29"/>
      <c r="E383" s="91"/>
    </row>
    <row r="384" spans="1:5">
      <c r="A384" s="14" t="s">
        <v>151</v>
      </c>
      <c r="B384" s="21" t="s">
        <v>39</v>
      </c>
      <c r="C384" s="29">
        <v>12962</v>
      </c>
      <c r="D384" s="29"/>
      <c r="E384" s="91"/>
    </row>
    <row r="385" spans="1:5">
      <c r="A385" s="14" t="s">
        <v>151</v>
      </c>
      <c r="B385" s="21" t="s">
        <v>40</v>
      </c>
      <c r="C385" s="29">
        <v>7688</v>
      </c>
      <c r="D385" s="29"/>
      <c r="E385" s="91"/>
    </row>
    <row r="386" spans="1:5">
      <c r="A386" s="14" t="s">
        <v>152</v>
      </c>
      <c r="B386" s="21" t="s">
        <v>17</v>
      </c>
      <c r="C386" s="29">
        <v>8408</v>
      </c>
      <c r="D386" s="29"/>
      <c r="E386" s="91"/>
    </row>
    <row r="387" spans="1:5">
      <c r="A387" s="14" t="s">
        <v>152</v>
      </c>
      <c r="B387" s="21" t="s">
        <v>18</v>
      </c>
      <c r="C387" s="29">
        <v>8705</v>
      </c>
      <c r="D387" s="29"/>
      <c r="E387" s="91"/>
    </row>
    <row r="388" spans="1:5">
      <c r="A388" s="14" t="s">
        <v>152</v>
      </c>
      <c r="B388" s="21" t="s">
        <v>19</v>
      </c>
      <c r="C388" s="29">
        <v>10789</v>
      </c>
      <c r="D388" s="29"/>
      <c r="E388" s="91"/>
    </row>
    <row r="389" spans="1:5">
      <c r="A389" s="14" t="s">
        <v>152</v>
      </c>
      <c r="B389" s="21" t="s">
        <v>20</v>
      </c>
      <c r="C389" s="29">
        <v>10319</v>
      </c>
      <c r="D389" s="29"/>
      <c r="E389" s="91"/>
    </row>
    <row r="390" spans="1:5">
      <c r="A390" s="14" t="s">
        <v>152</v>
      </c>
      <c r="B390" s="21" t="s">
        <v>21</v>
      </c>
      <c r="C390" s="29">
        <v>14095</v>
      </c>
      <c r="D390" s="29"/>
      <c r="E390" s="91"/>
    </row>
    <row r="391" spans="1:5">
      <c r="A391" s="14" t="s">
        <v>152</v>
      </c>
      <c r="B391" s="21" t="s">
        <v>22</v>
      </c>
      <c r="C391" s="29">
        <v>15394</v>
      </c>
      <c r="D391" s="29"/>
      <c r="E391" s="91"/>
    </row>
    <row r="392" spans="1:5">
      <c r="A392" s="14" t="s">
        <v>152</v>
      </c>
      <c r="B392" s="21" t="s">
        <v>23</v>
      </c>
      <c r="C392" s="29">
        <v>16586</v>
      </c>
      <c r="D392" s="29"/>
      <c r="E392" s="91"/>
    </row>
    <row r="393" spans="1:5">
      <c r="A393" s="14" t="s">
        <v>152</v>
      </c>
      <c r="B393" s="21" t="s">
        <v>24</v>
      </c>
      <c r="C393" s="29">
        <v>15020</v>
      </c>
      <c r="D393" s="29"/>
      <c r="E393" s="91"/>
    </row>
    <row r="394" spans="1:5">
      <c r="A394" s="14" t="s">
        <v>152</v>
      </c>
      <c r="B394" s="21" t="s">
        <v>25</v>
      </c>
      <c r="C394" s="29">
        <v>14647</v>
      </c>
      <c r="D394" s="29"/>
      <c r="E394" s="91"/>
    </row>
    <row r="395" spans="1:5">
      <c r="A395" s="14" t="s">
        <v>152</v>
      </c>
      <c r="B395" s="21" t="s">
        <v>26</v>
      </c>
      <c r="C395" s="29">
        <v>15015</v>
      </c>
      <c r="D395" s="29"/>
      <c r="E395" s="91"/>
    </row>
    <row r="396" spans="1:5">
      <c r="A396" s="14" t="s">
        <v>152</v>
      </c>
      <c r="B396" s="21" t="s">
        <v>27</v>
      </c>
      <c r="C396" s="29">
        <v>13735</v>
      </c>
      <c r="D396" s="29"/>
      <c r="E396" s="91"/>
    </row>
    <row r="397" spans="1:5">
      <c r="A397" s="14" t="s">
        <v>152</v>
      </c>
      <c r="B397" s="21" t="s">
        <v>28</v>
      </c>
      <c r="C397" s="29">
        <v>12011</v>
      </c>
      <c r="D397" s="29"/>
      <c r="E397" s="91"/>
    </row>
    <row r="398" spans="1:5">
      <c r="A398" s="14" t="s">
        <v>152</v>
      </c>
      <c r="B398" s="21" t="s">
        <v>29</v>
      </c>
      <c r="C398" s="29">
        <v>11924</v>
      </c>
      <c r="D398" s="29"/>
      <c r="E398" s="91"/>
    </row>
    <row r="399" spans="1:5">
      <c r="A399" s="14" t="s">
        <v>152</v>
      </c>
      <c r="B399" s="21" t="s">
        <v>30</v>
      </c>
      <c r="C399" s="29">
        <v>11594</v>
      </c>
      <c r="D399" s="29"/>
      <c r="E399" s="91"/>
    </row>
    <row r="400" spans="1:5">
      <c r="A400" s="14" t="s">
        <v>152</v>
      </c>
      <c r="B400" s="21" t="s">
        <v>31</v>
      </c>
      <c r="C400" s="29">
        <v>12128</v>
      </c>
      <c r="D400" s="29"/>
      <c r="E400" s="91"/>
    </row>
    <row r="401" spans="1:5">
      <c r="A401" s="14" t="s">
        <v>152</v>
      </c>
      <c r="B401" s="21" t="s">
        <v>32</v>
      </c>
      <c r="C401" s="29">
        <v>12523</v>
      </c>
      <c r="D401" s="29"/>
      <c r="E401" s="91"/>
    </row>
    <row r="402" spans="1:5">
      <c r="A402" s="14" t="s">
        <v>152</v>
      </c>
      <c r="B402" s="21" t="s">
        <v>33</v>
      </c>
      <c r="C402" s="29">
        <v>11914</v>
      </c>
      <c r="D402" s="29"/>
      <c r="E402" s="91"/>
    </row>
    <row r="403" spans="1:5">
      <c r="A403" s="14" t="s">
        <v>152</v>
      </c>
      <c r="B403" s="21" t="s">
        <v>34</v>
      </c>
      <c r="C403" s="29">
        <v>12994</v>
      </c>
      <c r="D403" s="29"/>
      <c r="E403" s="91"/>
    </row>
    <row r="404" spans="1:5">
      <c r="A404" s="14" t="s">
        <v>152</v>
      </c>
      <c r="B404" s="21" t="s">
        <v>35</v>
      </c>
      <c r="C404" s="29">
        <v>12670</v>
      </c>
      <c r="D404" s="29"/>
      <c r="E404" s="91"/>
    </row>
    <row r="405" spans="1:5">
      <c r="A405" s="14" t="s">
        <v>152</v>
      </c>
      <c r="B405" s="21" t="s">
        <v>36</v>
      </c>
      <c r="C405" s="29">
        <v>12672</v>
      </c>
      <c r="D405" s="29"/>
      <c r="E405" s="91"/>
    </row>
    <row r="406" spans="1:5">
      <c r="A406" s="14" t="s">
        <v>152</v>
      </c>
      <c r="B406" s="21" t="s">
        <v>37</v>
      </c>
      <c r="C406" s="29">
        <v>12851</v>
      </c>
      <c r="D406" s="29"/>
      <c r="E406" s="91"/>
    </row>
    <row r="407" spans="1:5">
      <c r="A407" s="14" t="s">
        <v>152</v>
      </c>
      <c r="B407" s="21" t="s">
        <v>38</v>
      </c>
      <c r="C407" s="29">
        <v>12690</v>
      </c>
      <c r="D407" s="29"/>
      <c r="E407" s="91"/>
    </row>
    <row r="408" spans="1:5">
      <c r="A408" s="14" t="s">
        <v>152</v>
      </c>
      <c r="B408" s="21" t="s">
        <v>39</v>
      </c>
      <c r="C408" s="29">
        <v>11995</v>
      </c>
      <c r="D408" s="29"/>
      <c r="E408" s="91"/>
    </row>
    <row r="409" spans="1:5">
      <c r="A409" s="14" t="s">
        <v>152</v>
      </c>
      <c r="B409" s="21" t="s">
        <v>40</v>
      </c>
      <c r="C409" s="29">
        <v>5879</v>
      </c>
      <c r="D409" s="29"/>
      <c r="E409" s="91"/>
    </row>
    <row r="410" spans="1:5">
      <c r="A410" s="14" t="s">
        <v>153</v>
      </c>
      <c r="B410" s="21" t="s">
        <v>17</v>
      </c>
      <c r="C410" s="29">
        <v>4899</v>
      </c>
      <c r="D410" s="29"/>
      <c r="E410" s="91"/>
    </row>
    <row r="411" spans="1:5">
      <c r="A411" s="14" t="s">
        <v>153</v>
      </c>
      <c r="B411" s="21" t="s">
        <v>18</v>
      </c>
      <c r="C411" s="29">
        <v>4617</v>
      </c>
      <c r="D411" s="29"/>
      <c r="E411" s="91"/>
    </row>
    <row r="412" spans="1:5">
      <c r="A412" s="14" t="s">
        <v>153</v>
      </c>
      <c r="B412" s="21" t="s">
        <v>19</v>
      </c>
      <c r="C412" s="29">
        <v>3984</v>
      </c>
      <c r="D412" s="29"/>
      <c r="E412" s="91"/>
    </row>
    <row r="413" spans="1:5">
      <c r="A413" s="14" t="s">
        <v>153</v>
      </c>
      <c r="B413" s="21" t="s">
        <v>20</v>
      </c>
      <c r="C413" s="29">
        <v>5745</v>
      </c>
      <c r="D413" s="29"/>
      <c r="E413" s="91"/>
    </row>
    <row r="414" spans="1:5">
      <c r="A414" s="14" t="s">
        <v>153</v>
      </c>
      <c r="B414" s="21" t="s">
        <v>21</v>
      </c>
      <c r="C414" s="29">
        <v>6652</v>
      </c>
      <c r="D414" s="29"/>
      <c r="E414" s="91"/>
    </row>
    <row r="415" spans="1:5">
      <c r="A415" s="14" t="s">
        <v>153</v>
      </c>
      <c r="B415" s="21" t="s">
        <v>22</v>
      </c>
      <c r="C415" s="29">
        <v>12472</v>
      </c>
      <c r="D415" s="29"/>
      <c r="E415" s="91"/>
    </row>
    <row r="416" spans="1:5">
      <c r="A416" s="14" t="s">
        <v>153</v>
      </c>
      <c r="B416" s="21" t="s">
        <v>23</v>
      </c>
      <c r="C416" s="29">
        <v>14307</v>
      </c>
      <c r="D416" s="29"/>
      <c r="E416" s="91"/>
    </row>
    <row r="417" spans="1:5">
      <c r="A417" s="14" t="s">
        <v>153</v>
      </c>
      <c r="B417" s="21" t="s">
        <v>24</v>
      </c>
      <c r="C417" s="29">
        <v>12374</v>
      </c>
      <c r="D417" s="29"/>
      <c r="E417" s="91"/>
    </row>
    <row r="418" spans="1:5">
      <c r="A418" s="14" t="s">
        <v>153</v>
      </c>
      <c r="B418" s="21" t="s">
        <v>25</v>
      </c>
      <c r="C418" s="29">
        <v>12520</v>
      </c>
      <c r="D418" s="29"/>
      <c r="E418" s="91"/>
    </row>
    <row r="419" spans="1:5">
      <c r="A419" s="14" t="s">
        <v>153</v>
      </c>
      <c r="B419" s="21" t="s">
        <v>26</v>
      </c>
      <c r="C419" s="29">
        <v>12364</v>
      </c>
      <c r="D419" s="29"/>
      <c r="E419" s="91"/>
    </row>
    <row r="420" spans="1:5">
      <c r="A420" s="14" t="s">
        <v>153</v>
      </c>
      <c r="B420" s="21" t="s">
        <v>27</v>
      </c>
      <c r="C420" s="29">
        <v>13005</v>
      </c>
      <c r="D420" s="29"/>
      <c r="E420" s="91"/>
    </row>
    <row r="421" spans="1:5">
      <c r="A421" s="14" t="s">
        <v>153</v>
      </c>
      <c r="B421" s="21" t="s">
        <v>28</v>
      </c>
      <c r="C421" s="29">
        <v>13045</v>
      </c>
      <c r="D421" s="29"/>
      <c r="E421" s="91"/>
    </row>
    <row r="422" spans="1:5">
      <c r="A422" s="14" t="s">
        <v>153</v>
      </c>
      <c r="B422" s="21" t="s">
        <v>29</v>
      </c>
      <c r="C422" s="29">
        <v>13239</v>
      </c>
      <c r="D422" s="29"/>
      <c r="E422" s="91"/>
    </row>
    <row r="423" spans="1:5">
      <c r="A423" s="14" t="s">
        <v>153</v>
      </c>
      <c r="B423" s="21" t="s">
        <v>30</v>
      </c>
      <c r="C423" s="29">
        <v>11880</v>
      </c>
      <c r="D423" s="29"/>
      <c r="E423" s="91"/>
    </row>
    <row r="424" spans="1:5">
      <c r="A424" s="14" t="s">
        <v>153</v>
      </c>
      <c r="B424" s="21" t="s">
        <v>31</v>
      </c>
      <c r="C424" s="29">
        <v>12247</v>
      </c>
      <c r="D424" s="29"/>
      <c r="E424" s="91"/>
    </row>
    <row r="425" spans="1:5">
      <c r="A425" s="14" t="s">
        <v>153</v>
      </c>
      <c r="B425" s="21" t="s">
        <v>32</v>
      </c>
      <c r="C425" s="29">
        <v>10579</v>
      </c>
      <c r="D425" s="29"/>
      <c r="E425" s="91"/>
    </row>
    <row r="426" spans="1:5">
      <c r="A426" s="14" t="s">
        <v>153</v>
      </c>
      <c r="B426" s="21" t="s">
        <v>33</v>
      </c>
      <c r="C426" s="29">
        <v>11122</v>
      </c>
      <c r="D426" s="29"/>
      <c r="E426" s="91"/>
    </row>
    <row r="427" spans="1:5">
      <c r="A427" s="14" t="s">
        <v>153</v>
      </c>
      <c r="B427" s="21" t="s">
        <v>34</v>
      </c>
      <c r="C427" s="29">
        <v>12058</v>
      </c>
      <c r="D427" s="29"/>
      <c r="E427" s="91"/>
    </row>
    <row r="428" spans="1:5">
      <c r="A428" s="14" t="s">
        <v>153</v>
      </c>
      <c r="B428" s="21" t="s">
        <v>35</v>
      </c>
      <c r="C428" s="29">
        <v>13678</v>
      </c>
      <c r="D428" s="29"/>
      <c r="E428" s="91"/>
    </row>
    <row r="429" spans="1:5">
      <c r="A429" s="14" t="s">
        <v>153</v>
      </c>
      <c r="B429" s="21" t="s">
        <v>36</v>
      </c>
      <c r="C429" s="29">
        <v>14998</v>
      </c>
      <c r="D429" s="29"/>
      <c r="E429" s="91"/>
    </row>
    <row r="430" spans="1:5">
      <c r="A430" s="14" t="s">
        <v>153</v>
      </c>
      <c r="B430" s="21" t="s">
        <v>37</v>
      </c>
      <c r="C430" s="29">
        <v>16086</v>
      </c>
      <c r="D430" s="29"/>
      <c r="E430" s="91"/>
    </row>
    <row r="431" spans="1:5">
      <c r="A431" s="14" t="s">
        <v>153</v>
      </c>
      <c r="B431" s="21" t="s">
        <v>38</v>
      </c>
      <c r="C431" s="29">
        <v>16029</v>
      </c>
      <c r="D431" s="29"/>
      <c r="E431" s="91"/>
    </row>
    <row r="432" spans="1:5">
      <c r="A432" s="14" t="s">
        <v>153</v>
      </c>
      <c r="B432" s="21" t="s">
        <v>39</v>
      </c>
      <c r="C432" s="29">
        <v>13309</v>
      </c>
      <c r="D432" s="29"/>
      <c r="E432" s="91"/>
    </row>
    <row r="433" spans="1:5">
      <c r="A433" s="14" t="s">
        <v>153</v>
      </c>
      <c r="B433" s="21" t="s">
        <v>40</v>
      </c>
      <c r="C433" s="29">
        <v>13550</v>
      </c>
      <c r="D433" s="29"/>
      <c r="E433" s="91"/>
    </row>
    <row r="434" spans="1:5">
      <c r="A434" s="14" t="s">
        <v>154</v>
      </c>
      <c r="B434" s="21" t="s">
        <v>17</v>
      </c>
      <c r="C434" s="29">
        <v>10535</v>
      </c>
      <c r="D434" s="29"/>
      <c r="E434" s="91"/>
    </row>
    <row r="435" spans="1:5">
      <c r="A435" s="14" t="s">
        <v>154</v>
      </c>
      <c r="B435" s="21" t="s">
        <v>18</v>
      </c>
      <c r="C435" s="29">
        <v>10925</v>
      </c>
      <c r="D435" s="29"/>
      <c r="E435" s="91"/>
    </row>
    <row r="436" spans="1:5">
      <c r="A436" s="14" t="s">
        <v>154</v>
      </c>
      <c r="B436" s="21" t="s">
        <v>19</v>
      </c>
      <c r="C436" s="29">
        <v>11497</v>
      </c>
      <c r="D436" s="29"/>
      <c r="E436" s="91"/>
    </row>
    <row r="437" spans="1:5">
      <c r="A437" s="14" t="s">
        <v>154</v>
      </c>
      <c r="B437" s="21" t="s">
        <v>20</v>
      </c>
      <c r="C437" s="29">
        <v>14168</v>
      </c>
      <c r="D437" s="29"/>
      <c r="E437" s="91"/>
    </row>
    <row r="438" spans="1:5">
      <c r="A438" s="14" t="s">
        <v>154</v>
      </c>
      <c r="B438" s="21" t="s">
        <v>21</v>
      </c>
      <c r="C438" s="29">
        <v>16294</v>
      </c>
      <c r="D438" s="29"/>
      <c r="E438" s="91"/>
    </row>
    <row r="439" spans="1:5">
      <c r="A439" s="14" t="s">
        <v>154</v>
      </c>
      <c r="B439" s="21" t="s">
        <v>22</v>
      </c>
      <c r="C439" s="29">
        <v>13394</v>
      </c>
      <c r="D439" s="29"/>
      <c r="E439" s="91"/>
    </row>
    <row r="440" spans="1:5">
      <c r="A440" s="14" t="s">
        <v>154</v>
      </c>
      <c r="B440" s="21" t="s">
        <v>23</v>
      </c>
      <c r="C440" s="29">
        <v>14551</v>
      </c>
      <c r="D440" s="29"/>
      <c r="E440" s="91"/>
    </row>
    <row r="441" spans="1:5">
      <c r="A441" s="14" t="s">
        <v>154</v>
      </c>
      <c r="B441" s="21" t="s">
        <v>24</v>
      </c>
      <c r="C441" s="29">
        <v>16678</v>
      </c>
      <c r="D441" s="29"/>
      <c r="E441" s="91"/>
    </row>
    <row r="442" spans="1:5">
      <c r="A442" s="14" t="s">
        <v>154</v>
      </c>
      <c r="B442" s="21" t="s">
        <v>25</v>
      </c>
      <c r="C442" s="29">
        <v>16031</v>
      </c>
      <c r="D442" s="29"/>
      <c r="E442" s="91"/>
    </row>
    <row r="443" spans="1:5">
      <c r="A443" s="14" t="s">
        <v>154</v>
      </c>
      <c r="B443" s="21" t="s">
        <v>26</v>
      </c>
      <c r="C443" s="29">
        <v>15280</v>
      </c>
      <c r="D443" s="29"/>
      <c r="E443" s="91"/>
    </row>
    <row r="444" spans="1:5">
      <c r="A444" s="14" t="s">
        <v>154</v>
      </c>
      <c r="B444" s="21" t="s">
        <v>27</v>
      </c>
      <c r="C444" s="29">
        <v>16911</v>
      </c>
      <c r="D444" s="29"/>
      <c r="E444" s="91"/>
    </row>
    <row r="445" spans="1:5">
      <c r="A445" s="14" t="s">
        <v>154</v>
      </c>
      <c r="B445" s="21" t="s">
        <v>28</v>
      </c>
      <c r="C445" s="29">
        <v>16089</v>
      </c>
      <c r="D445" s="29"/>
      <c r="E445" s="91"/>
    </row>
    <row r="446" spans="1:5">
      <c r="A446" s="14" t="s">
        <v>154</v>
      </c>
      <c r="B446" s="21" t="s">
        <v>29</v>
      </c>
      <c r="C446" s="29">
        <v>14673</v>
      </c>
      <c r="D446" s="29"/>
      <c r="E446" s="91"/>
    </row>
    <row r="447" spans="1:5">
      <c r="A447" s="14" t="s">
        <v>154</v>
      </c>
      <c r="B447" s="21" t="s">
        <v>30</v>
      </c>
      <c r="C447" s="29">
        <v>16001</v>
      </c>
      <c r="D447" s="29"/>
      <c r="E447" s="91"/>
    </row>
    <row r="448" spans="1:5">
      <c r="A448" s="14" t="s">
        <v>154</v>
      </c>
      <c r="B448" s="21" t="s">
        <v>31</v>
      </c>
      <c r="C448" s="29">
        <v>15457</v>
      </c>
      <c r="D448" s="29"/>
      <c r="E448" s="91"/>
    </row>
    <row r="449" spans="1:5">
      <c r="A449" s="14" t="s">
        <v>154</v>
      </c>
      <c r="B449" s="21" t="s">
        <v>32</v>
      </c>
      <c r="C449" s="29">
        <v>16488</v>
      </c>
      <c r="D449" s="29"/>
      <c r="E449" s="91"/>
    </row>
    <row r="450" spans="1:5">
      <c r="A450" s="14" t="s">
        <v>154</v>
      </c>
      <c r="B450" s="21" t="s">
        <v>33</v>
      </c>
      <c r="C450" s="29">
        <v>16411</v>
      </c>
      <c r="D450" s="29"/>
      <c r="E450" s="91"/>
    </row>
    <row r="451" spans="1:5">
      <c r="A451" s="14" t="s">
        <v>154</v>
      </c>
      <c r="B451" s="21" t="s">
        <v>34</v>
      </c>
      <c r="C451" s="29">
        <v>15338</v>
      </c>
      <c r="D451" s="29"/>
      <c r="E451" s="91"/>
    </row>
    <row r="452" spans="1:5">
      <c r="A452" s="14" t="s">
        <v>154</v>
      </c>
      <c r="B452" s="21" t="s">
        <v>35</v>
      </c>
      <c r="C452" s="29">
        <v>14546</v>
      </c>
      <c r="D452" s="29"/>
      <c r="E452" s="91"/>
    </row>
    <row r="453" spans="1:5">
      <c r="A453" s="14" t="s">
        <v>154</v>
      </c>
      <c r="B453" s="21" t="s">
        <v>36</v>
      </c>
      <c r="C453" s="29">
        <v>14858</v>
      </c>
      <c r="D453" s="29"/>
      <c r="E453" s="91"/>
    </row>
    <row r="454" spans="1:5">
      <c r="A454" s="14" t="s">
        <v>154</v>
      </c>
      <c r="B454" s="21" t="s">
        <v>37</v>
      </c>
      <c r="C454" s="29">
        <v>14063</v>
      </c>
      <c r="D454" s="29"/>
      <c r="E454" s="91"/>
    </row>
    <row r="455" spans="1:5">
      <c r="A455" s="14" t="s">
        <v>154</v>
      </c>
      <c r="B455" s="21" t="s">
        <v>38</v>
      </c>
      <c r="C455" s="29">
        <v>14618</v>
      </c>
      <c r="D455" s="29"/>
      <c r="E455" s="91"/>
    </row>
    <row r="456" spans="1:5">
      <c r="A456" s="14" t="s">
        <v>154</v>
      </c>
      <c r="B456" s="21" t="s">
        <v>39</v>
      </c>
      <c r="C456" s="29">
        <v>13799</v>
      </c>
      <c r="D456" s="29"/>
      <c r="E456" s="91"/>
    </row>
    <row r="457" spans="1:5">
      <c r="A457" s="14" t="s">
        <v>154</v>
      </c>
      <c r="B457" s="21" t="s">
        <v>40</v>
      </c>
      <c r="C457" s="29">
        <v>7994</v>
      </c>
      <c r="D457" s="29"/>
      <c r="E457" s="91"/>
    </row>
    <row r="458" spans="1:5">
      <c r="A458" s="14" t="s">
        <v>155</v>
      </c>
      <c r="B458" s="21" t="s">
        <v>17</v>
      </c>
      <c r="C458" s="29">
        <v>7809</v>
      </c>
      <c r="D458" s="29"/>
      <c r="E458" s="91"/>
    </row>
    <row r="459" spans="1:5">
      <c r="A459" s="14" t="s">
        <v>155</v>
      </c>
      <c r="B459" s="21" t="s">
        <v>18</v>
      </c>
      <c r="C459" s="29">
        <v>7720</v>
      </c>
      <c r="D459" s="29"/>
      <c r="E459" s="91"/>
    </row>
    <row r="460" spans="1:5">
      <c r="A460" s="14" t="s">
        <v>155</v>
      </c>
      <c r="B460" s="21" t="s">
        <v>19</v>
      </c>
      <c r="C460" s="29">
        <v>11188</v>
      </c>
      <c r="D460" s="29"/>
      <c r="E460" s="91"/>
    </row>
    <row r="461" spans="1:5">
      <c r="A461" s="14" t="s">
        <v>155</v>
      </c>
      <c r="B461" s="21" t="s">
        <v>20</v>
      </c>
      <c r="C461" s="29">
        <v>14557</v>
      </c>
      <c r="D461" s="29"/>
      <c r="E461" s="91"/>
    </row>
    <row r="462" spans="1:5">
      <c r="A462" s="14" t="s">
        <v>155</v>
      </c>
      <c r="B462" s="21" t="s">
        <v>21</v>
      </c>
      <c r="C462" s="29">
        <v>13852</v>
      </c>
      <c r="D462" s="29"/>
      <c r="E462" s="91"/>
    </row>
    <row r="463" spans="1:5">
      <c r="A463" s="14" t="s">
        <v>155</v>
      </c>
      <c r="B463" s="21" t="s">
        <v>22</v>
      </c>
      <c r="C463" s="29">
        <v>15013</v>
      </c>
      <c r="D463" s="29"/>
      <c r="E463" s="91"/>
    </row>
    <row r="464" spans="1:5">
      <c r="A464" s="14" t="s">
        <v>155</v>
      </c>
      <c r="B464" s="21" t="s">
        <v>23</v>
      </c>
      <c r="C464" s="29">
        <v>14056</v>
      </c>
      <c r="D464" s="29"/>
      <c r="E464" s="91"/>
    </row>
    <row r="465" spans="1:5">
      <c r="A465" s="14" t="s">
        <v>155</v>
      </c>
      <c r="B465" s="21" t="s">
        <v>24</v>
      </c>
      <c r="C465" s="29">
        <v>15841</v>
      </c>
      <c r="D465" s="29"/>
      <c r="E465" s="91"/>
    </row>
    <row r="466" spans="1:5">
      <c r="A466" s="14" t="s">
        <v>155</v>
      </c>
      <c r="B466" s="21" t="s">
        <v>25</v>
      </c>
      <c r="C466" s="29">
        <v>14721</v>
      </c>
      <c r="D466" s="29"/>
      <c r="E466" s="91"/>
    </row>
    <row r="467" spans="1:5">
      <c r="A467" s="14" t="s">
        <v>155</v>
      </c>
      <c r="B467" s="21" t="s">
        <v>26</v>
      </c>
      <c r="C467" s="29">
        <v>15032</v>
      </c>
      <c r="D467" s="29"/>
      <c r="E467" s="91"/>
    </row>
    <row r="468" spans="1:5">
      <c r="A468" s="14" t="s">
        <v>155</v>
      </c>
      <c r="B468" s="21" t="s">
        <v>27</v>
      </c>
      <c r="C468" s="29">
        <v>14612</v>
      </c>
      <c r="D468" s="29"/>
      <c r="E468" s="91"/>
    </row>
    <row r="469" spans="1:5">
      <c r="A469" s="14" t="s">
        <v>155</v>
      </c>
      <c r="B469" s="21" t="s">
        <v>28</v>
      </c>
      <c r="C469" s="29">
        <v>13185</v>
      </c>
      <c r="D469" s="29"/>
      <c r="E469" s="91"/>
    </row>
    <row r="470" spans="1:5">
      <c r="A470" s="14" t="s">
        <v>155</v>
      </c>
      <c r="B470" s="21" t="s">
        <v>29</v>
      </c>
      <c r="C470" s="29">
        <v>13252</v>
      </c>
      <c r="D470" s="29"/>
      <c r="E470" s="91"/>
    </row>
    <row r="471" spans="1:5">
      <c r="A471" s="14" t="s">
        <v>155</v>
      </c>
      <c r="B471" s="21" t="s">
        <v>30</v>
      </c>
      <c r="C471" s="29">
        <v>13309</v>
      </c>
      <c r="D471" s="29"/>
      <c r="E471" s="91"/>
    </row>
    <row r="472" spans="1:5">
      <c r="A472" s="14" t="s">
        <v>155</v>
      </c>
      <c r="B472" s="21" t="s">
        <v>31</v>
      </c>
      <c r="C472" s="29">
        <v>13681</v>
      </c>
      <c r="D472" s="29"/>
      <c r="E472" s="91"/>
    </row>
    <row r="473" spans="1:5">
      <c r="A473" s="14" t="s">
        <v>155</v>
      </c>
      <c r="B473" s="21" t="s">
        <v>32</v>
      </c>
      <c r="C473" s="29">
        <v>13693</v>
      </c>
      <c r="D473" s="29"/>
      <c r="E473" s="91"/>
    </row>
    <row r="474" spans="1:5">
      <c r="A474" s="14" t="s">
        <v>155</v>
      </c>
      <c r="B474" s="21" t="s">
        <v>33</v>
      </c>
      <c r="C474" s="29">
        <v>13240</v>
      </c>
      <c r="D474" s="29"/>
      <c r="E474" s="91"/>
    </row>
    <row r="475" spans="1:5">
      <c r="A475" s="14" t="s">
        <v>155</v>
      </c>
      <c r="B475" s="21" t="s">
        <v>34</v>
      </c>
      <c r="C475" s="29">
        <v>13294</v>
      </c>
      <c r="D475" s="29"/>
      <c r="E475" s="91"/>
    </row>
    <row r="476" spans="1:5">
      <c r="A476" s="14" t="s">
        <v>155</v>
      </c>
      <c r="B476" s="21" t="s">
        <v>35</v>
      </c>
      <c r="C476" s="29">
        <v>13631</v>
      </c>
      <c r="D476" s="29"/>
      <c r="E476" s="91"/>
    </row>
    <row r="477" spans="1:5">
      <c r="A477" s="14" t="s">
        <v>155</v>
      </c>
      <c r="B477" s="21" t="s">
        <v>36</v>
      </c>
      <c r="C477" s="29">
        <v>13134</v>
      </c>
      <c r="D477" s="29"/>
      <c r="E477" s="91"/>
    </row>
    <row r="478" spans="1:5">
      <c r="A478" s="14" t="s">
        <v>155</v>
      </c>
      <c r="B478" s="21" t="s">
        <v>37</v>
      </c>
      <c r="C478" s="29">
        <v>14335</v>
      </c>
      <c r="D478" s="29"/>
      <c r="E478" s="91"/>
    </row>
    <row r="479" spans="1:5">
      <c r="A479" s="14" t="s">
        <v>155</v>
      </c>
      <c r="B479" s="21" t="s">
        <v>38</v>
      </c>
      <c r="C479" s="29">
        <v>13272</v>
      </c>
      <c r="D479" s="29"/>
      <c r="E479" s="91"/>
    </row>
    <row r="480" spans="1:5">
      <c r="A480" s="14" t="s">
        <v>155</v>
      </c>
      <c r="B480" s="21" t="s">
        <v>39</v>
      </c>
      <c r="C480" s="29">
        <v>11675</v>
      </c>
      <c r="D480" s="29"/>
      <c r="E480" s="91"/>
    </row>
    <row r="481" spans="1:5">
      <c r="A481" s="14" t="s">
        <v>155</v>
      </c>
      <c r="B481" s="21" t="s">
        <v>40</v>
      </c>
      <c r="C481" s="29">
        <v>6773</v>
      </c>
      <c r="D481" s="29"/>
      <c r="E481" s="91"/>
    </row>
    <row r="482" spans="1:5">
      <c r="A482" s="14" t="s">
        <v>156</v>
      </c>
      <c r="B482" s="21" t="s">
        <v>17</v>
      </c>
      <c r="C482" s="29">
        <v>5522</v>
      </c>
      <c r="D482" s="29"/>
      <c r="E482" s="91"/>
    </row>
    <row r="483" spans="1:5">
      <c r="A483" s="14" t="s">
        <v>156</v>
      </c>
      <c r="B483" s="21" t="s">
        <v>18</v>
      </c>
      <c r="C483" s="29">
        <v>7148</v>
      </c>
      <c r="D483" s="29"/>
      <c r="E483" s="91"/>
    </row>
    <row r="484" spans="1:5">
      <c r="A484" s="14" t="s">
        <v>156</v>
      </c>
      <c r="B484" s="21" t="s">
        <v>19</v>
      </c>
      <c r="C484" s="29">
        <v>7006</v>
      </c>
      <c r="D484" s="29"/>
      <c r="E484" s="91"/>
    </row>
    <row r="485" spans="1:5">
      <c r="A485" s="14" t="s">
        <v>156</v>
      </c>
      <c r="B485" s="21" t="s">
        <v>20</v>
      </c>
      <c r="C485" s="29">
        <v>8901</v>
      </c>
      <c r="D485" s="29"/>
      <c r="E485" s="91"/>
    </row>
    <row r="486" spans="1:5">
      <c r="A486" s="14" t="s">
        <v>156</v>
      </c>
      <c r="B486" s="21" t="s">
        <v>21</v>
      </c>
      <c r="C486" s="29">
        <v>12017</v>
      </c>
      <c r="D486" s="29"/>
      <c r="E486" s="91"/>
    </row>
    <row r="487" spans="1:5">
      <c r="A487" s="14" t="s">
        <v>156</v>
      </c>
      <c r="B487" s="21" t="s">
        <v>22</v>
      </c>
      <c r="C487" s="29">
        <v>13480</v>
      </c>
      <c r="D487" s="29"/>
      <c r="E487" s="91"/>
    </row>
    <row r="488" spans="1:5">
      <c r="A488" s="14" t="s">
        <v>156</v>
      </c>
      <c r="B488" s="21" t="s">
        <v>23</v>
      </c>
      <c r="C488" s="29">
        <v>15703</v>
      </c>
      <c r="D488" s="29"/>
      <c r="E488" s="91"/>
    </row>
    <row r="489" spans="1:5">
      <c r="A489" s="14" t="s">
        <v>156</v>
      </c>
      <c r="B489" s="21" t="s">
        <v>24</v>
      </c>
      <c r="C489" s="29">
        <v>14387</v>
      </c>
      <c r="D489" s="29"/>
      <c r="E489" s="91"/>
    </row>
    <row r="490" spans="1:5">
      <c r="A490" s="14" t="s">
        <v>156</v>
      </c>
      <c r="B490" s="21" t="s">
        <v>25</v>
      </c>
      <c r="C490" s="29">
        <v>14172</v>
      </c>
      <c r="D490" s="29"/>
      <c r="E490" s="91"/>
    </row>
    <row r="491" spans="1:5">
      <c r="A491" s="14" t="s">
        <v>156</v>
      </c>
      <c r="B491" s="21" t="s">
        <v>26</v>
      </c>
      <c r="C491" s="29">
        <v>14775</v>
      </c>
      <c r="D491" s="29"/>
      <c r="E491" s="91"/>
    </row>
    <row r="492" spans="1:5">
      <c r="A492" s="14" t="s">
        <v>156</v>
      </c>
      <c r="B492" s="21" t="s">
        <v>27</v>
      </c>
      <c r="C492" s="29">
        <v>15316</v>
      </c>
      <c r="D492" s="29"/>
      <c r="E492" s="91"/>
    </row>
    <row r="493" spans="1:5">
      <c r="A493" s="14" t="s">
        <v>156</v>
      </c>
      <c r="B493" s="21" t="s">
        <v>28</v>
      </c>
      <c r="C493" s="29">
        <v>15854</v>
      </c>
      <c r="D493" s="29"/>
      <c r="E493" s="91"/>
    </row>
    <row r="494" spans="1:5">
      <c r="A494" s="14" t="s">
        <v>156</v>
      </c>
      <c r="B494" s="21" t="s">
        <v>29</v>
      </c>
      <c r="C494" s="29">
        <v>10896</v>
      </c>
      <c r="D494" s="29"/>
      <c r="E494" s="91"/>
    </row>
    <row r="495" spans="1:5">
      <c r="A495" s="14" t="s">
        <v>156</v>
      </c>
      <c r="B495" s="21" t="s">
        <v>30</v>
      </c>
      <c r="C495" s="29">
        <v>9099</v>
      </c>
      <c r="D495" s="29"/>
      <c r="E495" s="91"/>
    </row>
    <row r="496" spans="1:5">
      <c r="A496" s="14" t="s">
        <v>156</v>
      </c>
      <c r="B496" s="21" t="s">
        <v>31</v>
      </c>
      <c r="C496" s="29">
        <v>10493</v>
      </c>
      <c r="D496" s="29"/>
      <c r="E496" s="91"/>
    </row>
    <row r="497" spans="1:5">
      <c r="A497" s="14" t="s">
        <v>156</v>
      </c>
      <c r="B497" s="21" t="s">
        <v>32</v>
      </c>
      <c r="C497" s="29">
        <v>11489</v>
      </c>
      <c r="D497" s="29"/>
      <c r="E497" s="91"/>
    </row>
    <row r="498" spans="1:5">
      <c r="A498" s="14" t="s">
        <v>156</v>
      </c>
      <c r="B498" s="21" t="s">
        <v>33</v>
      </c>
      <c r="C498" s="29">
        <v>10978</v>
      </c>
      <c r="D498" s="29"/>
      <c r="E498" s="91"/>
    </row>
    <row r="499" spans="1:5">
      <c r="A499" s="14" t="s">
        <v>156</v>
      </c>
      <c r="B499" s="21" t="s">
        <v>34</v>
      </c>
      <c r="C499" s="29">
        <v>10783</v>
      </c>
      <c r="D499" s="29"/>
      <c r="E499" s="91"/>
    </row>
    <row r="500" spans="1:5">
      <c r="A500" s="14" t="s">
        <v>156</v>
      </c>
      <c r="B500" s="21" t="s">
        <v>35</v>
      </c>
      <c r="C500" s="29">
        <v>11824</v>
      </c>
      <c r="D500" s="29"/>
      <c r="E500" s="91"/>
    </row>
    <row r="501" spans="1:5">
      <c r="A501" s="14" t="s">
        <v>156</v>
      </c>
      <c r="B501" s="21" t="s">
        <v>36</v>
      </c>
      <c r="C501" s="29">
        <v>12460</v>
      </c>
      <c r="D501" s="29"/>
      <c r="E501" s="91"/>
    </row>
    <row r="502" spans="1:5">
      <c r="A502" s="14" t="s">
        <v>156</v>
      </c>
      <c r="B502" s="21" t="s">
        <v>37</v>
      </c>
      <c r="C502" s="29">
        <v>13042</v>
      </c>
      <c r="D502" s="29"/>
      <c r="E502" s="91"/>
    </row>
    <row r="503" spans="1:5">
      <c r="A503" s="14" t="s">
        <v>156</v>
      </c>
      <c r="B503" s="21" t="s">
        <v>38</v>
      </c>
      <c r="C503" s="29">
        <v>12218</v>
      </c>
      <c r="D503" s="29"/>
      <c r="E503" s="91"/>
    </row>
    <row r="504" spans="1:5">
      <c r="A504" s="14" t="s">
        <v>156</v>
      </c>
      <c r="B504" s="21" t="s">
        <v>39</v>
      </c>
      <c r="C504" s="29">
        <v>9926</v>
      </c>
      <c r="D504" s="29"/>
      <c r="E504" s="91"/>
    </row>
    <row r="505" spans="1:5">
      <c r="A505" s="14" t="s">
        <v>156</v>
      </c>
      <c r="B505" s="21" t="s">
        <v>40</v>
      </c>
      <c r="C505" s="29">
        <v>5714</v>
      </c>
      <c r="D505" s="29"/>
      <c r="E505" s="91"/>
    </row>
    <row r="506" spans="1:5">
      <c r="A506" s="14" t="s">
        <v>157</v>
      </c>
      <c r="B506" s="21" t="s">
        <v>17</v>
      </c>
      <c r="C506" s="29">
        <v>4846</v>
      </c>
      <c r="D506" s="29"/>
      <c r="E506" s="91"/>
    </row>
    <row r="507" spans="1:5">
      <c r="A507" s="14" t="s">
        <v>157</v>
      </c>
      <c r="B507" s="21" t="s">
        <v>18</v>
      </c>
      <c r="C507" s="29">
        <v>5575</v>
      </c>
      <c r="D507" s="29"/>
      <c r="E507" s="91"/>
    </row>
    <row r="508" spans="1:5">
      <c r="A508" s="14" t="s">
        <v>157</v>
      </c>
      <c r="B508" s="21" t="s">
        <v>19</v>
      </c>
      <c r="C508" s="29">
        <v>7392</v>
      </c>
      <c r="D508" s="29"/>
      <c r="E508" s="91"/>
    </row>
    <row r="509" spans="1:5">
      <c r="A509" s="14" t="s">
        <v>157</v>
      </c>
      <c r="B509" s="21" t="s">
        <v>20</v>
      </c>
      <c r="C509" s="29">
        <v>9236</v>
      </c>
      <c r="D509" s="29"/>
      <c r="E509" s="91"/>
    </row>
    <row r="510" spans="1:5">
      <c r="A510" s="14" t="s">
        <v>157</v>
      </c>
      <c r="B510" s="21" t="s">
        <v>21</v>
      </c>
      <c r="C510" s="29">
        <v>14884</v>
      </c>
      <c r="D510" s="29"/>
      <c r="E510" s="91"/>
    </row>
    <row r="511" spans="1:5">
      <c r="A511" s="14" t="s">
        <v>157</v>
      </c>
      <c r="B511" s="21" t="s">
        <v>22</v>
      </c>
      <c r="C511" s="29">
        <v>15828</v>
      </c>
      <c r="D511" s="29"/>
      <c r="E511" s="91"/>
    </row>
    <row r="512" spans="1:5">
      <c r="A512" s="14" t="s">
        <v>157</v>
      </c>
      <c r="B512" s="21" t="s">
        <v>23</v>
      </c>
      <c r="C512" s="29">
        <v>15568</v>
      </c>
      <c r="D512" s="29"/>
      <c r="E512" s="91"/>
    </row>
    <row r="513" spans="1:5">
      <c r="A513" s="14" t="s">
        <v>157</v>
      </c>
      <c r="B513" s="21" t="s">
        <v>24</v>
      </c>
      <c r="C513" s="29">
        <v>14774</v>
      </c>
      <c r="D513" s="29"/>
      <c r="E513" s="91"/>
    </row>
    <row r="514" spans="1:5">
      <c r="A514" s="14" t="s">
        <v>157</v>
      </c>
      <c r="B514" s="21" t="s">
        <v>25</v>
      </c>
      <c r="C514" s="29">
        <v>14033</v>
      </c>
      <c r="D514" s="29"/>
      <c r="E514" s="91"/>
    </row>
    <row r="515" spans="1:5">
      <c r="A515" s="14" t="s">
        <v>157</v>
      </c>
      <c r="B515" s="21" t="s">
        <v>26</v>
      </c>
      <c r="C515" s="29">
        <v>13201</v>
      </c>
      <c r="D515" s="29"/>
      <c r="E515" s="91"/>
    </row>
    <row r="516" spans="1:5">
      <c r="A516" s="14" t="s">
        <v>157</v>
      </c>
      <c r="B516" s="21" t="s">
        <v>27</v>
      </c>
      <c r="C516" s="29">
        <v>12641</v>
      </c>
      <c r="D516" s="29"/>
      <c r="E516" s="91"/>
    </row>
    <row r="517" spans="1:5">
      <c r="A517" s="14" t="s">
        <v>157</v>
      </c>
      <c r="B517" s="21" t="s">
        <v>28</v>
      </c>
      <c r="C517" s="29">
        <v>13789</v>
      </c>
      <c r="D517" s="29"/>
      <c r="E517" s="91"/>
    </row>
    <row r="518" spans="1:5">
      <c r="A518" s="14" t="s">
        <v>157</v>
      </c>
      <c r="B518" s="21" t="s">
        <v>29</v>
      </c>
      <c r="C518" s="29">
        <v>13043</v>
      </c>
      <c r="D518" s="29"/>
      <c r="E518" s="91"/>
    </row>
    <row r="519" spans="1:5">
      <c r="A519" s="14" t="s">
        <v>157</v>
      </c>
      <c r="B519" s="21" t="s">
        <v>30</v>
      </c>
      <c r="C519" s="29">
        <v>12130</v>
      </c>
      <c r="D519" s="29"/>
      <c r="E519" s="91"/>
    </row>
    <row r="520" spans="1:5">
      <c r="A520" s="14" t="s">
        <v>157</v>
      </c>
      <c r="B520" s="21" t="s">
        <v>31</v>
      </c>
      <c r="C520" s="29">
        <v>10758</v>
      </c>
      <c r="D520" s="29"/>
      <c r="E520" s="91"/>
    </row>
    <row r="521" spans="1:5">
      <c r="A521" s="14" t="s">
        <v>157</v>
      </c>
      <c r="B521" s="21" t="s">
        <v>32</v>
      </c>
      <c r="C521" s="29">
        <v>12449</v>
      </c>
      <c r="D521" s="29"/>
      <c r="E521" s="91"/>
    </row>
    <row r="522" spans="1:5">
      <c r="A522" s="14" t="s">
        <v>157</v>
      </c>
      <c r="B522" s="21" t="s">
        <v>33</v>
      </c>
      <c r="C522" s="29">
        <v>12106</v>
      </c>
      <c r="D522" s="29"/>
      <c r="E522" s="91"/>
    </row>
    <row r="523" spans="1:5">
      <c r="A523" s="14" t="s">
        <v>157</v>
      </c>
      <c r="B523" s="21" t="s">
        <v>34</v>
      </c>
      <c r="C523" s="29">
        <v>11766</v>
      </c>
      <c r="D523" s="29"/>
      <c r="E523" s="91"/>
    </row>
    <row r="524" spans="1:5">
      <c r="A524" s="14" t="s">
        <v>157</v>
      </c>
      <c r="B524" s="21" t="s">
        <v>35</v>
      </c>
      <c r="C524" s="29">
        <v>13567</v>
      </c>
      <c r="D524" s="29"/>
      <c r="E524" s="91"/>
    </row>
    <row r="525" spans="1:5">
      <c r="A525" s="14" t="s">
        <v>157</v>
      </c>
      <c r="B525" s="21" t="s">
        <v>36</v>
      </c>
      <c r="C525" s="29">
        <v>12540</v>
      </c>
      <c r="D525" s="29"/>
      <c r="E525" s="91"/>
    </row>
    <row r="526" spans="1:5">
      <c r="A526" s="14" t="s">
        <v>157</v>
      </c>
      <c r="B526" s="21" t="s">
        <v>37</v>
      </c>
      <c r="C526" s="29">
        <v>11976</v>
      </c>
      <c r="D526" s="29"/>
      <c r="E526" s="91"/>
    </row>
    <row r="527" spans="1:5">
      <c r="A527" s="14" t="s">
        <v>157</v>
      </c>
      <c r="B527" s="21" t="s">
        <v>38</v>
      </c>
      <c r="C527" s="29">
        <v>12064</v>
      </c>
      <c r="D527" s="29"/>
      <c r="E527" s="91"/>
    </row>
    <row r="528" spans="1:5">
      <c r="A528" s="14" t="s">
        <v>157</v>
      </c>
      <c r="B528" s="21" t="s">
        <v>39</v>
      </c>
      <c r="C528" s="29">
        <v>9548</v>
      </c>
      <c r="D528" s="29"/>
      <c r="E528" s="91"/>
    </row>
    <row r="529" spans="1:5">
      <c r="A529" s="14" t="s">
        <v>157</v>
      </c>
      <c r="B529" s="21" t="s">
        <v>40</v>
      </c>
      <c r="C529" s="29">
        <v>4226</v>
      </c>
      <c r="D529" s="29"/>
      <c r="E529" s="91"/>
    </row>
    <row r="530" spans="1:5">
      <c r="A530" s="14" t="s">
        <v>158</v>
      </c>
      <c r="B530" s="21" t="s">
        <v>17</v>
      </c>
      <c r="C530" s="29">
        <v>3288</v>
      </c>
      <c r="D530" s="29"/>
      <c r="E530" s="91"/>
    </row>
    <row r="531" spans="1:5">
      <c r="A531" s="14" t="s">
        <v>158</v>
      </c>
      <c r="B531" s="21" t="s">
        <v>18</v>
      </c>
      <c r="C531" s="29">
        <v>3156</v>
      </c>
      <c r="D531" s="29"/>
      <c r="E531" s="91"/>
    </row>
    <row r="532" spans="1:5">
      <c r="A532" s="14" t="s">
        <v>158</v>
      </c>
      <c r="B532" s="21" t="s">
        <v>19</v>
      </c>
      <c r="C532" s="29">
        <v>2565</v>
      </c>
      <c r="D532" s="29"/>
      <c r="E532" s="91"/>
    </row>
    <row r="533" spans="1:5">
      <c r="A533" s="14" t="s">
        <v>158</v>
      </c>
      <c r="B533" s="21" t="s">
        <v>20</v>
      </c>
      <c r="C533" s="29">
        <v>3692</v>
      </c>
      <c r="D533" s="29"/>
      <c r="E533" s="91"/>
    </row>
    <row r="534" spans="1:5">
      <c r="A534" s="14" t="s">
        <v>158</v>
      </c>
      <c r="B534" s="21" t="s">
        <v>21</v>
      </c>
      <c r="C534" s="29">
        <v>11614</v>
      </c>
      <c r="D534" s="29"/>
      <c r="E534" s="91"/>
    </row>
    <row r="535" spans="1:5">
      <c r="A535" s="14" t="s">
        <v>158</v>
      </c>
      <c r="B535" s="21" t="s">
        <v>22</v>
      </c>
      <c r="C535" s="29">
        <v>13702</v>
      </c>
      <c r="D535" s="29"/>
      <c r="E535" s="91"/>
    </row>
    <row r="536" spans="1:5">
      <c r="A536" s="14" t="s">
        <v>158</v>
      </c>
      <c r="B536" s="21" t="s">
        <v>23</v>
      </c>
      <c r="C536" s="29">
        <v>14998</v>
      </c>
      <c r="D536" s="29"/>
      <c r="E536" s="91"/>
    </row>
    <row r="537" spans="1:5">
      <c r="A537" s="14" t="s">
        <v>158</v>
      </c>
      <c r="B537" s="21" t="s">
        <v>24</v>
      </c>
      <c r="C537" s="29">
        <v>14849</v>
      </c>
      <c r="D537" s="29"/>
      <c r="E537" s="91"/>
    </row>
    <row r="538" spans="1:5">
      <c r="A538" s="14" t="s">
        <v>158</v>
      </c>
      <c r="B538" s="21" t="s">
        <v>25</v>
      </c>
      <c r="C538" s="29">
        <v>13666</v>
      </c>
      <c r="D538" s="29"/>
      <c r="E538" s="91"/>
    </row>
    <row r="539" spans="1:5">
      <c r="A539" s="14" t="s">
        <v>158</v>
      </c>
      <c r="B539" s="21" t="s">
        <v>26</v>
      </c>
      <c r="C539" s="29">
        <v>13852</v>
      </c>
      <c r="D539" s="29"/>
      <c r="E539" s="91"/>
    </row>
    <row r="540" spans="1:5">
      <c r="A540" s="14" t="s">
        <v>158</v>
      </c>
      <c r="B540" s="21" t="s">
        <v>27</v>
      </c>
      <c r="C540" s="29">
        <v>12805</v>
      </c>
      <c r="D540" s="29"/>
      <c r="E540" s="91"/>
    </row>
    <row r="541" spans="1:5">
      <c r="A541" s="14" t="s">
        <v>158</v>
      </c>
      <c r="B541" s="21" t="s">
        <v>28</v>
      </c>
      <c r="C541" s="29">
        <v>11914</v>
      </c>
      <c r="D541" s="29"/>
      <c r="E541" s="91"/>
    </row>
    <row r="542" spans="1:5">
      <c r="A542" s="14" t="s">
        <v>158</v>
      </c>
      <c r="B542" s="21" t="s">
        <v>29</v>
      </c>
      <c r="C542" s="29">
        <v>12271</v>
      </c>
      <c r="D542" s="29"/>
      <c r="E542" s="91"/>
    </row>
    <row r="543" spans="1:5">
      <c r="A543" s="14" t="s">
        <v>158</v>
      </c>
      <c r="B543" s="21" t="s">
        <v>30</v>
      </c>
      <c r="C543" s="29">
        <v>12496</v>
      </c>
      <c r="D543" s="29"/>
      <c r="E543" s="91"/>
    </row>
    <row r="544" spans="1:5">
      <c r="A544" s="14" t="s">
        <v>158</v>
      </c>
      <c r="B544" s="21" t="s">
        <v>31</v>
      </c>
      <c r="C544" s="29">
        <v>11567</v>
      </c>
      <c r="D544" s="29"/>
      <c r="E544" s="91"/>
    </row>
    <row r="545" spans="1:5">
      <c r="A545" s="14" t="s">
        <v>158</v>
      </c>
      <c r="B545" s="21" t="s">
        <v>32</v>
      </c>
      <c r="C545" s="29">
        <v>11165</v>
      </c>
      <c r="D545" s="29"/>
      <c r="E545" s="91"/>
    </row>
    <row r="546" spans="1:5">
      <c r="A546" s="14" t="s">
        <v>158</v>
      </c>
      <c r="B546" s="21" t="s">
        <v>33</v>
      </c>
      <c r="C546" s="29">
        <v>12360</v>
      </c>
      <c r="D546" s="29"/>
      <c r="E546" s="91"/>
    </row>
    <row r="547" spans="1:5">
      <c r="A547" s="14" t="s">
        <v>158</v>
      </c>
      <c r="B547" s="21" t="s">
        <v>34</v>
      </c>
      <c r="C547" s="29">
        <v>11999</v>
      </c>
      <c r="D547" s="29"/>
      <c r="E547" s="91"/>
    </row>
    <row r="548" spans="1:5">
      <c r="A548" s="14" t="s">
        <v>158</v>
      </c>
      <c r="B548" s="21" t="s">
        <v>35</v>
      </c>
      <c r="C548" s="29">
        <v>11245</v>
      </c>
      <c r="D548" s="29"/>
      <c r="E548" s="91"/>
    </row>
    <row r="549" spans="1:5">
      <c r="A549" s="14" t="s">
        <v>158</v>
      </c>
      <c r="B549" s="21" t="s">
        <v>36</v>
      </c>
      <c r="C549" s="29">
        <v>12070</v>
      </c>
      <c r="D549" s="29"/>
      <c r="E549" s="91"/>
    </row>
    <row r="550" spans="1:5">
      <c r="A550" s="14" t="s">
        <v>158</v>
      </c>
      <c r="B550" s="21" t="s">
        <v>37</v>
      </c>
      <c r="C550" s="29">
        <v>11968</v>
      </c>
      <c r="D550" s="29"/>
      <c r="E550" s="91"/>
    </row>
    <row r="551" spans="1:5">
      <c r="A551" s="14" t="s">
        <v>158</v>
      </c>
      <c r="B551" s="21" t="s">
        <v>38</v>
      </c>
      <c r="C551" s="29">
        <v>11622</v>
      </c>
      <c r="D551" s="29"/>
      <c r="E551" s="91"/>
    </row>
    <row r="552" spans="1:5">
      <c r="A552" s="14" t="s">
        <v>158</v>
      </c>
      <c r="B552" s="21" t="s">
        <v>39</v>
      </c>
      <c r="C552" s="29">
        <v>10082</v>
      </c>
      <c r="D552" s="29"/>
      <c r="E552" s="91"/>
    </row>
    <row r="553" spans="1:5">
      <c r="A553" s="14" t="s">
        <v>158</v>
      </c>
      <c r="B553" s="21" t="s">
        <v>40</v>
      </c>
      <c r="C553" s="29">
        <v>5646</v>
      </c>
      <c r="D553" s="29"/>
      <c r="E553" s="91"/>
    </row>
    <row r="554" spans="1:5">
      <c r="A554" s="14" t="s">
        <v>159</v>
      </c>
      <c r="B554" s="21" t="s">
        <v>17</v>
      </c>
      <c r="C554" s="29">
        <v>2775</v>
      </c>
      <c r="D554" s="29"/>
      <c r="E554" s="91"/>
    </row>
    <row r="555" spans="1:5">
      <c r="A555" s="14" t="s">
        <v>159</v>
      </c>
      <c r="B555" s="21" t="s">
        <v>18</v>
      </c>
      <c r="C555" s="29">
        <v>2695</v>
      </c>
      <c r="D555" s="29"/>
      <c r="E555" s="91"/>
    </row>
    <row r="556" spans="1:5">
      <c r="A556" s="14" t="s">
        <v>159</v>
      </c>
      <c r="B556" s="21" t="s">
        <v>19</v>
      </c>
      <c r="C556" s="29">
        <v>2608</v>
      </c>
      <c r="D556" s="29"/>
      <c r="E556" s="91"/>
    </row>
    <row r="557" spans="1:5">
      <c r="A557" s="14" t="s">
        <v>159</v>
      </c>
      <c r="B557" s="21" t="s">
        <v>20</v>
      </c>
      <c r="C557" s="29">
        <v>2742</v>
      </c>
      <c r="D557" s="29"/>
      <c r="E557" s="91"/>
    </row>
    <row r="558" spans="1:5">
      <c r="A558" s="14" t="s">
        <v>159</v>
      </c>
      <c r="B558" s="21" t="s">
        <v>21</v>
      </c>
      <c r="C558" s="29">
        <v>8367</v>
      </c>
      <c r="D558" s="29"/>
      <c r="E558" s="91"/>
    </row>
    <row r="559" spans="1:5">
      <c r="A559" s="14" t="s">
        <v>159</v>
      </c>
      <c r="B559" s="21" t="s">
        <v>22</v>
      </c>
      <c r="C559" s="29">
        <v>12058</v>
      </c>
      <c r="D559" s="29"/>
      <c r="E559" s="91"/>
    </row>
    <row r="560" spans="1:5">
      <c r="A560" s="14" t="s">
        <v>159</v>
      </c>
      <c r="B560" s="21" t="s">
        <v>23</v>
      </c>
      <c r="C560" s="29">
        <v>13121</v>
      </c>
      <c r="D560" s="29"/>
      <c r="E560" s="91"/>
    </row>
    <row r="561" spans="1:5">
      <c r="A561" s="14" t="s">
        <v>159</v>
      </c>
      <c r="B561" s="21" t="s">
        <v>24</v>
      </c>
      <c r="C561" s="29">
        <v>13690</v>
      </c>
      <c r="D561" s="29"/>
      <c r="E561" s="91"/>
    </row>
    <row r="562" spans="1:5">
      <c r="A562" s="14" t="s">
        <v>159</v>
      </c>
      <c r="B562" s="21" t="s">
        <v>25</v>
      </c>
      <c r="C562" s="29">
        <v>12894</v>
      </c>
      <c r="D562" s="29"/>
      <c r="E562" s="91"/>
    </row>
    <row r="563" spans="1:5">
      <c r="A563" s="14" t="s">
        <v>159</v>
      </c>
      <c r="B563" s="21" t="s">
        <v>26</v>
      </c>
      <c r="C563" s="29">
        <v>13929</v>
      </c>
      <c r="D563" s="29"/>
      <c r="E563" s="91"/>
    </row>
    <row r="564" spans="1:5">
      <c r="A564" s="14" t="s">
        <v>159</v>
      </c>
      <c r="B564" s="21" t="s">
        <v>27</v>
      </c>
      <c r="C564" s="29">
        <v>12566</v>
      </c>
      <c r="D564" s="29"/>
      <c r="E564" s="91"/>
    </row>
    <row r="565" spans="1:5">
      <c r="A565" s="14" t="s">
        <v>159</v>
      </c>
      <c r="B565" s="21" t="s">
        <v>28</v>
      </c>
      <c r="C565" s="29">
        <v>9844</v>
      </c>
      <c r="D565" s="29"/>
      <c r="E565" s="91"/>
    </row>
    <row r="566" spans="1:5">
      <c r="A566" s="14" t="s">
        <v>159</v>
      </c>
      <c r="B566" s="21" t="s">
        <v>29</v>
      </c>
      <c r="C566" s="29">
        <v>10637</v>
      </c>
      <c r="D566" s="29"/>
      <c r="E566" s="91"/>
    </row>
    <row r="567" spans="1:5">
      <c r="A567" s="14" t="s">
        <v>159</v>
      </c>
      <c r="B567" s="21" t="s">
        <v>30</v>
      </c>
      <c r="C567" s="29">
        <v>10225</v>
      </c>
      <c r="D567" s="29"/>
      <c r="E567" s="91"/>
    </row>
    <row r="568" spans="1:5">
      <c r="A568" s="14" t="s">
        <v>159</v>
      </c>
      <c r="B568" s="21" t="s">
        <v>31</v>
      </c>
      <c r="C568" s="29">
        <v>9640</v>
      </c>
      <c r="D568" s="29"/>
      <c r="E568" s="91"/>
    </row>
    <row r="569" spans="1:5">
      <c r="A569" s="14" t="s">
        <v>159</v>
      </c>
      <c r="B569" s="21" t="s">
        <v>32</v>
      </c>
      <c r="C569" s="29">
        <v>9693</v>
      </c>
      <c r="D569" s="29"/>
      <c r="E569" s="91"/>
    </row>
    <row r="570" spans="1:5">
      <c r="A570" s="14" t="s">
        <v>159</v>
      </c>
      <c r="B570" s="21" t="s">
        <v>33</v>
      </c>
      <c r="C570" s="29">
        <v>9908</v>
      </c>
      <c r="D570" s="29"/>
      <c r="E570" s="91"/>
    </row>
    <row r="571" spans="1:5">
      <c r="A571" s="14" t="s">
        <v>159</v>
      </c>
      <c r="B571" s="21" t="s">
        <v>34</v>
      </c>
      <c r="C571" s="29">
        <v>9995</v>
      </c>
      <c r="D571" s="29"/>
      <c r="E571" s="91"/>
    </row>
    <row r="572" spans="1:5">
      <c r="A572" s="14" t="s">
        <v>159</v>
      </c>
      <c r="B572" s="21" t="s">
        <v>35</v>
      </c>
      <c r="C572" s="29">
        <v>11039</v>
      </c>
      <c r="D572" s="29"/>
      <c r="E572" s="91"/>
    </row>
    <row r="573" spans="1:5">
      <c r="A573" s="14" t="s">
        <v>159</v>
      </c>
      <c r="B573" s="21" t="s">
        <v>36</v>
      </c>
      <c r="C573" s="29">
        <v>10972</v>
      </c>
      <c r="D573" s="29"/>
      <c r="E573" s="91"/>
    </row>
    <row r="574" spans="1:5">
      <c r="A574" s="14" t="s">
        <v>159</v>
      </c>
      <c r="B574" s="21" t="s">
        <v>37</v>
      </c>
      <c r="C574" s="29">
        <v>11388</v>
      </c>
      <c r="D574" s="29"/>
      <c r="E574" s="91"/>
    </row>
    <row r="575" spans="1:5">
      <c r="A575" s="14" t="s">
        <v>159</v>
      </c>
      <c r="B575" s="21" t="s">
        <v>38</v>
      </c>
      <c r="C575" s="29">
        <v>11767</v>
      </c>
      <c r="D575" s="29"/>
      <c r="E575" s="91"/>
    </row>
    <row r="576" spans="1:5">
      <c r="A576" s="14" t="s">
        <v>159</v>
      </c>
      <c r="B576" s="21" t="s">
        <v>39</v>
      </c>
      <c r="C576" s="29">
        <v>10368</v>
      </c>
      <c r="D576" s="29"/>
      <c r="E576" s="91"/>
    </row>
    <row r="577" spans="1:5">
      <c r="A577" s="14" t="s">
        <v>159</v>
      </c>
      <c r="B577" s="21" t="s">
        <v>40</v>
      </c>
      <c r="C577" s="29">
        <v>5417</v>
      </c>
      <c r="D577" s="29"/>
      <c r="E577" s="91"/>
    </row>
    <row r="578" spans="1:5">
      <c r="A578" s="14" t="s">
        <v>160</v>
      </c>
      <c r="B578" s="21" t="s">
        <v>17</v>
      </c>
      <c r="C578" s="29">
        <v>2080</v>
      </c>
      <c r="D578" s="29"/>
      <c r="E578" s="91"/>
    </row>
    <row r="579" spans="1:5">
      <c r="A579" s="14" t="s">
        <v>160</v>
      </c>
      <c r="B579" s="21" t="s">
        <v>18</v>
      </c>
      <c r="C579" s="29">
        <v>3568</v>
      </c>
      <c r="D579" s="29"/>
      <c r="E579" s="91"/>
    </row>
    <row r="580" spans="1:5">
      <c r="A580" s="14" t="s">
        <v>160</v>
      </c>
      <c r="B580" s="21" t="s">
        <v>19</v>
      </c>
      <c r="C580" s="29">
        <v>3129</v>
      </c>
      <c r="D580" s="29"/>
      <c r="E580" s="91"/>
    </row>
    <row r="581" spans="1:5">
      <c r="A581" s="14" t="s">
        <v>160</v>
      </c>
      <c r="B581" s="21" t="s">
        <v>20</v>
      </c>
      <c r="C581" s="29">
        <v>7937</v>
      </c>
      <c r="D581" s="29"/>
      <c r="E581" s="91"/>
    </row>
    <row r="582" spans="1:5">
      <c r="A582" s="14" t="s">
        <v>160</v>
      </c>
      <c r="B582" s="21" t="s">
        <v>21</v>
      </c>
      <c r="C582" s="29">
        <v>10861</v>
      </c>
      <c r="D582" s="29"/>
      <c r="E582" s="91"/>
    </row>
    <row r="583" spans="1:5">
      <c r="A583" s="14" t="s">
        <v>160</v>
      </c>
      <c r="B583" s="21" t="s">
        <v>22</v>
      </c>
      <c r="C583" s="29">
        <v>11551</v>
      </c>
      <c r="D583" s="29"/>
      <c r="E583" s="91"/>
    </row>
    <row r="584" spans="1:5">
      <c r="A584" s="14" t="s">
        <v>160</v>
      </c>
      <c r="B584" s="21" t="s">
        <v>23</v>
      </c>
      <c r="C584" s="29">
        <v>14143</v>
      </c>
      <c r="D584" s="29"/>
      <c r="E584" s="91"/>
    </row>
    <row r="585" spans="1:5">
      <c r="A585" s="14" t="s">
        <v>160</v>
      </c>
      <c r="B585" s="21" t="s">
        <v>24</v>
      </c>
      <c r="C585" s="29">
        <v>11337</v>
      </c>
      <c r="D585" s="29"/>
      <c r="E585" s="91"/>
    </row>
    <row r="586" spans="1:5">
      <c r="A586" s="14" t="s">
        <v>160</v>
      </c>
      <c r="B586" s="21" t="s">
        <v>25</v>
      </c>
      <c r="C586" s="29">
        <v>10971</v>
      </c>
      <c r="D586" s="29"/>
      <c r="E586" s="91"/>
    </row>
    <row r="587" spans="1:5">
      <c r="A587" s="14" t="s">
        <v>160</v>
      </c>
      <c r="B587" s="21" t="s">
        <v>26</v>
      </c>
      <c r="C587" s="29">
        <v>12336</v>
      </c>
      <c r="D587" s="29"/>
      <c r="E587" s="91"/>
    </row>
    <row r="588" spans="1:5">
      <c r="A588" s="14" t="s">
        <v>160</v>
      </c>
      <c r="B588" s="21" t="s">
        <v>27</v>
      </c>
      <c r="C588" s="29">
        <v>11514</v>
      </c>
      <c r="D588" s="29"/>
      <c r="E588" s="91"/>
    </row>
    <row r="589" spans="1:5">
      <c r="A589" s="14" t="s">
        <v>160</v>
      </c>
      <c r="B589" s="21" t="s">
        <v>28</v>
      </c>
      <c r="C589" s="29">
        <v>11143</v>
      </c>
      <c r="D589" s="29"/>
      <c r="E589" s="91"/>
    </row>
    <row r="590" spans="1:5">
      <c r="A590" s="14" t="s">
        <v>160</v>
      </c>
      <c r="B590" s="21" t="s">
        <v>29</v>
      </c>
      <c r="C590" s="29">
        <v>10654</v>
      </c>
      <c r="D590" s="29"/>
      <c r="E590" s="91"/>
    </row>
    <row r="591" spans="1:5">
      <c r="A591" s="14" t="s">
        <v>160</v>
      </c>
      <c r="B591" s="21" t="s">
        <v>30</v>
      </c>
      <c r="C591" s="29">
        <v>9770</v>
      </c>
      <c r="D591" s="29"/>
      <c r="E591" s="91"/>
    </row>
    <row r="592" spans="1:5">
      <c r="A592" s="14" t="s">
        <v>160</v>
      </c>
      <c r="B592" s="21" t="s">
        <v>31</v>
      </c>
      <c r="C592" s="29">
        <v>9158</v>
      </c>
      <c r="D592" s="29"/>
      <c r="E592" s="91"/>
    </row>
    <row r="593" spans="1:5">
      <c r="A593" s="14" t="s">
        <v>160</v>
      </c>
      <c r="B593" s="21" t="s">
        <v>32</v>
      </c>
      <c r="C593" s="29">
        <v>8545</v>
      </c>
      <c r="D593" s="29"/>
      <c r="E593" s="91"/>
    </row>
    <row r="594" spans="1:5">
      <c r="A594" s="14" t="s">
        <v>160</v>
      </c>
      <c r="B594" s="21" t="s">
        <v>33</v>
      </c>
      <c r="C594" s="29">
        <v>8980</v>
      </c>
      <c r="D594" s="29"/>
      <c r="E594" s="91"/>
    </row>
    <row r="595" spans="1:5">
      <c r="A595" s="14" t="s">
        <v>160</v>
      </c>
      <c r="B595" s="21" t="s">
        <v>34</v>
      </c>
      <c r="C595" s="29">
        <v>9722</v>
      </c>
      <c r="D595" s="29"/>
      <c r="E595" s="91"/>
    </row>
    <row r="596" spans="1:5">
      <c r="A596" s="14" t="s">
        <v>160</v>
      </c>
      <c r="B596" s="21" t="s">
        <v>35</v>
      </c>
      <c r="C596" s="29">
        <v>10357</v>
      </c>
      <c r="D596" s="29"/>
      <c r="E596" s="91"/>
    </row>
    <row r="597" spans="1:5">
      <c r="A597" s="14" t="s">
        <v>160</v>
      </c>
      <c r="B597" s="21" t="s">
        <v>36</v>
      </c>
      <c r="C597" s="29">
        <v>10467</v>
      </c>
      <c r="D597" s="29"/>
      <c r="E597" s="91"/>
    </row>
    <row r="598" spans="1:5">
      <c r="A598" s="14" t="s">
        <v>160</v>
      </c>
      <c r="B598" s="21" t="s">
        <v>37</v>
      </c>
      <c r="C598" s="29">
        <v>10934</v>
      </c>
      <c r="D598" s="29"/>
      <c r="E598" s="91"/>
    </row>
    <row r="599" spans="1:5">
      <c r="A599" s="14" t="s">
        <v>160</v>
      </c>
      <c r="B599" s="21" t="s">
        <v>38</v>
      </c>
      <c r="C599" s="29">
        <v>10452</v>
      </c>
      <c r="D599" s="29"/>
      <c r="E599" s="91"/>
    </row>
    <row r="600" spans="1:5">
      <c r="A600" s="14" t="s">
        <v>160</v>
      </c>
      <c r="B600" s="21" t="s">
        <v>39</v>
      </c>
      <c r="C600" s="29">
        <v>9671</v>
      </c>
      <c r="D600" s="29"/>
      <c r="E600" s="91"/>
    </row>
    <row r="601" spans="1:5">
      <c r="A601" s="14" t="s">
        <v>160</v>
      </c>
      <c r="B601" s="21" t="s">
        <v>40</v>
      </c>
      <c r="C601" s="29">
        <v>5341</v>
      </c>
      <c r="D601" s="29"/>
      <c r="E601" s="91"/>
    </row>
    <row r="602" spans="1:5">
      <c r="A602" s="14" t="s">
        <v>161</v>
      </c>
      <c r="B602" s="21" t="s">
        <v>17</v>
      </c>
      <c r="C602" s="29">
        <v>2355</v>
      </c>
      <c r="D602" s="29"/>
      <c r="E602" s="91"/>
    </row>
    <row r="603" spans="1:5">
      <c r="A603" s="14" t="s">
        <v>161</v>
      </c>
      <c r="B603" s="21" t="s">
        <v>18</v>
      </c>
      <c r="C603" s="29">
        <v>2772</v>
      </c>
      <c r="D603" s="29"/>
      <c r="E603" s="91"/>
    </row>
    <row r="604" spans="1:5">
      <c r="A604" s="14" t="s">
        <v>161</v>
      </c>
      <c r="B604" s="21" t="s">
        <v>19</v>
      </c>
      <c r="C604" s="29">
        <v>3990</v>
      </c>
      <c r="D604" s="29"/>
      <c r="E604" s="91"/>
    </row>
    <row r="605" spans="1:5">
      <c r="A605" s="14" t="s">
        <v>161</v>
      </c>
      <c r="B605" s="21" t="s">
        <v>20</v>
      </c>
      <c r="C605" s="29">
        <v>6261</v>
      </c>
      <c r="D605" s="29"/>
      <c r="E605" s="91"/>
    </row>
    <row r="606" spans="1:5">
      <c r="A606" s="14" t="s">
        <v>161</v>
      </c>
      <c r="B606" s="21" t="s">
        <v>21</v>
      </c>
      <c r="C606" s="29">
        <v>12248</v>
      </c>
      <c r="D606" s="29"/>
      <c r="E606" s="91"/>
    </row>
    <row r="607" spans="1:5">
      <c r="A607" s="14" t="s">
        <v>161</v>
      </c>
      <c r="B607" s="21" t="s">
        <v>22</v>
      </c>
      <c r="C607" s="29">
        <v>10901</v>
      </c>
      <c r="D607" s="29"/>
      <c r="E607" s="91"/>
    </row>
    <row r="608" spans="1:5">
      <c r="A608" s="14" t="s">
        <v>161</v>
      </c>
      <c r="B608" s="21" t="s">
        <v>23</v>
      </c>
      <c r="C608" s="29">
        <v>12066</v>
      </c>
      <c r="D608" s="29"/>
      <c r="E608" s="91"/>
    </row>
    <row r="609" spans="1:5">
      <c r="A609" s="14" t="s">
        <v>161</v>
      </c>
      <c r="B609" s="21" t="s">
        <v>24</v>
      </c>
      <c r="C609" s="29">
        <v>10601</v>
      </c>
      <c r="D609" s="29"/>
      <c r="E609" s="91"/>
    </row>
    <row r="610" spans="1:5">
      <c r="A610" s="14" t="s">
        <v>161</v>
      </c>
      <c r="B610" s="21" t="s">
        <v>25</v>
      </c>
      <c r="C610" s="29">
        <v>11085</v>
      </c>
      <c r="D610" s="29"/>
      <c r="E610" s="91"/>
    </row>
    <row r="611" spans="1:5">
      <c r="A611" s="14" t="s">
        <v>161</v>
      </c>
      <c r="B611" s="21" t="s">
        <v>26</v>
      </c>
      <c r="C611" s="29">
        <v>11269</v>
      </c>
      <c r="D611" s="29"/>
      <c r="E611" s="91"/>
    </row>
    <row r="612" spans="1:5">
      <c r="A612" s="14" t="s">
        <v>161</v>
      </c>
      <c r="B612" s="21" t="s">
        <v>27</v>
      </c>
      <c r="C612" s="29">
        <v>10886</v>
      </c>
      <c r="D612" s="29"/>
      <c r="E612" s="91"/>
    </row>
    <row r="613" spans="1:5">
      <c r="A613" s="14" t="s">
        <v>161</v>
      </c>
      <c r="B613" s="21" t="s">
        <v>28</v>
      </c>
      <c r="C613" s="29">
        <v>10654</v>
      </c>
      <c r="D613" s="29"/>
      <c r="E613" s="91"/>
    </row>
    <row r="614" spans="1:5">
      <c r="A614" s="14" t="s">
        <v>161</v>
      </c>
      <c r="B614" s="21" t="s">
        <v>29</v>
      </c>
      <c r="C614" s="29">
        <v>10284</v>
      </c>
      <c r="D614" s="29"/>
      <c r="E614" s="91"/>
    </row>
    <row r="615" spans="1:5">
      <c r="A615" s="14" t="s">
        <v>161</v>
      </c>
      <c r="B615" s="21" t="s">
        <v>30</v>
      </c>
      <c r="C615" s="29">
        <v>9381</v>
      </c>
      <c r="D615" s="29"/>
      <c r="E615" s="91"/>
    </row>
    <row r="616" spans="1:5">
      <c r="A616" s="14" t="s">
        <v>161</v>
      </c>
      <c r="B616" s="21" t="s">
        <v>31</v>
      </c>
      <c r="C616" s="29">
        <v>9023</v>
      </c>
      <c r="D616" s="29"/>
      <c r="E616" s="91"/>
    </row>
    <row r="617" spans="1:5">
      <c r="A617" s="14" t="s">
        <v>161</v>
      </c>
      <c r="B617" s="21" t="s">
        <v>32</v>
      </c>
      <c r="C617" s="29">
        <v>9167</v>
      </c>
      <c r="D617" s="29"/>
      <c r="E617" s="91"/>
    </row>
    <row r="618" spans="1:5">
      <c r="A618" s="14" t="s">
        <v>161</v>
      </c>
      <c r="B618" s="21" t="s">
        <v>33</v>
      </c>
      <c r="C618" s="29">
        <v>8252</v>
      </c>
      <c r="D618" s="29"/>
      <c r="E618" s="91"/>
    </row>
    <row r="619" spans="1:5">
      <c r="A619" s="14" t="s">
        <v>161</v>
      </c>
      <c r="B619" s="21" t="s">
        <v>34</v>
      </c>
      <c r="C619" s="29">
        <v>9106</v>
      </c>
      <c r="D619" s="29"/>
      <c r="E619" s="91"/>
    </row>
    <row r="620" spans="1:5">
      <c r="A620" s="14" t="s">
        <v>161</v>
      </c>
      <c r="B620" s="21" t="s">
        <v>35</v>
      </c>
      <c r="C620" s="29">
        <v>10128</v>
      </c>
      <c r="D620" s="29"/>
      <c r="E620" s="91"/>
    </row>
    <row r="621" spans="1:5">
      <c r="A621" s="14" t="s">
        <v>161</v>
      </c>
      <c r="B621" s="21" t="s">
        <v>36</v>
      </c>
      <c r="C621" s="29">
        <v>11431</v>
      </c>
      <c r="D621" s="29"/>
      <c r="E621" s="91"/>
    </row>
    <row r="622" spans="1:5">
      <c r="A622" s="14" t="s">
        <v>161</v>
      </c>
      <c r="B622" s="21" t="s">
        <v>37</v>
      </c>
      <c r="C622" s="29">
        <v>10152</v>
      </c>
      <c r="D622" s="29"/>
      <c r="E622" s="91"/>
    </row>
    <row r="623" spans="1:5">
      <c r="A623" s="14" t="s">
        <v>161</v>
      </c>
      <c r="B623" s="21" t="s">
        <v>38</v>
      </c>
      <c r="C623" s="29">
        <v>10840</v>
      </c>
      <c r="D623" s="29"/>
      <c r="E623" s="91"/>
    </row>
    <row r="624" spans="1:5">
      <c r="A624" s="14" t="s">
        <v>161</v>
      </c>
      <c r="B624" s="21" t="s">
        <v>39</v>
      </c>
      <c r="C624" s="29">
        <v>9394</v>
      </c>
      <c r="D624" s="29"/>
      <c r="E624" s="91"/>
    </row>
    <row r="625" spans="1:5">
      <c r="A625" s="14" t="s">
        <v>161</v>
      </c>
      <c r="B625" s="21" t="s">
        <v>40</v>
      </c>
      <c r="C625" s="29">
        <v>4768</v>
      </c>
      <c r="D625" s="29"/>
      <c r="E625" s="91"/>
    </row>
    <row r="626" spans="1:5">
      <c r="A626" s="14" t="s">
        <v>162</v>
      </c>
      <c r="B626" s="21" t="s">
        <v>17</v>
      </c>
      <c r="C626" s="29">
        <v>2485</v>
      </c>
      <c r="D626" s="29"/>
      <c r="E626" s="91"/>
    </row>
    <row r="627" spans="1:5">
      <c r="A627" s="14" t="s">
        <v>162</v>
      </c>
      <c r="B627" s="21" t="s">
        <v>18</v>
      </c>
      <c r="C627" s="29">
        <v>2485</v>
      </c>
      <c r="D627" s="29"/>
      <c r="E627" s="91"/>
    </row>
    <row r="628" spans="1:5">
      <c r="A628" s="14" t="s">
        <v>162</v>
      </c>
      <c r="B628" s="21" t="s">
        <v>19</v>
      </c>
      <c r="C628" s="29">
        <v>2789</v>
      </c>
      <c r="D628" s="29"/>
      <c r="E628" s="91"/>
    </row>
    <row r="629" spans="1:5">
      <c r="A629" s="14" t="s">
        <v>162</v>
      </c>
      <c r="B629" s="21" t="s">
        <v>20</v>
      </c>
      <c r="C629" s="29">
        <v>3070</v>
      </c>
      <c r="D629" s="29"/>
      <c r="E629" s="91"/>
    </row>
    <row r="630" spans="1:5">
      <c r="A630" s="14" t="s">
        <v>162</v>
      </c>
      <c r="B630" s="21" t="s">
        <v>21</v>
      </c>
      <c r="C630" s="29">
        <v>9393</v>
      </c>
      <c r="D630" s="29"/>
      <c r="E630" s="91"/>
    </row>
    <row r="631" spans="1:5">
      <c r="A631" s="14" t="s">
        <v>162</v>
      </c>
      <c r="B631" s="21" t="s">
        <v>22</v>
      </c>
      <c r="C631" s="29">
        <v>13990</v>
      </c>
      <c r="D631" s="29"/>
      <c r="E631" s="91"/>
    </row>
    <row r="632" spans="1:5">
      <c r="A632" s="14" t="s">
        <v>162</v>
      </c>
      <c r="B632" s="21" t="s">
        <v>23</v>
      </c>
      <c r="C632" s="29">
        <v>15288</v>
      </c>
      <c r="D632" s="29"/>
      <c r="E632" s="91"/>
    </row>
    <row r="633" spans="1:5">
      <c r="A633" s="14" t="s">
        <v>162</v>
      </c>
      <c r="B633" s="21" t="s">
        <v>24</v>
      </c>
      <c r="C633" s="29">
        <v>13564</v>
      </c>
      <c r="D633" s="29"/>
      <c r="E633" s="91"/>
    </row>
    <row r="634" spans="1:5">
      <c r="A634" s="14" t="s">
        <v>162</v>
      </c>
      <c r="B634" s="21" t="s">
        <v>25</v>
      </c>
      <c r="C634" s="29">
        <v>11352</v>
      </c>
      <c r="D634" s="29"/>
      <c r="E634" s="91"/>
    </row>
    <row r="635" spans="1:5">
      <c r="A635" s="14" t="s">
        <v>162</v>
      </c>
      <c r="B635" s="21" t="s">
        <v>26</v>
      </c>
      <c r="C635" s="29">
        <v>10479</v>
      </c>
      <c r="D635" s="29"/>
      <c r="E635" s="91"/>
    </row>
    <row r="636" spans="1:5">
      <c r="A636" s="14" t="s">
        <v>162</v>
      </c>
      <c r="B636" s="21" t="s">
        <v>27</v>
      </c>
      <c r="C636" s="29">
        <v>9259</v>
      </c>
      <c r="D636" s="29"/>
      <c r="E636" s="91"/>
    </row>
    <row r="637" spans="1:5">
      <c r="A637" s="14" t="s">
        <v>162</v>
      </c>
      <c r="B637" s="21" t="s">
        <v>28</v>
      </c>
      <c r="C637" s="29">
        <v>8998</v>
      </c>
      <c r="D637" s="29"/>
      <c r="E637" s="91"/>
    </row>
    <row r="638" spans="1:5">
      <c r="A638" s="14" t="s">
        <v>162</v>
      </c>
      <c r="B638" s="21" t="s">
        <v>29</v>
      </c>
      <c r="C638" s="29">
        <v>6831</v>
      </c>
      <c r="D638" s="29"/>
      <c r="E638" s="91"/>
    </row>
    <row r="639" spans="1:5">
      <c r="A639" s="14" t="s">
        <v>162</v>
      </c>
      <c r="B639" s="21" t="s">
        <v>30</v>
      </c>
      <c r="C639" s="29">
        <v>6072</v>
      </c>
      <c r="D639" s="29"/>
      <c r="E639" s="91"/>
    </row>
    <row r="640" spans="1:5">
      <c r="A640" s="14" t="s">
        <v>162</v>
      </c>
      <c r="B640" s="21" t="s">
        <v>31</v>
      </c>
      <c r="C640" s="29">
        <v>5248</v>
      </c>
      <c r="D640" s="29"/>
      <c r="E640" s="91"/>
    </row>
    <row r="641" spans="1:5">
      <c r="A641" s="14" t="s">
        <v>162</v>
      </c>
      <c r="B641" s="21" t="s">
        <v>32</v>
      </c>
      <c r="C641" s="29">
        <v>4548</v>
      </c>
      <c r="D641" s="29"/>
      <c r="E641" s="91"/>
    </row>
    <row r="642" spans="1:5">
      <c r="A642" s="14" t="s">
        <v>162</v>
      </c>
      <c r="B642" s="21" t="s">
        <v>33</v>
      </c>
      <c r="C642" s="29">
        <v>5796</v>
      </c>
      <c r="D642" s="29"/>
      <c r="E642" s="91"/>
    </row>
    <row r="643" spans="1:5">
      <c r="A643" s="14" t="s">
        <v>162</v>
      </c>
      <c r="B643" s="21" t="s">
        <v>34</v>
      </c>
      <c r="C643" s="29">
        <v>7548</v>
      </c>
      <c r="D643" s="29"/>
      <c r="E643" s="91"/>
    </row>
    <row r="644" spans="1:5">
      <c r="A644" s="14" t="s">
        <v>162</v>
      </c>
      <c r="B644" s="21" t="s">
        <v>35</v>
      </c>
      <c r="C644" s="29">
        <v>9719</v>
      </c>
      <c r="D644" s="29"/>
      <c r="E644" s="91"/>
    </row>
    <row r="645" spans="1:5">
      <c r="A645" s="14" t="s">
        <v>162</v>
      </c>
      <c r="B645" s="21" t="s">
        <v>36</v>
      </c>
      <c r="C645" s="29">
        <v>9425</v>
      </c>
      <c r="D645" s="29"/>
      <c r="E645" s="91"/>
    </row>
    <row r="646" spans="1:5">
      <c r="A646" s="14" t="s">
        <v>162</v>
      </c>
      <c r="B646" s="21" t="s">
        <v>37</v>
      </c>
      <c r="C646" s="29">
        <v>10421</v>
      </c>
      <c r="D646" s="29"/>
      <c r="E646" s="91"/>
    </row>
    <row r="647" spans="1:5">
      <c r="A647" s="14" t="s">
        <v>162</v>
      </c>
      <c r="B647" s="21" t="s">
        <v>38</v>
      </c>
      <c r="C647" s="29">
        <v>9967</v>
      </c>
      <c r="D647" s="29"/>
      <c r="E647" s="91"/>
    </row>
    <row r="648" spans="1:5">
      <c r="A648" s="14" t="s">
        <v>162</v>
      </c>
      <c r="B648" s="21" t="s">
        <v>39</v>
      </c>
      <c r="C648" s="29">
        <v>9354</v>
      </c>
      <c r="D648" s="29"/>
      <c r="E648" s="91"/>
    </row>
    <row r="649" spans="1:5">
      <c r="A649" s="14" t="s">
        <v>162</v>
      </c>
      <c r="B649" s="21" t="s">
        <v>40</v>
      </c>
      <c r="C649" s="29">
        <v>4959</v>
      </c>
      <c r="D649" s="29"/>
      <c r="E649" s="91"/>
    </row>
    <row r="650" spans="1:5">
      <c r="A650" s="14" t="s">
        <v>163</v>
      </c>
      <c r="B650" s="21" t="s">
        <v>17</v>
      </c>
      <c r="C650" s="29">
        <v>1965</v>
      </c>
      <c r="D650" s="29"/>
      <c r="E650" s="91"/>
    </row>
    <row r="651" spans="1:5">
      <c r="A651" s="14" t="s">
        <v>163</v>
      </c>
      <c r="B651" s="21" t="s">
        <v>18</v>
      </c>
      <c r="C651" s="29">
        <v>2146</v>
      </c>
      <c r="D651" s="29"/>
      <c r="E651" s="91"/>
    </row>
    <row r="652" spans="1:5">
      <c r="A652" s="14" t="s">
        <v>163</v>
      </c>
      <c r="B652" s="21" t="s">
        <v>19</v>
      </c>
      <c r="C652" s="29">
        <v>2688</v>
      </c>
      <c r="D652" s="29"/>
      <c r="E652" s="91"/>
    </row>
    <row r="653" spans="1:5">
      <c r="A653" s="14" t="s">
        <v>163</v>
      </c>
      <c r="B653" s="21" t="s">
        <v>20</v>
      </c>
      <c r="C653" s="29">
        <v>3310</v>
      </c>
      <c r="D653" s="29"/>
      <c r="E653" s="91"/>
    </row>
    <row r="654" spans="1:5">
      <c r="A654" s="14" t="s">
        <v>163</v>
      </c>
      <c r="B654" s="21" t="s">
        <v>21</v>
      </c>
      <c r="C654" s="29">
        <v>10531</v>
      </c>
      <c r="D654" s="29"/>
      <c r="E654" s="91"/>
    </row>
    <row r="655" spans="1:5">
      <c r="A655" s="14" t="s">
        <v>163</v>
      </c>
      <c r="B655" s="21" t="s">
        <v>22</v>
      </c>
      <c r="C655" s="29">
        <v>13868</v>
      </c>
      <c r="D655" s="29"/>
      <c r="E655" s="91"/>
    </row>
    <row r="656" spans="1:5">
      <c r="A656" s="14" t="s">
        <v>163</v>
      </c>
      <c r="B656" s="21" t="s">
        <v>23</v>
      </c>
      <c r="C656" s="29">
        <v>13036</v>
      </c>
      <c r="D656" s="29"/>
      <c r="E656" s="91"/>
    </row>
    <row r="657" spans="1:5">
      <c r="A657" s="14" t="s">
        <v>163</v>
      </c>
      <c r="B657" s="21" t="s">
        <v>24</v>
      </c>
      <c r="C657" s="29">
        <v>12521</v>
      </c>
      <c r="D657" s="29"/>
      <c r="E657" s="91"/>
    </row>
    <row r="658" spans="1:5">
      <c r="A658" s="14" t="s">
        <v>163</v>
      </c>
      <c r="B658" s="21" t="s">
        <v>25</v>
      </c>
      <c r="C658" s="29">
        <v>12839</v>
      </c>
      <c r="D658" s="29"/>
      <c r="E658" s="91"/>
    </row>
    <row r="659" spans="1:5">
      <c r="A659" s="14" t="s">
        <v>163</v>
      </c>
      <c r="B659" s="21" t="s">
        <v>26</v>
      </c>
      <c r="C659" s="29">
        <v>12305</v>
      </c>
      <c r="D659" s="29"/>
      <c r="E659" s="91"/>
    </row>
    <row r="660" spans="1:5">
      <c r="A660" s="14" t="s">
        <v>163</v>
      </c>
      <c r="B660" s="21" t="s">
        <v>27</v>
      </c>
      <c r="C660" s="29">
        <v>10611</v>
      </c>
      <c r="D660" s="29"/>
      <c r="E660" s="91"/>
    </row>
    <row r="661" spans="1:5">
      <c r="A661" s="14" t="s">
        <v>163</v>
      </c>
      <c r="B661" s="21" t="s">
        <v>28</v>
      </c>
      <c r="C661" s="29">
        <v>9541</v>
      </c>
      <c r="D661" s="29"/>
      <c r="E661" s="91"/>
    </row>
    <row r="662" spans="1:5">
      <c r="A662" s="14" t="s">
        <v>163</v>
      </c>
      <c r="B662" s="21" t="s">
        <v>29</v>
      </c>
      <c r="C662" s="29">
        <v>8745</v>
      </c>
      <c r="D662" s="29"/>
      <c r="E662" s="91"/>
    </row>
    <row r="663" spans="1:5">
      <c r="A663" s="14" t="s">
        <v>163</v>
      </c>
      <c r="B663" s="21" t="s">
        <v>30</v>
      </c>
      <c r="C663" s="29">
        <v>8181</v>
      </c>
      <c r="D663" s="29"/>
      <c r="E663" s="91"/>
    </row>
    <row r="664" spans="1:5">
      <c r="A664" s="14" t="s">
        <v>163</v>
      </c>
      <c r="B664" s="21" t="s">
        <v>31</v>
      </c>
      <c r="C664" s="29">
        <v>8537</v>
      </c>
      <c r="D664" s="29"/>
      <c r="E664" s="91"/>
    </row>
    <row r="665" spans="1:5">
      <c r="A665" s="14" t="s">
        <v>163</v>
      </c>
      <c r="B665" s="21" t="s">
        <v>32</v>
      </c>
      <c r="C665" s="29">
        <v>8718</v>
      </c>
      <c r="D665" s="29"/>
      <c r="E665" s="91"/>
    </row>
    <row r="666" spans="1:5">
      <c r="A666" s="14" t="s">
        <v>163</v>
      </c>
      <c r="B666" s="21" t="s">
        <v>33</v>
      </c>
      <c r="C666" s="29">
        <v>8382</v>
      </c>
      <c r="D666" s="29"/>
      <c r="E666" s="91"/>
    </row>
    <row r="667" spans="1:5">
      <c r="A667" s="14" t="s">
        <v>163</v>
      </c>
      <c r="B667" s="21" t="s">
        <v>34</v>
      </c>
      <c r="C667" s="29">
        <v>8220</v>
      </c>
      <c r="D667" s="29"/>
      <c r="E667" s="91"/>
    </row>
    <row r="668" spans="1:5">
      <c r="A668" s="14" t="s">
        <v>163</v>
      </c>
      <c r="B668" s="21" t="s">
        <v>35</v>
      </c>
      <c r="C668" s="29">
        <v>9218</v>
      </c>
      <c r="D668" s="29"/>
      <c r="E668" s="91"/>
    </row>
    <row r="669" spans="1:5">
      <c r="A669" s="14" t="s">
        <v>163</v>
      </c>
      <c r="B669" s="21" t="s">
        <v>36</v>
      </c>
      <c r="C669" s="29">
        <v>10085</v>
      </c>
      <c r="D669" s="29"/>
      <c r="E669" s="91"/>
    </row>
    <row r="670" spans="1:5">
      <c r="A670" s="14" t="s">
        <v>163</v>
      </c>
      <c r="B670" s="21" t="s">
        <v>37</v>
      </c>
      <c r="C670" s="29">
        <v>9773</v>
      </c>
      <c r="D670" s="29"/>
      <c r="E670" s="91"/>
    </row>
    <row r="671" spans="1:5">
      <c r="A671" s="14" t="s">
        <v>163</v>
      </c>
      <c r="B671" s="21" t="s">
        <v>38</v>
      </c>
      <c r="C671" s="29">
        <v>10234</v>
      </c>
      <c r="D671" s="29"/>
      <c r="E671" s="91"/>
    </row>
    <row r="672" spans="1:5">
      <c r="A672" s="14" t="s">
        <v>163</v>
      </c>
      <c r="B672" s="21" t="s">
        <v>39</v>
      </c>
      <c r="C672" s="29">
        <v>9848</v>
      </c>
      <c r="D672" s="29"/>
      <c r="E672" s="91"/>
    </row>
    <row r="673" spans="1:5">
      <c r="A673" s="14" t="s">
        <v>163</v>
      </c>
      <c r="B673" s="21" t="s">
        <v>40</v>
      </c>
      <c r="C673" s="29">
        <v>4590</v>
      </c>
      <c r="D673" s="29"/>
      <c r="E673" s="91"/>
    </row>
    <row r="674" spans="1:5">
      <c r="A674" s="14" t="s">
        <v>164</v>
      </c>
      <c r="B674" s="21" t="s">
        <v>17</v>
      </c>
      <c r="C674" s="29"/>
      <c r="D674" s="29"/>
      <c r="E674" s="91"/>
    </row>
    <row r="675" spans="1:5">
      <c r="A675" s="14" t="s">
        <v>164</v>
      </c>
      <c r="B675" s="21" t="s">
        <v>18</v>
      </c>
      <c r="C675" s="29"/>
      <c r="D675" s="29"/>
      <c r="E675" s="91"/>
    </row>
    <row r="676" spans="1:5">
      <c r="A676" s="14" t="s">
        <v>164</v>
      </c>
      <c r="B676" s="21" t="s">
        <v>19</v>
      </c>
      <c r="C676" s="29"/>
      <c r="D676" s="29"/>
      <c r="E676" s="91"/>
    </row>
    <row r="677" spans="1:5">
      <c r="A677" s="14" t="s">
        <v>164</v>
      </c>
      <c r="B677" s="21" t="s">
        <v>20</v>
      </c>
      <c r="C677" s="29"/>
      <c r="D677" s="29"/>
      <c r="E677" s="91"/>
    </row>
    <row r="678" spans="1:5">
      <c r="A678" s="14" t="s">
        <v>164</v>
      </c>
      <c r="B678" s="21" t="s">
        <v>21</v>
      </c>
      <c r="C678" s="29"/>
      <c r="D678" s="29"/>
      <c r="E678" s="91"/>
    </row>
    <row r="679" spans="1:5">
      <c r="A679" s="14" t="s">
        <v>164</v>
      </c>
      <c r="B679" s="21" t="s">
        <v>22</v>
      </c>
      <c r="C679" s="29"/>
      <c r="D679" s="29"/>
      <c r="E679" s="91"/>
    </row>
    <row r="680" spans="1:5">
      <c r="A680" s="14" t="s">
        <v>164</v>
      </c>
      <c r="B680" s="21" t="s">
        <v>23</v>
      </c>
      <c r="C680" s="29"/>
      <c r="D680" s="29"/>
      <c r="E680" s="91"/>
    </row>
    <row r="681" spans="1:5">
      <c r="A681" s="14" t="s">
        <v>164</v>
      </c>
      <c r="B681" s="21" t="s">
        <v>24</v>
      </c>
      <c r="C681" s="29"/>
      <c r="D681" s="29"/>
      <c r="E681" s="91"/>
    </row>
    <row r="682" spans="1:5">
      <c r="A682" s="14" t="s">
        <v>164</v>
      </c>
      <c r="B682" s="21" t="s">
        <v>25</v>
      </c>
      <c r="C682" s="29"/>
      <c r="D682" s="29"/>
      <c r="E682" s="91"/>
    </row>
    <row r="683" spans="1:5">
      <c r="A683" s="14" t="s">
        <v>164</v>
      </c>
      <c r="B683" s="21" t="s">
        <v>26</v>
      </c>
      <c r="C683" s="29"/>
      <c r="D683" s="29"/>
      <c r="E683" s="91"/>
    </row>
    <row r="684" spans="1:5">
      <c r="A684" s="14" t="s">
        <v>164</v>
      </c>
      <c r="B684" s="21" t="s">
        <v>27</v>
      </c>
      <c r="C684" s="29"/>
      <c r="D684" s="29"/>
      <c r="E684" s="91"/>
    </row>
    <row r="685" spans="1:5">
      <c r="A685" s="14" t="s">
        <v>164</v>
      </c>
      <c r="B685" s="21" t="s">
        <v>28</v>
      </c>
      <c r="C685" s="29"/>
      <c r="D685" s="29"/>
      <c r="E685" s="91"/>
    </row>
    <row r="686" spans="1:5">
      <c r="A686" s="14" t="s">
        <v>164</v>
      </c>
      <c r="B686" s="21" t="s">
        <v>29</v>
      </c>
      <c r="C686" s="29"/>
      <c r="D686" s="29"/>
      <c r="E686" s="91"/>
    </row>
    <row r="687" spans="1:5">
      <c r="A687" s="14" t="s">
        <v>164</v>
      </c>
      <c r="B687" s="21" t="s">
        <v>30</v>
      </c>
      <c r="C687" s="29"/>
      <c r="D687" s="29"/>
      <c r="E687" s="91"/>
    </row>
    <row r="688" spans="1:5">
      <c r="A688" s="14" t="s">
        <v>164</v>
      </c>
      <c r="B688" s="21" t="s">
        <v>31</v>
      </c>
      <c r="C688" s="29"/>
      <c r="D688" s="29"/>
      <c r="E688" s="91"/>
    </row>
    <row r="689" spans="1:5">
      <c r="A689" s="14" t="s">
        <v>164</v>
      </c>
      <c r="B689" s="21" t="s">
        <v>32</v>
      </c>
      <c r="C689" s="29"/>
      <c r="D689" s="29"/>
      <c r="E689" s="91"/>
    </row>
    <row r="690" spans="1:5">
      <c r="A690" s="14" t="s">
        <v>164</v>
      </c>
      <c r="B690" s="21" t="s">
        <v>33</v>
      </c>
      <c r="C690" s="29"/>
      <c r="D690" s="29"/>
      <c r="E690" s="91"/>
    </row>
    <row r="691" spans="1:5">
      <c r="A691" s="14" t="s">
        <v>164</v>
      </c>
      <c r="B691" s="21" t="s">
        <v>34</v>
      </c>
      <c r="C691" s="29"/>
      <c r="D691" s="29"/>
      <c r="E691" s="91"/>
    </row>
    <row r="692" spans="1:5">
      <c r="A692" s="14" t="s">
        <v>164</v>
      </c>
      <c r="B692" s="21" t="s">
        <v>35</v>
      </c>
      <c r="C692" s="29"/>
      <c r="D692" s="29"/>
      <c r="E692" s="91"/>
    </row>
    <row r="693" spans="1:5">
      <c r="A693" s="14" t="s">
        <v>164</v>
      </c>
      <c r="B693" s="21" t="s">
        <v>36</v>
      </c>
      <c r="C693" s="29"/>
      <c r="D693" s="29"/>
      <c r="E693" s="91"/>
    </row>
    <row r="694" spans="1:5">
      <c r="A694" s="14" t="s">
        <v>164</v>
      </c>
      <c r="B694" s="21" t="s">
        <v>37</v>
      </c>
      <c r="C694" s="29"/>
      <c r="D694" s="29"/>
      <c r="E694" s="91"/>
    </row>
    <row r="695" spans="1:5">
      <c r="A695" s="14" t="s">
        <v>164</v>
      </c>
      <c r="B695" s="21" t="s">
        <v>38</v>
      </c>
      <c r="C695" s="29"/>
      <c r="D695" s="29"/>
      <c r="E695" s="91"/>
    </row>
    <row r="696" spans="1:5">
      <c r="A696" s="14" t="s">
        <v>164</v>
      </c>
      <c r="B696" s="21" t="s">
        <v>39</v>
      </c>
      <c r="C696" s="29"/>
      <c r="D696" s="29"/>
      <c r="E696" s="91"/>
    </row>
    <row r="697" spans="1:5">
      <c r="A697" s="14" t="s">
        <v>164</v>
      </c>
      <c r="B697" s="21" t="s">
        <v>40</v>
      </c>
      <c r="C697" s="29"/>
      <c r="D697" s="29"/>
      <c r="E697" s="91"/>
    </row>
    <row r="698" spans="1:5">
      <c r="A698" s="14" t="s">
        <v>109</v>
      </c>
      <c r="B698" s="21" t="s">
        <v>17</v>
      </c>
      <c r="C698" s="29"/>
      <c r="D698" s="29"/>
      <c r="E698" s="91"/>
    </row>
    <row r="699" spans="1:5">
      <c r="A699" s="14" t="s">
        <v>109</v>
      </c>
      <c r="B699" s="21" t="s">
        <v>18</v>
      </c>
      <c r="C699" s="29"/>
      <c r="D699" s="29"/>
      <c r="E699" s="91"/>
    </row>
    <row r="700" spans="1:5">
      <c r="A700" s="14" t="s">
        <v>109</v>
      </c>
      <c r="B700" s="21" t="s">
        <v>19</v>
      </c>
      <c r="C700" s="29"/>
      <c r="D700" s="29"/>
      <c r="E700" s="91"/>
    </row>
    <row r="701" spans="1:5">
      <c r="A701" s="14" t="s">
        <v>109</v>
      </c>
      <c r="B701" s="21" t="s">
        <v>20</v>
      </c>
      <c r="C701" s="29"/>
      <c r="D701" s="29"/>
      <c r="E701" s="91"/>
    </row>
    <row r="702" spans="1:5">
      <c r="A702" s="14" t="s">
        <v>109</v>
      </c>
      <c r="B702" s="21" t="s">
        <v>21</v>
      </c>
      <c r="C702" s="29"/>
      <c r="D702" s="29"/>
      <c r="E702" s="91"/>
    </row>
    <row r="703" spans="1:5">
      <c r="A703" s="14" t="s">
        <v>109</v>
      </c>
      <c r="B703" s="21" t="s">
        <v>22</v>
      </c>
      <c r="C703" s="29"/>
      <c r="D703" s="29"/>
      <c r="E703" s="91"/>
    </row>
    <row r="704" spans="1:5">
      <c r="A704" s="14" t="s">
        <v>109</v>
      </c>
      <c r="B704" s="21" t="s">
        <v>23</v>
      </c>
      <c r="C704" s="29"/>
      <c r="D704" s="29"/>
      <c r="E704" s="91"/>
    </row>
    <row r="705" spans="1:5">
      <c r="A705" s="14" t="s">
        <v>109</v>
      </c>
      <c r="B705" s="21" t="s">
        <v>24</v>
      </c>
      <c r="C705" s="29"/>
      <c r="D705" s="29"/>
      <c r="E705" s="91"/>
    </row>
    <row r="706" spans="1:5">
      <c r="A706" s="14" t="s">
        <v>109</v>
      </c>
      <c r="B706" s="21" t="s">
        <v>25</v>
      </c>
      <c r="C706" s="29"/>
      <c r="D706" s="29"/>
      <c r="E706" s="91"/>
    </row>
    <row r="707" spans="1:5">
      <c r="A707" s="14" t="s">
        <v>109</v>
      </c>
      <c r="B707" s="21" t="s">
        <v>26</v>
      </c>
      <c r="C707" s="29"/>
      <c r="D707" s="29"/>
      <c r="E707" s="91"/>
    </row>
    <row r="708" spans="1:5">
      <c r="A708" s="14" t="s">
        <v>109</v>
      </c>
      <c r="B708" s="21" t="s">
        <v>27</v>
      </c>
      <c r="C708" s="29"/>
      <c r="D708" s="29"/>
      <c r="E708" s="91"/>
    </row>
    <row r="709" spans="1:5">
      <c r="A709" s="14" t="s">
        <v>109</v>
      </c>
      <c r="B709" s="21" t="s">
        <v>28</v>
      </c>
      <c r="C709" s="29"/>
      <c r="D709" s="29"/>
      <c r="E709" s="91"/>
    </row>
    <row r="710" spans="1:5">
      <c r="A710" s="14" t="s">
        <v>109</v>
      </c>
      <c r="B710" s="21" t="s">
        <v>29</v>
      </c>
      <c r="C710" s="29"/>
      <c r="D710" s="29"/>
      <c r="E710" s="91"/>
    </row>
    <row r="711" spans="1:5">
      <c r="A711" s="14" t="s">
        <v>109</v>
      </c>
      <c r="B711" s="21" t="s">
        <v>30</v>
      </c>
      <c r="C711" s="29"/>
      <c r="D711" s="29"/>
      <c r="E711" s="91"/>
    </row>
    <row r="712" spans="1:5">
      <c r="A712" s="14" t="s">
        <v>109</v>
      </c>
      <c r="B712" s="21" t="s">
        <v>31</v>
      </c>
      <c r="C712" s="29"/>
      <c r="D712" s="29"/>
      <c r="E712" s="91"/>
    </row>
    <row r="713" spans="1:5">
      <c r="A713" s="14" t="s">
        <v>109</v>
      </c>
      <c r="B713" s="21" t="s">
        <v>32</v>
      </c>
      <c r="C713" s="29"/>
      <c r="D713" s="29"/>
      <c r="E713" s="91"/>
    </row>
    <row r="714" spans="1:5">
      <c r="A714" s="14" t="s">
        <v>109</v>
      </c>
      <c r="B714" s="21" t="s">
        <v>33</v>
      </c>
      <c r="C714" s="29"/>
      <c r="D714" s="29"/>
      <c r="E714" s="91"/>
    </row>
    <row r="715" spans="1:5">
      <c r="A715" s="14" t="s">
        <v>109</v>
      </c>
      <c r="B715" s="21" t="s">
        <v>34</v>
      </c>
      <c r="C715" s="29"/>
      <c r="D715" s="29"/>
      <c r="E715" s="91"/>
    </row>
    <row r="716" spans="1:5">
      <c r="A716" s="14" t="s">
        <v>109</v>
      </c>
      <c r="B716" s="21" t="s">
        <v>35</v>
      </c>
      <c r="C716" s="29"/>
      <c r="D716" s="29"/>
      <c r="E716" s="91"/>
    </row>
    <row r="717" spans="1:5">
      <c r="A717" s="14" t="s">
        <v>109</v>
      </c>
      <c r="B717" s="21" t="s">
        <v>36</v>
      </c>
      <c r="C717" s="29"/>
      <c r="D717" s="29"/>
      <c r="E717" s="91"/>
    </row>
    <row r="718" spans="1:5">
      <c r="A718" s="14" t="s">
        <v>109</v>
      </c>
      <c r="B718" s="21" t="s">
        <v>37</v>
      </c>
      <c r="C718" s="29"/>
      <c r="D718" s="29"/>
      <c r="E718" s="91"/>
    </row>
    <row r="719" spans="1:5">
      <c r="A719" s="14" t="s">
        <v>109</v>
      </c>
      <c r="B719" s="21" t="s">
        <v>38</v>
      </c>
      <c r="C719" s="29"/>
      <c r="D719" s="29"/>
      <c r="E719" s="91"/>
    </row>
    <row r="720" spans="1:5">
      <c r="A720" s="14" t="s">
        <v>109</v>
      </c>
      <c r="B720" s="21" t="s">
        <v>39</v>
      </c>
      <c r="C720" s="29"/>
      <c r="D720" s="29"/>
      <c r="E720" s="91"/>
    </row>
    <row r="721" spans="1:5">
      <c r="A721" s="14" t="s">
        <v>109</v>
      </c>
      <c r="B721" s="21" t="s">
        <v>40</v>
      </c>
      <c r="C721" s="29"/>
      <c r="D721" s="29"/>
      <c r="E721" s="91"/>
    </row>
    <row r="722" spans="1:5">
      <c r="A722" s="14" t="s">
        <v>110</v>
      </c>
      <c r="B722" s="21" t="s">
        <v>17</v>
      </c>
      <c r="C722" s="29"/>
      <c r="D722" s="29"/>
      <c r="E722" s="91"/>
    </row>
    <row r="723" spans="1:5">
      <c r="A723" s="14" t="s">
        <v>110</v>
      </c>
      <c r="B723" s="21" t="s">
        <v>18</v>
      </c>
      <c r="C723" s="29"/>
      <c r="D723" s="29"/>
      <c r="E723" s="91"/>
    </row>
    <row r="724" spans="1:5">
      <c r="A724" s="14" t="s">
        <v>110</v>
      </c>
      <c r="B724" s="21" t="s">
        <v>19</v>
      </c>
      <c r="C724" s="29"/>
      <c r="D724" s="29"/>
      <c r="E724" s="91"/>
    </row>
    <row r="725" spans="1:5">
      <c r="A725" s="14" t="s">
        <v>110</v>
      </c>
      <c r="B725" s="21" t="s">
        <v>20</v>
      </c>
      <c r="C725" s="29"/>
      <c r="D725" s="29"/>
      <c r="E725" s="91"/>
    </row>
    <row r="726" spans="1:5">
      <c r="A726" s="14" t="s">
        <v>110</v>
      </c>
      <c r="B726" s="21" t="s">
        <v>21</v>
      </c>
      <c r="C726" s="29"/>
      <c r="D726" s="29"/>
      <c r="E726" s="91"/>
    </row>
    <row r="727" spans="1:5">
      <c r="A727" s="14" t="s">
        <v>110</v>
      </c>
      <c r="B727" s="21" t="s">
        <v>22</v>
      </c>
      <c r="C727" s="29"/>
      <c r="D727" s="29"/>
      <c r="E727" s="91"/>
    </row>
    <row r="728" spans="1:5">
      <c r="A728" s="14" t="s">
        <v>110</v>
      </c>
      <c r="B728" s="21" t="s">
        <v>23</v>
      </c>
      <c r="C728" s="29"/>
      <c r="D728" s="29"/>
      <c r="E728" s="91"/>
    </row>
    <row r="729" spans="1:5">
      <c r="A729" s="14" t="s">
        <v>110</v>
      </c>
      <c r="B729" s="21" t="s">
        <v>24</v>
      </c>
      <c r="C729" s="29"/>
      <c r="D729" s="29"/>
      <c r="E729" s="91"/>
    </row>
    <row r="730" spans="1:5">
      <c r="A730" s="14" t="s">
        <v>110</v>
      </c>
      <c r="B730" s="21" t="s">
        <v>25</v>
      </c>
      <c r="C730" s="29"/>
      <c r="D730" s="29"/>
      <c r="E730" s="91"/>
    </row>
    <row r="731" spans="1:5">
      <c r="A731" s="14" t="s">
        <v>110</v>
      </c>
      <c r="B731" s="21" t="s">
        <v>26</v>
      </c>
      <c r="C731" s="29"/>
      <c r="D731" s="29"/>
      <c r="E731" s="91"/>
    </row>
    <row r="732" spans="1:5">
      <c r="A732" s="14" t="s">
        <v>110</v>
      </c>
      <c r="B732" s="21" t="s">
        <v>27</v>
      </c>
      <c r="C732" s="29"/>
      <c r="D732" s="29"/>
      <c r="E732" s="91"/>
    </row>
    <row r="733" spans="1:5">
      <c r="A733" s="14" t="s">
        <v>110</v>
      </c>
      <c r="B733" s="21" t="s">
        <v>28</v>
      </c>
      <c r="C733" s="29"/>
      <c r="D733" s="29"/>
      <c r="E733" s="91"/>
    </row>
    <row r="734" spans="1:5">
      <c r="A734" s="14" t="s">
        <v>110</v>
      </c>
      <c r="B734" s="21" t="s">
        <v>29</v>
      </c>
      <c r="C734" s="29"/>
      <c r="D734" s="29"/>
      <c r="E734" s="91"/>
    </row>
    <row r="735" spans="1:5">
      <c r="A735" s="14" t="s">
        <v>110</v>
      </c>
      <c r="B735" s="21" t="s">
        <v>30</v>
      </c>
      <c r="C735" s="29"/>
      <c r="D735" s="29"/>
      <c r="E735" s="91"/>
    </row>
    <row r="736" spans="1:5">
      <c r="A736" s="14" t="s">
        <v>110</v>
      </c>
      <c r="B736" s="21" t="s">
        <v>31</v>
      </c>
      <c r="C736" s="29"/>
      <c r="D736" s="29"/>
      <c r="E736" s="91"/>
    </row>
    <row r="737" spans="1:5">
      <c r="A737" s="14" t="s">
        <v>110</v>
      </c>
      <c r="B737" s="21" t="s">
        <v>32</v>
      </c>
      <c r="C737" s="29"/>
      <c r="D737" s="29"/>
      <c r="E737" s="91"/>
    </row>
    <row r="738" spans="1:5">
      <c r="A738" s="14" t="s">
        <v>110</v>
      </c>
      <c r="B738" s="21" t="s">
        <v>33</v>
      </c>
      <c r="C738" s="29"/>
      <c r="D738" s="29"/>
      <c r="E738" s="91"/>
    </row>
    <row r="739" spans="1:5">
      <c r="A739" s="14" t="s">
        <v>110</v>
      </c>
      <c r="B739" s="21" t="s">
        <v>34</v>
      </c>
      <c r="C739" s="29"/>
      <c r="D739" s="29"/>
      <c r="E739" s="91"/>
    </row>
    <row r="740" spans="1:5">
      <c r="A740" s="14" t="s">
        <v>110</v>
      </c>
      <c r="B740" s="21" t="s">
        <v>35</v>
      </c>
      <c r="C740" s="29"/>
      <c r="D740" s="29"/>
      <c r="E740" s="91"/>
    </row>
    <row r="741" spans="1:5">
      <c r="A741" s="14" t="s">
        <v>110</v>
      </c>
      <c r="B741" s="21" t="s">
        <v>36</v>
      </c>
      <c r="C741" s="29"/>
      <c r="D741" s="29"/>
      <c r="E741" s="91"/>
    </row>
    <row r="742" spans="1:5">
      <c r="A742" s="14" t="s">
        <v>110</v>
      </c>
      <c r="B742" s="21" t="s">
        <v>37</v>
      </c>
      <c r="C742" s="29"/>
      <c r="D742" s="29"/>
      <c r="E742" s="91"/>
    </row>
    <row r="743" spans="1:5">
      <c r="A743" s="14" t="s">
        <v>110</v>
      </c>
      <c r="B743" s="21" t="s">
        <v>38</v>
      </c>
      <c r="C743" s="29"/>
      <c r="D743" s="29"/>
      <c r="E743" s="91"/>
    </row>
    <row r="744" spans="1:5">
      <c r="A744" s="14" t="s">
        <v>110</v>
      </c>
      <c r="B744" s="21" t="s">
        <v>39</v>
      </c>
      <c r="C744" s="29"/>
      <c r="D744" s="29"/>
      <c r="E744" s="91"/>
    </row>
    <row r="745" spans="1:5" ht="15.75" thickBot="1">
      <c r="A745" s="14" t="s">
        <v>110</v>
      </c>
      <c r="B745" s="22" t="s">
        <v>40</v>
      </c>
      <c r="C745" s="31"/>
      <c r="D745" s="31"/>
      <c r="E745" s="9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73"/>
  <sheetViews>
    <sheetView topLeftCell="A639" workbookViewId="0">
      <selection activeCell="A674" sqref="A674:E674"/>
    </sheetView>
  </sheetViews>
  <sheetFormatPr defaultRowHeight="15"/>
  <cols>
    <col min="1" max="1" width="8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96" t="s">
        <v>177</v>
      </c>
      <c r="B2" s="96" t="s">
        <v>17</v>
      </c>
      <c r="C2">
        <v>6183</v>
      </c>
      <c r="D2">
        <v>2395</v>
      </c>
      <c r="E2">
        <v>2063</v>
      </c>
    </row>
    <row r="3" spans="1:5">
      <c r="A3" s="96" t="s">
        <v>177</v>
      </c>
      <c r="B3" s="96" t="s">
        <v>18</v>
      </c>
      <c r="C3">
        <v>9138</v>
      </c>
      <c r="D3">
        <v>108</v>
      </c>
      <c r="E3">
        <v>2068</v>
      </c>
    </row>
    <row r="4" spans="1:5">
      <c r="A4" s="96" t="s">
        <v>177</v>
      </c>
      <c r="B4" s="96" t="s">
        <v>19</v>
      </c>
      <c r="C4">
        <v>8597</v>
      </c>
      <c r="D4">
        <v>368</v>
      </c>
      <c r="E4">
        <v>2056</v>
      </c>
    </row>
    <row r="5" spans="1:5">
      <c r="A5" s="96" t="s">
        <v>177</v>
      </c>
      <c r="B5" s="96" t="s">
        <v>20</v>
      </c>
      <c r="C5">
        <v>14026</v>
      </c>
      <c r="D5">
        <v>43</v>
      </c>
      <c r="E5">
        <v>3972</v>
      </c>
    </row>
    <row r="6" spans="1:5">
      <c r="A6" s="96" t="s">
        <v>177</v>
      </c>
      <c r="B6" s="96" t="s">
        <v>21</v>
      </c>
      <c r="C6">
        <v>16121</v>
      </c>
      <c r="D6">
        <v>27</v>
      </c>
      <c r="E6">
        <v>5051</v>
      </c>
    </row>
    <row r="7" spans="1:5">
      <c r="A7" s="96" t="s">
        <v>177</v>
      </c>
      <c r="B7" s="96" t="s">
        <v>22</v>
      </c>
      <c r="C7">
        <v>16884</v>
      </c>
      <c r="D7">
        <v>102</v>
      </c>
      <c r="E7">
        <v>5906</v>
      </c>
    </row>
    <row r="8" spans="1:5">
      <c r="A8" s="96" t="s">
        <v>177</v>
      </c>
      <c r="B8" s="96" t="s">
        <v>23</v>
      </c>
      <c r="C8">
        <v>21088</v>
      </c>
      <c r="D8">
        <v>30</v>
      </c>
      <c r="E8">
        <v>6942</v>
      </c>
    </row>
    <row r="9" spans="1:5">
      <c r="A9" s="96" t="s">
        <v>177</v>
      </c>
      <c r="B9" s="96" t="s">
        <v>24</v>
      </c>
      <c r="C9">
        <v>18198</v>
      </c>
      <c r="D9">
        <v>5997</v>
      </c>
      <c r="E9">
        <v>8065</v>
      </c>
    </row>
    <row r="10" spans="1:5">
      <c r="A10" s="96" t="s">
        <v>177</v>
      </c>
      <c r="B10" s="96" t="s">
        <v>25</v>
      </c>
      <c r="C10">
        <v>15724</v>
      </c>
      <c r="D10">
        <v>8921</v>
      </c>
      <c r="E10">
        <v>8034</v>
      </c>
    </row>
    <row r="11" spans="1:5">
      <c r="A11" s="96" t="s">
        <v>177</v>
      </c>
      <c r="B11" s="96" t="s">
        <v>26</v>
      </c>
      <c r="C11">
        <v>14875</v>
      </c>
      <c r="D11">
        <v>8924</v>
      </c>
      <c r="E11">
        <v>8057</v>
      </c>
    </row>
    <row r="12" spans="1:5">
      <c r="A12" s="96" t="s">
        <v>177</v>
      </c>
      <c r="B12" s="96" t="s">
        <v>27</v>
      </c>
      <c r="C12">
        <v>13798</v>
      </c>
      <c r="D12">
        <v>10864</v>
      </c>
      <c r="E12">
        <v>8069</v>
      </c>
    </row>
    <row r="13" spans="1:5">
      <c r="A13" s="96" t="s">
        <v>177</v>
      </c>
      <c r="B13" s="96" t="s">
        <v>28</v>
      </c>
      <c r="C13">
        <v>12996</v>
      </c>
      <c r="D13">
        <v>11129</v>
      </c>
      <c r="E13">
        <v>8041</v>
      </c>
    </row>
    <row r="14" spans="1:5">
      <c r="A14" s="96" t="s">
        <v>177</v>
      </c>
      <c r="B14" s="96" t="s">
        <v>29</v>
      </c>
      <c r="C14">
        <v>13266</v>
      </c>
      <c r="D14">
        <v>6105</v>
      </c>
      <c r="E14">
        <v>6709</v>
      </c>
    </row>
    <row r="15" spans="1:5">
      <c r="A15" s="96" t="s">
        <v>177</v>
      </c>
      <c r="B15" s="96" t="s">
        <v>30</v>
      </c>
      <c r="C15">
        <v>12232</v>
      </c>
      <c r="D15">
        <v>4541</v>
      </c>
      <c r="E15">
        <v>5068</v>
      </c>
    </row>
    <row r="16" spans="1:5">
      <c r="A16" s="96" t="s">
        <v>177</v>
      </c>
      <c r="B16" s="96" t="s">
        <v>31</v>
      </c>
      <c r="C16">
        <v>11526</v>
      </c>
      <c r="D16">
        <v>4411</v>
      </c>
      <c r="E16">
        <v>5059</v>
      </c>
    </row>
    <row r="17" spans="1:5">
      <c r="A17" s="96" t="s">
        <v>177</v>
      </c>
      <c r="B17" s="96" t="s">
        <v>32</v>
      </c>
      <c r="C17">
        <v>12188</v>
      </c>
      <c r="D17">
        <v>7941</v>
      </c>
      <c r="E17">
        <v>6404</v>
      </c>
    </row>
    <row r="18" spans="1:5">
      <c r="A18" s="96" t="s">
        <v>177</v>
      </c>
      <c r="B18" s="96" t="s">
        <v>33</v>
      </c>
      <c r="C18">
        <v>14030</v>
      </c>
      <c r="D18">
        <v>10680</v>
      </c>
      <c r="E18">
        <v>8091</v>
      </c>
    </row>
    <row r="19" spans="1:5">
      <c r="A19" s="96" t="s">
        <v>177</v>
      </c>
      <c r="B19" s="96" t="s">
        <v>34</v>
      </c>
      <c r="C19">
        <v>15815</v>
      </c>
      <c r="D19">
        <v>8501</v>
      </c>
      <c r="E19">
        <v>8061</v>
      </c>
    </row>
    <row r="20" spans="1:5">
      <c r="A20" s="96" t="s">
        <v>177</v>
      </c>
      <c r="B20" s="96" t="s">
        <v>35</v>
      </c>
      <c r="C20">
        <v>16487</v>
      </c>
      <c r="D20">
        <v>8134</v>
      </c>
      <c r="E20">
        <v>8063</v>
      </c>
    </row>
    <row r="21" spans="1:5">
      <c r="A21" s="96" t="s">
        <v>177</v>
      </c>
      <c r="B21" s="96" t="s">
        <v>36</v>
      </c>
      <c r="C21">
        <v>17069</v>
      </c>
      <c r="D21">
        <v>6927</v>
      </c>
      <c r="E21">
        <v>8043</v>
      </c>
    </row>
    <row r="22" spans="1:5">
      <c r="A22" s="96" t="s">
        <v>177</v>
      </c>
      <c r="B22" s="96" t="s">
        <v>37</v>
      </c>
      <c r="C22">
        <v>17316</v>
      </c>
      <c r="D22">
        <v>7478</v>
      </c>
      <c r="E22">
        <v>8079</v>
      </c>
    </row>
    <row r="23" spans="1:5">
      <c r="A23" s="96" t="s">
        <v>177</v>
      </c>
      <c r="B23" s="96" t="s">
        <v>38</v>
      </c>
      <c r="C23">
        <v>17906</v>
      </c>
      <c r="D23">
        <v>6580</v>
      </c>
      <c r="E23">
        <v>8058</v>
      </c>
    </row>
    <row r="24" spans="1:5">
      <c r="A24" s="96" t="s">
        <v>177</v>
      </c>
      <c r="B24" s="96" t="s">
        <v>39</v>
      </c>
      <c r="C24">
        <v>14570</v>
      </c>
      <c r="D24">
        <v>5166</v>
      </c>
      <c r="E24">
        <v>6699</v>
      </c>
    </row>
    <row r="25" spans="1:5">
      <c r="A25" s="96" t="s">
        <v>177</v>
      </c>
      <c r="B25" s="96" t="s">
        <v>40</v>
      </c>
      <c r="C25">
        <v>8366</v>
      </c>
      <c r="D25">
        <v>8316</v>
      </c>
      <c r="E25">
        <v>5216</v>
      </c>
    </row>
    <row r="26" spans="1:5">
      <c r="A26" s="97" t="s">
        <v>178</v>
      </c>
      <c r="B26" s="97" t="s">
        <v>17</v>
      </c>
      <c r="C26">
        <v>8768</v>
      </c>
      <c r="D26">
        <v>4415</v>
      </c>
      <c r="E26">
        <v>4057</v>
      </c>
    </row>
    <row r="27" spans="1:5">
      <c r="A27" s="97" t="s">
        <v>178</v>
      </c>
      <c r="B27" s="97" t="s">
        <v>18</v>
      </c>
      <c r="C27">
        <v>9560</v>
      </c>
      <c r="D27">
        <v>4294</v>
      </c>
      <c r="E27">
        <v>4072</v>
      </c>
    </row>
    <row r="28" spans="1:5">
      <c r="A28" s="97" t="s">
        <v>178</v>
      </c>
      <c r="B28" s="97" t="s">
        <v>19</v>
      </c>
      <c r="C28">
        <v>9743</v>
      </c>
      <c r="D28">
        <v>3807</v>
      </c>
      <c r="E28">
        <v>4064</v>
      </c>
    </row>
    <row r="29" spans="1:5">
      <c r="A29" s="97" t="s">
        <v>178</v>
      </c>
      <c r="B29" s="97" t="s">
        <v>20</v>
      </c>
      <c r="C29">
        <v>10702</v>
      </c>
      <c r="D29">
        <v>2776</v>
      </c>
      <c r="E29">
        <v>4078</v>
      </c>
    </row>
    <row r="30" spans="1:5">
      <c r="A30" s="97" t="s">
        <v>178</v>
      </c>
      <c r="B30" s="97" t="s">
        <v>21</v>
      </c>
      <c r="C30">
        <v>15953</v>
      </c>
      <c r="D30">
        <v>129</v>
      </c>
      <c r="E30">
        <v>5037</v>
      </c>
    </row>
    <row r="31" spans="1:5">
      <c r="A31" s="97" t="s">
        <v>178</v>
      </c>
      <c r="B31" s="97" t="s">
        <v>22</v>
      </c>
      <c r="C31">
        <v>17184</v>
      </c>
      <c r="D31">
        <v>35</v>
      </c>
      <c r="E31">
        <v>5873</v>
      </c>
    </row>
    <row r="32" spans="1:5">
      <c r="A32" s="97" t="s">
        <v>178</v>
      </c>
      <c r="B32" s="97" t="s">
        <v>23</v>
      </c>
      <c r="C32">
        <v>19426</v>
      </c>
      <c r="D32">
        <v>89</v>
      </c>
      <c r="E32">
        <v>6054</v>
      </c>
    </row>
    <row r="33" spans="1:5">
      <c r="A33" s="97" t="s">
        <v>178</v>
      </c>
      <c r="B33" s="97" t="s">
        <v>24</v>
      </c>
      <c r="C33">
        <v>14589</v>
      </c>
      <c r="D33">
        <v>10892</v>
      </c>
      <c r="E33">
        <v>8006</v>
      </c>
    </row>
    <row r="34" spans="1:5">
      <c r="A34" s="97" t="s">
        <v>178</v>
      </c>
      <c r="B34" s="97" t="s">
        <v>25</v>
      </c>
      <c r="C34">
        <v>14541</v>
      </c>
      <c r="D34">
        <v>9421</v>
      </c>
      <c r="E34">
        <v>8046</v>
      </c>
    </row>
    <row r="35" spans="1:5">
      <c r="A35" s="97" t="s">
        <v>178</v>
      </c>
      <c r="B35" s="97" t="s">
        <v>26</v>
      </c>
      <c r="C35">
        <v>16426</v>
      </c>
      <c r="D35">
        <v>7522</v>
      </c>
      <c r="E35">
        <v>8043</v>
      </c>
    </row>
    <row r="36" spans="1:5">
      <c r="A36" s="97" t="s">
        <v>178</v>
      </c>
      <c r="B36" s="97" t="s">
        <v>27</v>
      </c>
      <c r="C36">
        <v>15696</v>
      </c>
      <c r="D36">
        <v>8427</v>
      </c>
      <c r="E36">
        <v>8023</v>
      </c>
    </row>
    <row r="37" spans="1:5">
      <c r="A37" s="97" t="s">
        <v>178</v>
      </c>
      <c r="B37" s="97" t="s">
        <v>28</v>
      </c>
      <c r="C37">
        <v>15209</v>
      </c>
      <c r="D37">
        <v>2590</v>
      </c>
      <c r="E37">
        <v>5956</v>
      </c>
    </row>
    <row r="38" spans="1:5">
      <c r="A38" s="97" t="s">
        <v>178</v>
      </c>
      <c r="B38" s="97" t="s">
        <v>29</v>
      </c>
      <c r="C38">
        <v>14784</v>
      </c>
      <c r="D38">
        <v>1376</v>
      </c>
      <c r="E38">
        <v>5049</v>
      </c>
    </row>
    <row r="39" spans="1:5">
      <c r="A39" s="97" t="s">
        <v>178</v>
      </c>
      <c r="B39" s="97" t="s">
        <v>30</v>
      </c>
      <c r="C39">
        <v>14093</v>
      </c>
      <c r="D39">
        <v>2917</v>
      </c>
      <c r="E39">
        <v>5085</v>
      </c>
    </row>
    <row r="40" spans="1:5">
      <c r="A40" s="97" t="s">
        <v>178</v>
      </c>
      <c r="B40" s="97" t="s">
        <v>31</v>
      </c>
      <c r="C40">
        <v>13024</v>
      </c>
      <c r="D40">
        <v>6860</v>
      </c>
      <c r="E40">
        <v>6554</v>
      </c>
    </row>
    <row r="41" spans="1:5">
      <c r="A41" s="97" t="s">
        <v>178</v>
      </c>
      <c r="B41" s="97" t="s">
        <v>32</v>
      </c>
      <c r="C41">
        <v>14127</v>
      </c>
      <c r="D41">
        <v>9817</v>
      </c>
      <c r="E41">
        <v>8027</v>
      </c>
    </row>
    <row r="42" spans="1:5">
      <c r="A42" s="97" t="s">
        <v>178</v>
      </c>
      <c r="B42" s="97" t="s">
        <v>33</v>
      </c>
      <c r="C42">
        <v>15398</v>
      </c>
      <c r="D42">
        <v>8637</v>
      </c>
      <c r="E42">
        <v>8053</v>
      </c>
    </row>
    <row r="43" spans="1:5">
      <c r="A43" s="97" t="s">
        <v>178</v>
      </c>
      <c r="B43" s="97" t="s">
        <v>34</v>
      </c>
      <c r="C43">
        <v>15980</v>
      </c>
      <c r="D43">
        <v>7852</v>
      </c>
      <c r="E43">
        <v>8056</v>
      </c>
    </row>
    <row r="44" spans="1:5">
      <c r="A44" s="97" t="s">
        <v>178</v>
      </c>
      <c r="B44" s="97" t="s">
        <v>35</v>
      </c>
      <c r="C44">
        <v>15492</v>
      </c>
      <c r="D44">
        <v>9021</v>
      </c>
      <c r="E44">
        <v>8047</v>
      </c>
    </row>
    <row r="45" spans="1:5">
      <c r="A45" s="97" t="s">
        <v>178</v>
      </c>
      <c r="B45" s="97" t="s">
        <v>36</v>
      </c>
      <c r="C45">
        <v>16055</v>
      </c>
      <c r="D45">
        <v>8765</v>
      </c>
      <c r="E45">
        <v>8049</v>
      </c>
    </row>
    <row r="46" spans="1:5">
      <c r="A46" s="97" t="s">
        <v>178</v>
      </c>
      <c r="B46" s="97" t="s">
        <v>37</v>
      </c>
      <c r="C46">
        <v>16599</v>
      </c>
      <c r="D46">
        <v>7797</v>
      </c>
      <c r="E46">
        <v>8064</v>
      </c>
    </row>
    <row r="47" spans="1:5">
      <c r="A47" s="97" t="s">
        <v>178</v>
      </c>
      <c r="B47" s="97" t="s">
        <v>38</v>
      </c>
      <c r="C47">
        <v>16619</v>
      </c>
      <c r="D47">
        <v>7502</v>
      </c>
      <c r="E47">
        <v>8060</v>
      </c>
    </row>
    <row r="48" spans="1:5">
      <c r="A48" s="97" t="s">
        <v>178</v>
      </c>
      <c r="B48" s="97" t="s">
        <v>39</v>
      </c>
      <c r="C48">
        <v>14649</v>
      </c>
      <c r="D48">
        <v>5257</v>
      </c>
      <c r="E48">
        <v>6784</v>
      </c>
    </row>
    <row r="49" spans="1:5">
      <c r="A49" s="97" t="s">
        <v>178</v>
      </c>
      <c r="B49" s="97" t="s">
        <v>40</v>
      </c>
      <c r="C49">
        <v>8134</v>
      </c>
      <c r="D49">
        <v>4380</v>
      </c>
      <c r="E49">
        <v>3696</v>
      </c>
    </row>
    <row r="50" spans="1:5">
      <c r="A50" s="96" t="s">
        <v>179</v>
      </c>
      <c r="B50" s="96" t="s">
        <v>17</v>
      </c>
      <c r="C50">
        <v>7479</v>
      </c>
      <c r="D50">
        <v>3086</v>
      </c>
      <c r="E50">
        <v>3050</v>
      </c>
    </row>
    <row r="51" spans="1:5">
      <c r="A51" s="96" t="s">
        <v>179</v>
      </c>
      <c r="B51" s="96" t="s">
        <v>18</v>
      </c>
      <c r="C51">
        <v>10778</v>
      </c>
      <c r="D51">
        <v>2911</v>
      </c>
      <c r="E51">
        <v>3498</v>
      </c>
    </row>
    <row r="52" spans="1:5">
      <c r="A52" s="96" t="s">
        <v>179</v>
      </c>
      <c r="B52" s="96" t="s">
        <v>19</v>
      </c>
      <c r="C52">
        <v>11677</v>
      </c>
      <c r="D52">
        <v>2605</v>
      </c>
      <c r="E52">
        <v>4071</v>
      </c>
    </row>
    <row r="53" spans="1:5">
      <c r="A53" s="96" t="s">
        <v>179</v>
      </c>
      <c r="B53" s="96" t="s">
        <v>20</v>
      </c>
      <c r="C53">
        <v>13662</v>
      </c>
      <c r="D53">
        <v>1144</v>
      </c>
      <c r="E53">
        <v>4068</v>
      </c>
    </row>
    <row r="54" spans="1:5">
      <c r="A54" s="96" t="s">
        <v>179</v>
      </c>
      <c r="B54" s="96" t="s">
        <v>21</v>
      </c>
      <c r="C54">
        <v>14184</v>
      </c>
      <c r="D54">
        <v>76</v>
      </c>
      <c r="E54">
        <v>4464</v>
      </c>
    </row>
    <row r="55" spans="1:5">
      <c r="A55" s="96" t="s">
        <v>179</v>
      </c>
      <c r="B55" s="96" t="s">
        <v>22</v>
      </c>
      <c r="C55">
        <v>16195</v>
      </c>
      <c r="D55">
        <v>97</v>
      </c>
      <c r="E55">
        <v>5053</v>
      </c>
    </row>
    <row r="56" spans="1:5">
      <c r="A56" s="96" t="s">
        <v>179</v>
      </c>
      <c r="B56" s="96" t="s">
        <v>23</v>
      </c>
      <c r="C56">
        <v>20023</v>
      </c>
      <c r="D56">
        <v>139</v>
      </c>
      <c r="E56">
        <v>6480</v>
      </c>
    </row>
    <row r="57" spans="1:5">
      <c r="A57" s="96" t="s">
        <v>179</v>
      </c>
      <c r="B57" s="96" t="s">
        <v>24</v>
      </c>
      <c r="C57">
        <v>18251</v>
      </c>
      <c r="D57">
        <v>5857</v>
      </c>
      <c r="E57">
        <v>8055</v>
      </c>
    </row>
    <row r="58" spans="1:5">
      <c r="A58" s="96" t="s">
        <v>179</v>
      </c>
      <c r="B58" s="96" t="s">
        <v>25</v>
      </c>
      <c r="C58">
        <v>15792</v>
      </c>
      <c r="D58">
        <v>7895</v>
      </c>
      <c r="E58">
        <v>8055</v>
      </c>
    </row>
    <row r="59" spans="1:5">
      <c r="A59" s="96" t="s">
        <v>179</v>
      </c>
      <c r="B59" s="96" t="s">
        <v>26</v>
      </c>
      <c r="C59">
        <v>16164</v>
      </c>
      <c r="D59">
        <v>8282</v>
      </c>
      <c r="E59">
        <v>8056</v>
      </c>
    </row>
    <row r="60" spans="1:5">
      <c r="A60" s="96" t="s">
        <v>179</v>
      </c>
      <c r="B60" s="96" t="s">
        <v>27</v>
      </c>
      <c r="C60">
        <v>15067</v>
      </c>
      <c r="D60">
        <v>8795</v>
      </c>
      <c r="E60">
        <v>8073</v>
      </c>
    </row>
    <row r="61" spans="1:5">
      <c r="A61" s="96" t="s">
        <v>179</v>
      </c>
      <c r="B61" s="96" t="s">
        <v>28</v>
      </c>
      <c r="C61">
        <v>14682</v>
      </c>
      <c r="D61">
        <v>9019</v>
      </c>
      <c r="E61">
        <v>8053</v>
      </c>
    </row>
    <row r="62" spans="1:5">
      <c r="A62" s="96" t="s">
        <v>179</v>
      </c>
      <c r="B62" s="96" t="s">
        <v>29</v>
      </c>
      <c r="C62">
        <v>15141</v>
      </c>
      <c r="D62">
        <v>1848</v>
      </c>
      <c r="E62">
        <v>5341</v>
      </c>
    </row>
    <row r="63" spans="1:5">
      <c r="A63" s="96" t="s">
        <v>179</v>
      </c>
      <c r="B63" s="96" t="s">
        <v>30</v>
      </c>
      <c r="C63">
        <v>13783</v>
      </c>
      <c r="D63">
        <v>1533</v>
      </c>
      <c r="E63">
        <v>5034</v>
      </c>
    </row>
    <row r="64" spans="1:5">
      <c r="A64" s="96" t="s">
        <v>179</v>
      </c>
      <c r="B64" s="96" t="s">
        <v>31</v>
      </c>
      <c r="C64">
        <v>14772</v>
      </c>
      <c r="D64">
        <v>7485</v>
      </c>
      <c r="E64">
        <v>7835</v>
      </c>
    </row>
    <row r="65" spans="1:5">
      <c r="A65" s="96" t="s">
        <v>179</v>
      </c>
      <c r="B65" s="96" t="s">
        <v>32</v>
      </c>
      <c r="C65">
        <v>15557</v>
      </c>
      <c r="D65">
        <v>9495</v>
      </c>
      <c r="E65">
        <v>8028</v>
      </c>
    </row>
    <row r="66" spans="1:5">
      <c r="A66" s="96" t="s">
        <v>179</v>
      </c>
      <c r="B66" s="96" t="s">
        <v>33</v>
      </c>
      <c r="C66">
        <v>15540</v>
      </c>
      <c r="D66">
        <v>8310</v>
      </c>
      <c r="E66">
        <v>8068</v>
      </c>
    </row>
    <row r="67" spans="1:5">
      <c r="A67" s="96" t="s">
        <v>179</v>
      </c>
      <c r="B67" s="96" t="s">
        <v>34</v>
      </c>
      <c r="C67">
        <v>15642</v>
      </c>
      <c r="D67">
        <v>9165</v>
      </c>
      <c r="E67">
        <v>8058</v>
      </c>
    </row>
    <row r="68" spans="1:5">
      <c r="A68" s="96" t="s">
        <v>179</v>
      </c>
      <c r="B68" s="96" t="s">
        <v>35</v>
      </c>
      <c r="C68">
        <v>15447</v>
      </c>
      <c r="D68">
        <v>8203</v>
      </c>
      <c r="E68">
        <v>8056</v>
      </c>
    </row>
    <row r="69" spans="1:5">
      <c r="A69" s="96" t="s">
        <v>179</v>
      </c>
      <c r="B69" s="96" t="s">
        <v>36</v>
      </c>
      <c r="C69">
        <v>16587</v>
      </c>
      <c r="D69">
        <v>7155</v>
      </c>
      <c r="E69">
        <v>8060</v>
      </c>
    </row>
    <row r="70" spans="1:5">
      <c r="A70" s="96" t="s">
        <v>179</v>
      </c>
      <c r="B70" s="96" t="s">
        <v>37</v>
      </c>
      <c r="C70">
        <v>17250</v>
      </c>
      <c r="D70">
        <v>7685</v>
      </c>
      <c r="E70">
        <v>8056</v>
      </c>
    </row>
    <row r="71" spans="1:5">
      <c r="A71" s="96" t="s">
        <v>179</v>
      </c>
      <c r="B71" s="96" t="s">
        <v>38</v>
      </c>
      <c r="C71">
        <v>17913</v>
      </c>
      <c r="D71">
        <v>6366</v>
      </c>
      <c r="E71">
        <v>8067</v>
      </c>
    </row>
    <row r="72" spans="1:5">
      <c r="A72" s="96" t="s">
        <v>179</v>
      </c>
      <c r="B72" s="96" t="s">
        <v>39</v>
      </c>
      <c r="C72">
        <v>15360</v>
      </c>
      <c r="D72">
        <v>3728</v>
      </c>
      <c r="E72">
        <v>6304</v>
      </c>
    </row>
    <row r="73" spans="1:5">
      <c r="A73" s="96" t="s">
        <v>179</v>
      </c>
      <c r="B73" s="96" t="s">
        <v>40</v>
      </c>
      <c r="C73">
        <v>11481</v>
      </c>
      <c r="D73">
        <v>1416</v>
      </c>
      <c r="E73">
        <v>4110</v>
      </c>
    </row>
    <row r="74" spans="1:5">
      <c r="A74" s="97" t="s">
        <v>180</v>
      </c>
      <c r="B74" s="97" t="s">
        <v>17</v>
      </c>
      <c r="C74">
        <v>8992</v>
      </c>
      <c r="D74">
        <v>4626</v>
      </c>
      <c r="E74">
        <v>4056</v>
      </c>
    </row>
    <row r="75" spans="1:5">
      <c r="A75" s="97" t="s">
        <v>180</v>
      </c>
      <c r="B75" s="97" t="s">
        <v>18</v>
      </c>
      <c r="C75">
        <v>10479</v>
      </c>
      <c r="D75">
        <v>3274</v>
      </c>
      <c r="E75">
        <v>4045</v>
      </c>
    </row>
    <row r="76" spans="1:5">
      <c r="A76" s="97" t="s">
        <v>180</v>
      </c>
      <c r="B76" s="97" t="s">
        <v>19</v>
      </c>
      <c r="C76">
        <v>11063</v>
      </c>
      <c r="D76">
        <v>2397</v>
      </c>
      <c r="E76">
        <v>4092</v>
      </c>
    </row>
    <row r="77" spans="1:5">
      <c r="A77" s="97" t="s">
        <v>180</v>
      </c>
      <c r="B77" s="97" t="s">
        <v>20</v>
      </c>
      <c r="C77">
        <v>13418</v>
      </c>
      <c r="D77">
        <v>21</v>
      </c>
      <c r="E77">
        <v>4046</v>
      </c>
    </row>
    <row r="78" spans="1:5">
      <c r="A78" s="97" t="s">
        <v>180</v>
      </c>
      <c r="B78" s="97" t="s">
        <v>21</v>
      </c>
      <c r="C78">
        <v>14931</v>
      </c>
      <c r="D78">
        <v>86</v>
      </c>
      <c r="E78">
        <v>4967</v>
      </c>
    </row>
    <row r="79" spans="1:5">
      <c r="A79" s="97" t="s">
        <v>180</v>
      </c>
      <c r="B79" s="97" t="s">
        <v>22</v>
      </c>
      <c r="C79">
        <v>20918</v>
      </c>
      <c r="D79">
        <v>127</v>
      </c>
      <c r="E79">
        <v>6550</v>
      </c>
    </row>
    <row r="80" spans="1:5">
      <c r="A80" s="97" t="s">
        <v>180</v>
      </c>
      <c r="B80" s="97" t="s">
        <v>23</v>
      </c>
      <c r="C80">
        <v>23528</v>
      </c>
      <c r="D80">
        <v>1409</v>
      </c>
      <c r="E80">
        <v>8074</v>
      </c>
    </row>
    <row r="81" spans="1:5">
      <c r="A81" s="97" t="s">
        <v>180</v>
      </c>
      <c r="B81" s="97" t="s">
        <v>24</v>
      </c>
      <c r="C81">
        <v>17819</v>
      </c>
      <c r="D81">
        <v>7011</v>
      </c>
      <c r="E81">
        <v>8075</v>
      </c>
    </row>
    <row r="82" spans="1:5">
      <c r="A82" s="97" t="s">
        <v>180</v>
      </c>
      <c r="B82" s="97" t="s">
        <v>25</v>
      </c>
      <c r="C82">
        <v>16675</v>
      </c>
      <c r="D82">
        <v>7898</v>
      </c>
      <c r="E82">
        <v>8091</v>
      </c>
    </row>
    <row r="83" spans="1:5">
      <c r="A83" s="97" t="s">
        <v>180</v>
      </c>
      <c r="B83" s="97" t="s">
        <v>26</v>
      </c>
      <c r="C83">
        <v>17304</v>
      </c>
      <c r="D83">
        <v>6816</v>
      </c>
      <c r="E83">
        <v>8057</v>
      </c>
    </row>
    <row r="84" spans="1:5">
      <c r="A84" s="97" t="s">
        <v>180</v>
      </c>
      <c r="B84" s="97" t="s">
        <v>27</v>
      </c>
      <c r="C84">
        <v>16158</v>
      </c>
      <c r="D84">
        <v>8240</v>
      </c>
      <c r="E84">
        <v>8044</v>
      </c>
    </row>
    <row r="85" spans="1:5">
      <c r="A85" s="97" t="s">
        <v>180</v>
      </c>
      <c r="B85" s="97" t="s">
        <v>28</v>
      </c>
      <c r="C85">
        <v>12111</v>
      </c>
      <c r="D85">
        <v>8555</v>
      </c>
      <c r="E85">
        <v>6934</v>
      </c>
    </row>
    <row r="86" spans="1:5">
      <c r="A86" s="97" t="s">
        <v>180</v>
      </c>
      <c r="B86" s="97" t="s">
        <v>29</v>
      </c>
      <c r="C86">
        <v>13435</v>
      </c>
      <c r="D86">
        <v>3116</v>
      </c>
      <c r="E86">
        <v>5064</v>
      </c>
    </row>
    <row r="87" spans="1:5">
      <c r="A87" s="97" t="s">
        <v>180</v>
      </c>
      <c r="B87" s="97" t="s">
        <v>30</v>
      </c>
      <c r="C87">
        <v>13351</v>
      </c>
      <c r="D87">
        <v>3875</v>
      </c>
      <c r="E87">
        <v>5856</v>
      </c>
    </row>
    <row r="88" spans="1:5">
      <c r="A88" s="97" t="s">
        <v>180</v>
      </c>
      <c r="B88" s="97" t="s">
        <v>31</v>
      </c>
      <c r="C88">
        <v>13399</v>
      </c>
      <c r="D88">
        <v>10495</v>
      </c>
      <c r="E88">
        <v>8061</v>
      </c>
    </row>
    <row r="89" spans="1:5">
      <c r="A89" s="97" t="s">
        <v>180</v>
      </c>
      <c r="B89" s="97" t="s">
        <v>32</v>
      </c>
      <c r="C89">
        <v>14251</v>
      </c>
      <c r="D89">
        <v>9987</v>
      </c>
      <c r="E89">
        <v>8056</v>
      </c>
    </row>
    <row r="90" spans="1:5">
      <c r="A90" s="97" t="s">
        <v>180</v>
      </c>
      <c r="B90" s="97" t="s">
        <v>33</v>
      </c>
      <c r="C90">
        <v>14146</v>
      </c>
      <c r="D90">
        <v>10209</v>
      </c>
      <c r="E90">
        <v>8059</v>
      </c>
    </row>
    <row r="91" spans="1:5">
      <c r="A91" s="97" t="s">
        <v>180</v>
      </c>
      <c r="B91" s="97" t="s">
        <v>34</v>
      </c>
      <c r="C91">
        <v>15090</v>
      </c>
      <c r="D91">
        <v>8625</v>
      </c>
      <c r="E91">
        <v>8088</v>
      </c>
    </row>
    <row r="92" spans="1:5">
      <c r="A92" s="97" t="s">
        <v>180</v>
      </c>
      <c r="B92" s="97" t="s">
        <v>35</v>
      </c>
      <c r="C92">
        <v>16699</v>
      </c>
      <c r="D92">
        <v>7349</v>
      </c>
      <c r="E92">
        <v>7950</v>
      </c>
    </row>
    <row r="93" spans="1:5">
      <c r="A93" s="97" t="s">
        <v>180</v>
      </c>
      <c r="B93" s="97" t="s">
        <v>36</v>
      </c>
      <c r="C93">
        <v>17116</v>
      </c>
      <c r="D93">
        <v>7534</v>
      </c>
      <c r="E93">
        <v>8056</v>
      </c>
    </row>
    <row r="94" spans="1:5">
      <c r="A94" s="97" t="s">
        <v>180</v>
      </c>
      <c r="B94" s="97" t="s">
        <v>37</v>
      </c>
      <c r="C94">
        <v>18538</v>
      </c>
      <c r="D94">
        <v>6481</v>
      </c>
      <c r="E94">
        <v>8057</v>
      </c>
    </row>
    <row r="95" spans="1:5">
      <c r="A95" s="97" t="s">
        <v>180</v>
      </c>
      <c r="B95" s="97" t="s">
        <v>38</v>
      </c>
      <c r="C95">
        <v>18766</v>
      </c>
      <c r="D95">
        <v>5932</v>
      </c>
      <c r="E95">
        <v>8057</v>
      </c>
    </row>
    <row r="96" spans="1:5">
      <c r="A96" s="97" t="s">
        <v>180</v>
      </c>
      <c r="B96" s="97" t="s">
        <v>39</v>
      </c>
      <c r="C96">
        <v>15901</v>
      </c>
      <c r="D96">
        <v>1888</v>
      </c>
      <c r="E96">
        <v>5301</v>
      </c>
    </row>
    <row r="97" spans="1:5">
      <c r="A97" s="97" t="s">
        <v>180</v>
      </c>
      <c r="B97" s="97" t="s">
        <v>40</v>
      </c>
      <c r="C97">
        <v>9836</v>
      </c>
      <c r="D97">
        <v>2121</v>
      </c>
      <c r="E97">
        <v>3967</v>
      </c>
    </row>
    <row r="98" spans="1:5">
      <c r="A98" s="96" t="s">
        <v>181</v>
      </c>
      <c r="B98" s="96" t="s">
        <v>17</v>
      </c>
      <c r="C98">
        <v>9301</v>
      </c>
      <c r="D98">
        <v>2032</v>
      </c>
      <c r="E98">
        <v>3043</v>
      </c>
    </row>
    <row r="99" spans="1:5">
      <c r="A99" s="96" t="s">
        <v>181</v>
      </c>
      <c r="B99" s="96" t="s">
        <v>18</v>
      </c>
      <c r="C99">
        <v>10779</v>
      </c>
      <c r="D99">
        <v>88</v>
      </c>
      <c r="E99">
        <v>3042</v>
      </c>
    </row>
    <row r="100" spans="1:5">
      <c r="A100" s="96" t="s">
        <v>181</v>
      </c>
      <c r="B100" s="96" t="s">
        <v>19</v>
      </c>
      <c r="C100">
        <v>11914</v>
      </c>
      <c r="D100">
        <v>2779</v>
      </c>
      <c r="E100">
        <v>3979</v>
      </c>
    </row>
    <row r="101" spans="1:5">
      <c r="A101" s="96" t="s">
        <v>181</v>
      </c>
      <c r="B101" s="96" t="s">
        <v>20</v>
      </c>
      <c r="C101">
        <v>14098</v>
      </c>
      <c r="D101">
        <v>155</v>
      </c>
      <c r="E101">
        <v>4048</v>
      </c>
    </row>
    <row r="102" spans="1:5">
      <c r="A102" s="96" t="s">
        <v>181</v>
      </c>
      <c r="B102" s="96" t="s">
        <v>21</v>
      </c>
      <c r="C102">
        <v>19460</v>
      </c>
      <c r="D102">
        <v>115</v>
      </c>
      <c r="E102">
        <v>6060</v>
      </c>
    </row>
    <row r="103" spans="1:5">
      <c r="A103" s="96" t="s">
        <v>181</v>
      </c>
      <c r="B103" s="96" t="s">
        <v>22</v>
      </c>
      <c r="C103">
        <v>21568</v>
      </c>
      <c r="D103">
        <v>8986</v>
      </c>
      <c r="E103">
        <v>8057</v>
      </c>
    </row>
    <row r="104" spans="1:5">
      <c r="A104" s="96" t="s">
        <v>181</v>
      </c>
      <c r="B104" s="96" t="s">
        <v>23</v>
      </c>
      <c r="C104">
        <v>19868</v>
      </c>
      <c r="D104">
        <v>4539</v>
      </c>
      <c r="E104">
        <v>8045</v>
      </c>
    </row>
    <row r="105" spans="1:5">
      <c r="A105" s="96" t="s">
        <v>181</v>
      </c>
      <c r="B105" s="96" t="s">
        <v>24</v>
      </c>
      <c r="C105">
        <v>18404</v>
      </c>
      <c r="D105">
        <v>6774</v>
      </c>
      <c r="E105">
        <v>8087</v>
      </c>
    </row>
    <row r="106" spans="1:5">
      <c r="A106" s="96" t="s">
        <v>181</v>
      </c>
      <c r="B106" s="96" t="s">
        <v>25</v>
      </c>
      <c r="C106">
        <v>16678</v>
      </c>
      <c r="D106">
        <v>7939</v>
      </c>
      <c r="E106">
        <v>8072</v>
      </c>
    </row>
    <row r="107" spans="1:5">
      <c r="A107" s="96" t="s">
        <v>181</v>
      </c>
      <c r="B107" s="96" t="s">
        <v>26</v>
      </c>
      <c r="C107">
        <v>16971</v>
      </c>
      <c r="D107">
        <v>6704</v>
      </c>
      <c r="E107">
        <v>8060</v>
      </c>
    </row>
    <row r="108" spans="1:5">
      <c r="A108" s="96" t="s">
        <v>181</v>
      </c>
      <c r="B108" s="96" t="s">
        <v>27</v>
      </c>
      <c r="C108">
        <v>15419</v>
      </c>
      <c r="D108">
        <v>8966</v>
      </c>
      <c r="E108">
        <v>8052</v>
      </c>
    </row>
    <row r="109" spans="1:5">
      <c r="A109" s="96" t="s">
        <v>181</v>
      </c>
      <c r="B109" s="96" t="s">
        <v>28</v>
      </c>
      <c r="C109">
        <v>15108</v>
      </c>
      <c r="D109">
        <v>5045</v>
      </c>
      <c r="E109">
        <v>6420</v>
      </c>
    </row>
    <row r="110" spans="1:5">
      <c r="A110" s="96" t="s">
        <v>181</v>
      </c>
      <c r="B110" s="96" t="s">
        <v>29</v>
      </c>
      <c r="C110">
        <v>12888</v>
      </c>
      <c r="D110">
        <v>3110</v>
      </c>
      <c r="E110">
        <v>5062</v>
      </c>
    </row>
    <row r="111" spans="1:5">
      <c r="A111" s="96" t="s">
        <v>181</v>
      </c>
      <c r="B111" s="96" t="s">
        <v>30</v>
      </c>
      <c r="C111">
        <v>12278</v>
      </c>
      <c r="D111">
        <v>3581</v>
      </c>
      <c r="E111">
        <v>5054</v>
      </c>
    </row>
    <row r="112" spans="1:5">
      <c r="A112" s="96" t="s">
        <v>181</v>
      </c>
      <c r="B112" s="96" t="s">
        <v>31</v>
      </c>
      <c r="C112">
        <v>12193</v>
      </c>
      <c r="D112">
        <v>8327</v>
      </c>
      <c r="E112">
        <v>6785</v>
      </c>
    </row>
    <row r="113" spans="1:5">
      <c r="A113" s="96" t="s">
        <v>181</v>
      </c>
      <c r="B113" s="96" t="s">
        <v>32</v>
      </c>
      <c r="C113">
        <v>13056</v>
      </c>
      <c r="D113">
        <v>11246</v>
      </c>
      <c r="E113">
        <v>8067</v>
      </c>
    </row>
    <row r="114" spans="1:5">
      <c r="A114" s="96" t="s">
        <v>181</v>
      </c>
      <c r="B114" s="96" t="s">
        <v>33</v>
      </c>
      <c r="C114">
        <v>13598</v>
      </c>
      <c r="D114">
        <v>10736</v>
      </c>
      <c r="E114">
        <v>8045</v>
      </c>
    </row>
    <row r="115" spans="1:5">
      <c r="A115" s="96" t="s">
        <v>181</v>
      </c>
      <c r="B115" s="96" t="s">
        <v>34</v>
      </c>
      <c r="C115">
        <v>14829</v>
      </c>
      <c r="D115">
        <v>8793</v>
      </c>
      <c r="E115">
        <v>8058</v>
      </c>
    </row>
    <row r="116" spans="1:5">
      <c r="A116" s="96" t="s">
        <v>181</v>
      </c>
      <c r="B116" s="96" t="s">
        <v>35</v>
      </c>
      <c r="C116">
        <v>16830</v>
      </c>
      <c r="D116">
        <v>7150</v>
      </c>
      <c r="E116">
        <v>8059</v>
      </c>
    </row>
    <row r="117" spans="1:5">
      <c r="A117" s="96" t="s">
        <v>181</v>
      </c>
      <c r="B117" s="96" t="s">
        <v>36</v>
      </c>
      <c r="C117">
        <v>17185</v>
      </c>
      <c r="D117">
        <v>7038</v>
      </c>
      <c r="E117">
        <v>8056</v>
      </c>
    </row>
    <row r="118" spans="1:5">
      <c r="A118" s="96" t="s">
        <v>181</v>
      </c>
      <c r="B118" s="96" t="s">
        <v>37</v>
      </c>
      <c r="C118">
        <v>18107</v>
      </c>
      <c r="D118">
        <v>7013</v>
      </c>
      <c r="E118">
        <v>8060</v>
      </c>
    </row>
    <row r="119" spans="1:5">
      <c r="A119" s="96" t="s">
        <v>181</v>
      </c>
      <c r="B119" s="96" t="s">
        <v>38</v>
      </c>
      <c r="C119">
        <v>17087</v>
      </c>
      <c r="D119">
        <v>5632</v>
      </c>
      <c r="E119">
        <v>8054</v>
      </c>
    </row>
    <row r="120" spans="1:5">
      <c r="A120" s="96" t="s">
        <v>181</v>
      </c>
      <c r="B120" s="96" t="s">
        <v>39</v>
      </c>
      <c r="C120">
        <v>13764</v>
      </c>
      <c r="D120">
        <v>6930</v>
      </c>
      <c r="E120">
        <v>7039</v>
      </c>
    </row>
    <row r="121" spans="1:5">
      <c r="A121" s="96" t="s">
        <v>181</v>
      </c>
      <c r="B121" s="96" t="s">
        <v>40</v>
      </c>
      <c r="C121">
        <v>7359</v>
      </c>
      <c r="D121">
        <v>5472</v>
      </c>
      <c r="E121">
        <v>3893</v>
      </c>
    </row>
    <row r="122" spans="1:5">
      <c r="A122" s="97" t="s">
        <v>182</v>
      </c>
      <c r="B122" s="97" t="s">
        <v>17</v>
      </c>
      <c r="C122">
        <v>7063</v>
      </c>
      <c r="D122">
        <v>4007</v>
      </c>
      <c r="E122">
        <v>3057</v>
      </c>
    </row>
    <row r="123" spans="1:5">
      <c r="A123" s="97" t="s">
        <v>182</v>
      </c>
      <c r="B123" s="97" t="s">
        <v>18</v>
      </c>
      <c r="C123">
        <v>11742</v>
      </c>
      <c r="D123">
        <v>22</v>
      </c>
      <c r="E123">
        <v>3761</v>
      </c>
    </row>
    <row r="124" spans="1:5">
      <c r="A124" s="97" t="s">
        <v>182</v>
      </c>
      <c r="B124" s="97" t="s">
        <v>19</v>
      </c>
      <c r="C124">
        <v>9772</v>
      </c>
      <c r="D124">
        <v>3711</v>
      </c>
      <c r="E124">
        <v>4020</v>
      </c>
    </row>
    <row r="125" spans="1:5">
      <c r="A125" s="97" t="s">
        <v>182</v>
      </c>
      <c r="B125" s="97" t="s">
        <v>20</v>
      </c>
      <c r="C125">
        <v>10193</v>
      </c>
      <c r="D125">
        <v>3773</v>
      </c>
      <c r="E125">
        <v>4053</v>
      </c>
    </row>
    <row r="126" spans="1:5">
      <c r="A126" s="97" t="s">
        <v>182</v>
      </c>
      <c r="B126" s="97" t="s">
        <v>21</v>
      </c>
      <c r="C126">
        <v>15238</v>
      </c>
      <c r="D126">
        <v>126</v>
      </c>
      <c r="E126">
        <v>5007</v>
      </c>
    </row>
    <row r="127" spans="1:5">
      <c r="A127" s="97" t="s">
        <v>182</v>
      </c>
      <c r="B127" s="97" t="s">
        <v>22</v>
      </c>
      <c r="C127">
        <v>21660</v>
      </c>
      <c r="D127">
        <v>74</v>
      </c>
      <c r="E127">
        <v>7226</v>
      </c>
    </row>
    <row r="128" spans="1:5">
      <c r="A128" s="97" t="s">
        <v>182</v>
      </c>
      <c r="B128" s="97" t="s">
        <v>23</v>
      </c>
      <c r="C128">
        <v>22237</v>
      </c>
      <c r="D128">
        <v>2723</v>
      </c>
      <c r="E128">
        <v>8045</v>
      </c>
    </row>
    <row r="129" spans="1:5">
      <c r="A129" s="97" t="s">
        <v>182</v>
      </c>
      <c r="B129" s="97" t="s">
        <v>24</v>
      </c>
      <c r="C129">
        <v>16657</v>
      </c>
      <c r="D129">
        <v>7652</v>
      </c>
      <c r="E129">
        <v>8066</v>
      </c>
    </row>
    <row r="130" spans="1:5">
      <c r="A130" s="97" t="s">
        <v>182</v>
      </c>
      <c r="B130" s="97" t="s">
        <v>25</v>
      </c>
      <c r="C130">
        <v>15978</v>
      </c>
      <c r="D130">
        <v>7667</v>
      </c>
      <c r="E130">
        <v>8065</v>
      </c>
    </row>
    <row r="131" spans="1:5">
      <c r="A131" s="97" t="s">
        <v>182</v>
      </c>
      <c r="B131" s="97" t="s">
        <v>26</v>
      </c>
      <c r="C131">
        <v>16718</v>
      </c>
      <c r="D131">
        <v>7582</v>
      </c>
      <c r="E131">
        <v>8054</v>
      </c>
    </row>
    <row r="132" spans="1:5">
      <c r="A132" s="97" t="s">
        <v>182</v>
      </c>
      <c r="B132" s="97" t="s">
        <v>27</v>
      </c>
      <c r="C132">
        <v>14834</v>
      </c>
      <c r="D132">
        <v>9333</v>
      </c>
      <c r="E132">
        <v>8068</v>
      </c>
    </row>
    <row r="133" spans="1:5">
      <c r="A133" s="97" t="s">
        <v>182</v>
      </c>
      <c r="B133" s="97" t="s">
        <v>28</v>
      </c>
      <c r="C133">
        <v>15433</v>
      </c>
      <c r="D133">
        <v>8882</v>
      </c>
      <c r="E133">
        <v>8054</v>
      </c>
    </row>
    <row r="134" spans="1:5">
      <c r="A134" s="97" t="s">
        <v>182</v>
      </c>
      <c r="B134" s="97" t="s">
        <v>29</v>
      </c>
      <c r="C134">
        <v>15372</v>
      </c>
      <c r="D134">
        <v>8546</v>
      </c>
      <c r="E134">
        <v>8062</v>
      </c>
    </row>
    <row r="135" spans="1:5">
      <c r="A135" s="97" t="s">
        <v>182</v>
      </c>
      <c r="B135" s="97" t="s">
        <v>30</v>
      </c>
      <c r="C135">
        <v>15904</v>
      </c>
      <c r="D135">
        <v>8211</v>
      </c>
      <c r="E135">
        <v>8053</v>
      </c>
    </row>
    <row r="136" spans="1:5">
      <c r="A136" s="97" t="s">
        <v>182</v>
      </c>
      <c r="B136" s="97" t="s">
        <v>31</v>
      </c>
      <c r="C136">
        <v>15054</v>
      </c>
      <c r="D136">
        <v>8708</v>
      </c>
      <c r="E136">
        <v>8062</v>
      </c>
    </row>
    <row r="137" spans="1:5">
      <c r="A137" s="97" t="s">
        <v>182</v>
      </c>
      <c r="B137" s="97" t="s">
        <v>32</v>
      </c>
      <c r="C137">
        <v>15221</v>
      </c>
      <c r="D137">
        <v>9478</v>
      </c>
      <c r="E137">
        <v>8048</v>
      </c>
    </row>
    <row r="138" spans="1:5">
      <c r="A138" s="97" t="s">
        <v>182</v>
      </c>
      <c r="B138" s="97" t="s">
        <v>33</v>
      </c>
      <c r="C138">
        <v>15633</v>
      </c>
      <c r="D138">
        <v>8827</v>
      </c>
      <c r="E138">
        <v>8052</v>
      </c>
    </row>
    <row r="139" spans="1:5">
      <c r="A139" s="97" t="s">
        <v>182</v>
      </c>
      <c r="B139" s="97" t="s">
        <v>34</v>
      </c>
      <c r="C139">
        <v>15586</v>
      </c>
      <c r="D139">
        <v>8517</v>
      </c>
      <c r="E139">
        <v>8053</v>
      </c>
    </row>
    <row r="140" spans="1:5">
      <c r="A140" s="97" t="s">
        <v>182</v>
      </c>
      <c r="B140" s="97" t="s">
        <v>35</v>
      </c>
      <c r="C140">
        <v>15416</v>
      </c>
      <c r="D140">
        <v>8727</v>
      </c>
      <c r="E140">
        <v>8059</v>
      </c>
    </row>
    <row r="141" spans="1:5">
      <c r="A141" s="97" t="s">
        <v>182</v>
      </c>
      <c r="B141" s="97" t="s">
        <v>36</v>
      </c>
      <c r="C141">
        <v>15677</v>
      </c>
      <c r="D141">
        <v>8720</v>
      </c>
      <c r="E141">
        <v>8044</v>
      </c>
    </row>
    <row r="142" spans="1:5">
      <c r="A142" s="97" t="s">
        <v>182</v>
      </c>
      <c r="B142" s="97" t="s">
        <v>37</v>
      </c>
      <c r="C142">
        <v>16076</v>
      </c>
      <c r="D142">
        <v>8436</v>
      </c>
      <c r="E142">
        <v>8061</v>
      </c>
    </row>
    <row r="143" spans="1:5">
      <c r="A143" s="97" t="s">
        <v>182</v>
      </c>
      <c r="B143" s="97" t="s">
        <v>38</v>
      </c>
      <c r="C143">
        <v>16823</v>
      </c>
      <c r="D143">
        <v>7403</v>
      </c>
      <c r="E143">
        <v>8040</v>
      </c>
    </row>
    <row r="144" spans="1:5">
      <c r="A144" s="97" t="s">
        <v>182</v>
      </c>
      <c r="B144" s="97" t="s">
        <v>39</v>
      </c>
      <c r="C144">
        <v>12555</v>
      </c>
      <c r="D144">
        <v>8016</v>
      </c>
      <c r="E144">
        <v>6979</v>
      </c>
    </row>
    <row r="145" spans="1:5">
      <c r="A145" s="97" t="s">
        <v>182</v>
      </c>
      <c r="B145" s="97" t="s">
        <v>40</v>
      </c>
      <c r="C145">
        <v>7122</v>
      </c>
      <c r="D145">
        <v>7643</v>
      </c>
      <c r="E145">
        <v>4339</v>
      </c>
    </row>
    <row r="146" spans="1:5">
      <c r="A146" s="96" t="s">
        <v>183</v>
      </c>
      <c r="B146" s="96" t="s">
        <v>17</v>
      </c>
      <c r="C146">
        <v>7045</v>
      </c>
      <c r="D146">
        <v>6670</v>
      </c>
      <c r="E146">
        <v>4056</v>
      </c>
    </row>
    <row r="147" spans="1:5">
      <c r="A147" s="96" t="s">
        <v>183</v>
      </c>
      <c r="B147" s="96" t="s">
        <v>18</v>
      </c>
      <c r="C147">
        <v>7654</v>
      </c>
      <c r="D147">
        <v>5644</v>
      </c>
      <c r="E147">
        <v>4050</v>
      </c>
    </row>
    <row r="148" spans="1:5">
      <c r="A148" s="96" t="s">
        <v>183</v>
      </c>
      <c r="B148" s="96" t="s">
        <v>19</v>
      </c>
      <c r="C148">
        <v>9321</v>
      </c>
      <c r="D148">
        <v>4662</v>
      </c>
      <c r="E148">
        <v>4059</v>
      </c>
    </row>
    <row r="149" spans="1:5">
      <c r="A149" s="96" t="s">
        <v>183</v>
      </c>
      <c r="B149" s="96" t="s">
        <v>20</v>
      </c>
      <c r="C149">
        <v>11201</v>
      </c>
      <c r="D149">
        <v>3493</v>
      </c>
      <c r="E149">
        <v>4708</v>
      </c>
    </row>
    <row r="150" spans="1:5">
      <c r="A150" s="96" t="s">
        <v>183</v>
      </c>
      <c r="B150" s="96" t="s">
        <v>21</v>
      </c>
      <c r="C150">
        <v>16794</v>
      </c>
      <c r="D150">
        <v>133</v>
      </c>
      <c r="E150">
        <v>5948</v>
      </c>
    </row>
    <row r="151" spans="1:5">
      <c r="A151" s="96" t="s">
        <v>183</v>
      </c>
      <c r="B151" s="96" t="s">
        <v>22</v>
      </c>
      <c r="C151">
        <v>20769</v>
      </c>
      <c r="D151">
        <v>3416</v>
      </c>
      <c r="E151">
        <v>6982</v>
      </c>
    </row>
    <row r="152" spans="1:5">
      <c r="A152" s="96" t="s">
        <v>183</v>
      </c>
      <c r="B152" s="96" t="s">
        <v>23</v>
      </c>
      <c r="C152">
        <v>18275</v>
      </c>
      <c r="D152">
        <v>6666</v>
      </c>
      <c r="E152">
        <v>8037</v>
      </c>
    </row>
    <row r="153" spans="1:5">
      <c r="A153" s="96" t="s">
        <v>183</v>
      </c>
      <c r="B153" s="96" t="s">
        <v>24</v>
      </c>
      <c r="C153">
        <v>17646</v>
      </c>
      <c r="D153">
        <v>6409</v>
      </c>
      <c r="E153">
        <v>8057</v>
      </c>
    </row>
    <row r="154" spans="1:5">
      <c r="A154" s="96" t="s">
        <v>183</v>
      </c>
      <c r="B154" s="96" t="s">
        <v>25</v>
      </c>
      <c r="C154">
        <v>17578</v>
      </c>
      <c r="D154">
        <v>6881</v>
      </c>
      <c r="E154">
        <v>8075</v>
      </c>
    </row>
    <row r="155" spans="1:5">
      <c r="A155" s="96" t="s">
        <v>183</v>
      </c>
      <c r="B155" s="96" t="s">
        <v>26</v>
      </c>
      <c r="C155">
        <v>17076</v>
      </c>
      <c r="D155">
        <v>7009</v>
      </c>
      <c r="E155">
        <v>8071</v>
      </c>
    </row>
    <row r="156" spans="1:5">
      <c r="A156" s="96" t="s">
        <v>183</v>
      </c>
      <c r="B156" s="96" t="s">
        <v>27</v>
      </c>
      <c r="C156">
        <v>15086</v>
      </c>
      <c r="D156">
        <v>9297</v>
      </c>
      <c r="E156">
        <v>8050</v>
      </c>
    </row>
    <row r="157" spans="1:5">
      <c r="A157" s="96" t="s">
        <v>183</v>
      </c>
      <c r="B157" s="96" t="s">
        <v>28</v>
      </c>
      <c r="C157">
        <v>15908</v>
      </c>
      <c r="D157">
        <v>4095</v>
      </c>
      <c r="E157">
        <v>6523</v>
      </c>
    </row>
    <row r="158" spans="1:5">
      <c r="A158" s="96" t="s">
        <v>183</v>
      </c>
      <c r="B158" s="96" t="s">
        <v>29</v>
      </c>
      <c r="C158">
        <v>14082</v>
      </c>
      <c r="D158">
        <v>2104</v>
      </c>
      <c r="E158">
        <v>5065</v>
      </c>
    </row>
    <row r="159" spans="1:5">
      <c r="A159" s="96" t="s">
        <v>183</v>
      </c>
      <c r="B159" s="96" t="s">
        <v>30</v>
      </c>
      <c r="C159">
        <v>14323</v>
      </c>
      <c r="D159">
        <v>2112</v>
      </c>
      <c r="E159">
        <v>5064</v>
      </c>
    </row>
    <row r="160" spans="1:5">
      <c r="A160" s="96" t="s">
        <v>183</v>
      </c>
      <c r="B160" s="96" t="s">
        <v>31</v>
      </c>
      <c r="C160">
        <v>16603</v>
      </c>
      <c r="D160">
        <v>7395</v>
      </c>
      <c r="E160">
        <v>6752</v>
      </c>
    </row>
    <row r="161" spans="1:5">
      <c r="A161" s="96" t="s">
        <v>183</v>
      </c>
      <c r="B161" s="96" t="s">
        <v>32</v>
      </c>
      <c r="C161">
        <v>14534</v>
      </c>
      <c r="D161">
        <v>10402</v>
      </c>
      <c r="E161">
        <v>8055</v>
      </c>
    </row>
    <row r="162" spans="1:5">
      <c r="A162" s="96" t="s">
        <v>183</v>
      </c>
      <c r="B162" s="96" t="s">
        <v>33</v>
      </c>
      <c r="C162">
        <v>15281</v>
      </c>
      <c r="D162">
        <v>8746</v>
      </c>
      <c r="E162">
        <v>8048</v>
      </c>
    </row>
    <row r="163" spans="1:5">
      <c r="A163" s="96" t="s">
        <v>183</v>
      </c>
      <c r="B163" s="96" t="s">
        <v>34</v>
      </c>
      <c r="C163">
        <v>14926</v>
      </c>
      <c r="D163">
        <v>8909</v>
      </c>
      <c r="E163">
        <v>8079</v>
      </c>
    </row>
    <row r="164" spans="1:5">
      <c r="A164" s="96" t="s">
        <v>183</v>
      </c>
      <c r="B164" s="96" t="s">
        <v>35</v>
      </c>
      <c r="C164">
        <v>14996</v>
      </c>
      <c r="D164">
        <v>9377</v>
      </c>
      <c r="E164">
        <v>8050</v>
      </c>
    </row>
    <row r="165" spans="1:5">
      <c r="A165" s="96" t="s">
        <v>183</v>
      </c>
      <c r="B165" s="96" t="s">
        <v>36</v>
      </c>
      <c r="C165">
        <v>16390</v>
      </c>
      <c r="D165">
        <v>8052</v>
      </c>
      <c r="E165">
        <v>8059</v>
      </c>
    </row>
    <row r="166" spans="1:5">
      <c r="A166" s="96" t="s">
        <v>183</v>
      </c>
      <c r="B166" s="96" t="s">
        <v>37</v>
      </c>
      <c r="C166">
        <v>16373</v>
      </c>
      <c r="D166">
        <v>8012</v>
      </c>
      <c r="E166">
        <v>8060</v>
      </c>
    </row>
    <row r="167" spans="1:5">
      <c r="A167" s="96" t="s">
        <v>183</v>
      </c>
      <c r="B167" s="96" t="s">
        <v>38</v>
      </c>
      <c r="C167">
        <v>17498</v>
      </c>
      <c r="D167">
        <v>6568</v>
      </c>
      <c r="E167">
        <v>8069</v>
      </c>
    </row>
    <row r="168" spans="1:5">
      <c r="A168" s="96" t="s">
        <v>183</v>
      </c>
      <c r="B168" s="96" t="s">
        <v>39</v>
      </c>
      <c r="C168">
        <v>14334</v>
      </c>
      <c r="D168">
        <v>3920</v>
      </c>
      <c r="E168">
        <v>6100</v>
      </c>
    </row>
    <row r="169" spans="1:5">
      <c r="A169" s="96" t="s">
        <v>183</v>
      </c>
      <c r="B169" s="96" t="s">
        <v>40</v>
      </c>
      <c r="C169">
        <v>8166</v>
      </c>
      <c r="D169">
        <v>3658</v>
      </c>
      <c r="E169">
        <v>3691</v>
      </c>
    </row>
    <row r="170" spans="1:5">
      <c r="A170" s="97" t="s">
        <v>184</v>
      </c>
      <c r="B170" s="97" t="s">
        <v>17</v>
      </c>
      <c r="C170">
        <v>8533</v>
      </c>
      <c r="D170">
        <v>3240</v>
      </c>
      <c r="E170">
        <v>3660</v>
      </c>
    </row>
    <row r="171" spans="1:5">
      <c r="A171" s="97" t="s">
        <v>184</v>
      </c>
      <c r="B171" s="97" t="s">
        <v>18</v>
      </c>
      <c r="C171">
        <v>9197</v>
      </c>
      <c r="D171">
        <v>3446</v>
      </c>
      <c r="E171">
        <v>3481</v>
      </c>
    </row>
    <row r="172" spans="1:5">
      <c r="A172" s="97" t="s">
        <v>184</v>
      </c>
      <c r="B172" s="97" t="s">
        <v>19</v>
      </c>
      <c r="C172">
        <v>11158</v>
      </c>
      <c r="D172">
        <v>1233</v>
      </c>
      <c r="E172">
        <v>3467</v>
      </c>
    </row>
    <row r="173" spans="1:5">
      <c r="A173" s="97" t="s">
        <v>184</v>
      </c>
      <c r="B173" s="97" t="s">
        <v>20</v>
      </c>
      <c r="C173">
        <v>12062</v>
      </c>
      <c r="D173">
        <v>2576</v>
      </c>
      <c r="E173">
        <v>4046</v>
      </c>
    </row>
    <row r="174" spans="1:5">
      <c r="A174" s="97" t="s">
        <v>184</v>
      </c>
      <c r="B174" s="97" t="s">
        <v>21</v>
      </c>
      <c r="C174">
        <v>19094</v>
      </c>
      <c r="D174">
        <v>70</v>
      </c>
      <c r="E174">
        <v>6029</v>
      </c>
    </row>
    <row r="175" spans="1:5">
      <c r="A175" s="97" t="s">
        <v>184</v>
      </c>
      <c r="B175" s="97" t="s">
        <v>22</v>
      </c>
      <c r="C175">
        <v>19520</v>
      </c>
      <c r="D175">
        <v>102</v>
      </c>
      <c r="E175">
        <v>6057</v>
      </c>
    </row>
    <row r="176" spans="1:5">
      <c r="A176" s="97" t="s">
        <v>184</v>
      </c>
      <c r="B176" s="97" t="s">
        <v>23</v>
      </c>
      <c r="C176">
        <v>19441</v>
      </c>
      <c r="D176">
        <v>91</v>
      </c>
      <c r="E176">
        <v>6060</v>
      </c>
    </row>
    <row r="177" spans="1:5">
      <c r="A177" s="97" t="s">
        <v>184</v>
      </c>
      <c r="B177" s="97" t="s">
        <v>24</v>
      </c>
      <c r="C177">
        <v>16624</v>
      </c>
      <c r="D177">
        <v>123</v>
      </c>
      <c r="E177">
        <v>5074</v>
      </c>
    </row>
    <row r="178" spans="1:5">
      <c r="A178" s="97" t="s">
        <v>184</v>
      </c>
      <c r="B178" s="97" t="s">
        <v>25</v>
      </c>
      <c r="C178">
        <v>19086</v>
      </c>
      <c r="D178">
        <v>1321</v>
      </c>
      <c r="E178">
        <v>6075</v>
      </c>
    </row>
    <row r="179" spans="1:5">
      <c r="A179" s="97" t="s">
        <v>184</v>
      </c>
      <c r="B179" s="97" t="s">
        <v>26</v>
      </c>
      <c r="C179">
        <v>14769</v>
      </c>
      <c r="D179">
        <v>1121</v>
      </c>
      <c r="E179">
        <v>5105</v>
      </c>
    </row>
    <row r="180" spans="1:5">
      <c r="A180" s="97" t="s">
        <v>184</v>
      </c>
      <c r="B180" s="97" t="s">
        <v>27</v>
      </c>
      <c r="C180">
        <v>16128</v>
      </c>
      <c r="D180">
        <v>22</v>
      </c>
      <c r="E180">
        <v>5046</v>
      </c>
    </row>
    <row r="181" spans="1:5">
      <c r="A181" s="97" t="s">
        <v>184</v>
      </c>
      <c r="B181" s="97" t="s">
        <v>28</v>
      </c>
      <c r="C181">
        <v>14303</v>
      </c>
      <c r="D181">
        <v>1928</v>
      </c>
      <c r="E181">
        <v>5054</v>
      </c>
    </row>
    <row r="182" spans="1:5">
      <c r="A182" s="97" t="s">
        <v>184</v>
      </c>
      <c r="B182" s="97" t="s">
        <v>29</v>
      </c>
      <c r="C182">
        <v>13516</v>
      </c>
      <c r="D182">
        <v>2615</v>
      </c>
      <c r="E182">
        <v>5020</v>
      </c>
    </row>
    <row r="183" spans="1:5">
      <c r="A183" s="97" t="s">
        <v>184</v>
      </c>
      <c r="B183" s="97" t="s">
        <v>30</v>
      </c>
      <c r="C183">
        <v>13149</v>
      </c>
      <c r="D183">
        <v>1793</v>
      </c>
      <c r="E183">
        <v>5017</v>
      </c>
    </row>
    <row r="184" spans="1:5">
      <c r="A184" s="97" t="s">
        <v>184</v>
      </c>
      <c r="B184" s="97" t="s">
        <v>31</v>
      </c>
      <c r="C184">
        <v>13121</v>
      </c>
      <c r="D184">
        <v>3097</v>
      </c>
      <c r="E184">
        <v>5061</v>
      </c>
    </row>
    <row r="185" spans="1:5">
      <c r="A185" s="97" t="s">
        <v>184</v>
      </c>
      <c r="B185" s="97" t="s">
        <v>32</v>
      </c>
      <c r="C185">
        <v>13516</v>
      </c>
      <c r="D185">
        <v>2720</v>
      </c>
      <c r="E185">
        <v>5052</v>
      </c>
    </row>
    <row r="186" spans="1:5">
      <c r="A186" s="97" t="s">
        <v>184</v>
      </c>
      <c r="B186" s="97" t="s">
        <v>33</v>
      </c>
      <c r="C186">
        <v>14538</v>
      </c>
      <c r="D186">
        <v>6620</v>
      </c>
      <c r="E186">
        <v>6929</v>
      </c>
    </row>
    <row r="187" spans="1:5">
      <c r="A187" s="97" t="s">
        <v>184</v>
      </c>
      <c r="B187" s="97" t="s">
        <v>34</v>
      </c>
      <c r="C187">
        <v>15792</v>
      </c>
      <c r="D187">
        <v>8635</v>
      </c>
      <c r="E187">
        <v>8049</v>
      </c>
    </row>
    <row r="188" spans="1:5">
      <c r="A188" s="97" t="s">
        <v>184</v>
      </c>
      <c r="B188" s="97" t="s">
        <v>35</v>
      </c>
      <c r="C188">
        <v>17360</v>
      </c>
      <c r="D188">
        <v>7082</v>
      </c>
      <c r="E188">
        <v>8056</v>
      </c>
    </row>
    <row r="189" spans="1:5">
      <c r="A189" s="97" t="s">
        <v>184</v>
      </c>
      <c r="B189" s="97" t="s">
        <v>36</v>
      </c>
      <c r="C189">
        <v>17554</v>
      </c>
      <c r="D189">
        <v>6868</v>
      </c>
      <c r="E189">
        <v>8056</v>
      </c>
    </row>
    <row r="190" spans="1:5">
      <c r="A190" s="97" t="s">
        <v>184</v>
      </c>
      <c r="B190" s="97" t="s">
        <v>37</v>
      </c>
      <c r="C190">
        <v>18295</v>
      </c>
      <c r="D190">
        <v>6752</v>
      </c>
      <c r="E190">
        <v>8081</v>
      </c>
    </row>
    <row r="191" spans="1:5">
      <c r="A191" s="97" t="s">
        <v>184</v>
      </c>
      <c r="B191" s="97" t="s">
        <v>38</v>
      </c>
      <c r="C191">
        <v>18363</v>
      </c>
      <c r="D191">
        <v>2039</v>
      </c>
      <c r="E191">
        <v>6633</v>
      </c>
    </row>
    <row r="192" spans="1:5">
      <c r="A192" s="97" t="s">
        <v>184</v>
      </c>
      <c r="B192" s="97" t="s">
        <v>39</v>
      </c>
      <c r="C192">
        <v>16559</v>
      </c>
      <c r="D192">
        <v>1828</v>
      </c>
      <c r="E192">
        <v>5233</v>
      </c>
    </row>
    <row r="193" spans="1:5">
      <c r="A193" s="97" t="s">
        <v>184</v>
      </c>
      <c r="B193" s="97" t="s">
        <v>40</v>
      </c>
      <c r="C193">
        <v>10653</v>
      </c>
      <c r="D193">
        <v>2992</v>
      </c>
      <c r="E193">
        <v>3141</v>
      </c>
    </row>
    <row r="194" spans="1:5">
      <c r="A194" s="96" t="s">
        <v>185</v>
      </c>
      <c r="B194" s="96" t="s">
        <v>17</v>
      </c>
      <c r="C194">
        <v>10470</v>
      </c>
      <c r="D194">
        <v>52</v>
      </c>
      <c r="E194">
        <v>3435</v>
      </c>
    </row>
    <row r="195" spans="1:5">
      <c r="A195" s="96" t="s">
        <v>185</v>
      </c>
      <c r="B195" s="96" t="s">
        <v>18</v>
      </c>
      <c r="C195">
        <v>10941</v>
      </c>
      <c r="D195">
        <v>2692</v>
      </c>
      <c r="E195">
        <v>4057</v>
      </c>
    </row>
    <row r="196" spans="1:5">
      <c r="A196" s="96" t="s">
        <v>185</v>
      </c>
      <c r="B196" s="96" t="s">
        <v>19</v>
      </c>
      <c r="C196">
        <v>13866</v>
      </c>
      <c r="D196">
        <v>52</v>
      </c>
      <c r="E196">
        <v>4057</v>
      </c>
    </row>
    <row r="197" spans="1:5">
      <c r="A197" s="96" t="s">
        <v>185</v>
      </c>
      <c r="B197" s="96" t="s">
        <v>20</v>
      </c>
      <c r="C197">
        <v>14857</v>
      </c>
      <c r="D197">
        <v>62</v>
      </c>
      <c r="E197">
        <v>4066</v>
      </c>
    </row>
    <row r="198" spans="1:5">
      <c r="A198" s="96" t="s">
        <v>185</v>
      </c>
      <c r="B198" s="96" t="s">
        <v>21</v>
      </c>
      <c r="C198">
        <v>15180</v>
      </c>
      <c r="D198">
        <v>21</v>
      </c>
      <c r="E198">
        <v>5413</v>
      </c>
    </row>
    <row r="199" spans="1:5">
      <c r="A199" s="96" t="s">
        <v>185</v>
      </c>
      <c r="B199" s="96" t="s">
        <v>22</v>
      </c>
      <c r="C199">
        <v>22700</v>
      </c>
      <c r="D199">
        <v>164</v>
      </c>
      <c r="E199">
        <v>6054</v>
      </c>
    </row>
    <row r="200" spans="1:5">
      <c r="A200" s="96" t="s">
        <v>185</v>
      </c>
      <c r="B200" s="96" t="s">
        <v>23</v>
      </c>
      <c r="C200">
        <v>22142</v>
      </c>
      <c r="D200">
        <v>100</v>
      </c>
      <c r="E200">
        <v>6058</v>
      </c>
    </row>
    <row r="201" spans="1:5">
      <c r="A201" s="96" t="s">
        <v>185</v>
      </c>
      <c r="B201" s="96" t="s">
        <v>24</v>
      </c>
      <c r="C201">
        <v>19989</v>
      </c>
      <c r="D201">
        <v>2766</v>
      </c>
      <c r="E201">
        <v>6768</v>
      </c>
    </row>
    <row r="202" spans="1:5">
      <c r="A202" s="96" t="s">
        <v>185</v>
      </c>
      <c r="B202" s="96" t="s">
        <v>25</v>
      </c>
      <c r="C202">
        <v>18887</v>
      </c>
      <c r="D202">
        <v>6730</v>
      </c>
      <c r="E202">
        <v>8070</v>
      </c>
    </row>
    <row r="203" spans="1:5">
      <c r="A203" s="96" t="s">
        <v>185</v>
      </c>
      <c r="B203" s="96" t="s">
        <v>26</v>
      </c>
      <c r="C203">
        <v>17248</v>
      </c>
      <c r="D203">
        <v>6825</v>
      </c>
      <c r="E203">
        <v>7325</v>
      </c>
    </row>
    <row r="204" spans="1:5">
      <c r="A204" s="96" t="s">
        <v>185</v>
      </c>
      <c r="B204" s="96" t="s">
        <v>27</v>
      </c>
      <c r="C204">
        <v>15616</v>
      </c>
      <c r="D204">
        <v>3878</v>
      </c>
      <c r="E204">
        <v>6052</v>
      </c>
    </row>
    <row r="205" spans="1:5">
      <c r="A205" s="96" t="s">
        <v>185</v>
      </c>
      <c r="B205" s="96" t="s">
        <v>28</v>
      </c>
      <c r="C205">
        <v>13681</v>
      </c>
      <c r="D205">
        <v>5295</v>
      </c>
      <c r="E205">
        <v>5585</v>
      </c>
    </row>
    <row r="206" spans="1:5">
      <c r="A206" s="96" t="s">
        <v>185</v>
      </c>
      <c r="B206" s="96" t="s">
        <v>29</v>
      </c>
      <c r="C206">
        <v>13404</v>
      </c>
      <c r="D206">
        <v>3208</v>
      </c>
      <c r="E206">
        <v>5051</v>
      </c>
    </row>
    <row r="207" spans="1:5">
      <c r="A207" s="96" t="s">
        <v>185</v>
      </c>
      <c r="B207" s="96" t="s">
        <v>30</v>
      </c>
      <c r="C207">
        <v>12282</v>
      </c>
      <c r="D207">
        <v>3904</v>
      </c>
      <c r="E207">
        <v>5073</v>
      </c>
    </row>
    <row r="208" spans="1:5">
      <c r="A208" s="96" t="s">
        <v>185</v>
      </c>
      <c r="B208" s="96" t="s">
        <v>31</v>
      </c>
      <c r="C208">
        <v>12395</v>
      </c>
      <c r="D208">
        <v>3622</v>
      </c>
      <c r="E208">
        <v>5062</v>
      </c>
    </row>
    <row r="209" spans="1:5">
      <c r="A209" s="96" t="s">
        <v>185</v>
      </c>
      <c r="B209" s="96" t="s">
        <v>32</v>
      </c>
      <c r="C209">
        <v>12214</v>
      </c>
      <c r="D209">
        <v>3448</v>
      </c>
      <c r="E209">
        <v>5052</v>
      </c>
    </row>
    <row r="210" spans="1:5">
      <c r="A210" s="96" t="s">
        <v>185</v>
      </c>
      <c r="B210" s="96" t="s">
        <v>33</v>
      </c>
      <c r="C210">
        <v>13107</v>
      </c>
      <c r="D210">
        <v>7997</v>
      </c>
      <c r="E210">
        <v>7096</v>
      </c>
    </row>
    <row r="211" spans="1:5">
      <c r="A211" s="96" t="s">
        <v>185</v>
      </c>
      <c r="B211" s="96" t="s">
        <v>34</v>
      </c>
      <c r="C211">
        <v>16335</v>
      </c>
      <c r="D211">
        <v>7909</v>
      </c>
      <c r="E211">
        <v>8070</v>
      </c>
    </row>
    <row r="212" spans="1:5">
      <c r="A212" s="96" t="s">
        <v>185</v>
      </c>
      <c r="B212" s="96" t="s">
        <v>35</v>
      </c>
      <c r="C212">
        <v>18086</v>
      </c>
      <c r="D212">
        <v>6159</v>
      </c>
      <c r="E212">
        <v>8068</v>
      </c>
    </row>
    <row r="213" spans="1:5">
      <c r="A213" s="96" t="s">
        <v>185</v>
      </c>
      <c r="B213" s="96" t="s">
        <v>36</v>
      </c>
      <c r="C213">
        <v>17063</v>
      </c>
      <c r="D213">
        <v>7647</v>
      </c>
      <c r="E213">
        <v>8074</v>
      </c>
    </row>
    <row r="214" spans="1:5">
      <c r="A214" s="96" t="s">
        <v>185</v>
      </c>
      <c r="B214" s="96" t="s">
        <v>37</v>
      </c>
      <c r="C214">
        <v>17547</v>
      </c>
      <c r="D214">
        <v>6433</v>
      </c>
      <c r="E214">
        <v>8041</v>
      </c>
    </row>
    <row r="215" spans="1:5">
      <c r="A215" s="96" t="s">
        <v>185</v>
      </c>
      <c r="B215" s="96" t="s">
        <v>38</v>
      </c>
      <c r="C215">
        <v>17553</v>
      </c>
      <c r="D215">
        <v>1658</v>
      </c>
      <c r="E215">
        <v>6386</v>
      </c>
    </row>
    <row r="216" spans="1:5">
      <c r="A216" s="96" t="s">
        <v>185</v>
      </c>
      <c r="B216" s="96" t="s">
        <v>39</v>
      </c>
      <c r="C216">
        <v>14184</v>
      </c>
      <c r="D216">
        <v>1280</v>
      </c>
      <c r="E216">
        <v>5069</v>
      </c>
    </row>
    <row r="217" spans="1:5">
      <c r="A217" s="96" t="s">
        <v>185</v>
      </c>
      <c r="B217" s="96" t="s">
        <v>40</v>
      </c>
      <c r="C217">
        <v>8884</v>
      </c>
      <c r="D217">
        <v>5387</v>
      </c>
      <c r="E217">
        <v>4035</v>
      </c>
    </row>
    <row r="218" spans="1:5">
      <c r="A218" s="97" t="s">
        <v>186</v>
      </c>
      <c r="B218" s="97" t="s">
        <v>17</v>
      </c>
      <c r="C218">
        <v>9213</v>
      </c>
      <c r="D218">
        <v>1856</v>
      </c>
      <c r="E218">
        <v>3041</v>
      </c>
    </row>
    <row r="219" spans="1:5">
      <c r="A219" s="97" t="s">
        <v>186</v>
      </c>
      <c r="B219" s="97" t="s">
        <v>18</v>
      </c>
      <c r="C219">
        <v>10768</v>
      </c>
      <c r="D219">
        <v>2824</v>
      </c>
      <c r="E219">
        <v>3919</v>
      </c>
    </row>
    <row r="220" spans="1:5">
      <c r="A220" s="97" t="s">
        <v>186</v>
      </c>
      <c r="B220" s="97" t="s">
        <v>19</v>
      </c>
      <c r="C220">
        <v>13963</v>
      </c>
      <c r="D220">
        <v>27</v>
      </c>
      <c r="E220">
        <v>4042</v>
      </c>
    </row>
    <row r="221" spans="1:5">
      <c r="A221" s="97" t="s">
        <v>186</v>
      </c>
      <c r="B221" s="97" t="s">
        <v>20</v>
      </c>
      <c r="C221">
        <v>14175</v>
      </c>
      <c r="D221">
        <v>80</v>
      </c>
      <c r="E221">
        <v>4055</v>
      </c>
    </row>
    <row r="222" spans="1:5">
      <c r="A222" s="97" t="s">
        <v>186</v>
      </c>
      <c r="B222" s="97" t="s">
        <v>21</v>
      </c>
      <c r="C222">
        <v>19980</v>
      </c>
      <c r="D222">
        <v>81</v>
      </c>
      <c r="E222">
        <v>6077</v>
      </c>
    </row>
    <row r="223" spans="1:5">
      <c r="A223" s="97" t="s">
        <v>186</v>
      </c>
      <c r="B223" s="97" t="s">
        <v>22</v>
      </c>
      <c r="C223">
        <v>23596</v>
      </c>
      <c r="D223">
        <v>2526</v>
      </c>
      <c r="E223">
        <v>8060</v>
      </c>
    </row>
    <row r="224" spans="1:5">
      <c r="A224" s="97" t="s">
        <v>186</v>
      </c>
      <c r="B224" s="97" t="s">
        <v>23</v>
      </c>
      <c r="C224">
        <v>24743</v>
      </c>
      <c r="D224">
        <v>73</v>
      </c>
      <c r="E224">
        <v>8039</v>
      </c>
    </row>
    <row r="225" spans="1:5">
      <c r="A225" s="97" t="s">
        <v>186</v>
      </c>
      <c r="B225" s="97" t="s">
        <v>24</v>
      </c>
      <c r="C225">
        <v>21035</v>
      </c>
      <c r="D225">
        <v>4579</v>
      </c>
      <c r="E225">
        <v>8026</v>
      </c>
    </row>
    <row r="226" spans="1:5">
      <c r="A226" s="97" t="s">
        <v>186</v>
      </c>
      <c r="B226" s="97" t="s">
        <v>25</v>
      </c>
      <c r="C226">
        <v>19236</v>
      </c>
      <c r="D226">
        <v>6265</v>
      </c>
      <c r="E226">
        <v>8055</v>
      </c>
    </row>
    <row r="227" spans="1:5">
      <c r="A227" s="97" t="s">
        <v>186</v>
      </c>
      <c r="B227" s="97" t="s">
        <v>26</v>
      </c>
      <c r="C227">
        <v>16706</v>
      </c>
      <c r="D227">
        <v>7594</v>
      </c>
      <c r="E227">
        <v>8075</v>
      </c>
    </row>
    <row r="228" spans="1:5">
      <c r="A228" s="97" t="s">
        <v>186</v>
      </c>
      <c r="B228" s="97" t="s">
        <v>27</v>
      </c>
      <c r="C228">
        <v>14598</v>
      </c>
      <c r="D228">
        <v>7803</v>
      </c>
      <c r="E228">
        <v>7519</v>
      </c>
    </row>
    <row r="229" spans="1:5">
      <c r="A229" s="97" t="s">
        <v>186</v>
      </c>
      <c r="B229" s="97" t="s">
        <v>28</v>
      </c>
      <c r="C229">
        <v>12209</v>
      </c>
      <c r="D229">
        <v>2677</v>
      </c>
      <c r="E229">
        <v>5130</v>
      </c>
    </row>
    <row r="230" spans="1:5">
      <c r="A230" s="97" t="s">
        <v>186</v>
      </c>
      <c r="B230" s="97" t="s">
        <v>29</v>
      </c>
      <c r="C230">
        <v>12157</v>
      </c>
      <c r="D230">
        <v>3870</v>
      </c>
      <c r="E230">
        <v>5061</v>
      </c>
    </row>
    <row r="231" spans="1:5">
      <c r="A231" s="97" t="s">
        <v>186</v>
      </c>
      <c r="B231" s="97" t="s">
        <v>30</v>
      </c>
      <c r="C231">
        <v>12517</v>
      </c>
      <c r="D231">
        <v>4408</v>
      </c>
      <c r="E231">
        <v>5082</v>
      </c>
    </row>
    <row r="232" spans="1:5">
      <c r="A232" s="97" t="s">
        <v>186</v>
      </c>
      <c r="B232" s="97" t="s">
        <v>31</v>
      </c>
      <c r="C232">
        <v>12706</v>
      </c>
      <c r="D232">
        <v>8276</v>
      </c>
      <c r="E232">
        <v>6826</v>
      </c>
    </row>
    <row r="233" spans="1:5">
      <c r="A233" s="97" t="s">
        <v>186</v>
      </c>
      <c r="B233" s="97" t="s">
        <v>32</v>
      </c>
      <c r="C233">
        <v>13755</v>
      </c>
      <c r="D233">
        <v>9570</v>
      </c>
      <c r="E233">
        <v>8069</v>
      </c>
    </row>
    <row r="234" spans="1:5">
      <c r="A234" s="97" t="s">
        <v>186</v>
      </c>
      <c r="B234" s="97" t="s">
        <v>33</v>
      </c>
      <c r="C234">
        <v>14254</v>
      </c>
      <c r="D234">
        <v>10021</v>
      </c>
      <c r="E234">
        <v>8057</v>
      </c>
    </row>
    <row r="235" spans="1:5">
      <c r="A235" s="97" t="s">
        <v>186</v>
      </c>
      <c r="B235" s="97" t="s">
        <v>34</v>
      </c>
      <c r="C235">
        <v>15901</v>
      </c>
      <c r="D235">
        <v>8707</v>
      </c>
      <c r="E235">
        <v>8053</v>
      </c>
    </row>
    <row r="236" spans="1:5">
      <c r="A236" s="97" t="s">
        <v>186</v>
      </c>
      <c r="B236" s="97" t="s">
        <v>35</v>
      </c>
      <c r="C236">
        <v>17644</v>
      </c>
      <c r="D236">
        <v>7359</v>
      </c>
      <c r="E236">
        <v>8065</v>
      </c>
    </row>
    <row r="237" spans="1:5">
      <c r="A237" s="97" t="s">
        <v>186</v>
      </c>
      <c r="B237" s="97" t="s">
        <v>36</v>
      </c>
      <c r="C237">
        <v>19295</v>
      </c>
      <c r="D237">
        <v>5115</v>
      </c>
      <c r="E237">
        <v>8060</v>
      </c>
    </row>
    <row r="238" spans="1:5">
      <c r="A238" s="97" t="s">
        <v>186</v>
      </c>
      <c r="B238" s="97" t="s">
        <v>37</v>
      </c>
      <c r="C238">
        <v>19214</v>
      </c>
      <c r="D238">
        <v>5191</v>
      </c>
      <c r="E238">
        <v>8062</v>
      </c>
    </row>
    <row r="239" spans="1:5">
      <c r="A239" s="97" t="s">
        <v>186</v>
      </c>
      <c r="B239" s="97" t="s">
        <v>38</v>
      </c>
      <c r="C239">
        <v>20039</v>
      </c>
      <c r="D239">
        <v>4170</v>
      </c>
      <c r="E239">
        <v>8050</v>
      </c>
    </row>
    <row r="240" spans="1:5">
      <c r="A240" s="97" t="s">
        <v>186</v>
      </c>
      <c r="B240" s="97" t="s">
        <v>39</v>
      </c>
      <c r="C240">
        <v>16796</v>
      </c>
      <c r="D240">
        <v>4866</v>
      </c>
      <c r="E240">
        <v>7279</v>
      </c>
    </row>
    <row r="241" spans="1:5">
      <c r="A241" s="97" t="s">
        <v>186</v>
      </c>
      <c r="B241" s="97" t="s">
        <v>40</v>
      </c>
      <c r="C241">
        <v>10370</v>
      </c>
      <c r="D241">
        <v>5183</v>
      </c>
      <c r="E241">
        <v>4952</v>
      </c>
    </row>
    <row r="242" spans="1:5">
      <c r="A242" s="96" t="s">
        <v>187</v>
      </c>
      <c r="B242" s="96" t="s">
        <v>17</v>
      </c>
      <c r="C242">
        <v>12898</v>
      </c>
      <c r="D242">
        <v>1339</v>
      </c>
      <c r="E242">
        <v>4053</v>
      </c>
    </row>
    <row r="243" spans="1:5">
      <c r="A243" s="96" t="s">
        <v>187</v>
      </c>
      <c r="B243" s="96" t="s">
        <v>18</v>
      </c>
      <c r="C243">
        <v>14543</v>
      </c>
      <c r="D243">
        <v>79</v>
      </c>
      <c r="E243">
        <v>4051</v>
      </c>
    </row>
    <row r="244" spans="1:5">
      <c r="A244" s="96" t="s">
        <v>187</v>
      </c>
      <c r="B244" s="96" t="s">
        <v>19</v>
      </c>
      <c r="C244">
        <v>14609</v>
      </c>
      <c r="D244">
        <v>80</v>
      </c>
      <c r="E244">
        <v>4057</v>
      </c>
    </row>
    <row r="245" spans="1:5">
      <c r="A245" s="96" t="s">
        <v>187</v>
      </c>
      <c r="B245" s="96" t="s">
        <v>20</v>
      </c>
      <c r="C245">
        <v>14448</v>
      </c>
      <c r="D245">
        <v>82</v>
      </c>
      <c r="E245">
        <v>4073</v>
      </c>
    </row>
    <row r="246" spans="1:5">
      <c r="A246" s="96" t="s">
        <v>187</v>
      </c>
      <c r="B246" s="96" t="s">
        <v>21</v>
      </c>
      <c r="C246">
        <v>16723</v>
      </c>
      <c r="D246">
        <v>105</v>
      </c>
      <c r="E246">
        <v>5554</v>
      </c>
    </row>
    <row r="247" spans="1:5">
      <c r="A247" s="96" t="s">
        <v>187</v>
      </c>
      <c r="B247" s="96" t="s">
        <v>22</v>
      </c>
      <c r="C247">
        <v>21536</v>
      </c>
      <c r="D247">
        <v>145</v>
      </c>
      <c r="E247">
        <v>7053</v>
      </c>
    </row>
    <row r="248" spans="1:5">
      <c r="A248" s="96" t="s">
        <v>187</v>
      </c>
      <c r="B248" s="96" t="s">
        <v>23</v>
      </c>
      <c r="C248">
        <v>22139</v>
      </c>
      <c r="D248">
        <v>2682</v>
      </c>
      <c r="E248">
        <v>8037</v>
      </c>
    </row>
    <row r="249" spans="1:5">
      <c r="A249" s="96" t="s">
        <v>187</v>
      </c>
      <c r="B249" s="96" t="s">
        <v>24</v>
      </c>
      <c r="C249">
        <v>20739</v>
      </c>
      <c r="D249">
        <v>3917</v>
      </c>
      <c r="E249">
        <v>8050</v>
      </c>
    </row>
    <row r="250" spans="1:5">
      <c r="A250" s="96" t="s">
        <v>187</v>
      </c>
      <c r="B250" s="96" t="s">
        <v>25</v>
      </c>
      <c r="C250">
        <v>19688</v>
      </c>
      <c r="D250">
        <v>4898</v>
      </c>
      <c r="E250">
        <v>8042</v>
      </c>
    </row>
    <row r="251" spans="1:5">
      <c r="A251" s="96" t="s">
        <v>187</v>
      </c>
      <c r="B251" s="96" t="s">
        <v>26</v>
      </c>
      <c r="C251">
        <v>17432</v>
      </c>
      <c r="D251">
        <v>6526</v>
      </c>
      <c r="E251">
        <v>8058</v>
      </c>
    </row>
    <row r="252" spans="1:5">
      <c r="A252" s="96" t="s">
        <v>187</v>
      </c>
      <c r="B252" s="96" t="s">
        <v>27</v>
      </c>
      <c r="C252">
        <v>14897</v>
      </c>
      <c r="D252">
        <v>6210</v>
      </c>
      <c r="E252">
        <v>7040</v>
      </c>
    </row>
    <row r="253" spans="1:5">
      <c r="A253" s="96" t="s">
        <v>187</v>
      </c>
      <c r="B253" s="96" t="s">
        <v>28</v>
      </c>
      <c r="C253">
        <v>15707</v>
      </c>
      <c r="D253">
        <v>2954</v>
      </c>
      <c r="E253">
        <v>6054</v>
      </c>
    </row>
    <row r="254" spans="1:5">
      <c r="A254" s="96" t="s">
        <v>187</v>
      </c>
      <c r="B254" s="96" t="s">
        <v>29</v>
      </c>
      <c r="C254">
        <v>13700</v>
      </c>
      <c r="D254">
        <v>5159</v>
      </c>
      <c r="E254">
        <v>6056</v>
      </c>
    </row>
    <row r="255" spans="1:5">
      <c r="A255" s="96" t="s">
        <v>187</v>
      </c>
      <c r="B255" s="96" t="s">
        <v>30</v>
      </c>
      <c r="C255">
        <v>12848</v>
      </c>
      <c r="D255">
        <v>8633</v>
      </c>
      <c r="E255">
        <v>6991</v>
      </c>
    </row>
    <row r="256" spans="1:5">
      <c r="A256" s="96" t="s">
        <v>187</v>
      </c>
      <c r="B256" s="96" t="s">
        <v>31</v>
      </c>
      <c r="C256">
        <v>13653</v>
      </c>
      <c r="D256">
        <v>9839</v>
      </c>
      <c r="E256">
        <v>8037</v>
      </c>
    </row>
    <row r="257" spans="1:5">
      <c r="A257" s="96" t="s">
        <v>187</v>
      </c>
      <c r="B257" s="96" t="s">
        <v>32</v>
      </c>
      <c r="C257">
        <v>13637</v>
      </c>
      <c r="D257">
        <v>10501</v>
      </c>
      <c r="E257">
        <v>8047</v>
      </c>
    </row>
    <row r="258" spans="1:5">
      <c r="A258" s="96" t="s">
        <v>187</v>
      </c>
      <c r="B258" s="96" t="s">
        <v>33</v>
      </c>
      <c r="C258">
        <v>13908</v>
      </c>
      <c r="D258">
        <v>10051</v>
      </c>
      <c r="E258">
        <v>8055</v>
      </c>
    </row>
    <row r="259" spans="1:5">
      <c r="A259" s="96" t="s">
        <v>187</v>
      </c>
      <c r="B259" s="96" t="s">
        <v>34</v>
      </c>
      <c r="C259">
        <v>15987</v>
      </c>
      <c r="D259">
        <v>8947</v>
      </c>
      <c r="E259">
        <v>8068</v>
      </c>
    </row>
    <row r="260" spans="1:5">
      <c r="A260" s="96" t="s">
        <v>187</v>
      </c>
      <c r="B260" s="96" t="s">
        <v>35</v>
      </c>
      <c r="C260">
        <v>18178</v>
      </c>
      <c r="D260">
        <v>6197</v>
      </c>
      <c r="E260">
        <v>8041</v>
      </c>
    </row>
    <row r="261" spans="1:5">
      <c r="A261" s="96" t="s">
        <v>187</v>
      </c>
      <c r="B261" s="96" t="s">
        <v>36</v>
      </c>
      <c r="C261">
        <v>20043</v>
      </c>
      <c r="D261">
        <v>3909</v>
      </c>
      <c r="E261">
        <v>8048</v>
      </c>
    </row>
    <row r="262" spans="1:5">
      <c r="A262" s="96" t="s">
        <v>187</v>
      </c>
      <c r="B262" s="96" t="s">
        <v>37</v>
      </c>
      <c r="C262">
        <v>19790</v>
      </c>
      <c r="D262">
        <v>4816</v>
      </c>
      <c r="E262">
        <v>8061</v>
      </c>
    </row>
    <row r="263" spans="1:5">
      <c r="A263" s="96" t="s">
        <v>187</v>
      </c>
      <c r="B263" s="96" t="s">
        <v>38</v>
      </c>
      <c r="C263">
        <v>20205</v>
      </c>
      <c r="D263">
        <v>4627</v>
      </c>
      <c r="E263">
        <v>8070</v>
      </c>
    </row>
    <row r="264" spans="1:5">
      <c r="A264" s="96" t="s">
        <v>187</v>
      </c>
      <c r="B264" s="96" t="s">
        <v>39</v>
      </c>
      <c r="C264">
        <v>16476</v>
      </c>
      <c r="D264">
        <v>3856</v>
      </c>
      <c r="E264">
        <v>6646</v>
      </c>
    </row>
    <row r="265" spans="1:5">
      <c r="A265" s="96" t="s">
        <v>187</v>
      </c>
      <c r="B265" s="96" t="s">
        <v>40</v>
      </c>
      <c r="C265">
        <v>10284</v>
      </c>
      <c r="D265">
        <v>2904</v>
      </c>
      <c r="E265">
        <v>4074</v>
      </c>
    </row>
    <row r="266" spans="1:5">
      <c r="A266" s="97" t="s">
        <v>188</v>
      </c>
      <c r="B266" s="97" t="s">
        <v>17</v>
      </c>
      <c r="C266">
        <v>11504</v>
      </c>
      <c r="D266">
        <v>3332</v>
      </c>
      <c r="E266">
        <v>4064</v>
      </c>
    </row>
    <row r="267" spans="1:5">
      <c r="A267" s="97" t="s">
        <v>188</v>
      </c>
      <c r="B267" s="97" t="s">
        <v>18</v>
      </c>
      <c r="C267">
        <v>12943</v>
      </c>
      <c r="D267">
        <v>1049</v>
      </c>
      <c r="E267">
        <v>4042</v>
      </c>
    </row>
    <row r="268" spans="1:5">
      <c r="A268" s="97" t="s">
        <v>188</v>
      </c>
      <c r="B268" s="97" t="s">
        <v>19</v>
      </c>
      <c r="C268">
        <v>14145</v>
      </c>
      <c r="D268">
        <v>113</v>
      </c>
      <c r="E268">
        <v>4055</v>
      </c>
    </row>
    <row r="269" spans="1:5">
      <c r="A269" s="97" t="s">
        <v>188</v>
      </c>
      <c r="B269" s="97" t="s">
        <v>20</v>
      </c>
      <c r="C269">
        <v>13846</v>
      </c>
      <c r="D269">
        <v>110</v>
      </c>
      <c r="E269">
        <v>4049</v>
      </c>
    </row>
    <row r="270" spans="1:5">
      <c r="A270" s="97" t="s">
        <v>188</v>
      </c>
      <c r="B270" s="97" t="s">
        <v>21</v>
      </c>
      <c r="C270">
        <v>17421</v>
      </c>
      <c r="D270">
        <v>2293</v>
      </c>
      <c r="E270">
        <v>5134</v>
      </c>
    </row>
    <row r="271" spans="1:5">
      <c r="A271" s="97" t="s">
        <v>188</v>
      </c>
      <c r="B271" s="97" t="s">
        <v>22</v>
      </c>
      <c r="C271">
        <v>22952</v>
      </c>
      <c r="D271">
        <v>2308</v>
      </c>
      <c r="E271">
        <v>6078</v>
      </c>
    </row>
    <row r="272" spans="1:5">
      <c r="A272" s="97" t="s">
        <v>188</v>
      </c>
      <c r="B272" s="97" t="s">
        <v>23</v>
      </c>
      <c r="C272">
        <v>25883</v>
      </c>
      <c r="D272">
        <v>2876</v>
      </c>
      <c r="E272">
        <v>8055</v>
      </c>
    </row>
    <row r="273" spans="1:5">
      <c r="A273" s="97" t="s">
        <v>188</v>
      </c>
      <c r="B273" s="97" t="s">
        <v>24</v>
      </c>
      <c r="C273">
        <v>22192</v>
      </c>
      <c r="D273">
        <v>2295</v>
      </c>
      <c r="E273">
        <v>8008</v>
      </c>
    </row>
    <row r="274" spans="1:5">
      <c r="A274" s="97" t="s">
        <v>188</v>
      </c>
      <c r="B274" s="97" t="s">
        <v>25</v>
      </c>
      <c r="C274">
        <v>21698</v>
      </c>
      <c r="D274">
        <v>3056</v>
      </c>
      <c r="E274">
        <v>8052</v>
      </c>
    </row>
    <row r="275" spans="1:5">
      <c r="A275" s="97" t="s">
        <v>188</v>
      </c>
      <c r="B275" s="97" t="s">
        <v>26</v>
      </c>
      <c r="C275">
        <v>19626</v>
      </c>
      <c r="D275">
        <v>4444</v>
      </c>
      <c r="E275">
        <v>8067</v>
      </c>
    </row>
    <row r="276" spans="1:5">
      <c r="A276" s="97" t="s">
        <v>188</v>
      </c>
      <c r="B276" s="97" t="s">
        <v>27</v>
      </c>
      <c r="C276">
        <v>17674</v>
      </c>
      <c r="D276">
        <v>6635</v>
      </c>
      <c r="E276">
        <v>8059</v>
      </c>
    </row>
    <row r="277" spans="1:5">
      <c r="A277" s="97" t="s">
        <v>188</v>
      </c>
      <c r="B277" s="97" t="s">
        <v>28</v>
      </c>
      <c r="C277">
        <v>13967</v>
      </c>
      <c r="D277">
        <v>10467</v>
      </c>
      <c r="E277">
        <v>8037</v>
      </c>
    </row>
    <row r="278" spans="1:5">
      <c r="A278" s="97" t="s">
        <v>188</v>
      </c>
      <c r="B278" s="97" t="s">
        <v>29</v>
      </c>
      <c r="C278">
        <v>12880</v>
      </c>
      <c r="D278">
        <v>11329</v>
      </c>
      <c r="E278">
        <v>8059</v>
      </c>
    </row>
    <row r="279" spans="1:5">
      <c r="A279" s="97" t="s">
        <v>188</v>
      </c>
      <c r="B279" s="97" t="s">
        <v>30</v>
      </c>
      <c r="C279">
        <v>14416</v>
      </c>
      <c r="D279">
        <v>9555</v>
      </c>
      <c r="E279">
        <v>8059</v>
      </c>
    </row>
    <row r="280" spans="1:5">
      <c r="A280" s="97" t="s">
        <v>188</v>
      </c>
      <c r="B280" s="97" t="s">
        <v>31</v>
      </c>
      <c r="C280">
        <v>14909</v>
      </c>
      <c r="D280">
        <v>8890</v>
      </c>
      <c r="E280">
        <v>8058</v>
      </c>
    </row>
    <row r="281" spans="1:5">
      <c r="A281" s="97" t="s">
        <v>188</v>
      </c>
      <c r="B281" s="97" t="s">
        <v>32</v>
      </c>
      <c r="C281">
        <v>14813</v>
      </c>
      <c r="D281">
        <v>9563</v>
      </c>
      <c r="E281">
        <v>8071</v>
      </c>
    </row>
    <row r="282" spans="1:5">
      <c r="A282" s="97" t="s">
        <v>188</v>
      </c>
      <c r="B282" s="97" t="s">
        <v>33</v>
      </c>
      <c r="C282">
        <v>16288</v>
      </c>
      <c r="D282">
        <v>8580</v>
      </c>
      <c r="E282">
        <v>8086</v>
      </c>
    </row>
    <row r="283" spans="1:5">
      <c r="A283" s="97" t="s">
        <v>188</v>
      </c>
      <c r="B283" s="97" t="s">
        <v>34</v>
      </c>
      <c r="C283">
        <v>16316</v>
      </c>
      <c r="D283">
        <v>8244</v>
      </c>
      <c r="E283">
        <v>8039</v>
      </c>
    </row>
    <row r="284" spans="1:5">
      <c r="A284" s="97" t="s">
        <v>188</v>
      </c>
      <c r="B284" s="97" t="s">
        <v>35</v>
      </c>
      <c r="C284">
        <v>17720</v>
      </c>
      <c r="D284">
        <v>6397</v>
      </c>
      <c r="E284">
        <v>8080</v>
      </c>
    </row>
    <row r="285" spans="1:5">
      <c r="A285" s="97" t="s">
        <v>188</v>
      </c>
      <c r="B285" s="97" t="s">
        <v>36</v>
      </c>
      <c r="C285">
        <v>18979</v>
      </c>
      <c r="D285">
        <v>6806</v>
      </c>
      <c r="E285">
        <v>8066</v>
      </c>
    </row>
    <row r="286" spans="1:5">
      <c r="A286" s="97" t="s">
        <v>188</v>
      </c>
      <c r="B286" s="97" t="s">
        <v>37</v>
      </c>
      <c r="C286">
        <v>17776</v>
      </c>
      <c r="D286">
        <v>6898</v>
      </c>
      <c r="E286">
        <v>8063</v>
      </c>
    </row>
    <row r="287" spans="1:5">
      <c r="A287" s="97" t="s">
        <v>188</v>
      </c>
      <c r="B287" s="97" t="s">
        <v>38</v>
      </c>
      <c r="C287">
        <v>18897</v>
      </c>
      <c r="D287">
        <v>4516</v>
      </c>
      <c r="E287">
        <v>8042</v>
      </c>
    </row>
    <row r="288" spans="1:5">
      <c r="A288" s="97" t="s">
        <v>188</v>
      </c>
      <c r="B288" s="97" t="s">
        <v>39</v>
      </c>
      <c r="C288">
        <v>16338</v>
      </c>
      <c r="D288">
        <v>8997</v>
      </c>
      <c r="E288">
        <v>8067</v>
      </c>
    </row>
    <row r="289" spans="1:5">
      <c r="A289" s="97" t="s">
        <v>188</v>
      </c>
      <c r="B289" s="97" t="s">
        <v>40</v>
      </c>
      <c r="C289">
        <v>7432</v>
      </c>
      <c r="D289">
        <v>17289</v>
      </c>
      <c r="E289">
        <v>8093</v>
      </c>
    </row>
    <row r="290" spans="1:5">
      <c r="A290" s="96" t="s">
        <v>189</v>
      </c>
      <c r="B290" s="96" t="s">
        <v>17</v>
      </c>
      <c r="C290">
        <v>7147</v>
      </c>
      <c r="D290">
        <v>16472</v>
      </c>
      <c r="E290">
        <v>8057</v>
      </c>
    </row>
    <row r="291" spans="1:5">
      <c r="A291" s="96" t="s">
        <v>189</v>
      </c>
      <c r="B291" s="96" t="s">
        <v>18</v>
      </c>
      <c r="C291">
        <v>8310</v>
      </c>
      <c r="D291">
        <v>15745</v>
      </c>
      <c r="E291">
        <v>8056</v>
      </c>
    </row>
    <row r="292" spans="1:5">
      <c r="A292" s="96" t="s">
        <v>189</v>
      </c>
      <c r="B292" s="96" t="s">
        <v>19</v>
      </c>
      <c r="C292">
        <v>9613</v>
      </c>
      <c r="D292">
        <v>15587</v>
      </c>
      <c r="E292">
        <v>8061</v>
      </c>
    </row>
    <row r="293" spans="1:5">
      <c r="A293" s="96" t="s">
        <v>189</v>
      </c>
      <c r="B293" s="96" t="s">
        <v>20</v>
      </c>
      <c r="C293">
        <v>10553</v>
      </c>
      <c r="D293">
        <v>13883</v>
      </c>
      <c r="E293">
        <v>8050</v>
      </c>
    </row>
    <row r="294" spans="1:5">
      <c r="A294" s="96" t="s">
        <v>189</v>
      </c>
      <c r="B294" s="96" t="s">
        <v>21</v>
      </c>
      <c r="C294">
        <v>18189</v>
      </c>
      <c r="D294">
        <v>5732</v>
      </c>
      <c r="E294">
        <v>8063</v>
      </c>
    </row>
    <row r="295" spans="1:5">
      <c r="A295" s="96" t="s">
        <v>189</v>
      </c>
      <c r="B295" s="96" t="s">
        <v>22</v>
      </c>
      <c r="C295">
        <v>19413</v>
      </c>
      <c r="D295">
        <v>5502</v>
      </c>
      <c r="E295">
        <v>8071</v>
      </c>
    </row>
    <row r="296" spans="1:5">
      <c r="A296" s="96" t="s">
        <v>189</v>
      </c>
      <c r="B296" s="96" t="s">
        <v>23</v>
      </c>
      <c r="C296">
        <v>18280</v>
      </c>
      <c r="D296">
        <v>6554</v>
      </c>
      <c r="E296">
        <v>8071</v>
      </c>
    </row>
    <row r="297" spans="1:5">
      <c r="A297" s="96" t="s">
        <v>189</v>
      </c>
      <c r="B297" s="96" t="s">
        <v>24</v>
      </c>
      <c r="C297">
        <v>17427</v>
      </c>
      <c r="D297">
        <v>6832</v>
      </c>
      <c r="E297">
        <v>8058</v>
      </c>
    </row>
    <row r="298" spans="1:5">
      <c r="A298" s="96" t="s">
        <v>189</v>
      </c>
      <c r="B298" s="96" t="s">
        <v>25</v>
      </c>
      <c r="C298">
        <v>17542</v>
      </c>
      <c r="D298">
        <v>6337</v>
      </c>
      <c r="E298">
        <v>8079</v>
      </c>
    </row>
    <row r="299" spans="1:5">
      <c r="A299" s="96" t="s">
        <v>189</v>
      </c>
      <c r="B299" s="96" t="s">
        <v>26</v>
      </c>
      <c r="C299">
        <v>17067</v>
      </c>
      <c r="D299">
        <v>7017</v>
      </c>
      <c r="E299">
        <v>8066</v>
      </c>
    </row>
    <row r="300" spans="1:5">
      <c r="A300" s="96" t="s">
        <v>189</v>
      </c>
      <c r="B300" s="96" t="s">
        <v>27</v>
      </c>
      <c r="C300">
        <v>16160</v>
      </c>
      <c r="D300">
        <v>7544</v>
      </c>
      <c r="E300">
        <v>8046</v>
      </c>
    </row>
    <row r="301" spans="1:5">
      <c r="A301" s="96" t="s">
        <v>189</v>
      </c>
      <c r="B301" s="96" t="s">
        <v>28</v>
      </c>
      <c r="C301">
        <v>14926</v>
      </c>
      <c r="D301">
        <v>9461</v>
      </c>
      <c r="E301">
        <v>8057</v>
      </c>
    </row>
    <row r="302" spans="1:5">
      <c r="A302" s="96" t="s">
        <v>189</v>
      </c>
      <c r="B302" s="96" t="s">
        <v>29</v>
      </c>
      <c r="C302">
        <v>15197</v>
      </c>
      <c r="D302">
        <v>8705</v>
      </c>
      <c r="E302">
        <v>8052</v>
      </c>
    </row>
    <row r="303" spans="1:5">
      <c r="A303" s="96" t="s">
        <v>189</v>
      </c>
      <c r="B303" s="96" t="s">
        <v>30</v>
      </c>
      <c r="C303">
        <v>15785</v>
      </c>
      <c r="D303">
        <v>8262</v>
      </c>
      <c r="E303">
        <v>8066</v>
      </c>
    </row>
    <row r="304" spans="1:5">
      <c r="A304" s="96" t="s">
        <v>189</v>
      </c>
      <c r="B304" s="96" t="s">
        <v>31</v>
      </c>
      <c r="C304">
        <v>15954</v>
      </c>
      <c r="D304">
        <v>8368</v>
      </c>
      <c r="E304">
        <v>8071</v>
      </c>
    </row>
    <row r="305" spans="1:5">
      <c r="A305" s="96" t="s">
        <v>189</v>
      </c>
      <c r="B305" s="96" t="s">
        <v>32</v>
      </c>
      <c r="C305">
        <v>15515</v>
      </c>
      <c r="D305">
        <v>8895</v>
      </c>
      <c r="E305">
        <v>8072</v>
      </c>
    </row>
    <row r="306" spans="1:5">
      <c r="A306" s="96" t="s">
        <v>189</v>
      </c>
      <c r="B306" s="96" t="s">
        <v>33</v>
      </c>
      <c r="C306">
        <v>16591</v>
      </c>
      <c r="D306">
        <v>7707</v>
      </c>
      <c r="E306">
        <v>8049</v>
      </c>
    </row>
    <row r="307" spans="1:5">
      <c r="A307" s="96" t="s">
        <v>189</v>
      </c>
      <c r="B307" s="96" t="s">
        <v>34</v>
      </c>
      <c r="C307">
        <v>16653</v>
      </c>
      <c r="D307">
        <v>7323</v>
      </c>
      <c r="E307">
        <v>8055</v>
      </c>
    </row>
    <row r="308" spans="1:5">
      <c r="A308" s="96" t="s">
        <v>189</v>
      </c>
      <c r="B308" s="96" t="s">
        <v>35</v>
      </c>
      <c r="C308">
        <v>17354</v>
      </c>
      <c r="D308">
        <v>7433</v>
      </c>
      <c r="E308">
        <v>8063</v>
      </c>
    </row>
    <row r="309" spans="1:5">
      <c r="A309" s="96" t="s">
        <v>189</v>
      </c>
      <c r="B309" s="96" t="s">
        <v>36</v>
      </c>
      <c r="C309">
        <v>17035</v>
      </c>
      <c r="D309">
        <v>7372</v>
      </c>
      <c r="E309">
        <v>8044</v>
      </c>
    </row>
    <row r="310" spans="1:5">
      <c r="A310" s="96" t="s">
        <v>189</v>
      </c>
      <c r="B310" s="96" t="s">
        <v>37</v>
      </c>
      <c r="C310">
        <v>17674</v>
      </c>
      <c r="D310">
        <v>6901</v>
      </c>
      <c r="E310">
        <v>8054</v>
      </c>
    </row>
    <row r="311" spans="1:5">
      <c r="A311" s="96" t="s">
        <v>189</v>
      </c>
      <c r="B311" s="96" t="s">
        <v>38</v>
      </c>
      <c r="C311">
        <v>18168</v>
      </c>
      <c r="D311">
        <v>6409</v>
      </c>
      <c r="E311">
        <v>8037</v>
      </c>
    </row>
    <row r="312" spans="1:5">
      <c r="A312" s="96" t="s">
        <v>189</v>
      </c>
      <c r="B312" s="96" t="s">
        <v>39</v>
      </c>
      <c r="C312">
        <v>14461</v>
      </c>
      <c r="D312">
        <v>10088</v>
      </c>
      <c r="E312">
        <v>8091</v>
      </c>
    </row>
    <row r="313" spans="1:5">
      <c r="A313" s="96" t="s">
        <v>189</v>
      </c>
      <c r="B313" s="96" t="s">
        <v>40</v>
      </c>
      <c r="C313">
        <v>8164</v>
      </c>
      <c r="D313">
        <v>16272</v>
      </c>
      <c r="E313">
        <v>8060</v>
      </c>
    </row>
    <row r="314" spans="1:5">
      <c r="A314" s="97" t="s">
        <v>190</v>
      </c>
      <c r="B314" s="97" t="s">
        <v>17</v>
      </c>
      <c r="C314">
        <v>7983</v>
      </c>
      <c r="D314">
        <v>16265</v>
      </c>
      <c r="E314">
        <v>8054</v>
      </c>
    </row>
    <row r="315" spans="1:5">
      <c r="A315" s="97" t="s">
        <v>190</v>
      </c>
      <c r="B315" s="97" t="s">
        <v>18</v>
      </c>
      <c r="C315">
        <v>9281</v>
      </c>
      <c r="D315">
        <v>15136</v>
      </c>
      <c r="E315">
        <v>8061</v>
      </c>
    </row>
    <row r="316" spans="1:5">
      <c r="A316" s="97" t="s">
        <v>190</v>
      </c>
      <c r="B316" s="97" t="s">
        <v>19</v>
      </c>
      <c r="C316">
        <v>9870</v>
      </c>
      <c r="D316">
        <v>14268</v>
      </c>
      <c r="E316">
        <v>8063</v>
      </c>
    </row>
    <row r="317" spans="1:5">
      <c r="A317" s="97" t="s">
        <v>190</v>
      </c>
      <c r="B317" s="97" t="s">
        <v>20</v>
      </c>
      <c r="C317">
        <v>10541</v>
      </c>
      <c r="D317">
        <v>14277</v>
      </c>
      <c r="E317">
        <v>8052</v>
      </c>
    </row>
    <row r="318" spans="1:5">
      <c r="A318" s="97" t="s">
        <v>190</v>
      </c>
      <c r="B318" s="97" t="s">
        <v>21</v>
      </c>
      <c r="C318">
        <v>18793</v>
      </c>
      <c r="D318">
        <v>5525</v>
      </c>
      <c r="E318">
        <v>8043</v>
      </c>
    </row>
    <row r="319" spans="1:5">
      <c r="A319" s="97" t="s">
        <v>190</v>
      </c>
      <c r="B319" s="97" t="s">
        <v>22</v>
      </c>
      <c r="C319">
        <v>19452</v>
      </c>
      <c r="D319">
        <v>5982</v>
      </c>
      <c r="E319">
        <v>8052</v>
      </c>
    </row>
    <row r="320" spans="1:5">
      <c r="A320" s="97" t="s">
        <v>190</v>
      </c>
      <c r="B320" s="97" t="s">
        <v>23</v>
      </c>
      <c r="C320">
        <v>18457</v>
      </c>
      <c r="D320">
        <v>6107</v>
      </c>
      <c r="E320">
        <v>8053</v>
      </c>
    </row>
    <row r="321" spans="1:5">
      <c r="A321" s="97" t="s">
        <v>190</v>
      </c>
      <c r="B321" s="97" t="s">
        <v>24</v>
      </c>
      <c r="C321">
        <v>17472</v>
      </c>
      <c r="D321">
        <v>7620</v>
      </c>
      <c r="E321">
        <v>8068</v>
      </c>
    </row>
    <row r="322" spans="1:5">
      <c r="A322" s="97" t="s">
        <v>190</v>
      </c>
      <c r="B322" s="97" t="s">
        <v>25</v>
      </c>
      <c r="C322">
        <v>17010</v>
      </c>
      <c r="D322">
        <v>6687</v>
      </c>
      <c r="E322">
        <v>8051</v>
      </c>
    </row>
    <row r="323" spans="1:5">
      <c r="A323" s="97" t="s">
        <v>190</v>
      </c>
      <c r="B323" s="97" t="s">
        <v>26</v>
      </c>
      <c r="C323">
        <v>17064</v>
      </c>
      <c r="D323">
        <v>7222</v>
      </c>
      <c r="E323">
        <v>8066</v>
      </c>
    </row>
    <row r="324" spans="1:5">
      <c r="A324" s="97" t="s">
        <v>190</v>
      </c>
      <c r="B324" s="97" t="s">
        <v>27</v>
      </c>
      <c r="C324">
        <v>16200</v>
      </c>
      <c r="D324">
        <v>8582</v>
      </c>
      <c r="E324">
        <v>8066</v>
      </c>
    </row>
    <row r="325" spans="1:5">
      <c r="A325" s="97" t="s">
        <v>190</v>
      </c>
      <c r="B325" s="97" t="s">
        <v>28</v>
      </c>
      <c r="C325">
        <v>14758</v>
      </c>
      <c r="D325">
        <v>9973</v>
      </c>
      <c r="E325">
        <v>8079</v>
      </c>
    </row>
    <row r="326" spans="1:5">
      <c r="A326" s="97" t="s">
        <v>190</v>
      </c>
      <c r="B326" s="97" t="s">
        <v>29</v>
      </c>
      <c r="C326">
        <v>15654</v>
      </c>
      <c r="D326">
        <v>8180</v>
      </c>
      <c r="E326">
        <v>8071</v>
      </c>
    </row>
    <row r="327" spans="1:5">
      <c r="A327" s="97" t="s">
        <v>190</v>
      </c>
      <c r="B327" s="97" t="s">
        <v>30</v>
      </c>
      <c r="C327">
        <v>16399</v>
      </c>
      <c r="D327">
        <v>7744</v>
      </c>
      <c r="E327">
        <v>8050</v>
      </c>
    </row>
    <row r="328" spans="1:5">
      <c r="A328" s="97" t="s">
        <v>190</v>
      </c>
      <c r="B328" s="97" t="s">
        <v>31</v>
      </c>
      <c r="C328">
        <v>16196</v>
      </c>
      <c r="D328">
        <v>7591</v>
      </c>
      <c r="E328">
        <v>0</v>
      </c>
    </row>
    <row r="329" spans="1:5">
      <c r="A329" s="97" t="s">
        <v>190</v>
      </c>
      <c r="B329" s="97" t="s">
        <v>32</v>
      </c>
      <c r="C329">
        <v>16489</v>
      </c>
      <c r="D329">
        <v>5568</v>
      </c>
      <c r="E329">
        <v>7602</v>
      </c>
    </row>
    <row r="330" spans="1:5">
      <c r="A330" s="97" t="s">
        <v>190</v>
      </c>
      <c r="B330" s="97" t="s">
        <v>33</v>
      </c>
      <c r="C330">
        <v>17549</v>
      </c>
      <c r="D330">
        <v>6776</v>
      </c>
      <c r="E330">
        <v>8064</v>
      </c>
    </row>
    <row r="331" spans="1:5">
      <c r="A331" s="97" t="s">
        <v>190</v>
      </c>
      <c r="B331" s="97" t="s">
        <v>34</v>
      </c>
      <c r="C331">
        <v>16554</v>
      </c>
      <c r="D331">
        <v>7139</v>
      </c>
      <c r="E331">
        <v>8052</v>
      </c>
    </row>
    <row r="332" spans="1:5">
      <c r="A332" s="97" t="s">
        <v>190</v>
      </c>
      <c r="B332" s="97" t="s">
        <v>35</v>
      </c>
      <c r="C332">
        <v>16953</v>
      </c>
      <c r="D332">
        <v>7475</v>
      </c>
      <c r="E332">
        <v>8053</v>
      </c>
    </row>
    <row r="333" spans="1:5">
      <c r="A333" s="97" t="s">
        <v>190</v>
      </c>
      <c r="B333" s="97" t="s">
        <v>36</v>
      </c>
      <c r="C333">
        <v>17177</v>
      </c>
      <c r="D333">
        <v>7308</v>
      </c>
      <c r="E333">
        <v>8076</v>
      </c>
    </row>
    <row r="334" spans="1:5">
      <c r="A334" s="97" t="s">
        <v>190</v>
      </c>
      <c r="B334" s="97" t="s">
        <v>37</v>
      </c>
      <c r="C334">
        <v>18382</v>
      </c>
      <c r="D334">
        <v>6092</v>
      </c>
      <c r="E334">
        <v>8067</v>
      </c>
    </row>
    <row r="335" spans="1:5">
      <c r="A335" s="97" t="s">
        <v>190</v>
      </c>
      <c r="B335" s="97" t="s">
        <v>38</v>
      </c>
      <c r="C335">
        <v>18155</v>
      </c>
      <c r="D335">
        <v>5770</v>
      </c>
      <c r="E335">
        <v>8051</v>
      </c>
    </row>
    <row r="336" spans="1:5">
      <c r="A336" s="97" t="s">
        <v>190</v>
      </c>
      <c r="B336" s="97" t="s">
        <v>39</v>
      </c>
      <c r="C336">
        <v>14925</v>
      </c>
      <c r="D336">
        <v>9031</v>
      </c>
      <c r="E336">
        <v>8043</v>
      </c>
    </row>
    <row r="337" spans="1:5">
      <c r="A337" s="97" t="s">
        <v>190</v>
      </c>
      <c r="B337" s="97" t="s">
        <v>40</v>
      </c>
      <c r="C337">
        <v>10070</v>
      </c>
      <c r="D337">
        <v>14998</v>
      </c>
      <c r="E337">
        <v>8060</v>
      </c>
    </row>
    <row r="338" spans="1:5">
      <c r="A338" s="96" t="s">
        <v>191</v>
      </c>
      <c r="B338" s="96" t="s">
        <v>17</v>
      </c>
      <c r="C338">
        <v>11509</v>
      </c>
      <c r="D338">
        <v>13563</v>
      </c>
      <c r="E338">
        <v>8067</v>
      </c>
    </row>
    <row r="339" spans="1:5">
      <c r="A339" s="96" t="s">
        <v>191</v>
      </c>
      <c r="B339" s="96" t="s">
        <v>18</v>
      </c>
      <c r="C339">
        <v>11813</v>
      </c>
      <c r="D339">
        <v>12368</v>
      </c>
      <c r="E339">
        <v>8055</v>
      </c>
    </row>
    <row r="340" spans="1:5">
      <c r="A340" s="96" t="s">
        <v>191</v>
      </c>
      <c r="B340" s="96" t="s">
        <v>19</v>
      </c>
      <c r="C340">
        <v>13688</v>
      </c>
      <c r="D340">
        <v>6642</v>
      </c>
      <c r="E340">
        <v>6613</v>
      </c>
    </row>
    <row r="341" spans="1:5">
      <c r="A341" s="96" t="s">
        <v>191</v>
      </c>
      <c r="B341" s="96" t="s">
        <v>20</v>
      </c>
      <c r="C341">
        <v>14974</v>
      </c>
      <c r="D341">
        <v>5125</v>
      </c>
      <c r="E341">
        <v>6048</v>
      </c>
    </row>
    <row r="342" spans="1:5">
      <c r="A342" s="96" t="s">
        <v>191</v>
      </c>
      <c r="B342" s="96" t="s">
        <v>21</v>
      </c>
      <c r="C342">
        <v>19585</v>
      </c>
      <c r="D342">
        <v>67</v>
      </c>
      <c r="E342">
        <v>6066</v>
      </c>
    </row>
    <row r="343" spans="1:5">
      <c r="A343" s="96" t="s">
        <v>191</v>
      </c>
      <c r="B343" s="96" t="s">
        <v>22</v>
      </c>
      <c r="C343">
        <v>24597</v>
      </c>
      <c r="D343">
        <v>878</v>
      </c>
      <c r="E343">
        <v>8016</v>
      </c>
    </row>
    <row r="344" spans="1:5">
      <c r="A344" s="96" t="s">
        <v>191</v>
      </c>
      <c r="B344" s="96" t="s">
        <v>23</v>
      </c>
      <c r="C344">
        <v>20742</v>
      </c>
      <c r="D344">
        <v>2631</v>
      </c>
      <c r="E344">
        <v>8057</v>
      </c>
    </row>
    <row r="345" spans="1:5">
      <c r="A345" s="96" t="s">
        <v>191</v>
      </c>
      <c r="B345" s="96" t="s">
        <v>24</v>
      </c>
      <c r="C345">
        <v>15868</v>
      </c>
      <c r="D345">
        <v>8890</v>
      </c>
      <c r="E345">
        <v>8070</v>
      </c>
    </row>
    <row r="346" spans="1:5">
      <c r="A346" s="96" t="s">
        <v>191</v>
      </c>
      <c r="B346" s="96" t="s">
        <v>25</v>
      </c>
      <c r="C346">
        <v>16158</v>
      </c>
      <c r="D346">
        <v>8425</v>
      </c>
      <c r="E346">
        <v>8046</v>
      </c>
    </row>
    <row r="347" spans="1:5">
      <c r="A347" s="96" t="s">
        <v>191</v>
      </c>
      <c r="B347" s="96" t="s">
        <v>26</v>
      </c>
      <c r="C347">
        <v>18291</v>
      </c>
      <c r="D347">
        <v>6217</v>
      </c>
      <c r="E347">
        <v>8060</v>
      </c>
    </row>
    <row r="348" spans="1:5">
      <c r="A348" s="96" t="s">
        <v>191</v>
      </c>
      <c r="B348" s="96" t="s">
        <v>27</v>
      </c>
      <c r="C348">
        <v>18552</v>
      </c>
      <c r="D348">
        <v>5684</v>
      </c>
      <c r="E348">
        <v>8047</v>
      </c>
    </row>
    <row r="349" spans="1:5">
      <c r="A349" s="96" t="s">
        <v>191</v>
      </c>
      <c r="B349" s="96" t="s">
        <v>28</v>
      </c>
      <c r="C349">
        <v>17974</v>
      </c>
      <c r="D349">
        <v>5945</v>
      </c>
      <c r="E349">
        <v>8041</v>
      </c>
    </row>
    <row r="350" spans="1:5">
      <c r="A350" s="96" t="s">
        <v>191</v>
      </c>
      <c r="B350" s="96" t="s">
        <v>29</v>
      </c>
      <c r="C350">
        <v>18200</v>
      </c>
      <c r="D350">
        <v>6689</v>
      </c>
      <c r="E350">
        <v>8055</v>
      </c>
    </row>
    <row r="351" spans="1:5">
      <c r="A351" s="96" t="s">
        <v>191</v>
      </c>
      <c r="B351" s="96" t="s">
        <v>30</v>
      </c>
      <c r="C351">
        <v>17530</v>
      </c>
      <c r="D351">
        <v>6484</v>
      </c>
      <c r="E351">
        <v>8059</v>
      </c>
    </row>
    <row r="352" spans="1:5">
      <c r="A352" s="96" t="s">
        <v>191</v>
      </c>
      <c r="B352" s="96" t="s">
        <v>31</v>
      </c>
      <c r="C352">
        <v>17434</v>
      </c>
      <c r="D352">
        <v>6529</v>
      </c>
      <c r="E352">
        <v>8050</v>
      </c>
    </row>
    <row r="353" spans="1:5">
      <c r="A353" s="96" t="s">
        <v>191</v>
      </c>
      <c r="B353" s="96" t="s">
        <v>32</v>
      </c>
      <c r="C353">
        <v>16974</v>
      </c>
      <c r="D353">
        <v>7498</v>
      </c>
      <c r="E353">
        <v>8059</v>
      </c>
    </row>
    <row r="354" spans="1:5">
      <c r="A354" s="96" t="s">
        <v>191</v>
      </c>
      <c r="B354" s="96" t="s">
        <v>33</v>
      </c>
      <c r="C354">
        <v>18217</v>
      </c>
      <c r="D354">
        <v>6229</v>
      </c>
      <c r="E354">
        <v>8056</v>
      </c>
    </row>
    <row r="355" spans="1:5">
      <c r="A355" s="96" t="s">
        <v>191</v>
      </c>
      <c r="B355" s="96" t="s">
        <v>34</v>
      </c>
      <c r="C355">
        <v>19719</v>
      </c>
      <c r="D355">
        <v>5664</v>
      </c>
      <c r="E355">
        <v>8076</v>
      </c>
    </row>
    <row r="356" spans="1:5">
      <c r="A356" s="96" t="s">
        <v>191</v>
      </c>
      <c r="B356" s="96" t="s">
        <v>35</v>
      </c>
      <c r="C356">
        <v>19713</v>
      </c>
      <c r="D356">
        <v>5956</v>
      </c>
      <c r="E356">
        <v>8078</v>
      </c>
    </row>
    <row r="357" spans="1:5">
      <c r="A357" s="96" t="s">
        <v>191</v>
      </c>
      <c r="B357" s="96" t="s">
        <v>36</v>
      </c>
      <c r="C357">
        <v>17900</v>
      </c>
      <c r="D357">
        <v>5837</v>
      </c>
      <c r="E357">
        <v>8057</v>
      </c>
    </row>
    <row r="358" spans="1:5">
      <c r="A358" s="96" t="s">
        <v>191</v>
      </c>
      <c r="B358" s="96" t="s">
        <v>37</v>
      </c>
      <c r="C358">
        <v>19081</v>
      </c>
      <c r="D358">
        <v>6413</v>
      </c>
      <c r="E358">
        <v>8085</v>
      </c>
    </row>
    <row r="359" spans="1:5">
      <c r="A359" s="96" t="s">
        <v>191</v>
      </c>
      <c r="B359" s="96" t="s">
        <v>38</v>
      </c>
      <c r="C359">
        <v>18754</v>
      </c>
      <c r="D359">
        <v>5572</v>
      </c>
      <c r="E359">
        <v>8078</v>
      </c>
    </row>
    <row r="360" spans="1:5">
      <c r="A360" s="96" t="s">
        <v>191</v>
      </c>
      <c r="B360" s="96" t="s">
        <v>39</v>
      </c>
      <c r="C360">
        <v>16075</v>
      </c>
      <c r="D360">
        <v>8348</v>
      </c>
      <c r="E360">
        <v>8055</v>
      </c>
    </row>
    <row r="361" spans="1:5">
      <c r="A361" s="96" t="s">
        <v>191</v>
      </c>
      <c r="B361" s="96" t="s">
        <v>40</v>
      </c>
      <c r="C361">
        <v>8248</v>
      </c>
      <c r="D361">
        <v>16005</v>
      </c>
      <c r="E361">
        <v>8062</v>
      </c>
    </row>
    <row r="362" spans="1:5">
      <c r="A362" s="97" t="s">
        <v>192</v>
      </c>
      <c r="B362" s="97" t="s">
        <v>17</v>
      </c>
      <c r="C362">
        <v>9947</v>
      </c>
      <c r="D362">
        <v>14191</v>
      </c>
      <c r="E362">
        <v>8047</v>
      </c>
    </row>
    <row r="363" spans="1:5">
      <c r="A363" s="97" t="s">
        <v>192</v>
      </c>
      <c r="B363" s="97" t="s">
        <v>18</v>
      </c>
      <c r="C363">
        <v>10846</v>
      </c>
      <c r="D363">
        <v>14050</v>
      </c>
      <c r="E363">
        <v>8072</v>
      </c>
    </row>
    <row r="364" spans="1:5">
      <c r="A364" s="97" t="s">
        <v>192</v>
      </c>
      <c r="B364" s="97" t="s">
        <v>19</v>
      </c>
      <c r="C364">
        <v>12472</v>
      </c>
      <c r="D364">
        <v>12477</v>
      </c>
      <c r="E364">
        <v>8074</v>
      </c>
    </row>
    <row r="365" spans="1:5">
      <c r="A365" s="97" t="s">
        <v>192</v>
      </c>
      <c r="B365" s="97" t="s">
        <v>20</v>
      </c>
      <c r="C365">
        <v>12338</v>
      </c>
      <c r="D365">
        <v>12012</v>
      </c>
      <c r="E365">
        <v>8071</v>
      </c>
    </row>
    <row r="366" spans="1:5">
      <c r="A366" s="97" t="s">
        <v>192</v>
      </c>
      <c r="B366" s="97" t="s">
        <v>21</v>
      </c>
      <c r="C366">
        <v>20466</v>
      </c>
      <c r="D366">
        <v>4536</v>
      </c>
      <c r="E366">
        <v>8074</v>
      </c>
    </row>
    <row r="367" spans="1:5">
      <c r="A367" s="97" t="s">
        <v>192</v>
      </c>
      <c r="B367" s="97" t="s">
        <v>22</v>
      </c>
      <c r="C367">
        <v>23119</v>
      </c>
      <c r="D367">
        <v>1812</v>
      </c>
      <c r="E367">
        <v>8055</v>
      </c>
    </row>
    <row r="368" spans="1:5">
      <c r="A368" s="97" t="s">
        <v>192</v>
      </c>
      <c r="B368" s="97" t="s">
        <v>23</v>
      </c>
      <c r="C368">
        <v>22544</v>
      </c>
      <c r="D368">
        <v>3041</v>
      </c>
      <c r="E368">
        <v>8068</v>
      </c>
    </row>
    <row r="369" spans="1:5">
      <c r="A369" s="97" t="s">
        <v>192</v>
      </c>
      <c r="B369" s="97" t="s">
        <v>24</v>
      </c>
      <c r="C369">
        <v>19719</v>
      </c>
      <c r="D369">
        <v>5623</v>
      </c>
      <c r="E369">
        <v>8044</v>
      </c>
    </row>
    <row r="370" spans="1:5">
      <c r="A370" s="97" t="s">
        <v>192</v>
      </c>
      <c r="B370" s="97" t="s">
        <v>25</v>
      </c>
      <c r="C370">
        <v>19910</v>
      </c>
      <c r="D370">
        <v>4764</v>
      </c>
      <c r="E370">
        <v>8052</v>
      </c>
    </row>
    <row r="371" spans="1:5">
      <c r="A371" s="97" t="s">
        <v>192</v>
      </c>
      <c r="B371" s="97" t="s">
        <v>26</v>
      </c>
      <c r="C371">
        <v>17818</v>
      </c>
      <c r="D371">
        <v>6162</v>
      </c>
      <c r="E371">
        <v>8047</v>
      </c>
    </row>
    <row r="372" spans="1:5">
      <c r="A372" s="97" t="s">
        <v>192</v>
      </c>
      <c r="B372" s="97" t="s">
        <v>27</v>
      </c>
      <c r="C372">
        <v>16236</v>
      </c>
      <c r="D372">
        <v>8270</v>
      </c>
      <c r="E372">
        <v>8068</v>
      </c>
    </row>
    <row r="373" spans="1:5">
      <c r="A373" s="97" t="s">
        <v>192</v>
      </c>
      <c r="B373" s="97" t="s">
        <v>28</v>
      </c>
      <c r="C373">
        <v>14895</v>
      </c>
      <c r="D373">
        <v>8689</v>
      </c>
      <c r="E373">
        <v>8044</v>
      </c>
    </row>
    <row r="374" spans="1:5">
      <c r="A374" s="97" t="s">
        <v>192</v>
      </c>
      <c r="B374" s="97" t="s">
        <v>29</v>
      </c>
      <c r="C374">
        <v>16235</v>
      </c>
      <c r="D374">
        <v>8671</v>
      </c>
      <c r="E374">
        <v>8046</v>
      </c>
    </row>
    <row r="375" spans="1:5">
      <c r="A375" s="97" t="s">
        <v>192</v>
      </c>
      <c r="B375" s="97" t="s">
        <v>30</v>
      </c>
      <c r="C375">
        <v>15710</v>
      </c>
      <c r="D375">
        <v>7766</v>
      </c>
      <c r="E375">
        <v>8053</v>
      </c>
    </row>
    <row r="376" spans="1:5">
      <c r="A376" s="97" t="s">
        <v>192</v>
      </c>
      <c r="B376" s="97" t="s">
        <v>31</v>
      </c>
      <c r="C376">
        <v>16258</v>
      </c>
      <c r="D376">
        <v>7809</v>
      </c>
      <c r="E376">
        <v>8055</v>
      </c>
    </row>
    <row r="377" spans="1:5">
      <c r="A377" s="97" t="s">
        <v>192</v>
      </c>
      <c r="B377" s="97" t="s">
        <v>32</v>
      </c>
      <c r="C377">
        <v>15889</v>
      </c>
      <c r="D377">
        <v>8501</v>
      </c>
      <c r="E377">
        <v>8037</v>
      </c>
    </row>
    <row r="378" spans="1:5">
      <c r="A378" s="97" t="s">
        <v>192</v>
      </c>
      <c r="B378" s="97" t="s">
        <v>33</v>
      </c>
      <c r="C378">
        <v>16706</v>
      </c>
      <c r="D378">
        <v>7158</v>
      </c>
      <c r="E378">
        <v>8044</v>
      </c>
    </row>
    <row r="379" spans="1:5">
      <c r="A379" s="97" t="s">
        <v>192</v>
      </c>
      <c r="B379" s="97" t="s">
        <v>34</v>
      </c>
      <c r="C379">
        <v>19034</v>
      </c>
      <c r="D379">
        <v>4956</v>
      </c>
      <c r="E379">
        <v>8048</v>
      </c>
    </row>
    <row r="380" spans="1:5">
      <c r="A380" s="97" t="s">
        <v>192</v>
      </c>
      <c r="B380" s="97" t="s">
        <v>35</v>
      </c>
      <c r="C380">
        <v>19404</v>
      </c>
      <c r="D380">
        <v>4733</v>
      </c>
      <c r="E380">
        <v>8048</v>
      </c>
    </row>
    <row r="381" spans="1:5">
      <c r="A381" s="97" t="s">
        <v>192</v>
      </c>
      <c r="B381" s="97" t="s">
        <v>36</v>
      </c>
      <c r="C381">
        <v>20783</v>
      </c>
      <c r="D381">
        <v>4710</v>
      </c>
      <c r="E381">
        <v>8036</v>
      </c>
    </row>
    <row r="382" spans="1:5">
      <c r="A382" s="97" t="s">
        <v>192</v>
      </c>
      <c r="B382" s="97" t="s">
        <v>37</v>
      </c>
      <c r="C382">
        <v>21693</v>
      </c>
      <c r="D382">
        <v>3933</v>
      </c>
      <c r="E382">
        <v>8083</v>
      </c>
    </row>
    <row r="383" spans="1:5">
      <c r="A383" s="97" t="s">
        <v>192</v>
      </c>
      <c r="B383" s="97" t="s">
        <v>38</v>
      </c>
      <c r="C383">
        <v>18911</v>
      </c>
      <c r="D383">
        <v>5934</v>
      </c>
      <c r="E383">
        <v>8084</v>
      </c>
    </row>
    <row r="384" spans="1:5">
      <c r="A384" s="97" t="s">
        <v>192</v>
      </c>
      <c r="B384" s="97" t="s">
        <v>39</v>
      </c>
      <c r="C384">
        <v>16655</v>
      </c>
      <c r="D384">
        <v>7213</v>
      </c>
      <c r="E384">
        <v>8068</v>
      </c>
    </row>
    <row r="385" spans="1:5">
      <c r="A385" s="97" t="s">
        <v>192</v>
      </c>
      <c r="B385" s="97" t="s">
        <v>40</v>
      </c>
      <c r="C385">
        <v>11292</v>
      </c>
      <c r="D385">
        <v>12940</v>
      </c>
      <c r="E385">
        <v>8048</v>
      </c>
    </row>
    <row r="386" spans="1:5">
      <c r="A386" s="96" t="s">
        <v>193</v>
      </c>
      <c r="B386" s="96" t="s">
        <v>17</v>
      </c>
      <c r="C386">
        <v>12718</v>
      </c>
      <c r="D386">
        <v>11760</v>
      </c>
      <c r="E386">
        <v>8063</v>
      </c>
    </row>
    <row r="387" spans="1:5">
      <c r="A387" s="96" t="s">
        <v>193</v>
      </c>
      <c r="B387" s="96" t="s">
        <v>18</v>
      </c>
      <c r="C387">
        <v>12617</v>
      </c>
      <c r="D387">
        <v>12781</v>
      </c>
      <c r="E387">
        <v>8075</v>
      </c>
    </row>
    <row r="388" spans="1:5">
      <c r="A388" s="96" t="s">
        <v>193</v>
      </c>
      <c r="B388" s="96" t="s">
        <v>19</v>
      </c>
      <c r="C388">
        <v>14053</v>
      </c>
      <c r="D388">
        <v>10434</v>
      </c>
      <c r="E388">
        <v>8046</v>
      </c>
    </row>
    <row r="389" spans="1:5">
      <c r="A389" s="96" t="s">
        <v>193</v>
      </c>
      <c r="B389" s="96" t="s">
        <v>20</v>
      </c>
      <c r="C389">
        <v>13210</v>
      </c>
      <c r="D389">
        <v>11734</v>
      </c>
      <c r="E389">
        <v>8088</v>
      </c>
    </row>
    <row r="390" spans="1:5">
      <c r="A390" s="96" t="s">
        <v>193</v>
      </c>
      <c r="B390" s="96" t="s">
        <v>21</v>
      </c>
      <c r="C390">
        <v>21271</v>
      </c>
      <c r="D390">
        <v>3782</v>
      </c>
      <c r="E390">
        <v>8071</v>
      </c>
    </row>
    <row r="391" spans="1:5">
      <c r="A391" s="96" t="s">
        <v>193</v>
      </c>
      <c r="B391" s="96" t="s">
        <v>22</v>
      </c>
      <c r="C391">
        <v>23483</v>
      </c>
      <c r="D391">
        <v>1685</v>
      </c>
      <c r="E391">
        <v>8058</v>
      </c>
    </row>
    <row r="392" spans="1:5">
      <c r="A392" s="96" t="s">
        <v>193</v>
      </c>
      <c r="B392" s="96" t="s">
        <v>23</v>
      </c>
      <c r="C392">
        <v>22002</v>
      </c>
      <c r="D392">
        <v>2910</v>
      </c>
      <c r="E392">
        <v>8056</v>
      </c>
    </row>
    <row r="393" spans="1:5">
      <c r="A393" s="96" t="s">
        <v>193</v>
      </c>
      <c r="B393" s="96" t="s">
        <v>24</v>
      </c>
      <c r="C393">
        <v>21611</v>
      </c>
      <c r="D393">
        <v>3556</v>
      </c>
      <c r="E393">
        <v>8057</v>
      </c>
    </row>
    <row r="394" spans="1:5">
      <c r="A394" s="96" t="s">
        <v>193</v>
      </c>
      <c r="B394" s="96" t="s">
        <v>25</v>
      </c>
      <c r="C394">
        <v>20452</v>
      </c>
      <c r="D394">
        <v>4402</v>
      </c>
      <c r="E394">
        <v>8050</v>
      </c>
    </row>
    <row r="395" spans="1:5">
      <c r="A395" s="96" t="s">
        <v>193</v>
      </c>
      <c r="B395" s="96" t="s">
        <v>26</v>
      </c>
      <c r="C395">
        <v>19277</v>
      </c>
      <c r="D395">
        <v>5871</v>
      </c>
      <c r="E395">
        <v>8079</v>
      </c>
    </row>
    <row r="396" spans="1:5">
      <c r="A396" s="96" t="s">
        <v>193</v>
      </c>
      <c r="B396" s="96" t="s">
        <v>27</v>
      </c>
      <c r="C396">
        <v>17111</v>
      </c>
      <c r="D396">
        <v>6821</v>
      </c>
      <c r="E396">
        <v>8052</v>
      </c>
    </row>
    <row r="397" spans="1:5">
      <c r="A397" s="96" t="s">
        <v>193</v>
      </c>
      <c r="B397" s="96" t="s">
        <v>28</v>
      </c>
      <c r="C397">
        <v>16548</v>
      </c>
      <c r="D397">
        <v>8341</v>
      </c>
      <c r="E397">
        <v>8057</v>
      </c>
    </row>
    <row r="398" spans="1:5">
      <c r="A398" s="96" t="s">
        <v>193</v>
      </c>
      <c r="B398" s="96" t="s">
        <v>29</v>
      </c>
      <c r="C398">
        <v>16270</v>
      </c>
      <c r="D398">
        <v>8329</v>
      </c>
      <c r="E398">
        <v>8046</v>
      </c>
    </row>
    <row r="399" spans="1:5">
      <c r="A399" s="96" t="s">
        <v>193</v>
      </c>
      <c r="B399" s="96" t="s">
        <v>30</v>
      </c>
      <c r="C399">
        <v>16147</v>
      </c>
      <c r="D399">
        <v>8160</v>
      </c>
      <c r="E399">
        <v>8050</v>
      </c>
    </row>
    <row r="400" spans="1:5">
      <c r="A400" s="96" t="s">
        <v>193</v>
      </c>
      <c r="B400" s="96" t="s">
        <v>31</v>
      </c>
      <c r="C400">
        <v>15907</v>
      </c>
      <c r="D400">
        <v>8423</v>
      </c>
      <c r="E400">
        <v>8057</v>
      </c>
    </row>
    <row r="401" spans="1:5">
      <c r="A401" s="96" t="s">
        <v>193</v>
      </c>
      <c r="B401" s="96" t="s">
        <v>32</v>
      </c>
      <c r="C401">
        <v>16049</v>
      </c>
      <c r="D401">
        <v>8243</v>
      </c>
      <c r="E401">
        <v>8054</v>
      </c>
    </row>
    <row r="402" spans="1:5">
      <c r="A402" s="96" t="s">
        <v>193</v>
      </c>
      <c r="B402" s="96" t="s">
        <v>33</v>
      </c>
      <c r="C402">
        <v>16925</v>
      </c>
      <c r="D402">
        <v>7537</v>
      </c>
      <c r="E402">
        <v>8052</v>
      </c>
    </row>
    <row r="403" spans="1:5">
      <c r="A403" s="96" t="s">
        <v>193</v>
      </c>
      <c r="B403" s="96" t="s">
        <v>34</v>
      </c>
      <c r="C403">
        <v>17994</v>
      </c>
      <c r="D403">
        <v>6763</v>
      </c>
      <c r="E403">
        <v>8050</v>
      </c>
    </row>
    <row r="404" spans="1:5">
      <c r="A404" s="96" t="s">
        <v>193</v>
      </c>
      <c r="B404" s="96" t="s">
        <v>35</v>
      </c>
      <c r="C404">
        <v>19792</v>
      </c>
      <c r="D404">
        <v>4357</v>
      </c>
      <c r="E404">
        <v>8058</v>
      </c>
    </row>
    <row r="405" spans="1:5">
      <c r="A405" s="96" t="s">
        <v>193</v>
      </c>
      <c r="B405" s="96" t="s">
        <v>36</v>
      </c>
      <c r="C405">
        <v>22313</v>
      </c>
      <c r="D405">
        <v>3399</v>
      </c>
      <c r="E405">
        <v>8054</v>
      </c>
    </row>
    <row r="406" spans="1:5">
      <c r="A406" s="96" t="s">
        <v>193</v>
      </c>
      <c r="B406" s="96" t="s">
        <v>37</v>
      </c>
      <c r="C406">
        <v>21358</v>
      </c>
      <c r="D406">
        <v>4476</v>
      </c>
      <c r="E406">
        <v>8063</v>
      </c>
    </row>
    <row r="407" spans="1:5">
      <c r="A407" s="96" t="s">
        <v>193</v>
      </c>
      <c r="B407" s="96" t="s">
        <v>38</v>
      </c>
      <c r="C407">
        <v>21001</v>
      </c>
      <c r="D407">
        <v>4706</v>
      </c>
      <c r="E407">
        <v>8054</v>
      </c>
    </row>
    <row r="408" spans="1:5">
      <c r="A408" s="96" t="s">
        <v>193</v>
      </c>
      <c r="B408" s="96" t="s">
        <v>39</v>
      </c>
      <c r="C408">
        <v>16772</v>
      </c>
      <c r="D408">
        <v>7692</v>
      </c>
      <c r="E408">
        <v>8030</v>
      </c>
    </row>
    <row r="409" spans="1:5">
      <c r="A409" s="96" t="s">
        <v>193</v>
      </c>
      <c r="B409" s="96" t="s">
        <v>40</v>
      </c>
      <c r="C409">
        <v>11588</v>
      </c>
      <c r="D409">
        <v>13429</v>
      </c>
      <c r="E409">
        <v>8032</v>
      </c>
    </row>
    <row r="410" spans="1:5">
      <c r="A410" s="97" t="s">
        <v>194</v>
      </c>
      <c r="B410" s="97" t="s">
        <v>17</v>
      </c>
      <c r="C410">
        <v>13542</v>
      </c>
      <c r="D410">
        <v>10809</v>
      </c>
      <c r="E410">
        <v>8042</v>
      </c>
    </row>
    <row r="411" spans="1:5">
      <c r="A411" s="97" t="s">
        <v>194</v>
      </c>
      <c r="B411" s="97" t="s">
        <v>18</v>
      </c>
      <c r="C411">
        <v>17263</v>
      </c>
      <c r="D411">
        <v>8497</v>
      </c>
      <c r="E411">
        <v>8003</v>
      </c>
    </row>
    <row r="412" spans="1:5">
      <c r="A412" s="97" t="s">
        <v>194</v>
      </c>
      <c r="B412" s="97" t="s">
        <v>19</v>
      </c>
      <c r="C412">
        <v>17498</v>
      </c>
      <c r="D412">
        <v>7621</v>
      </c>
      <c r="E412">
        <v>8041</v>
      </c>
    </row>
    <row r="413" spans="1:5">
      <c r="A413" s="97" t="s">
        <v>194</v>
      </c>
      <c r="B413" s="97" t="s">
        <v>20</v>
      </c>
      <c r="C413">
        <v>17183</v>
      </c>
      <c r="D413">
        <v>8333</v>
      </c>
      <c r="E413">
        <v>7985</v>
      </c>
    </row>
    <row r="414" spans="1:5">
      <c r="A414" s="97" t="s">
        <v>194</v>
      </c>
      <c r="B414" s="97" t="s">
        <v>21</v>
      </c>
      <c r="C414">
        <v>22279</v>
      </c>
      <c r="D414">
        <v>3478</v>
      </c>
      <c r="E414">
        <v>8041</v>
      </c>
    </row>
    <row r="415" spans="1:5">
      <c r="A415" s="97" t="s">
        <v>194</v>
      </c>
      <c r="B415" s="97" t="s">
        <v>22</v>
      </c>
      <c r="C415">
        <v>19254</v>
      </c>
      <c r="D415">
        <v>6179</v>
      </c>
      <c r="E415">
        <v>8041</v>
      </c>
    </row>
    <row r="416" spans="1:5">
      <c r="A416" s="97" t="s">
        <v>194</v>
      </c>
      <c r="B416" s="97" t="s">
        <v>23</v>
      </c>
      <c r="C416">
        <v>19928</v>
      </c>
      <c r="D416">
        <v>5829</v>
      </c>
      <c r="E416">
        <v>8029</v>
      </c>
    </row>
    <row r="417" spans="1:5">
      <c r="A417" s="97" t="s">
        <v>194</v>
      </c>
      <c r="B417" s="97" t="s">
        <v>24</v>
      </c>
      <c r="C417">
        <v>19617</v>
      </c>
      <c r="D417">
        <v>5341</v>
      </c>
      <c r="E417">
        <v>8072</v>
      </c>
    </row>
    <row r="418" spans="1:5">
      <c r="A418" s="97" t="s">
        <v>194</v>
      </c>
      <c r="B418" s="97" t="s">
        <v>25</v>
      </c>
      <c r="C418">
        <v>19956</v>
      </c>
      <c r="D418">
        <v>5686</v>
      </c>
      <c r="E418">
        <v>8064</v>
      </c>
    </row>
    <row r="419" spans="1:5">
      <c r="A419" s="97" t="s">
        <v>194</v>
      </c>
      <c r="B419" s="97" t="s">
        <v>26</v>
      </c>
      <c r="C419">
        <v>19494</v>
      </c>
      <c r="D419">
        <v>5106</v>
      </c>
      <c r="E419">
        <v>8062</v>
      </c>
    </row>
    <row r="420" spans="1:5">
      <c r="A420" s="97" t="s">
        <v>194</v>
      </c>
      <c r="B420" s="97" t="s">
        <v>27</v>
      </c>
      <c r="C420">
        <v>17490</v>
      </c>
      <c r="D420">
        <v>7747</v>
      </c>
      <c r="E420">
        <v>8052</v>
      </c>
    </row>
    <row r="421" spans="1:5">
      <c r="A421" s="97" t="s">
        <v>194</v>
      </c>
      <c r="B421" s="97" t="s">
        <v>28</v>
      </c>
      <c r="C421">
        <v>14608</v>
      </c>
      <c r="D421">
        <v>9650</v>
      </c>
      <c r="E421">
        <v>8046</v>
      </c>
    </row>
    <row r="422" spans="1:5">
      <c r="A422" s="97" t="s">
        <v>194</v>
      </c>
      <c r="B422" s="97" t="s">
        <v>29</v>
      </c>
      <c r="C422">
        <v>14999</v>
      </c>
      <c r="D422">
        <v>8236</v>
      </c>
      <c r="E422">
        <v>8042</v>
      </c>
    </row>
    <row r="423" spans="1:5">
      <c r="A423" s="97" t="s">
        <v>194</v>
      </c>
      <c r="B423" s="97" t="s">
        <v>30</v>
      </c>
      <c r="C423">
        <v>16234</v>
      </c>
      <c r="D423">
        <v>8053</v>
      </c>
      <c r="E423">
        <v>8059</v>
      </c>
    </row>
    <row r="424" spans="1:5">
      <c r="A424" s="97" t="s">
        <v>194</v>
      </c>
      <c r="B424" s="97" t="s">
        <v>31</v>
      </c>
      <c r="C424">
        <v>16737</v>
      </c>
      <c r="D424">
        <v>7169</v>
      </c>
      <c r="E424">
        <v>8055</v>
      </c>
    </row>
    <row r="425" spans="1:5">
      <c r="A425" s="97" t="s">
        <v>194</v>
      </c>
      <c r="B425" s="97" t="s">
        <v>32</v>
      </c>
      <c r="C425">
        <v>16497</v>
      </c>
      <c r="D425">
        <v>7364</v>
      </c>
      <c r="E425">
        <v>8066</v>
      </c>
    </row>
    <row r="426" spans="1:5">
      <c r="A426" s="97" t="s">
        <v>194</v>
      </c>
      <c r="B426" s="97" t="s">
        <v>33</v>
      </c>
      <c r="C426">
        <v>17202</v>
      </c>
      <c r="D426">
        <v>7949</v>
      </c>
      <c r="E426">
        <v>8054</v>
      </c>
    </row>
    <row r="427" spans="1:5">
      <c r="A427" s="97" t="s">
        <v>194</v>
      </c>
      <c r="B427" s="97" t="s">
        <v>34</v>
      </c>
      <c r="C427">
        <v>19610</v>
      </c>
      <c r="D427">
        <v>5165</v>
      </c>
      <c r="E427">
        <v>8053</v>
      </c>
    </row>
    <row r="428" spans="1:5">
      <c r="A428" s="97" t="s">
        <v>194</v>
      </c>
      <c r="B428" s="97" t="s">
        <v>35</v>
      </c>
      <c r="C428">
        <v>20173</v>
      </c>
      <c r="D428">
        <v>3926</v>
      </c>
      <c r="E428">
        <v>8057</v>
      </c>
    </row>
    <row r="429" spans="1:5">
      <c r="A429" s="97" t="s">
        <v>194</v>
      </c>
      <c r="B429" s="97" t="s">
        <v>36</v>
      </c>
      <c r="C429">
        <v>21321</v>
      </c>
      <c r="D429">
        <v>3616</v>
      </c>
      <c r="E429">
        <v>8054</v>
      </c>
    </row>
    <row r="430" spans="1:5">
      <c r="A430" s="97" t="s">
        <v>194</v>
      </c>
      <c r="B430" s="97" t="s">
        <v>37</v>
      </c>
      <c r="C430">
        <v>21012</v>
      </c>
      <c r="D430">
        <v>3086</v>
      </c>
      <c r="E430">
        <v>8051</v>
      </c>
    </row>
    <row r="431" spans="1:5">
      <c r="A431" s="97" t="s">
        <v>194</v>
      </c>
      <c r="B431" s="97" t="s">
        <v>38</v>
      </c>
      <c r="C431">
        <v>20731</v>
      </c>
      <c r="D431">
        <v>4229</v>
      </c>
      <c r="E431">
        <v>8056</v>
      </c>
    </row>
    <row r="432" spans="1:5">
      <c r="A432" s="97" t="s">
        <v>194</v>
      </c>
      <c r="B432" s="97" t="s">
        <v>39</v>
      </c>
      <c r="C432">
        <v>17094</v>
      </c>
      <c r="D432">
        <v>7408</v>
      </c>
      <c r="E432">
        <v>8065</v>
      </c>
    </row>
    <row r="433" spans="1:5">
      <c r="A433" s="97" t="s">
        <v>194</v>
      </c>
      <c r="B433" s="97" t="s">
        <v>40</v>
      </c>
      <c r="C433">
        <v>9849</v>
      </c>
      <c r="D433">
        <v>14543</v>
      </c>
      <c r="E433">
        <v>8069</v>
      </c>
    </row>
    <row r="434" spans="1:5">
      <c r="A434" s="96" t="s">
        <v>195</v>
      </c>
      <c r="B434" s="96" t="s">
        <v>17</v>
      </c>
      <c r="C434">
        <v>10746</v>
      </c>
      <c r="D434">
        <v>14067</v>
      </c>
      <c r="E434">
        <v>8079</v>
      </c>
    </row>
    <row r="435" spans="1:5">
      <c r="A435" s="96" t="s">
        <v>195</v>
      </c>
      <c r="B435" s="96" t="s">
        <v>18</v>
      </c>
      <c r="C435">
        <v>11515</v>
      </c>
      <c r="D435">
        <v>13437</v>
      </c>
      <c r="E435">
        <v>8059</v>
      </c>
    </row>
    <row r="436" spans="1:5">
      <c r="A436" s="96" t="s">
        <v>195</v>
      </c>
      <c r="B436" s="96" t="s">
        <v>19</v>
      </c>
      <c r="C436">
        <v>13082</v>
      </c>
      <c r="D436">
        <v>11349</v>
      </c>
      <c r="E436">
        <v>8052</v>
      </c>
    </row>
    <row r="437" spans="1:5">
      <c r="A437" s="96" t="s">
        <v>195</v>
      </c>
      <c r="B437" s="96" t="s">
        <v>20</v>
      </c>
      <c r="C437">
        <v>13349</v>
      </c>
      <c r="D437">
        <v>11287</v>
      </c>
      <c r="E437">
        <v>8059</v>
      </c>
    </row>
    <row r="438" spans="1:5">
      <c r="A438" s="96" t="s">
        <v>195</v>
      </c>
      <c r="B438" s="96" t="s">
        <v>21</v>
      </c>
      <c r="C438">
        <v>20820</v>
      </c>
      <c r="D438">
        <v>3875</v>
      </c>
      <c r="E438">
        <v>8014</v>
      </c>
    </row>
    <row r="439" spans="1:5">
      <c r="A439" s="96" t="s">
        <v>195</v>
      </c>
      <c r="B439" s="96" t="s">
        <v>22</v>
      </c>
      <c r="C439">
        <v>22957</v>
      </c>
      <c r="D439">
        <v>2959</v>
      </c>
      <c r="E439">
        <v>8063</v>
      </c>
    </row>
    <row r="440" spans="1:5">
      <c r="A440" s="96" t="s">
        <v>195</v>
      </c>
      <c r="B440" s="96" t="s">
        <v>23</v>
      </c>
      <c r="C440">
        <v>19408</v>
      </c>
      <c r="D440">
        <v>6100</v>
      </c>
      <c r="E440">
        <v>8084</v>
      </c>
    </row>
    <row r="441" spans="1:5">
      <c r="A441" s="96" t="s">
        <v>195</v>
      </c>
      <c r="B441" s="96" t="s">
        <v>24</v>
      </c>
      <c r="C441">
        <v>18607</v>
      </c>
      <c r="D441">
        <v>5527</v>
      </c>
      <c r="E441">
        <v>8060</v>
      </c>
    </row>
    <row r="442" spans="1:5">
      <c r="A442" s="96" t="s">
        <v>195</v>
      </c>
      <c r="B442" s="96" t="s">
        <v>25</v>
      </c>
      <c r="C442">
        <v>19395</v>
      </c>
      <c r="D442">
        <v>5340</v>
      </c>
      <c r="E442">
        <v>8080</v>
      </c>
    </row>
    <row r="443" spans="1:5">
      <c r="A443" s="96" t="s">
        <v>195</v>
      </c>
      <c r="B443" s="96" t="s">
        <v>26</v>
      </c>
      <c r="C443">
        <v>17081</v>
      </c>
      <c r="D443">
        <v>6740</v>
      </c>
      <c r="E443">
        <v>8053</v>
      </c>
    </row>
    <row r="444" spans="1:5">
      <c r="A444" s="96" t="s">
        <v>195</v>
      </c>
      <c r="B444" s="96" t="s">
        <v>27</v>
      </c>
      <c r="C444">
        <v>15558</v>
      </c>
      <c r="D444">
        <v>8635</v>
      </c>
      <c r="E444">
        <v>8054</v>
      </c>
    </row>
    <row r="445" spans="1:5">
      <c r="A445" s="96" t="s">
        <v>195</v>
      </c>
      <c r="B445" s="96" t="s">
        <v>28</v>
      </c>
      <c r="C445">
        <v>15472</v>
      </c>
      <c r="D445">
        <v>8882</v>
      </c>
      <c r="E445">
        <v>8067</v>
      </c>
    </row>
    <row r="446" spans="1:5">
      <c r="A446" s="96" t="s">
        <v>195</v>
      </c>
      <c r="B446" s="96" t="s">
        <v>29</v>
      </c>
      <c r="C446">
        <v>14730</v>
      </c>
      <c r="D446">
        <v>5087</v>
      </c>
      <c r="E446">
        <v>6936</v>
      </c>
    </row>
    <row r="447" spans="1:5">
      <c r="A447" s="96" t="s">
        <v>195</v>
      </c>
      <c r="B447" s="96" t="s">
        <v>30</v>
      </c>
      <c r="C447">
        <v>14165</v>
      </c>
      <c r="D447">
        <v>7178</v>
      </c>
      <c r="E447">
        <v>6519</v>
      </c>
    </row>
    <row r="448" spans="1:5">
      <c r="A448" s="96" t="s">
        <v>195</v>
      </c>
      <c r="B448" s="96" t="s">
        <v>31</v>
      </c>
      <c r="C448">
        <v>15387</v>
      </c>
      <c r="D448">
        <v>9584</v>
      </c>
      <c r="E448">
        <v>8091</v>
      </c>
    </row>
    <row r="449" spans="1:5">
      <c r="A449" s="96" t="s">
        <v>195</v>
      </c>
      <c r="B449" s="96" t="s">
        <v>32</v>
      </c>
      <c r="C449">
        <v>15379</v>
      </c>
      <c r="D449">
        <v>8326</v>
      </c>
      <c r="E449">
        <v>8045</v>
      </c>
    </row>
    <row r="450" spans="1:5">
      <c r="A450" s="96" t="s">
        <v>195</v>
      </c>
      <c r="B450" s="96" t="s">
        <v>33</v>
      </c>
      <c r="C450">
        <v>15019</v>
      </c>
      <c r="D450">
        <v>9130</v>
      </c>
      <c r="E450">
        <v>8061</v>
      </c>
    </row>
    <row r="451" spans="1:5">
      <c r="A451" s="96" t="s">
        <v>195</v>
      </c>
      <c r="B451" s="96" t="s">
        <v>34</v>
      </c>
      <c r="C451">
        <v>16637</v>
      </c>
      <c r="D451">
        <v>7786</v>
      </c>
      <c r="E451">
        <v>8040</v>
      </c>
    </row>
    <row r="452" spans="1:5">
      <c r="A452" s="96" t="s">
        <v>195</v>
      </c>
      <c r="B452" s="96" t="s">
        <v>35</v>
      </c>
      <c r="C452">
        <v>19223</v>
      </c>
      <c r="D452">
        <v>5146</v>
      </c>
      <c r="E452">
        <v>8074</v>
      </c>
    </row>
    <row r="453" spans="1:5">
      <c r="A453" s="96" t="s">
        <v>195</v>
      </c>
      <c r="B453" s="96" t="s">
        <v>36</v>
      </c>
      <c r="C453">
        <v>21222</v>
      </c>
      <c r="D453">
        <v>4244</v>
      </c>
      <c r="E453">
        <v>8062</v>
      </c>
    </row>
    <row r="454" spans="1:5">
      <c r="A454" s="96" t="s">
        <v>195</v>
      </c>
      <c r="B454" s="96" t="s">
        <v>37</v>
      </c>
      <c r="C454">
        <v>19746</v>
      </c>
      <c r="D454">
        <v>4881</v>
      </c>
      <c r="E454">
        <v>8060</v>
      </c>
    </row>
    <row r="455" spans="1:5">
      <c r="A455" s="96" t="s">
        <v>195</v>
      </c>
      <c r="B455" s="96" t="s">
        <v>38</v>
      </c>
      <c r="C455">
        <v>20202</v>
      </c>
      <c r="D455">
        <v>3970</v>
      </c>
      <c r="E455">
        <v>8058</v>
      </c>
    </row>
    <row r="456" spans="1:5">
      <c r="A456" s="96" t="s">
        <v>195</v>
      </c>
      <c r="B456" s="96" t="s">
        <v>39</v>
      </c>
      <c r="C456">
        <v>17786</v>
      </c>
      <c r="D456">
        <v>6748</v>
      </c>
      <c r="E456">
        <v>8046</v>
      </c>
    </row>
    <row r="457" spans="1:5">
      <c r="A457" s="96" t="s">
        <v>195</v>
      </c>
      <c r="B457" s="96" t="s">
        <v>40</v>
      </c>
      <c r="C457">
        <v>10077</v>
      </c>
      <c r="D457">
        <v>14380</v>
      </c>
      <c r="E457">
        <v>8071</v>
      </c>
    </row>
    <row r="458" spans="1:5">
      <c r="A458" s="97" t="s">
        <v>196</v>
      </c>
      <c r="B458" s="97" t="s">
        <v>17</v>
      </c>
      <c r="C458">
        <v>12686</v>
      </c>
      <c r="D458">
        <v>13225</v>
      </c>
      <c r="E458">
        <v>8082</v>
      </c>
    </row>
    <row r="459" spans="1:5">
      <c r="A459" s="97" t="s">
        <v>196</v>
      </c>
      <c r="B459" s="97" t="s">
        <v>18</v>
      </c>
      <c r="C459">
        <v>15282</v>
      </c>
      <c r="D459">
        <v>9809</v>
      </c>
      <c r="E459">
        <v>8061</v>
      </c>
    </row>
    <row r="460" spans="1:5">
      <c r="A460" s="97" t="s">
        <v>196</v>
      </c>
      <c r="B460" s="97" t="s">
        <v>19</v>
      </c>
      <c r="C460">
        <v>17993</v>
      </c>
      <c r="D460">
        <v>8166</v>
      </c>
      <c r="E460">
        <v>8036</v>
      </c>
    </row>
    <row r="461" spans="1:5">
      <c r="A461" s="97" t="s">
        <v>196</v>
      </c>
      <c r="B461" s="97" t="s">
        <v>20</v>
      </c>
      <c r="C461">
        <v>16118</v>
      </c>
      <c r="D461">
        <v>9155</v>
      </c>
      <c r="E461">
        <v>7990</v>
      </c>
    </row>
    <row r="462" spans="1:5">
      <c r="A462" s="97" t="s">
        <v>196</v>
      </c>
      <c r="B462" s="97" t="s">
        <v>21</v>
      </c>
      <c r="C462">
        <v>23024</v>
      </c>
      <c r="D462">
        <v>3400</v>
      </c>
      <c r="E462">
        <v>8052</v>
      </c>
    </row>
    <row r="463" spans="1:5">
      <c r="A463" s="97" t="s">
        <v>196</v>
      </c>
      <c r="B463" s="97" t="s">
        <v>22</v>
      </c>
      <c r="C463">
        <v>22714</v>
      </c>
      <c r="D463">
        <v>3338</v>
      </c>
      <c r="E463">
        <v>8008</v>
      </c>
    </row>
    <row r="464" spans="1:5">
      <c r="A464" s="97" t="s">
        <v>196</v>
      </c>
      <c r="B464" s="97" t="s">
        <v>23</v>
      </c>
      <c r="C464">
        <v>21971</v>
      </c>
      <c r="D464">
        <v>3057</v>
      </c>
      <c r="E464">
        <v>8050</v>
      </c>
    </row>
    <row r="465" spans="1:5">
      <c r="A465" s="97" t="s">
        <v>196</v>
      </c>
      <c r="B465" s="97" t="s">
        <v>24</v>
      </c>
      <c r="C465">
        <v>21020</v>
      </c>
      <c r="D465">
        <v>4520</v>
      </c>
      <c r="E465">
        <v>8080</v>
      </c>
    </row>
    <row r="466" spans="1:5">
      <c r="A466" s="97" t="s">
        <v>196</v>
      </c>
      <c r="B466" s="97" t="s">
        <v>25</v>
      </c>
      <c r="C466">
        <v>21275</v>
      </c>
      <c r="D466">
        <v>4443</v>
      </c>
      <c r="E466">
        <v>8091</v>
      </c>
    </row>
    <row r="467" spans="1:5">
      <c r="A467" s="97" t="s">
        <v>196</v>
      </c>
      <c r="B467" s="97" t="s">
        <v>26</v>
      </c>
      <c r="C467">
        <v>19788</v>
      </c>
      <c r="D467">
        <v>1176</v>
      </c>
      <c r="E467">
        <v>6332</v>
      </c>
    </row>
    <row r="468" spans="1:5">
      <c r="A468" s="97" t="s">
        <v>196</v>
      </c>
      <c r="B468" s="97" t="s">
        <v>27</v>
      </c>
      <c r="C468">
        <v>14742</v>
      </c>
      <c r="D468">
        <v>2354</v>
      </c>
      <c r="E468">
        <v>5055</v>
      </c>
    </row>
    <row r="469" spans="1:5">
      <c r="A469" s="97" t="s">
        <v>196</v>
      </c>
      <c r="B469" s="97" t="s">
        <v>28</v>
      </c>
      <c r="C469">
        <v>13389</v>
      </c>
      <c r="D469">
        <v>3186</v>
      </c>
      <c r="E469">
        <v>5082</v>
      </c>
    </row>
    <row r="470" spans="1:5">
      <c r="A470" s="97" t="s">
        <v>196</v>
      </c>
      <c r="B470" s="97" t="s">
        <v>29</v>
      </c>
      <c r="C470">
        <v>13853</v>
      </c>
      <c r="D470">
        <v>2488</v>
      </c>
      <c r="E470">
        <v>5055</v>
      </c>
    </row>
    <row r="471" spans="1:5">
      <c r="A471" s="97" t="s">
        <v>196</v>
      </c>
      <c r="B471" s="97" t="s">
        <v>30</v>
      </c>
      <c r="C471">
        <v>15905</v>
      </c>
      <c r="D471">
        <v>3377</v>
      </c>
      <c r="E471">
        <v>5118</v>
      </c>
    </row>
    <row r="472" spans="1:5">
      <c r="A472" s="97" t="s">
        <v>196</v>
      </c>
      <c r="B472" s="97" t="s">
        <v>31</v>
      </c>
      <c r="C472">
        <v>15110</v>
      </c>
      <c r="D472">
        <v>1256</v>
      </c>
      <c r="E472">
        <v>5081</v>
      </c>
    </row>
    <row r="473" spans="1:5">
      <c r="A473" s="97" t="s">
        <v>196</v>
      </c>
      <c r="B473" s="97" t="s">
        <v>32</v>
      </c>
      <c r="C473">
        <v>14791</v>
      </c>
      <c r="D473">
        <v>7969</v>
      </c>
      <c r="E473">
        <v>6975</v>
      </c>
    </row>
    <row r="474" spans="1:5">
      <c r="A474" s="97" t="s">
        <v>196</v>
      </c>
      <c r="B474" s="97" t="s">
        <v>33</v>
      </c>
      <c r="C474">
        <v>15581</v>
      </c>
      <c r="D474">
        <v>9036</v>
      </c>
      <c r="E474">
        <v>8048</v>
      </c>
    </row>
    <row r="475" spans="1:5">
      <c r="A475" s="97" t="s">
        <v>196</v>
      </c>
      <c r="B475" s="97" t="s">
        <v>34</v>
      </c>
      <c r="C475">
        <v>17311</v>
      </c>
      <c r="D475">
        <v>7650</v>
      </c>
      <c r="E475">
        <v>8058</v>
      </c>
    </row>
    <row r="476" spans="1:5">
      <c r="A476" s="97" t="s">
        <v>196</v>
      </c>
      <c r="B476" s="97" t="s">
        <v>35</v>
      </c>
      <c r="C476">
        <v>19479</v>
      </c>
      <c r="D476">
        <v>6091</v>
      </c>
      <c r="E476">
        <v>8068</v>
      </c>
    </row>
    <row r="477" spans="1:5">
      <c r="A477" s="97" t="s">
        <v>196</v>
      </c>
      <c r="B477" s="97" t="s">
        <v>36</v>
      </c>
      <c r="C477">
        <v>19674</v>
      </c>
      <c r="D477">
        <v>5267</v>
      </c>
      <c r="E477">
        <v>8093</v>
      </c>
    </row>
    <row r="478" spans="1:5">
      <c r="A478" s="97" t="s">
        <v>196</v>
      </c>
      <c r="B478" s="97" t="s">
        <v>37</v>
      </c>
      <c r="C478">
        <v>20773</v>
      </c>
      <c r="D478">
        <v>4593</v>
      </c>
      <c r="E478">
        <v>8070</v>
      </c>
    </row>
    <row r="479" spans="1:5">
      <c r="A479" s="97" t="s">
        <v>196</v>
      </c>
      <c r="B479" s="97" t="s">
        <v>38</v>
      </c>
      <c r="C479">
        <v>21119</v>
      </c>
      <c r="D479">
        <v>4299</v>
      </c>
      <c r="E479">
        <v>8070</v>
      </c>
    </row>
    <row r="480" spans="1:5">
      <c r="A480" s="97" t="s">
        <v>196</v>
      </c>
      <c r="B480" s="97" t="s">
        <v>39</v>
      </c>
      <c r="C480">
        <v>16824</v>
      </c>
      <c r="D480">
        <v>8077</v>
      </c>
      <c r="E480">
        <v>8051</v>
      </c>
    </row>
    <row r="481" spans="1:5">
      <c r="A481" s="97" t="s">
        <v>196</v>
      </c>
      <c r="B481" s="97" t="s">
        <v>40</v>
      </c>
      <c r="C481">
        <v>10341</v>
      </c>
      <c r="D481">
        <v>14479</v>
      </c>
      <c r="E481">
        <v>8049</v>
      </c>
    </row>
    <row r="482" spans="1:5">
      <c r="A482" s="96" t="s">
        <v>197</v>
      </c>
      <c r="B482" s="96" t="s">
        <v>17</v>
      </c>
      <c r="C482">
        <v>12312</v>
      </c>
      <c r="D482">
        <v>11666</v>
      </c>
      <c r="E482">
        <v>7448</v>
      </c>
    </row>
    <row r="483" spans="1:5">
      <c r="A483" s="96" t="s">
        <v>197</v>
      </c>
      <c r="B483" s="96" t="s">
        <v>18</v>
      </c>
      <c r="C483">
        <v>15597</v>
      </c>
      <c r="D483">
        <v>8265</v>
      </c>
      <c r="E483">
        <v>7842</v>
      </c>
    </row>
    <row r="484" spans="1:5">
      <c r="A484" s="96" t="s">
        <v>197</v>
      </c>
      <c r="B484" s="96" t="s">
        <v>19</v>
      </c>
      <c r="C484">
        <v>18153</v>
      </c>
      <c r="D484">
        <v>7043</v>
      </c>
      <c r="E484">
        <v>8072</v>
      </c>
    </row>
    <row r="485" spans="1:5">
      <c r="A485" s="96" t="s">
        <v>197</v>
      </c>
      <c r="B485" s="96" t="s">
        <v>20</v>
      </c>
      <c r="C485">
        <v>15249</v>
      </c>
      <c r="D485">
        <v>7579</v>
      </c>
      <c r="E485">
        <v>8047</v>
      </c>
    </row>
    <row r="486" spans="1:5">
      <c r="A486" s="96" t="s">
        <v>197</v>
      </c>
      <c r="B486" s="96" t="s">
        <v>21</v>
      </c>
      <c r="C486">
        <v>21099</v>
      </c>
      <c r="D486">
        <v>4091</v>
      </c>
      <c r="E486">
        <v>8031</v>
      </c>
    </row>
    <row r="487" spans="1:5">
      <c r="A487" s="96" t="s">
        <v>197</v>
      </c>
      <c r="B487" s="96" t="s">
        <v>22</v>
      </c>
      <c r="C487">
        <v>21688</v>
      </c>
      <c r="D487">
        <v>4656</v>
      </c>
      <c r="E487">
        <v>8083</v>
      </c>
    </row>
    <row r="488" spans="1:5">
      <c r="A488" s="96" t="s">
        <v>197</v>
      </c>
      <c r="B488" s="96" t="s">
        <v>23</v>
      </c>
      <c r="C488">
        <v>21497</v>
      </c>
      <c r="D488">
        <v>3200</v>
      </c>
      <c r="E488">
        <v>8012</v>
      </c>
    </row>
    <row r="489" spans="1:5">
      <c r="A489" s="96" t="s">
        <v>197</v>
      </c>
      <c r="B489" s="96" t="s">
        <v>24</v>
      </c>
      <c r="C489">
        <v>21472</v>
      </c>
      <c r="D489">
        <v>3279</v>
      </c>
      <c r="E489">
        <v>8030</v>
      </c>
    </row>
    <row r="490" spans="1:5">
      <c r="A490" s="96" t="s">
        <v>197</v>
      </c>
      <c r="B490" s="96" t="s">
        <v>25</v>
      </c>
      <c r="C490">
        <v>20178</v>
      </c>
      <c r="D490">
        <v>5153</v>
      </c>
      <c r="E490">
        <v>8078</v>
      </c>
    </row>
    <row r="491" spans="1:5">
      <c r="A491" s="96" t="s">
        <v>197</v>
      </c>
      <c r="B491" s="96" t="s">
        <v>26</v>
      </c>
      <c r="C491">
        <v>19977</v>
      </c>
      <c r="D491">
        <v>5322</v>
      </c>
      <c r="E491">
        <v>8065</v>
      </c>
    </row>
    <row r="492" spans="1:5">
      <c r="A492" s="96" t="s">
        <v>197</v>
      </c>
      <c r="B492" s="96" t="s">
        <v>27</v>
      </c>
      <c r="C492">
        <v>17682</v>
      </c>
      <c r="D492">
        <v>2261</v>
      </c>
      <c r="E492">
        <v>6672</v>
      </c>
    </row>
    <row r="493" spans="1:5">
      <c r="A493" s="96" t="s">
        <v>197</v>
      </c>
      <c r="B493" s="96" t="s">
        <v>28</v>
      </c>
      <c r="C493">
        <v>15511</v>
      </c>
      <c r="D493">
        <v>727</v>
      </c>
      <c r="E493">
        <v>5058</v>
      </c>
    </row>
    <row r="494" spans="1:5">
      <c r="A494" s="96" t="s">
        <v>197</v>
      </c>
      <c r="B494" s="96" t="s">
        <v>29</v>
      </c>
      <c r="C494">
        <v>13730</v>
      </c>
      <c r="D494">
        <v>2622</v>
      </c>
      <c r="E494">
        <v>5065</v>
      </c>
    </row>
    <row r="495" spans="1:5">
      <c r="A495" s="96" t="s">
        <v>197</v>
      </c>
      <c r="B495" s="96" t="s">
        <v>30</v>
      </c>
      <c r="C495">
        <v>14718</v>
      </c>
      <c r="D495">
        <v>2130</v>
      </c>
      <c r="E495">
        <v>5075</v>
      </c>
    </row>
    <row r="496" spans="1:5">
      <c r="A496" s="96" t="s">
        <v>197</v>
      </c>
      <c r="B496" s="96" t="s">
        <v>31</v>
      </c>
      <c r="C496">
        <v>14357</v>
      </c>
      <c r="D496">
        <v>1831</v>
      </c>
      <c r="E496">
        <v>5063</v>
      </c>
    </row>
    <row r="497" spans="1:5">
      <c r="A497" s="96" t="s">
        <v>197</v>
      </c>
      <c r="B497" s="96" t="s">
        <v>32</v>
      </c>
      <c r="C497">
        <v>14915</v>
      </c>
      <c r="D497">
        <v>1585</v>
      </c>
      <c r="E497">
        <v>5322</v>
      </c>
    </row>
    <row r="498" spans="1:5">
      <c r="A498" s="96" t="s">
        <v>197</v>
      </c>
      <c r="B498" s="96" t="s">
        <v>33</v>
      </c>
      <c r="C498">
        <v>14765</v>
      </c>
      <c r="D498">
        <v>2359</v>
      </c>
      <c r="E498">
        <v>5465</v>
      </c>
    </row>
    <row r="499" spans="1:5">
      <c r="A499" s="96" t="s">
        <v>197</v>
      </c>
      <c r="B499" s="96" t="s">
        <v>34</v>
      </c>
      <c r="C499">
        <v>16257</v>
      </c>
      <c r="D499">
        <v>25</v>
      </c>
      <c r="E499">
        <v>5055</v>
      </c>
    </row>
    <row r="500" spans="1:5">
      <c r="A500" s="96" t="s">
        <v>197</v>
      </c>
      <c r="B500" s="96" t="s">
        <v>35</v>
      </c>
      <c r="C500">
        <v>15870</v>
      </c>
      <c r="D500">
        <v>27</v>
      </c>
      <c r="E500">
        <v>5051</v>
      </c>
    </row>
    <row r="501" spans="1:5">
      <c r="A501" s="96" t="s">
        <v>197</v>
      </c>
      <c r="B501" s="96" t="s">
        <v>36</v>
      </c>
      <c r="C501">
        <v>19420</v>
      </c>
      <c r="D501">
        <v>619</v>
      </c>
      <c r="E501">
        <v>6465</v>
      </c>
    </row>
    <row r="502" spans="1:5">
      <c r="A502" s="96" t="s">
        <v>197</v>
      </c>
      <c r="B502" s="96" t="s">
        <v>37</v>
      </c>
      <c r="C502">
        <v>18928</v>
      </c>
      <c r="D502">
        <v>3289</v>
      </c>
      <c r="E502">
        <v>8049</v>
      </c>
    </row>
    <row r="503" spans="1:5">
      <c r="A503" s="96" t="s">
        <v>197</v>
      </c>
      <c r="B503" s="96" t="s">
        <v>38</v>
      </c>
      <c r="C503">
        <v>19813</v>
      </c>
      <c r="D503">
        <v>4735</v>
      </c>
      <c r="E503">
        <v>8045</v>
      </c>
    </row>
    <row r="504" spans="1:5">
      <c r="A504" s="96" t="s">
        <v>197</v>
      </c>
      <c r="B504" s="96" t="s">
        <v>39</v>
      </c>
      <c r="C504">
        <v>15177</v>
      </c>
      <c r="D504">
        <v>8991</v>
      </c>
      <c r="E504">
        <v>8061</v>
      </c>
    </row>
    <row r="505" spans="1:5">
      <c r="A505" s="96" t="s">
        <v>197</v>
      </c>
      <c r="B505" s="96" t="s">
        <v>40</v>
      </c>
      <c r="C505">
        <v>9869</v>
      </c>
      <c r="D505">
        <v>14384</v>
      </c>
      <c r="E505">
        <v>8081</v>
      </c>
    </row>
    <row r="506" spans="1:5">
      <c r="A506" s="97" t="s">
        <v>198</v>
      </c>
      <c r="B506" s="97" t="s">
        <v>17</v>
      </c>
      <c r="C506">
        <v>11541</v>
      </c>
      <c r="D506">
        <v>13219</v>
      </c>
      <c r="E506">
        <v>8050</v>
      </c>
    </row>
    <row r="507" spans="1:5">
      <c r="A507" s="97" t="s">
        <v>198</v>
      </c>
      <c r="B507" s="97" t="s">
        <v>18</v>
      </c>
      <c r="C507">
        <v>12874</v>
      </c>
      <c r="D507">
        <v>11963</v>
      </c>
      <c r="E507">
        <v>8039</v>
      </c>
    </row>
    <row r="508" spans="1:5">
      <c r="A508" s="97" t="s">
        <v>198</v>
      </c>
      <c r="B508" s="97" t="s">
        <v>19</v>
      </c>
      <c r="C508">
        <v>15145</v>
      </c>
      <c r="D508">
        <v>10340</v>
      </c>
      <c r="E508">
        <v>8085</v>
      </c>
    </row>
    <row r="509" spans="1:5">
      <c r="A509" s="97" t="s">
        <v>198</v>
      </c>
      <c r="B509" s="97" t="s">
        <v>20</v>
      </c>
      <c r="C509">
        <v>15070</v>
      </c>
      <c r="D509">
        <v>10095</v>
      </c>
      <c r="E509">
        <v>8040</v>
      </c>
    </row>
    <row r="510" spans="1:5">
      <c r="A510" s="97" t="s">
        <v>198</v>
      </c>
      <c r="B510" s="97" t="s">
        <v>21</v>
      </c>
      <c r="C510">
        <v>22421</v>
      </c>
      <c r="D510">
        <v>2834</v>
      </c>
      <c r="E510">
        <v>8066</v>
      </c>
    </row>
    <row r="511" spans="1:5">
      <c r="A511" s="97" t="s">
        <v>198</v>
      </c>
      <c r="B511" s="97" t="s">
        <v>22</v>
      </c>
      <c r="C511">
        <v>22928</v>
      </c>
      <c r="D511">
        <v>2366</v>
      </c>
      <c r="E511">
        <v>8054</v>
      </c>
    </row>
    <row r="512" spans="1:5">
      <c r="A512" s="97" t="s">
        <v>198</v>
      </c>
      <c r="B512" s="97" t="s">
        <v>23</v>
      </c>
      <c r="C512">
        <v>21749</v>
      </c>
      <c r="D512">
        <v>3294</v>
      </c>
      <c r="E512">
        <v>8035</v>
      </c>
    </row>
    <row r="513" spans="1:5">
      <c r="A513" s="97" t="s">
        <v>198</v>
      </c>
      <c r="B513" s="97" t="s">
        <v>24</v>
      </c>
      <c r="C513">
        <v>19364</v>
      </c>
      <c r="D513">
        <v>6280</v>
      </c>
      <c r="E513">
        <v>8078</v>
      </c>
    </row>
    <row r="514" spans="1:5">
      <c r="A514" s="97" t="s">
        <v>198</v>
      </c>
      <c r="B514" s="97" t="s">
        <v>25</v>
      </c>
      <c r="C514">
        <v>19536</v>
      </c>
      <c r="D514">
        <v>5982</v>
      </c>
      <c r="E514">
        <v>8077</v>
      </c>
    </row>
    <row r="515" spans="1:5">
      <c r="A515" s="97" t="s">
        <v>198</v>
      </c>
      <c r="B515" s="97" t="s">
        <v>26</v>
      </c>
      <c r="C515">
        <v>15746</v>
      </c>
      <c r="D515">
        <v>8097</v>
      </c>
      <c r="E515">
        <v>8037</v>
      </c>
    </row>
    <row r="516" spans="1:5">
      <c r="A516" s="97" t="s">
        <v>198</v>
      </c>
      <c r="B516" s="97" t="s">
        <v>27</v>
      </c>
      <c r="C516">
        <v>13741</v>
      </c>
      <c r="D516">
        <v>7186</v>
      </c>
      <c r="E516">
        <v>7194</v>
      </c>
    </row>
    <row r="517" spans="1:5">
      <c r="A517" s="97" t="s">
        <v>198</v>
      </c>
      <c r="B517" s="97" t="s">
        <v>28</v>
      </c>
      <c r="C517">
        <v>14557</v>
      </c>
      <c r="D517">
        <v>5621</v>
      </c>
      <c r="E517">
        <v>6655</v>
      </c>
    </row>
    <row r="518" spans="1:5">
      <c r="A518" s="97" t="s">
        <v>198</v>
      </c>
      <c r="B518" s="97" t="s">
        <v>29</v>
      </c>
      <c r="C518">
        <v>14829</v>
      </c>
      <c r="D518">
        <v>4155</v>
      </c>
      <c r="E518">
        <v>6055</v>
      </c>
    </row>
    <row r="519" spans="1:5">
      <c r="A519" s="97" t="s">
        <v>198</v>
      </c>
      <c r="B519" s="97" t="s">
        <v>30</v>
      </c>
      <c r="C519">
        <v>13670</v>
      </c>
      <c r="D519">
        <v>5120</v>
      </c>
      <c r="E519">
        <v>6065</v>
      </c>
    </row>
    <row r="520" spans="1:5">
      <c r="A520" s="97" t="s">
        <v>198</v>
      </c>
      <c r="B520" s="97" t="s">
        <v>31</v>
      </c>
      <c r="C520">
        <v>14083</v>
      </c>
      <c r="D520">
        <v>4976</v>
      </c>
      <c r="E520">
        <v>6068</v>
      </c>
    </row>
    <row r="521" spans="1:5">
      <c r="A521" s="97" t="s">
        <v>198</v>
      </c>
      <c r="B521" s="97" t="s">
        <v>32</v>
      </c>
      <c r="C521">
        <v>14235</v>
      </c>
      <c r="D521">
        <v>7496</v>
      </c>
      <c r="E521">
        <v>6987</v>
      </c>
    </row>
    <row r="522" spans="1:5">
      <c r="A522" s="97" t="s">
        <v>198</v>
      </c>
      <c r="B522" s="97" t="s">
        <v>33</v>
      </c>
      <c r="C522">
        <v>14290</v>
      </c>
      <c r="D522">
        <v>10652</v>
      </c>
      <c r="E522">
        <v>8006</v>
      </c>
    </row>
    <row r="523" spans="1:5">
      <c r="A523" s="97" t="s">
        <v>198</v>
      </c>
      <c r="B523" s="97" t="s">
        <v>34</v>
      </c>
      <c r="C523">
        <v>15750</v>
      </c>
      <c r="D523">
        <v>8314</v>
      </c>
      <c r="E523">
        <v>8065</v>
      </c>
    </row>
    <row r="524" spans="1:5">
      <c r="A524" s="97" t="s">
        <v>198</v>
      </c>
      <c r="B524" s="97" t="s">
        <v>35</v>
      </c>
      <c r="C524">
        <v>17722</v>
      </c>
      <c r="D524">
        <v>6396</v>
      </c>
      <c r="E524">
        <v>8062</v>
      </c>
    </row>
    <row r="525" spans="1:5">
      <c r="A525" s="97" t="s">
        <v>198</v>
      </c>
      <c r="B525" s="97" t="s">
        <v>36</v>
      </c>
      <c r="C525">
        <v>19255</v>
      </c>
      <c r="D525">
        <v>5409</v>
      </c>
      <c r="E525">
        <v>8063</v>
      </c>
    </row>
    <row r="526" spans="1:5">
      <c r="A526" s="97" t="s">
        <v>198</v>
      </c>
      <c r="B526" s="97" t="s">
        <v>37</v>
      </c>
      <c r="C526">
        <v>18478</v>
      </c>
      <c r="D526">
        <v>5487</v>
      </c>
      <c r="E526">
        <v>8066</v>
      </c>
    </row>
    <row r="527" spans="1:5">
      <c r="A527" s="97" t="s">
        <v>198</v>
      </c>
      <c r="B527" s="97" t="s">
        <v>38</v>
      </c>
      <c r="C527">
        <v>18532</v>
      </c>
      <c r="D527">
        <v>5862</v>
      </c>
      <c r="E527">
        <v>8017</v>
      </c>
    </row>
    <row r="528" spans="1:5">
      <c r="A528" s="97" t="s">
        <v>198</v>
      </c>
      <c r="B528" s="97" t="s">
        <v>39</v>
      </c>
      <c r="C528">
        <v>16205</v>
      </c>
      <c r="D528">
        <v>8286</v>
      </c>
      <c r="E528">
        <v>8052</v>
      </c>
    </row>
    <row r="529" spans="1:5">
      <c r="A529" s="97" t="s">
        <v>198</v>
      </c>
      <c r="B529" s="97" t="s">
        <v>40</v>
      </c>
      <c r="C529">
        <v>9517</v>
      </c>
      <c r="D529">
        <v>14634</v>
      </c>
      <c r="E529">
        <v>8065</v>
      </c>
    </row>
    <row r="530" spans="1:5">
      <c r="A530" s="96" t="s">
        <v>199</v>
      </c>
      <c r="B530" s="96" t="s">
        <v>17</v>
      </c>
      <c r="C530">
        <v>10762</v>
      </c>
      <c r="D530">
        <v>13883</v>
      </c>
      <c r="E530">
        <v>8078</v>
      </c>
    </row>
    <row r="531" spans="1:5">
      <c r="A531" s="96" t="s">
        <v>199</v>
      </c>
      <c r="B531" s="96" t="s">
        <v>18</v>
      </c>
      <c r="C531">
        <v>11004</v>
      </c>
      <c r="D531">
        <v>13860</v>
      </c>
      <c r="E531">
        <v>8056</v>
      </c>
    </row>
    <row r="532" spans="1:5">
      <c r="A532" s="96" t="s">
        <v>199</v>
      </c>
      <c r="B532" s="96" t="s">
        <v>19</v>
      </c>
      <c r="C532">
        <v>12128</v>
      </c>
      <c r="D532">
        <v>11701</v>
      </c>
      <c r="E532">
        <v>8014</v>
      </c>
    </row>
    <row r="533" spans="1:5">
      <c r="A533" s="96" t="s">
        <v>199</v>
      </c>
      <c r="B533" s="96" t="s">
        <v>20</v>
      </c>
      <c r="C533">
        <v>13575</v>
      </c>
      <c r="D533">
        <v>11225</v>
      </c>
      <c r="E533">
        <v>8047</v>
      </c>
    </row>
    <row r="534" spans="1:5">
      <c r="A534" s="96" t="s">
        <v>199</v>
      </c>
      <c r="B534" s="96" t="s">
        <v>21</v>
      </c>
      <c r="C534">
        <v>23139</v>
      </c>
      <c r="D534">
        <v>2244</v>
      </c>
      <c r="E534">
        <v>8072</v>
      </c>
    </row>
    <row r="535" spans="1:5">
      <c r="A535" s="96" t="s">
        <v>199</v>
      </c>
      <c r="B535" s="96" t="s">
        <v>22</v>
      </c>
      <c r="C535">
        <v>21842</v>
      </c>
      <c r="D535">
        <v>3046</v>
      </c>
      <c r="E535">
        <v>8090</v>
      </c>
    </row>
    <row r="536" spans="1:5">
      <c r="A536" s="96" t="s">
        <v>199</v>
      </c>
      <c r="B536" s="96" t="s">
        <v>23</v>
      </c>
      <c r="C536">
        <v>19767</v>
      </c>
      <c r="D536">
        <v>5208</v>
      </c>
      <c r="E536">
        <v>8060</v>
      </c>
    </row>
    <row r="537" spans="1:5">
      <c r="A537" s="96" t="s">
        <v>199</v>
      </c>
      <c r="B537" s="96" t="s">
        <v>24</v>
      </c>
      <c r="C537">
        <v>18118</v>
      </c>
      <c r="D537">
        <v>6559</v>
      </c>
      <c r="E537">
        <v>8069</v>
      </c>
    </row>
    <row r="538" spans="1:5">
      <c r="A538" s="96" t="s">
        <v>199</v>
      </c>
      <c r="B538" s="96" t="s">
        <v>25</v>
      </c>
      <c r="C538">
        <v>17452</v>
      </c>
      <c r="D538">
        <v>6801</v>
      </c>
      <c r="E538">
        <v>8045</v>
      </c>
    </row>
    <row r="539" spans="1:5">
      <c r="A539" s="96" t="s">
        <v>199</v>
      </c>
      <c r="B539" s="96" t="s">
        <v>26</v>
      </c>
      <c r="C539">
        <v>16553</v>
      </c>
      <c r="D539">
        <v>5343</v>
      </c>
      <c r="E539">
        <v>7250</v>
      </c>
    </row>
    <row r="540" spans="1:5">
      <c r="A540" s="96" t="s">
        <v>199</v>
      </c>
      <c r="B540" s="96" t="s">
        <v>27</v>
      </c>
      <c r="C540">
        <v>14606</v>
      </c>
      <c r="D540">
        <v>3623</v>
      </c>
      <c r="E540">
        <v>6102</v>
      </c>
    </row>
    <row r="541" spans="1:5">
      <c r="A541" s="96" t="s">
        <v>199</v>
      </c>
      <c r="B541" s="96" t="s">
        <v>28</v>
      </c>
      <c r="C541">
        <v>13641</v>
      </c>
      <c r="D541">
        <v>2413</v>
      </c>
      <c r="E541">
        <v>5119</v>
      </c>
    </row>
    <row r="542" spans="1:5">
      <c r="A542" s="96" t="s">
        <v>199</v>
      </c>
      <c r="B542" s="96" t="s">
        <v>29</v>
      </c>
      <c r="C542">
        <v>11402</v>
      </c>
      <c r="D542">
        <v>1220</v>
      </c>
      <c r="E542">
        <v>4961</v>
      </c>
    </row>
    <row r="543" spans="1:5">
      <c r="A543" s="96" t="s">
        <v>199</v>
      </c>
      <c r="B543" s="96" t="s">
        <v>30</v>
      </c>
      <c r="C543">
        <v>12581</v>
      </c>
      <c r="D543">
        <v>3637</v>
      </c>
      <c r="E543">
        <v>5065</v>
      </c>
    </row>
    <row r="544" spans="1:5">
      <c r="A544" s="96" t="s">
        <v>199</v>
      </c>
      <c r="B544" s="96" t="s">
        <v>31</v>
      </c>
      <c r="C544">
        <v>13086</v>
      </c>
      <c r="D544">
        <v>2774</v>
      </c>
      <c r="E544">
        <v>5051</v>
      </c>
    </row>
    <row r="545" spans="1:5">
      <c r="A545" s="96" t="s">
        <v>199</v>
      </c>
      <c r="B545" s="96" t="s">
        <v>32</v>
      </c>
      <c r="C545">
        <v>13151</v>
      </c>
      <c r="D545">
        <v>2601</v>
      </c>
      <c r="E545">
        <v>5040</v>
      </c>
    </row>
    <row r="546" spans="1:5">
      <c r="A546" s="96" t="s">
        <v>199</v>
      </c>
      <c r="B546" s="96" t="s">
        <v>33</v>
      </c>
      <c r="C546">
        <v>13126</v>
      </c>
      <c r="D546">
        <v>7431</v>
      </c>
      <c r="E546">
        <v>6976</v>
      </c>
    </row>
    <row r="547" spans="1:5">
      <c r="A547" s="96" t="s">
        <v>199</v>
      </c>
      <c r="B547" s="96" t="s">
        <v>34</v>
      </c>
      <c r="C547">
        <v>15447</v>
      </c>
      <c r="D547">
        <v>9565</v>
      </c>
      <c r="E547">
        <v>8029</v>
      </c>
    </row>
    <row r="548" spans="1:5">
      <c r="A548" s="96" t="s">
        <v>199</v>
      </c>
      <c r="B548" s="96" t="s">
        <v>35</v>
      </c>
      <c r="C548">
        <v>16842</v>
      </c>
      <c r="D548">
        <v>7483</v>
      </c>
      <c r="E548">
        <v>8054</v>
      </c>
    </row>
    <row r="549" spans="1:5">
      <c r="A549" s="96" t="s">
        <v>199</v>
      </c>
      <c r="B549" s="96" t="s">
        <v>36</v>
      </c>
      <c r="C549">
        <v>17472</v>
      </c>
      <c r="D549">
        <v>6868</v>
      </c>
      <c r="E549">
        <v>8080</v>
      </c>
    </row>
    <row r="550" spans="1:5">
      <c r="A550" s="96" t="s">
        <v>199</v>
      </c>
      <c r="B550" s="96" t="s">
        <v>37</v>
      </c>
      <c r="C550">
        <v>16640</v>
      </c>
      <c r="D550">
        <v>7158</v>
      </c>
      <c r="E550">
        <v>8082</v>
      </c>
    </row>
    <row r="551" spans="1:5">
      <c r="A551" s="96" t="s">
        <v>199</v>
      </c>
      <c r="B551" s="96" t="s">
        <v>38</v>
      </c>
      <c r="C551">
        <v>17181</v>
      </c>
      <c r="D551">
        <v>7018</v>
      </c>
      <c r="E551">
        <v>8044</v>
      </c>
    </row>
    <row r="552" spans="1:5">
      <c r="A552" s="96" t="s">
        <v>199</v>
      </c>
      <c r="B552" s="96" t="s">
        <v>39</v>
      </c>
      <c r="C552">
        <v>14132</v>
      </c>
      <c r="D552">
        <v>10359</v>
      </c>
      <c r="E552">
        <v>8044</v>
      </c>
    </row>
    <row r="553" spans="1:5">
      <c r="A553" s="96" t="s">
        <v>199</v>
      </c>
      <c r="B553" s="96" t="s">
        <v>40</v>
      </c>
      <c r="C553">
        <v>7213</v>
      </c>
      <c r="D553">
        <v>16884</v>
      </c>
      <c r="E553">
        <v>8046</v>
      </c>
    </row>
    <row r="554" spans="1:5">
      <c r="A554" s="97" t="s">
        <v>200</v>
      </c>
      <c r="B554" s="97" t="s">
        <v>17</v>
      </c>
      <c r="C554">
        <v>7297</v>
      </c>
      <c r="D554">
        <v>16834</v>
      </c>
      <c r="E554">
        <v>8076</v>
      </c>
    </row>
    <row r="555" spans="1:5">
      <c r="A555" s="97" t="s">
        <v>200</v>
      </c>
      <c r="B555" s="97" t="s">
        <v>18</v>
      </c>
      <c r="C555">
        <v>8008</v>
      </c>
      <c r="D555">
        <v>15879</v>
      </c>
      <c r="E555">
        <v>8055</v>
      </c>
    </row>
    <row r="556" spans="1:5">
      <c r="A556" s="97" t="s">
        <v>200</v>
      </c>
      <c r="B556" s="97" t="s">
        <v>19</v>
      </c>
      <c r="C556">
        <v>10450</v>
      </c>
      <c r="D556">
        <v>14125</v>
      </c>
      <c r="E556">
        <v>8075</v>
      </c>
    </row>
    <row r="557" spans="1:5">
      <c r="A557" s="97" t="s">
        <v>200</v>
      </c>
      <c r="B557" s="97" t="s">
        <v>20</v>
      </c>
      <c r="C557">
        <v>11915</v>
      </c>
      <c r="D557">
        <v>12334</v>
      </c>
      <c r="E557">
        <v>8054</v>
      </c>
    </row>
    <row r="558" spans="1:5">
      <c r="A558" s="97" t="s">
        <v>200</v>
      </c>
      <c r="B558" s="97" t="s">
        <v>21</v>
      </c>
      <c r="C558">
        <v>19941</v>
      </c>
      <c r="D558">
        <v>4662</v>
      </c>
      <c r="E558">
        <v>8085</v>
      </c>
    </row>
    <row r="559" spans="1:5">
      <c r="A559" s="97" t="s">
        <v>200</v>
      </c>
      <c r="B559" s="97" t="s">
        <v>22</v>
      </c>
      <c r="C559">
        <v>18781</v>
      </c>
      <c r="D559">
        <v>5374</v>
      </c>
      <c r="E559">
        <v>8080</v>
      </c>
    </row>
    <row r="560" spans="1:5">
      <c r="A560" s="97" t="s">
        <v>200</v>
      </c>
      <c r="B560" s="97" t="s">
        <v>23</v>
      </c>
      <c r="C560">
        <v>19379</v>
      </c>
      <c r="D560">
        <v>5507</v>
      </c>
      <c r="E560">
        <v>8115</v>
      </c>
    </row>
    <row r="561" spans="1:5">
      <c r="A561" s="97" t="s">
        <v>200</v>
      </c>
      <c r="B561" s="97" t="s">
        <v>24</v>
      </c>
      <c r="C561">
        <v>17836</v>
      </c>
      <c r="D561">
        <v>6474</v>
      </c>
      <c r="E561">
        <v>8053</v>
      </c>
    </row>
    <row r="562" spans="1:5">
      <c r="A562" s="97" t="s">
        <v>200</v>
      </c>
      <c r="B562" s="97" t="s">
        <v>25</v>
      </c>
      <c r="C562">
        <v>17254</v>
      </c>
      <c r="D562">
        <v>6554</v>
      </c>
      <c r="E562">
        <v>8033</v>
      </c>
    </row>
    <row r="563" spans="1:5">
      <c r="A563" s="97" t="s">
        <v>200</v>
      </c>
      <c r="B563" s="97" t="s">
        <v>26</v>
      </c>
      <c r="C563">
        <v>17316</v>
      </c>
      <c r="D563">
        <v>6572</v>
      </c>
      <c r="E563">
        <v>8055</v>
      </c>
    </row>
    <row r="564" spans="1:5">
      <c r="A564" s="97" t="s">
        <v>200</v>
      </c>
      <c r="B564" s="97" t="s">
        <v>27</v>
      </c>
      <c r="C564">
        <v>17328</v>
      </c>
      <c r="D564">
        <v>7037</v>
      </c>
      <c r="E564">
        <v>8063</v>
      </c>
    </row>
    <row r="565" spans="1:5">
      <c r="A565" s="97" t="s">
        <v>200</v>
      </c>
      <c r="B565" s="97" t="s">
        <v>28</v>
      </c>
      <c r="C565">
        <v>16592</v>
      </c>
      <c r="D565">
        <v>7095</v>
      </c>
      <c r="E565">
        <v>8072</v>
      </c>
    </row>
    <row r="566" spans="1:5">
      <c r="A566" s="97" t="s">
        <v>200</v>
      </c>
      <c r="B566" s="97" t="s">
        <v>29</v>
      </c>
      <c r="C566">
        <v>16037</v>
      </c>
      <c r="D566">
        <v>8441</v>
      </c>
      <c r="E566">
        <v>8074</v>
      </c>
    </row>
    <row r="567" spans="1:5">
      <c r="A567" s="97" t="s">
        <v>200</v>
      </c>
      <c r="B567" s="97" t="s">
        <v>30</v>
      </c>
      <c r="C567">
        <v>15590</v>
      </c>
      <c r="D567">
        <v>7816</v>
      </c>
      <c r="E567">
        <v>8072</v>
      </c>
    </row>
    <row r="568" spans="1:5">
      <c r="A568" s="97" t="s">
        <v>200</v>
      </c>
      <c r="B568" s="97" t="s">
        <v>31</v>
      </c>
      <c r="C568">
        <v>16772</v>
      </c>
      <c r="D568">
        <v>7040</v>
      </c>
      <c r="E568">
        <v>8053</v>
      </c>
    </row>
    <row r="569" spans="1:5">
      <c r="A569" s="97" t="s">
        <v>200</v>
      </c>
      <c r="B569" s="97" t="s">
        <v>32</v>
      </c>
      <c r="C569">
        <v>16748</v>
      </c>
      <c r="D569">
        <v>6859</v>
      </c>
      <c r="E569">
        <v>8047</v>
      </c>
    </row>
    <row r="570" spans="1:5">
      <c r="A570" s="97" t="s">
        <v>200</v>
      </c>
      <c r="B570" s="97" t="s">
        <v>33</v>
      </c>
      <c r="C570">
        <v>16351</v>
      </c>
      <c r="D570">
        <v>7122</v>
      </c>
      <c r="E570">
        <v>8039</v>
      </c>
    </row>
    <row r="571" spans="1:5">
      <c r="A571" s="97" t="s">
        <v>200</v>
      </c>
      <c r="B571" s="97" t="s">
        <v>34</v>
      </c>
      <c r="C571">
        <v>16433</v>
      </c>
      <c r="D571">
        <v>7463</v>
      </c>
      <c r="E571">
        <v>8045</v>
      </c>
    </row>
    <row r="572" spans="1:5">
      <c r="A572" s="97" t="s">
        <v>200</v>
      </c>
      <c r="B572" s="97" t="s">
        <v>35</v>
      </c>
      <c r="C572">
        <v>16548</v>
      </c>
      <c r="D572">
        <v>7032</v>
      </c>
      <c r="E572">
        <v>8047</v>
      </c>
    </row>
    <row r="573" spans="1:5">
      <c r="A573" s="97" t="s">
        <v>200</v>
      </c>
      <c r="B573" s="97" t="s">
        <v>36</v>
      </c>
      <c r="C573">
        <v>17152</v>
      </c>
      <c r="D573">
        <v>6613</v>
      </c>
      <c r="E573">
        <v>8085</v>
      </c>
    </row>
    <row r="574" spans="1:5">
      <c r="A574" s="97" t="s">
        <v>200</v>
      </c>
      <c r="B574" s="97" t="s">
        <v>37</v>
      </c>
      <c r="C574">
        <v>17634</v>
      </c>
      <c r="D574">
        <v>6080</v>
      </c>
      <c r="E574">
        <v>8050</v>
      </c>
    </row>
    <row r="575" spans="1:5">
      <c r="A575" s="97" t="s">
        <v>200</v>
      </c>
      <c r="B575" s="97" t="s">
        <v>38</v>
      </c>
      <c r="C575">
        <v>18084</v>
      </c>
      <c r="D575">
        <v>6492</v>
      </c>
      <c r="E575">
        <v>8060</v>
      </c>
    </row>
    <row r="576" spans="1:5">
      <c r="A576" s="97" t="s">
        <v>200</v>
      </c>
      <c r="B576" s="97" t="s">
        <v>39</v>
      </c>
      <c r="C576">
        <v>14619</v>
      </c>
      <c r="D576">
        <v>9713</v>
      </c>
      <c r="E576">
        <v>8082</v>
      </c>
    </row>
    <row r="577" spans="1:5">
      <c r="A577" s="97" t="s">
        <v>200</v>
      </c>
      <c r="B577" s="97" t="s">
        <v>40</v>
      </c>
      <c r="C577">
        <v>8116</v>
      </c>
      <c r="D577">
        <v>15810</v>
      </c>
      <c r="E577">
        <v>8059</v>
      </c>
    </row>
    <row r="578" spans="1:5">
      <c r="A578" s="96" t="s">
        <v>201</v>
      </c>
      <c r="B578" s="96" t="s">
        <v>17</v>
      </c>
      <c r="C578">
        <v>7956</v>
      </c>
      <c r="D578">
        <v>15628</v>
      </c>
      <c r="E578">
        <v>8043</v>
      </c>
    </row>
    <row r="579" spans="1:5">
      <c r="A579" s="96" t="s">
        <v>201</v>
      </c>
      <c r="B579" s="96" t="s">
        <v>18</v>
      </c>
      <c r="C579">
        <v>9028</v>
      </c>
      <c r="D579">
        <v>15205</v>
      </c>
      <c r="E579">
        <v>8032</v>
      </c>
    </row>
    <row r="580" spans="1:5">
      <c r="A580" s="96" t="s">
        <v>201</v>
      </c>
      <c r="B580" s="96" t="s">
        <v>19</v>
      </c>
      <c r="C580">
        <v>11007</v>
      </c>
      <c r="D580">
        <v>13767</v>
      </c>
      <c r="E580">
        <v>7800</v>
      </c>
    </row>
    <row r="581" spans="1:5">
      <c r="A581" s="96" t="s">
        <v>201</v>
      </c>
      <c r="B581" s="96" t="s">
        <v>20</v>
      </c>
      <c r="C581">
        <v>11025</v>
      </c>
      <c r="D581">
        <v>12659</v>
      </c>
      <c r="E581">
        <v>8041</v>
      </c>
    </row>
    <row r="582" spans="1:5">
      <c r="A582" s="96" t="s">
        <v>201</v>
      </c>
      <c r="B582" s="96" t="s">
        <v>21</v>
      </c>
      <c r="C582">
        <v>18499</v>
      </c>
      <c r="D582">
        <v>5466</v>
      </c>
      <c r="E582">
        <v>8060</v>
      </c>
    </row>
    <row r="583" spans="1:5">
      <c r="A583" s="96" t="s">
        <v>201</v>
      </c>
      <c r="B583" s="96" t="s">
        <v>22</v>
      </c>
      <c r="C583">
        <v>18456</v>
      </c>
      <c r="D583">
        <v>5668</v>
      </c>
      <c r="E583">
        <v>8014</v>
      </c>
    </row>
    <row r="584" spans="1:5">
      <c r="A584" s="96" t="s">
        <v>201</v>
      </c>
      <c r="B584" s="96" t="s">
        <v>23</v>
      </c>
      <c r="C584">
        <v>17562</v>
      </c>
      <c r="D584">
        <v>5744</v>
      </c>
      <c r="E584">
        <v>8049</v>
      </c>
    </row>
    <row r="585" spans="1:5">
      <c r="A585" s="96" t="s">
        <v>201</v>
      </c>
      <c r="B585" s="96" t="s">
        <v>24</v>
      </c>
      <c r="C585">
        <v>17678</v>
      </c>
      <c r="D585">
        <v>6160</v>
      </c>
      <c r="E585">
        <v>8052</v>
      </c>
    </row>
    <row r="586" spans="1:5">
      <c r="A586" s="96" t="s">
        <v>201</v>
      </c>
      <c r="B586" s="96" t="s">
        <v>25</v>
      </c>
      <c r="C586">
        <v>17757</v>
      </c>
      <c r="D586">
        <v>6445</v>
      </c>
      <c r="E586">
        <v>8074</v>
      </c>
    </row>
    <row r="587" spans="1:5">
      <c r="A587" s="96" t="s">
        <v>201</v>
      </c>
      <c r="B587" s="96" t="s">
        <v>26</v>
      </c>
      <c r="C587">
        <v>17263</v>
      </c>
      <c r="D587">
        <v>6335</v>
      </c>
      <c r="E587">
        <v>8057</v>
      </c>
    </row>
    <row r="588" spans="1:5">
      <c r="A588" s="96" t="s">
        <v>201</v>
      </c>
      <c r="B588" s="96" t="s">
        <v>27</v>
      </c>
      <c r="C588">
        <v>15822</v>
      </c>
      <c r="D588">
        <v>8265</v>
      </c>
      <c r="E588">
        <v>8052</v>
      </c>
    </row>
    <row r="589" spans="1:5">
      <c r="A589" s="96" t="s">
        <v>201</v>
      </c>
      <c r="B589" s="96" t="s">
        <v>28</v>
      </c>
      <c r="C589">
        <v>15067</v>
      </c>
      <c r="D589">
        <v>8596</v>
      </c>
      <c r="E589">
        <v>8084</v>
      </c>
    </row>
    <row r="590" spans="1:5">
      <c r="A590" s="96" t="s">
        <v>201</v>
      </c>
      <c r="B590" s="96" t="s">
        <v>29</v>
      </c>
      <c r="C590">
        <v>14026</v>
      </c>
      <c r="D590">
        <v>9355</v>
      </c>
      <c r="E590">
        <v>8056</v>
      </c>
    </row>
    <row r="591" spans="1:5">
      <c r="A591" s="96" t="s">
        <v>201</v>
      </c>
      <c r="B591" s="96" t="s">
        <v>30</v>
      </c>
      <c r="C591">
        <v>14883</v>
      </c>
      <c r="D591">
        <v>8520</v>
      </c>
      <c r="E591">
        <v>8046</v>
      </c>
    </row>
    <row r="592" spans="1:5">
      <c r="A592" s="96" t="s">
        <v>201</v>
      </c>
      <c r="B592" s="96" t="s">
        <v>31</v>
      </c>
      <c r="C592">
        <v>15326</v>
      </c>
      <c r="D592">
        <v>7938</v>
      </c>
      <c r="E592">
        <v>8067</v>
      </c>
    </row>
    <row r="593" spans="1:5">
      <c r="A593" s="96" t="s">
        <v>201</v>
      </c>
      <c r="B593" s="96" t="s">
        <v>32</v>
      </c>
      <c r="C593">
        <v>14534</v>
      </c>
      <c r="D593">
        <v>8461</v>
      </c>
      <c r="E593">
        <v>8035</v>
      </c>
    </row>
    <row r="594" spans="1:5">
      <c r="A594" s="96" t="s">
        <v>201</v>
      </c>
      <c r="B594" s="96" t="s">
        <v>33</v>
      </c>
      <c r="C594">
        <v>14710</v>
      </c>
      <c r="D594">
        <v>9384</v>
      </c>
      <c r="E594">
        <v>8089</v>
      </c>
    </row>
    <row r="595" spans="1:5">
      <c r="A595" s="96" t="s">
        <v>201</v>
      </c>
      <c r="B595" s="96" t="s">
        <v>34</v>
      </c>
      <c r="C595">
        <v>15620</v>
      </c>
      <c r="D595">
        <v>7955</v>
      </c>
      <c r="E595">
        <v>8056</v>
      </c>
    </row>
    <row r="596" spans="1:5">
      <c r="A596" s="96" t="s">
        <v>201</v>
      </c>
      <c r="B596" s="96" t="s">
        <v>35</v>
      </c>
      <c r="C596">
        <v>17313</v>
      </c>
      <c r="D596">
        <v>6795</v>
      </c>
      <c r="E596">
        <v>8073</v>
      </c>
    </row>
    <row r="597" spans="1:5">
      <c r="A597" s="96" t="s">
        <v>201</v>
      </c>
      <c r="B597" s="96" t="s">
        <v>36</v>
      </c>
      <c r="C597">
        <v>17250</v>
      </c>
      <c r="D597">
        <v>6658</v>
      </c>
      <c r="E597">
        <v>8056</v>
      </c>
    </row>
    <row r="598" spans="1:5">
      <c r="A598" s="96" t="s">
        <v>201</v>
      </c>
      <c r="B598" s="96" t="s">
        <v>37</v>
      </c>
      <c r="C598">
        <v>16565</v>
      </c>
      <c r="D598">
        <v>7066</v>
      </c>
      <c r="E598">
        <v>8057</v>
      </c>
    </row>
    <row r="599" spans="1:5">
      <c r="A599" s="96" t="s">
        <v>201</v>
      </c>
      <c r="B599" s="96" t="s">
        <v>38</v>
      </c>
      <c r="C599">
        <v>17452</v>
      </c>
      <c r="D599">
        <v>6483</v>
      </c>
      <c r="E599">
        <v>8056</v>
      </c>
    </row>
    <row r="600" spans="1:5">
      <c r="A600" s="96" t="s">
        <v>201</v>
      </c>
      <c r="B600" s="96" t="s">
        <v>39</v>
      </c>
      <c r="C600">
        <v>13457</v>
      </c>
      <c r="D600">
        <v>10024</v>
      </c>
      <c r="E600">
        <v>8058</v>
      </c>
    </row>
    <row r="601" spans="1:5">
      <c r="A601" s="96" t="s">
        <v>201</v>
      </c>
      <c r="B601" s="96" t="s">
        <v>40</v>
      </c>
      <c r="C601">
        <v>7939</v>
      </c>
      <c r="D601">
        <v>15848</v>
      </c>
      <c r="E601">
        <v>8079</v>
      </c>
    </row>
    <row r="602" spans="1:5">
      <c r="A602" s="97" t="s">
        <v>202</v>
      </c>
      <c r="B602" s="97" t="s">
        <v>17</v>
      </c>
      <c r="C602">
        <v>7450</v>
      </c>
      <c r="D602">
        <v>16147</v>
      </c>
      <c r="E602">
        <v>8060</v>
      </c>
    </row>
    <row r="603" spans="1:5">
      <c r="A603" s="97" t="s">
        <v>202</v>
      </c>
      <c r="B603" s="97" t="s">
        <v>18</v>
      </c>
      <c r="C603">
        <v>8016</v>
      </c>
      <c r="D603">
        <v>15961</v>
      </c>
      <c r="E603">
        <v>8079</v>
      </c>
    </row>
    <row r="604" spans="1:5">
      <c r="A604" s="97" t="s">
        <v>202</v>
      </c>
      <c r="B604" s="97" t="s">
        <v>19</v>
      </c>
      <c r="C604">
        <v>9234</v>
      </c>
      <c r="D604">
        <v>14580</v>
      </c>
      <c r="E604">
        <v>8070</v>
      </c>
    </row>
    <row r="605" spans="1:5">
      <c r="A605" s="97" t="s">
        <v>202</v>
      </c>
      <c r="B605" s="97" t="s">
        <v>20</v>
      </c>
      <c r="C605">
        <v>11390</v>
      </c>
      <c r="D605">
        <v>13215</v>
      </c>
      <c r="E605">
        <v>8060</v>
      </c>
    </row>
    <row r="606" spans="1:5">
      <c r="A606" s="97" t="s">
        <v>202</v>
      </c>
      <c r="B606" s="97" t="s">
        <v>21</v>
      </c>
      <c r="C606">
        <v>18904</v>
      </c>
      <c r="D606">
        <v>4771</v>
      </c>
      <c r="E606">
        <v>8065</v>
      </c>
    </row>
    <row r="607" spans="1:5">
      <c r="A607" s="97" t="s">
        <v>202</v>
      </c>
      <c r="B607" s="97" t="s">
        <v>22</v>
      </c>
      <c r="C607">
        <v>18993</v>
      </c>
      <c r="D607">
        <v>4947</v>
      </c>
      <c r="E607">
        <v>8083</v>
      </c>
    </row>
    <row r="608" spans="1:5">
      <c r="A608" s="97" t="s">
        <v>202</v>
      </c>
      <c r="B608" s="97" t="s">
        <v>23</v>
      </c>
      <c r="C608">
        <v>19284</v>
      </c>
      <c r="D608">
        <v>4938</v>
      </c>
      <c r="E608">
        <v>8078</v>
      </c>
    </row>
    <row r="609" spans="1:5">
      <c r="A609" s="97" t="s">
        <v>202</v>
      </c>
      <c r="B609" s="97" t="s">
        <v>24</v>
      </c>
      <c r="C609">
        <v>17936</v>
      </c>
      <c r="D609">
        <v>6099</v>
      </c>
      <c r="E609">
        <v>8041</v>
      </c>
    </row>
    <row r="610" spans="1:5">
      <c r="A610" s="97" t="s">
        <v>202</v>
      </c>
      <c r="B610" s="97" t="s">
        <v>25</v>
      </c>
      <c r="C610">
        <v>18186</v>
      </c>
      <c r="D610">
        <v>5870</v>
      </c>
      <c r="E610">
        <v>8062</v>
      </c>
    </row>
    <row r="611" spans="1:5">
      <c r="A611" s="97" t="s">
        <v>202</v>
      </c>
      <c r="B611" s="97" t="s">
        <v>26</v>
      </c>
      <c r="C611">
        <v>17103</v>
      </c>
      <c r="D611">
        <v>7141</v>
      </c>
      <c r="E611">
        <v>8054</v>
      </c>
    </row>
    <row r="612" spans="1:5">
      <c r="A612" s="97" t="s">
        <v>202</v>
      </c>
      <c r="B612" s="97" t="s">
        <v>27</v>
      </c>
      <c r="C612">
        <v>15500</v>
      </c>
      <c r="D612">
        <v>7827</v>
      </c>
      <c r="E612">
        <v>8064</v>
      </c>
    </row>
    <row r="613" spans="1:5">
      <c r="A613" s="97" t="s">
        <v>202</v>
      </c>
      <c r="B613" s="97" t="s">
        <v>28</v>
      </c>
      <c r="C613">
        <v>14124</v>
      </c>
      <c r="D613">
        <v>9812</v>
      </c>
      <c r="E613">
        <v>8071</v>
      </c>
    </row>
    <row r="614" spans="1:5">
      <c r="A614" s="97" t="s">
        <v>202</v>
      </c>
      <c r="B614" s="97" t="s">
        <v>29</v>
      </c>
      <c r="C614">
        <v>12582</v>
      </c>
      <c r="D614">
        <v>10458</v>
      </c>
      <c r="E614">
        <v>8057</v>
      </c>
    </row>
    <row r="615" spans="1:5">
      <c r="A615" s="97" t="s">
        <v>202</v>
      </c>
      <c r="B615" s="97" t="s">
        <v>30</v>
      </c>
      <c r="C615">
        <v>12595</v>
      </c>
      <c r="D615">
        <v>10661</v>
      </c>
      <c r="E615">
        <v>8070</v>
      </c>
    </row>
    <row r="616" spans="1:5">
      <c r="A616" s="97" t="s">
        <v>202</v>
      </c>
      <c r="B616" s="97" t="s">
        <v>31</v>
      </c>
      <c r="C616">
        <v>12525</v>
      </c>
      <c r="D616">
        <v>10926</v>
      </c>
      <c r="E616">
        <v>8058</v>
      </c>
    </row>
    <row r="617" spans="1:5">
      <c r="A617" s="97" t="s">
        <v>202</v>
      </c>
      <c r="B617" s="97" t="s">
        <v>32</v>
      </c>
      <c r="C617">
        <v>11641</v>
      </c>
      <c r="D617">
        <v>11937</v>
      </c>
      <c r="E617">
        <v>8053</v>
      </c>
    </row>
    <row r="618" spans="1:5">
      <c r="A618" s="97" t="s">
        <v>202</v>
      </c>
      <c r="B618" s="97" t="s">
        <v>33</v>
      </c>
      <c r="C618">
        <v>12452</v>
      </c>
      <c r="D618">
        <v>11107</v>
      </c>
      <c r="E618">
        <v>8066</v>
      </c>
    </row>
    <row r="619" spans="1:5">
      <c r="A619" s="97" t="s">
        <v>202</v>
      </c>
      <c r="B619" s="97" t="s">
        <v>34</v>
      </c>
      <c r="C619">
        <v>14349</v>
      </c>
      <c r="D619">
        <v>9254</v>
      </c>
      <c r="E619">
        <v>8053</v>
      </c>
    </row>
    <row r="620" spans="1:5">
      <c r="A620" s="97" t="s">
        <v>202</v>
      </c>
      <c r="B620" s="97" t="s">
        <v>35</v>
      </c>
      <c r="C620">
        <v>15537</v>
      </c>
      <c r="D620">
        <v>7985</v>
      </c>
      <c r="E620">
        <v>8059</v>
      </c>
    </row>
    <row r="621" spans="1:5">
      <c r="A621" s="97" t="s">
        <v>202</v>
      </c>
      <c r="B621" s="97" t="s">
        <v>36</v>
      </c>
      <c r="C621">
        <v>15907</v>
      </c>
      <c r="D621">
        <v>7289</v>
      </c>
      <c r="E621">
        <v>8057</v>
      </c>
    </row>
    <row r="622" spans="1:5">
      <c r="A622" s="97" t="s">
        <v>202</v>
      </c>
      <c r="B622" s="97" t="s">
        <v>37</v>
      </c>
      <c r="C622">
        <v>16811</v>
      </c>
      <c r="D622">
        <v>6626</v>
      </c>
      <c r="E622">
        <v>8060</v>
      </c>
    </row>
    <row r="623" spans="1:5">
      <c r="A623" s="97" t="s">
        <v>202</v>
      </c>
      <c r="B623" s="97" t="s">
        <v>38</v>
      </c>
      <c r="C623">
        <v>17220</v>
      </c>
      <c r="D623">
        <v>6559</v>
      </c>
      <c r="E623">
        <v>8056</v>
      </c>
    </row>
    <row r="624" spans="1:5">
      <c r="A624" s="97" t="s">
        <v>202</v>
      </c>
      <c r="B624" s="97" t="s">
        <v>39</v>
      </c>
      <c r="C624">
        <v>13701</v>
      </c>
      <c r="D624">
        <v>10623</v>
      </c>
      <c r="E624">
        <v>8058</v>
      </c>
    </row>
    <row r="625" spans="1:5">
      <c r="A625" s="97" t="s">
        <v>202</v>
      </c>
      <c r="B625" s="97" t="s">
        <v>40</v>
      </c>
      <c r="C625">
        <v>7741</v>
      </c>
      <c r="D625">
        <v>16069</v>
      </c>
      <c r="E625">
        <v>8074</v>
      </c>
    </row>
    <row r="626" spans="1:5">
      <c r="A626" s="96" t="s">
        <v>203</v>
      </c>
      <c r="B626" s="96" t="s">
        <v>17</v>
      </c>
      <c r="C626">
        <v>6953</v>
      </c>
      <c r="D626">
        <v>16412</v>
      </c>
      <c r="E626">
        <v>8070</v>
      </c>
    </row>
    <row r="627" spans="1:5">
      <c r="A627" s="96" t="s">
        <v>203</v>
      </c>
      <c r="B627" s="96" t="s">
        <v>18</v>
      </c>
      <c r="C627">
        <v>7302</v>
      </c>
      <c r="D627">
        <v>16341</v>
      </c>
      <c r="E627">
        <v>8057</v>
      </c>
    </row>
    <row r="628" spans="1:5">
      <c r="A628" s="96" t="s">
        <v>203</v>
      </c>
      <c r="B628" s="96" t="s">
        <v>19</v>
      </c>
      <c r="C628">
        <v>8549</v>
      </c>
      <c r="D628">
        <v>14857</v>
      </c>
      <c r="E628">
        <v>8056</v>
      </c>
    </row>
    <row r="629" spans="1:5">
      <c r="A629" s="96" t="s">
        <v>203</v>
      </c>
      <c r="B629" s="96" t="s">
        <v>20</v>
      </c>
      <c r="C629">
        <v>10271</v>
      </c>
      <c r="D629">
        <v>14235</v>
      </c>
      <c r="E629">
        <v>8063</v>
      </c>
    </row>
    <row r="630" spans="1:5">
      <c r="A630" s="96" t="s">
        <v>203</v>
      </c>
      <c r="B630" s="96" t="s">
        <v>21</v>
      </c>
      <c r="C630">
        <v>18269</v>
      </c>
      <c r="D630">
        <v>5799</v>
      </c>
      <c r="E630">
        <v>8049</v>
      </c>
    </row>
    <row r="631" spans="1:5">
      <c r="A631" s="96" t="s">
        <v>203</v>
      </c>
      <c r="B631" s="96" t="s">
        <v>22</v>
      </c>
      <c r="C631">
        <v>18405</v>
      </c>
      <c r="D631">
        <v>5504</v>
      </c>
      <c r="E631">
        <v>8056</v>
      </c>
    </row>
    <row r="632" spans="1:5">
      <c r="A632" s="96" t="s">
        <v>203</v>
      </c>
      <c r="B632" s="96" t="s">
        <v>23</v>
      </c>
      <c r="C632">
        <v>17184</v>
      </c>
      <c r="D632">
        <v>7251</v>
      </c>
      <c r="E632">
        <v>8075</v>
      </c>
    </row>
    <row r="633" spans="1:5">
      <c r="A633" s="96" t="s">
        <v>203</v>
      </c>
      <c r="B633" s="96" t="s">
        <v>24</v>
      </c>
      <c r="C633">
        <v>16167</v>
      </c>
      <c r="D633">
        <v>6956</v>
      </c>
      <c r="E633">
        <v>8030</v>
      </c>
    </row>
    <row r="634" spans="1:5">
      <c r="A634" s="96" t="s">
        <v>203</v>
      </c>
      <c r="B634" s="96" t="s">
        <v>25</v>
      </c>
      <c r="C634">
        <v>15926</v>
      </c>
      <c r="D634">
        <v>7007</v>
      </c>
      <c r="E634">
        <v>8049</v>
      </c>
    </row>
    <row r="635" spans="1:5">
      <c r="A635" s="96" t="s">
        <v>203</v>
      </c>
      <c r="B635" s="96" t="s">
        <v>26</v>
      </c>
      <c r="C635">
        <v>14943</v>
      </c>
      <c r="D635">
        <v>8848</v>
      </c>
      <c r="E635">
        <v>8060</v>
      </c>
    </row>
    <row r="636" spans="1:5">
      <c r="A636" s="96" t="s">
        <v>203</v>
      </c>
      <c r="B636" s="96" t="s">
        <v>27</v>
      </c>
      <c r="C636">
        <v>12858</v>
      </c>
      <c r="D636">
        <v>10785</v>
      </c>
      <c r="E636">
        <v>8064</v>
      </c>
    </row>
    <row r="637" spans="1:5">
      <c r="A637" s="96" t="s">
        <v>203</v>
      </c>
      <c r="B637" s="96" t="s">
        <v>28</v>
      </c>
      <c r="C637">
        <v>13105</v>
      </c>
      <c r="D637">
        <v>10178</v>
      </c>
      <c r="E637">
        <v>8070</v>
      </c>
    </row>
    <row r="638" spans="1:5">
      <c r="A638" s="96" t="s">
        <v>203</v>
      </c>
      <c r="B638" s="96" t="s">
        <v>29</v>
      </c>
      <c r="C638">
        <v>12063</v>
      </c>
      <c r="D638">
        <v>11423</v>
      </c>
      <c r="E638">
        <v>8042</v>
      </c>
    </row>
    <row r="639" spans="1:5">
      <c r="A639" s="96" t="s">
        <v>203</v>
      </c>
      <c r="B639" s="96" t="s">
        <v>30</v>
      </c>
      <c r="C639">
        <v>10813</v>
      </c>
      <c r="D639">
        <v>10405</v>
      </c>
      <c r="E639">
        <v>8067</v>
      </c>
    </row>
    <row r="640" spans="1:5">
      <c r="A640" s="96" t="s">
        <v>203</v>
      </c>
      <c r="B640" s="96" t="s">
        <v>31</v>
      </c>
      <c r="C640">
        <v>13689</v>
      </c>
      <c r="D640">
        <v>9525</v>
      </c>
      <c r="E640">
        <v>8083</v>
      </c>
    </row>
    <row r="641" spans="1:5">
      <c r="A641" s="96" t="s">
        <v>203</v>
      </c>
      <c r="B641" s="96" t="s">
        <v>32</v>
      </c>
      <c r="C641">
        <v>12938</v>
      </c>
      <c r="D641">
        <v>10237</v>
      </c>
      <c r="E641">
        <v>8066</v>
      </c>
    </row>
    <row r="642" spans="1:5">
      <c r="A642" s="96" t="s">
        <v>203</v>
      </c>
      <c r="B642" s="96" t="s">
        <v>33</v>
      </c>
      <c r="C642">
        <v>12732</v>
      </c>
      <c r="D642">
        <v>10823</v>
      </c>
      <c r="E642">
        <v>8063</v>
      </c>
    </row>
    <row r="643" spans="1:5">
      <c r="A643" s="96" t="s">
        <v>203</v>
      </c>
      <c r="B643" s="96" t="s">
        <v>34</v>
      </c>
      <c r="C643">
        <v>13176</v>
      </c>
      <c r="D643">
        <v>10484</v>
      </c>
      <c r="E643">
        <v>8070</v>
      </c>
    </row>
    <row r="644" spans="1:5">
      <c r="A644" s="96" t="s">
        <v>203</v>
      </c>
      <c r="B644" s="96" t="s">
        <v>35</v>
      </c>
      <c r="C644">
        <v>14687</v>
      </c>
      <c r="D644">
        <v>8926</v>
      </c>
      <c r="E644">
        <v>8061</v>
      </c>
    </row>
    <row r="645" spans="1:5">
      <c r="A645" s="96" t="s">
        <v>203</v>
      </c>
      <c r="B645" s="96" t="s">
        <v>36</v>
      </c>
      <c r="C645">
        <v>14080</v>
      </c>
      <c r="D645">
        <v>8520</v>
      </c>
      <c r="E645">
        <v>8065</v>
      </c>
    </row>
    <row r="646" spans="1:5">
      <c r="A646" s="96" t="s">
        <v>203</v>
      </c>
      <c r="B646" s="96" t="s">
        <v>37</v>
      </c>
      <c r="C646">
        <v>15073</v>
      </c>
      <c r="D646">
        <v>8584</v>
      </c>
      <c r="E646">
        <v>8055</v>
      </c>
    </row>
    <row r="647" spans="1:5">
      <c r="A647" s="96" t="s">
        <v>203</v>
      </c>
      <c r="B647" s="96" t="s">
        <v>38</v>
      </c>
      <c r="C647">
        <v>15469</v>
      </c>
      <c r="D647">
        <v>7901</v>
      </c>
      <c r="E647">
        <v>8044</v>
      </c>
    </row>
    <row r="648" spans="1:5">
      <c r="A648" s="96" t="s">
        <v>203</v>
      </c>
      <c r="B648" s="96" t="s">
        <v>39</v>
      </c>
      <c r="C648">
        <v>11685</v>
      </c>
      <c r="D648">
        <v>11832</v>
      </c>
      <c r="E648">
        <v>8048</v>
      </c>
    </row>
    <row r="649" spans="1:5">
      <c r="A649" s="96" t="s">
        <v>203</v>
      </c>
      <c r="B649" s="96" t="s">
        <v>40</v>
      </c>
      <c r="C649">
        <v>6248</v>
      </c>
      <c r="D649">
        <v>14070</v>
      </c>
      <c r="E649">
        <v>7118</v>
      </c>
    </row>
    <row r="650" spans="1:5">
      <c r="A650" s="97" t="s">
        <v>205</v>
      </c>
      <c r="B650" s="97" t="s">
        <v>17</v>
      </c>
      <c r="C650">
        <v>6425</v>
      </c>
      <c r="D650">
        <v>7070</v>
      </c>
      <c r="E650">
        <v>4202</v>
      </c>
    </row>
    <row r="651" spans="1:5">
      <c r="A651" s="97" t="s">
        <v>205</v>
      </c>
      <c r="B651" s="97" t="s">
        <v>18</v>
      </c>
      <c r="C651">
        <v>6928</v>
      </c>
      <c r="D651">
        <v>3921</v>
      </c>
      <c r="E651">
        <v>3059</v>
      </c>
    </row>
    <row r="652" spans="1:5">
      <c r="A652" s="97" t="s">
        <v>205</v>
      </c>
      <c r="B652" s="97" t="s">
        <v>19</v>
      </c>
      <c r="C652">
        <v>8347</v>
      </c>
      <c r="D652">
        <v>3853</v>
      </c>
      <c r="E652">
        <v>3668</v>
      </c>
    </row>
    <row r="653" spans="1:5">
      <c r="A653" s="97" t="s">
        <v>205</v>
      </c>
      <c r="B653" s="97" t="s">
        <v>20</v>
      </c>
      <c r="C653">
        <v>8933</v>
      </c>
      <c r="D653">
        <v>5396</v>
      </c>
      <c r="E653">
        <v>4070</v>
      </c>
    </row>
    <row r="654" spans="1:5">
      <c r="A654" s="97" t="s">
        <v>205</v>
      </c>
      <c r="B654" s="97" t="s">
        <v>21</v>
      </c>
      <c r="C654">
        <v>13600</v>
      </c>
      <c r="D654">
        <v>20</v>
      </c>
      <c r="E654">
        <v>4654</v>
      </c>
    </row>
    <row r="655" spans="1:5">
      <c r="A655" s="97" t="s">
        <v>205</v>
      </c>
      <c r="B655" s="97" t="s">
        <v>22</v>
      </c>
      <c r="C655">
        <v>16055</v>
      </c>
      <c r="D655">
        <v>102</v>
      </c>
      <c r="E655">
        <v>5829</v>
      </c>
    </row>
    <row r="656" spans="1:5">
      <c r="A656" s="97" t="s">
        <v>205</v>
      </c>
      <c r="B656" s="97" t="s">
        <v>23</v>
      </c>
      <c r="C656">
        <v>18195</v>
      </c>
      <c r="D656">
        <v>97</v>
      </c>
      <c r="E656">
        <v>6061</v>
      </c>
    </row>
    <row r="657" spans="1:5">
      <c r="A657" s="97" t="s">
        <v>205</v>
      </c>
      <c r="B657" s="97" t="s">
        <v>24</v>
      </c>
      <c r="C657">
        <v>16585</v>
      </c>
      <c r="D657">
        <v>1750</v>
      </c>
      <c r="E657">
        <v>6058</v>
      </c>
    </row>
    <row r="658" spans="1:5">
      <c r="A658" s="97" t="s">
        <v>205</v>
      </c>
      <c r="B658" s="97" t="s">
        <v>25</v>
      </c>
      <c r="C658">
        <v>14010</v>
      </c>
      <c r="D658">
        <v>2844</v>
      </c>
      <c r="E658">
        <v>6045</v>
      </c>
    </row>
    <row r="659" spans="1:5">
      <c r="A659" s="97" t="s">
        <v>205</v>
      </c>
      <c r="B659" s="97" t="s">
        <v>26</v>
      </c>
      <c r="C659">
        <v>14063</v>
      </c>
      <c r="D659">
        <v>4238</v>
      </c>
      <c r="E659">
        <v>6060</v>
      </c>
    </row>
    <row r="660" spans="1:5">
      <c r="A660" s="97" t="s">
        <v>205</v>
      </c>
      <c r="B660" s="97" t="s">
        <v>27</v>
      </c>
      <c r="C660">
        <v>13597</v>
      </c>
      <c r="D660">
        <v>4595</v>
      </c>
      <c r="E660">
        <v>6057</v>
      </c>
    </row>
    <row r="661" spans="1:5">
      <c r="A661" s="97" t="s">
        <v>205</v>
      </c>
      <c r="B661" s="97" t="s">
        <v>28</v>
      </c>
      <c r="C661">
        <v>13036</v>
      </c>
      <c r="D661">
        <v>2266</v>
      </c>
      <c r="E661">
        <v>5063</v>
      </c>
    </row>
    <row r="662" spans="1:5">
      <c r="A662" s="97" t="s">
        <v>205</v>
      </c>
      <c r="B662" s="97" t="s">
        <v>29</v>
      </c>
      <c r="C662">
        <v>12390</v>
      </c>
      <c r="D662">
        <v>2925</v>
      </c>
      <c r="E662">
        <v>5036</v>
      </c>
    </row>
    <row r="663" spans="1:5">
      <c r="A663" s="97" t="s">
        <v>205</v>
      </c>
      <c r="B663" s="97" t="s">
        <v>30</v>
      </c>
      <c r="C663">
        <v>11633</v>
      </c>
      <c r="D663">
        <v>3890</v>
      </c>
      <c r="E663">
        <v>5049</v>
      </c>
    </row>
    <row r="664" spans="1:5">
      <c r="A664" s="97" t="s">
        <v>205</v>
      </c>
      <c r="B664" s="97" t="s">
        <v>31</v>
      </c>
      <c r="C664">
        <v>11786</v>
      </c>
      <c r="D664">
        <v>3764</v>
      </c>
      <c r="E664">
        <v>5063</v>
      </c>
    </row>
    <row r="665" spans="1:5">
      <c r="A665" s="97" t="s">
        <v>205</v>
      </c>
      <c r="B665" s="97" t="s">
        <v>32</v>
      </c>
      <c r="C665">
        <v>11854</v>
      </c>
      <c r="D665">
        <v>3847</v>
      </c>
      <c r="E665">
        <v>5050</v>
      </c>
    </row>
    <row r="666" spans="1:5">
      <c r="A666" s="97" t="s">
        <v>205</v>
      </c>
      <c r="B666" s="97" t="s">
        <v>33</v>
      </c>
      <c r="C666">
        <v>13294</v>
      </c>
      <c r="D666">
        <v>6082</v>
      </c>
      <c r="E666">
        <v>6044</v>
      </c>
    </row>
    <row r="667" spans="1:5">
      <c r="A667" s="97" t="s">
        <v>205</v>
      </c>
      <c r="B667" s="97" t="s">
        <v>34</v>
      </c>
      <c r="C667">
        <v>12889</v>
      </c>
      <c r="D667">
        <v>5438</v>
      </c>
      <c r="E667">
        <v>6063</v>
      </c>
    </row>
    <row r="668" spans="1:5">
      <c r="A668" s="97" t="s">
        <v>205</v>
      </c>
      <c r="B668" s="97" t="s">
        <v>35</v>
      </c>
      <c r="C668">
        <v>14363</v>
      </c>
      <c r="D668">
        <v>3952</v>
      </c>
      <c r="E668">
        <v>6062</v>
      </c>
    </row>
    <row r="669" spans="1:5">
      <c r="A669" s="97" t="s">
        <v>205</v>
      </c>
      <c r="B669" s="97" t="s">
        <v>36</v>
      </c>
      <c r="C669">
        <v>15281</v>
      </c>
      <c r="D669">
        <v>3397</v>
      </c>
      <c r="E669">
        <v>6070</v>
      </c>
    </row>
    <row r="670" spans="1:5">
      <c r="A670" s="97" t="s">
        <v>205</v>
      </c>
      <c r="B670" s="97" t="s">
        <v>37</v>
      </c>
      <c r="C670">
        <v>15199</v>
      </c>
      <c r="D670">
        <v>2581</v>
      </c>
      <c r="E670">
        <v>6058</v>
      </c>
    </row>
    <row r="671" spans="1:5">
      <c r="A671" s="97" t="s">
        <v>205</v>
      </c>
      <c r="B671" s="97" t="s">
        <v>38</v>
      </c>
      <c r="C671">
        <v>14654</v>
      </c>
      <c r="D671">
        <v>125</v>
      </c>
      <c r="E671">
        <v>5068</v>
      </c>
    </row>
    <row r="672" spans="1:5">
      <c r="A672" s="97" t="s">
        <v>205</v>
      </c>
      <c r="B672" s="97" t="s">
        <v>39</v>
      </c>
      <c r="C672">
        <v>12922</v>
      </c>
      <c r="D672">
        <v>1481</v>
      </c>
      <c r="E672">
        <v>5053</v>
      </c>
    </row>
    <row r="673" spans="1:5">
      <c r="A673" s="97" t="s">
        <v>205</v>
      </c>
      <c r="B673" s="97" t="s">
        <v>40</v>
      </c>
      <c r="C673">
        <v>6799</v>
      </c>
      <c r="D673">
        <v>4882</v>
      </c>
      <c r="E673">
        <v>4060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Porovnavanie</vt:lpstr>
      <vt:lpstr>Predikcia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2025-03-03T06:18:44Z</dcterms:modified>
</cp:coreProperties>
</file>