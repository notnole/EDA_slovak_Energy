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6380" windowHeight="8190" tabRatio="349"/>
  </bookViews>
  <sheets>
    <sheet name="Porovnanie" sheetId="9" r:id="rId1"/>
    <sheet name="predikcia" sheetId="5" r:id="rId2"/>
    <sheet name="DHS20" sheetId="1" r:id="rId3"/>
    <sheet name="DHS21" sheetId="2" r:id="rId4"/>
    <sheet name="DHS23" sheetId="3" r:id="rId5"/>
    <sheet name="DHS24" sheetId="4" r:id="rId6"/>
    <sheet name="DHS25" sheetId="8" r:id="rId7"/>
    <sheet name="kalkulácia leto" sheetId="6" r:id="rId8"/>
    <sheet name="Hárok1" sheetId="7" r:id="rId9"/>
  </sheets>
  <calcPr calcId="125725"/>
</workbook>
</file>

<file path=xl/calcChain.xml><?xml version="1.0" encoding="utf-8"?>
<calcChain xmlns="http://schemas.openxmlformats.org/spreadsheetml/2006/main">
  <c r="J365" i="9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K456" s="1"/>
  <c r="J457"/>
  <c r="J458"/>
  <c r="J459"/>
  <c r="J460"/>
  <c r="I33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5"/>
  <c r="K5" s="1"/>
  <c r="I5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"/>
  <c r="E8"/>
  <c r="E9"/>
  <c r="E10"/>
  <c r="E11"/>
  <c r="E12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6"/>
  <c r="D7"/>
  <c r="D8"/>
  <c r="D5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I748"/>
  <c r="I747"/>
  <c r="K747" s="1"/>
  <c r="I746"/>
  <c r="K746" s="1"/>
  <c r="I745"/>
  <c r="I744"/>
  <c r="K744" s="1"/>
  <c r="I743"/>
  <c r="K743" s="1"/>
  <c r="I742"/>
  <c r="K742" s="1"/>
  <c r="I741"/>
  <c r="I740"/>
  <c r="K740" s="1"/>
  <c r="I739"/>
  <c r="K739" s="1"/>
  <c r="I738"/>
  <c r="K738" s="1"/>
  <c r="I737"/>
  <c r="I736"/>
  <c r="K736" s="1"/>
  <c r="I735"/>
  <c r="K735" s="1"/>
  <c r="I734"/>
  <c r="K734" s="1"/>
  <c r="I733"/>
  <c r="I732"/>
  <c r="K732" s="1"/>
  <c r="I731"/>
  <c r="K731" s="1"/>
  <c r="I730"/>
  <c r="K730" s="1"/>
  <c r="I729"/>
  <c r="I728"/>
  <c r="K728" s="1"/>
  <c r="I727"/>
  <c r="K727" s="1"/>
  <c r="I726"/>
  <c r="K726" s="1"/>
  <c r="I725"/>
  <c r="I724"/>
  <c r="K724" s="1"/>
  <c r="I723"/>
  <c r="K723" s="1"/>
  <c r="I722"/>
  <c r="K722" s="1"/>
  <c r="I721"/>
  <c r="I720"/>
  <c r="K720" s="1"/>
  <c r="I719"/>
  <c r="K719" s="1"/>
  <c r="I718"/>
  <c r="K718" s="1"/>
  <c r="I717"/>
  <c r="I716"/>
  <c r="K716" s="1"/>
  <c r="I715"/>
  <c r="K715" s="1"/>
  <c r="I714"/>
  <c r="K714" s="1"/>
  <c r="I713"/>
  <c r="I712"/>
  <c r="K712" s="1"/>
  <c r="I711"/>
  <c r="K711" s="1"/>
  <c r="I710"/>
  <c r="K710" s="1"/>
  <c r="I709"/>
  <c r="I708"/>
  <c r="K708" s="1"/>
  <c r="I707"/>
  <c r="K707" s="1"/>
  <c r="I706"/>
  <c r="K706" s="1"/>
  <c r="I705"/>
  <c r="I704"/>
  <c r="K704" s="1"/>
  <c r="I703"/>
  <c r="K703" s="1"/>
  <c r="I702"/>
  <c r="K702" s="1"/>
  <c r="I701"/>
  <c r="I700"/>
  <c r="K700" s="1"/>
  <c r="I699"/>
  <c r="I698"/>
  <c r="K698" s="1"/>
  <c r="I697"/>
  <c r="I696"/>
  <c r="K696" s="1"/>
  <c r="I695"/>
  <c r="I694"/>
  <c r="K694" s="1"/>
  <c r="I693"/>
  <c r="I692"/>
  <c r="K692" s="1"/>
  <c r="I691"/>
  <c r="I690"/>
  <c r="K690" s="1"/>
  <c r="I689"/>
  <c r="I688"/>
  <c r="K688" s="1"/>
  <c r="I687"/>
  <c r="I686"/>
  <c r="K686" s="1"/>
  <c r="I685"/>
  <c r="I684"/>
  <c r="K684" s="1"/>
  <c r="I683"/>
  <c r="I682"/>
  <c r="K682" s="1"/>
  <c r="I681"/>
  <c r="I680"/>
  <c r="K680" s="1"/>
  <c r="I679"/>
  <c r="I678"/>
  <c r="K678" s="1"/>
  <c r="I677"/>
  <c r="I676"/>
  <c r="K676" s="1"/>
  <c r="I675"/>
  <c r="K675" s="1"/>
  <c r="I674"/>
  <c r="K674" s="1"/>
  <c r="I673"/>
  <c r="I672"/>
  <c r="K672" s="1"/>
  <c r="I671"/>
  <c r="K671" s="1"/>
  <c r="I670"/>
  <c r="K670" s="1"/>
  <c r="I669"/>
  <c r="I668"/>
  <c r="K668" s="1"/>
  <c r="I667"/>
  <c r="K667" s="1"/>
  <c r="I666"/>
  <c r="K666" s="1"/>
  <c r="I665"/>
  <c r="I664"/>
  <c r="K664" s="1"/>
  <c r="I663"/>
  <c r="K663" s="1"/>
  <c r="I662"/>
  <c r="K662" s="1"/>
  <c r="I661"/>
  <c r="I660"/>
  <c r="K660" s="1"/>
  <c r="I659"/>
  <c r="K659" s="1"/>
  <c r="I658"/>
  <c r="K658" s="1"/>
  <c r="I657"/>
  <c r="I656"/>
  <c r="K656" s="1"/>
  <c r="I655"/>
  <c r="K655" s="1"/>
  <c r="I654"/>
  <c r="K654" s="1"/>
  <c r="I653"/>
  <c r="I652"/>
  <c r="K652" s="1"/>
  <c r="I651"/>
  <c r="K651" s="1"/>
  <c r="I650"/>
  <c r="K650" s="1"/>
  <c r="I649"/>
  <c r="I648"/>
  <c r="K648" s="1"/>
  <c r="I647"/>
  <c r="K647" s="1"/>
  <c r="I646"/>
  <c r="K646" s="1"/>
  <c r="I645"/>
  <c r="I644"/>
  <c r="K644" s="1"/>
  <c r="I643"/>
  <c r="K643" s="1"/>
  <c r="I642"/>
  <c r="K642" s="1"/>
  <c r="I641"/>
  <c r="I640"/>
  <c r="K640" s="1"/>
  <c r="I639"/>
  <c r="K639" s="1"/>
  <c r="I638"/>
  <c r="K638" s="1"/>
  <c r="I637"/>
  <c r="I636"/>
  <c r="K636" s="1"/>
  <c r="I635"/>
  <c r="K635" s="1"/>
  <c r="I634"/>
  <c r="K634" s="1"/>
  <c r="I633"/>
  <c r="I632"/>
  <c r="K632" s="1"/>
  <c r="I631"/>
  <c r="K631" s="1"/>
  <c r="I630"/>
  <c r="K630" s="1"/>
  <c r="I629"/>
  <c r="I628"/>
  <c r="K628" s="1"/>
  <c r="I627"/>
  <c r="K627" s="1"/>
  <c r="I626"/>
  <c r="K626" s="1"/>
  <c r="I625"/>
  <c r="I624"/>
  <c r="K624" s="1"/>
  <c r="I623"/>
  <c r="K623" s="1"/>
  <c r="I622"/>
  <c r="K622" s="1"/>
  <c r="I621"/>
  <c r="I620"/>
  <c r="K620" s="1"/>
  <c r="I619"/>
  <c r="K619" s="1"/>
  <c r="I618"/>
  <c r="K618" s="1"/>
  <c r="I617"/>
  <c r="I616"/>
  <c r="K616" s="1"/>
  <c r="I615"/>
  <c r="K615" s="1"/>
  <c r="I614"/>
  <c r="K614" s="1"/>
  <c r="I613"/>
  <c r="I612"/>
  <c r="K612" s="1"/>
  <c r="I611"/>
  <c r="K611" s="1"/>
  <c r="I610"/>
  <c r="K610" s="1"/>
  <c r="I609"/>
  <c r="I608"/>
  <c r="K608" s="1"/>
  <c r="I607"/>
  <c r="K607" s="1"/>
  <c r="I606"/>
  <c r="K606" s="1"/>
  <c r="I605"/>
  <c r="I604"/>
  <c r="K604" s="1"/>
  <c r="I603"/>
  <c r="K603" s="1"/>
  <c r="I602"/>
  <c r="K602" s="1"/>
  <c r="I601"/>
  <c r="I600"/>
  <c r="K600" s="1"/>
  <c r="I599"/>
  <c r="K599" s="1"/>
  <c r="I598"/>
  <c r="K598" s="1"/>
  <c r="I597"/>
  <c r="I596"/>
  <c r="K596" s="1"/>
  <c r="I595"/>
  <c r="K595" s="1"/>
  <c r="I594"/>
  <c r="K594" s="1"/>
  <c r="I593"/>
  <c r="I592"/>
  <c r="K592" s="1"/>
  <c r="I591"/>
  <c r="K591" s="1"/>
  <c r="I590"/>
  <c r="K590" s="1"/>
  <c r="I589"/>
  <c r="I588"/>
  <c r="K588" s="1"/>
  <c r="I587"/>
  <c r="K587" s="1"/>
  <c r="I586"/>
  <c r="K586" s="1"/>
  <c r="I585"/>
  <c r="I584"/>
  <c r="K584" s="1"/>
  <c r="I583"/>
  <c r="K583" s="1"/>
  <c r="I582"/>
  <c r="K582" s="1"/>
  <c r="I581"/>
  <c r="I580"/>
  <c r="K580" s="1"/>
  <c r="I579"/>
  <c r="K579" s="1"/>
  <c r="I578"/>
  <c r="K578" s="1"/>
  <c r="I577"/>
  <c r="I576"/>
  <c r="K576" s="1"/>
  <c r="I575"/>
  <c r="K575" s="1"/>
  <c r="I574"/>
  <c r="K574" s="1"/>
  <c r="I573"/>
  <c r="I572"/>
  <c r="K572" s="1"/>
  <c r="I571"/>
  <c r="K571" s="1"/>
  <c r="I570"/>
  <c r="K570" s="1"/>
  <c r="I569"/>
  <c r="I568"/>
  <c r="K568" s="1"/>
  <c r="I567"/>
  <c r="K567" s="1"/>
  <c r="I566"/>
  <c r="K566" s="1"/>
  <c r="I565"/>
  <c r="I564"/>
  <c r="K564" s="1"/>
  <c r="I563"/>
  <c r="K563" s="1"/>
  <c r="I562"/>
  <c r="K562" s="1"/>
  <c r="I561"/>
  <c r="I560"/>
  <c r="K560" s="1"/>
  <c r="I559"/>
  <c r="K559" s="1"/>
  <c r="I558"/>
  <c r="K558" s="1"/>
  <c r="I557"/>
  <c r="I556"/>
  <c r="K556" s="1"/>
  <c r="I555"/>
  <c r="K555" s="1"/>
  <c r="I554"/>
  <c r="K554" s="1"/>
  <c r="I553"/>
  <c r="I552"/>
  <c r="K552" s="1"/>
  <c r="I551"/>
  <c r="K551" s="1"/>
  <c r="I550"/>
  <c r="K550" s="1"/>
  <c r="I549"/>
  <c r="I548"/>
  <c r="K548" s="1"/>
  <c r="I547"/>
  <c r="K547" s="1"/>
  <c r="I546"/>
  <c r="K546" s="1"/>
  <c r="I545"/>
  <c r="I544"/>
  <c r="K544" s="1"/>
  <c r="I543"/>
  <c r="K543" s="1"/>
  <c r="I542"/>
  <c r="K542" s="1"/>
  <c r="I541"/>
  <c r="I540"/>
  <c r="K540" s="1"/>
  <c r="I539"/>
  <c r="K539" s="1"/>
  <c r="I538"/>
  <c r="K538" s="1"/>
  <c r="I537"/>
  <c r="I536"/>
  <c r="K536" s="1"/>
  <c r="I535"/>
  <c r="K535" s="1"/>
  <c r="I534"/>
  <c r="K534" s="1"/>
  <c r="I533"/>
  <c r="I532"/>
  <c r="K532" s="1"/>
  <c r="I531"/>
  <c r="K531" s="1"/>
  <c r="I530"/>
  <c r="K530" s="1"/>
  <c r="I529"/>
  <c r="I528"/>
  <c r="K528" s="1"/>
  <c r="I527"/>
  <c r="K527" s="1"/>
  <c r="I526"/>
  <c r="K526" s="1"/>
  <c r="I525"/>
  <c r="I524"/>
  <c r="K524" s="1"/>
  <c r="I523"/>
  <c r="K523" s="1"/>
  <c r="I522"/>
  <c r="K522" s="1"/>
  <c r="I521"/>
  <c r="I520"/>
  <c r="K520" s="1"/>
  <c r="I519"/>
  <c r="K519" s="1"/>
  <c r="I518"/>
  <c r="K518" s="1"/>
  <c r="I517"/>
  <c r="I516"/>
  <c r="K516" s="1"/>
  <c r="I515"/>
  <c r="K515" s="1"/>
  <c r="I514"/>
  <c r="K514" s="1"/>
  <c r="I513"/>
  <c r="I512"/>
  <c r="K512" s="1"/>
  <c r="I511"/>
  <c r="K511" s="1"/>
  <c r="I510"/>
  <c r="K510" s="1"/>
  <c r="I509"/>
  <c r="I508"/>
  <c r="K508" s="1"/>
  <c r="I507"/>
  <c r="K507" s="1"/>
  <c r="I506"/>
  <c r="K506" s="1"/>
  <c r="I505"/>
  <c r="I504"/>
  <c r="K504" s="1"/>
  <c r="I503"/>
  <c r="K503" s="1"/>
  <c r="I502"/>
  <c r="K502" s="1"/>
  <c r="I501"/>
  <c r="I500"/>
  <c r="K500" s="1"/>
  <c r="I499"/>
  <c r="K499" s="1"/>
  <c r="I498"/>
  <c r="K498" s="1"/>
  <c r="I497"/>
  <c r="I496"/>
  <c r="K496" s="1"/>
  <c r="I495"/>
  <c r="K495" s="1"/>
  <c r="I494"/>
  <c r="K494" s="1"/>
  <c r="I493"/>
  <c r="I492"/>
  <c r="K492" s="1"/>
  <c r="I491"/>
  <c r="K491" s="1"/>
  <c r="I490"/>
  <c r="K490" s="1"/>
  <c r="I489"/>
  <c r="I488"/>
  <c r="K488" s="1"/>
  <c r="I487"/>
  <c r="K487" s="1"/>
  <c r="I486"/>
  <c r="K486" s="1"/>
  <c r="I485"/>
  <c r="I484"/>
  <c r="K484" s="1"/>
  <c r="I483"/>
  <c r="K483" s="1"/>
  <c r="I482"/>
  <c r="K482" s="1"/>
  <c r="I481"/>
  <c r="I480"/>
  <c r="K480" s="1"/>
  <c r="I479"/>
  <c r="K479" s="1"/>
  <c r="I478"/>
  <c r="K478" s="1"/>
  <c r="I477"/>
  <c r="I476"/>
  <c r="K476" s="1"/>
  <c r="I475"/>
  <c r="K475" s="1"/>
  <c r="I474"/>
  <c r="K474" s="1"/>
  <c r="I473"/>
  <c r="I472"/>
  <c r="K472" s="1"/>
  <c r="I471"/>
  <c r="K471" s="1"/>
  <c r="I470"/>
  <c r="K470" s="1"/>
  <c r="I469"/>
  <c r="I468"/>
  <c r="K468" s="1"/>
  <c r="I467"/>
  <c r="K467" s="1"/>
  <c r="I466"/>
  <c r="K466" s="1"/>
  <c r="I465"/>
  <c r="I464"/>
  <c r="K464" s="1"/>
  <c r="I463"/>
  <c r="K463" s="1"/>
  <c r="I462"/>
  <c r="K462" s="1"/>
  <c r="I461"/>
  <c r="I460"/>
  <c r="K460" s="1"/>
  <c r="I459"/>
  <c r="K459" s="1"/>
  <c r="I458"/>
  <c r="K458" s="1"/>
  <c r="I457"/>
  <c r="I456"/>
  <c r="I455"/>
  <c r="K455" s="1"/>
  <c r="I454"/>
  <c r="K454" s="1"/>
  <c r="I453"/>
  <c r="I452"/>
  <c r="K452" s="1"/>
  <c r="I451"/>
  <c r="K451" s="1"/>
  <c r="I450"/>
  <c r="K450" s="1"/>
  <c r="I449"/>
  <c r="I448"/>
  <c r="K448" s="1"/>
  <c r="I447"/>
  <c r="K447" s="1"/>
  <c r="I446"/>
  <c r="K446" s="1"/>
  <c r="I445"/>
  <c r="I444"/>
  <c r="K444" s="1"/>
  <c r="I443"/>
  <c r="K443" s="1"/>
  <c r="I442"/>
  <c r="K442" s="1"/>
  <c r="I441"/>
  <c r="I440"/>
  <c r="K440" s="1"/>
  <c r="I439"/>
  <c r="K439" s="1"/>
  <c r="I438"/>
  <c r="K438" s="1"/>
  <c r="I437"/>
  <c r="I436"/>
  <c r="K436" s="1"/>
  <c r="I435"/>
  <c r="K435" s="1"/>
  <c r="I434"/>
  <c r="K434" s="1"/>
  <c r="I433"/>
  <c r="I432"/>
  <c r="K432" s="1"/>
  <c r="I431"/>
  <c r="K431" s="1"/>
  <c r="I430"/>
  <c r="K430" s="1"/>
  <c r="I429"/>
  <c r="I428"/>
  <c r="K428" s="1"/>
  <c r="I427"/>
  <c r="K427" s="1"/>
  <c r="I426"/>
  <c r="K426" s="1"/>
  <c r="I425"/>
  <c r="I424"/>
  <c r="K424" s="1"/>
  <c r="I423"/>
  <c r="K423" s="1"/>
  <c r="I422"/>
  <c r="K422" s="1"/>
  <c r="I421"/>
  <c r="I420"/>
  <c r="K420" s="1"/>
  <c r="I419"/>
  <c r="K419" s="1"/>
  <c r="I418"/>
  <c r="K418" s="1"/>
  <c r="I417"/>
  <c r="I416"/>
  <c r="K416" s="1"/>
  <c r="I415"/>
  <c r="K415" s="1"/>
  <c r="I414"/>
  <c r="K414" s="1"/>
  <c r="I413"/>
  <c r="I412"/>
  <c r="K412" s="1"/>
  <c r="I411"/>
  <c r="K411" s="1"/>
  <c r="I410"/>
  <c r="K410" s="1"/>
  <c r="I409"/>
  <c r="I408"/>
  <c r="K408" s="1"/>
  <c r="I407"/>
  <c r="K407" s="1"/>
  <c r="I406"/>
  <c r="K406" s="1"/>
  <c r="I405"/>
  <c r="I404"/>
  <c r="K404" s="1"/>
  <c r="I403"/>
  <c r="K403" s="1"/>
  <c r="I402"/>
  <c r="K402" s="1"/>
  <c r="I401"/>
  <c r="I400"/>
  <c r="K400" s="1"/>
  <c r="I399"/>
  <c r="K399" s="1"/>
  <c r="I398"/>
  <c r="K398" s="1"/>
  <c r="I397"/>
  <c r="I396"/>
  <c r="K396" s="1"/>
  <c r="I395"/>
  <c r="K395" s="1"/>
  <c r="I394"/>
  <c r="K394" s="1"/>
  <c r="I393"/>
  <c r="I392"/>
  <c r="K392" s="1"/>
  <c r="I391"/>
  <c r="K391" s="1"/>
  <c r="I390"/>
  <c r="K390" s="1"/>
  <c r="I389"/>
  <c r="I388"/>
  <c r="K388" s="1"/>
  <c r="I387"/>
  <c r="K387" s="1"/>
  <c r="I386"/>
  <c r="K386" s="1"/>
  <c r="I385"/>
  <c r="I384"/>
  <c r="K384" s="1"/>
  <c r="I383"/>
  <c r="K383" s="1"/>
  <c r="I382"/>
  <c r="K382" s="1"/>
  <c r="I381"/>
  <c r="I380"/>
  <c r="K380" s="1"/>
  <c r="I379"/>
  <c r="K379" s="1"/>
  <c r="I378"/>
  <c r="K378" s="1"/>
  <c r="I377"/>
  <c r="I376"/>
  <c r="K376" s="1"/>
  <c r="I375"/>
  <c r="K375" s="1"/>
  <c r="I374"/>
  <c r="K374" s="1"/>
  <c r="I373"/>
  <c r="I372"/>
  <c r="K372" s="1"/>
  <c r="I371"/>
  <c r="K371" s="1"/>
  <c r="I370"/>
  <c r="K370" s="1"/>
  <c r="I369"/>
  <c r="I368"/>
  <c r="K368" s="1"/>
  <c r="I367"/>
  <c r="K367" s="1"/>
  <c r="I366"/>
  <c r="K366" s="1"/>
  <c r="I365"/>
  <c r="I364"/>
  <c r="K364" s="1"/>
  <c r="I363"/>
  <c r="K363" s="1"/>
  <c r="I362"/>
  <c r="K362" s="1"/>
  <c r="I361"/>
  <c r="I360"/>
  <c r="K360" s="1"/>
  <c r="I359"/>
  <c r="K359" s="1"/>
  <c r="I358"/>
  <c r="K358" s="1"/>
  <c r="I357"/>
  <c r="I356"/>
  <c r="K356" s="1"/>
  <c r="I355"/>
  <c r="K355" s="1"/>
  <c r="I354"/>
  <c r="K354" s="1"/>
  <c r="I353"/>
  <c r="I352"/>
  <c r="K352" s="1"/>
  <c r="I351"/>
  <c r="K351" s="1"/>
  <c r="I350"/>
  <c r="K350" s="1"/>
  <c r="I349"/>
  <c r="I348"/>
  <c r="K348" s="1"/>
  <c r="I347"/>
  <c r="K347" s="1"/>
  <c r="I346"/>
  <c r="K346" s="1"/>
  <c r="I345"/>
  <c r="I344"/>
  <c r="K344" s="1"/>
  <c r="I343"/>
  <c r="K343" s="1"/>
  <c r="I342"/>
  <c r="K342" s="1"/>
  <c r="I341"/>
  <c r="I340"/>
  <c r="K340" s="1"/>
  <c r="I339"/>
  <c r="I337"/>
  <c r="I336"/>
  <c r="K336" s="1"/>
  <c r="I335"/>
  <c r="I334"/>
  <c r="I333"/>
  <c r="I332"/>
  <c r="K332" s="1"/>
  <c r="I331"/>
  <c r="I330"/>
  <c r="I329"/>
  <c r="I328"/>
  <c r="K328" s="1"/>
  <c r="I327"/>
  <c r="I326"/>
  <c r="I325"/>
  <c r="I324"/>
  <c r="K324" s="1"/>
  <c r="I323"/>
  <c r="I322"/>
  <c r="I321"/>
  <c r="I320"/>
  <c r="K320" s="1"/>
  <c r="I319"/>
  <c r="I318"/>
  <c r="I317"/>
  <c r="I316"/>
  <c r="K316" s="1"/>
  <c r="I315"/>
  <c r="K315" s="1"/>
  <c r="I314"/>
  <c r="K314" s="1"/>
  <c r="I313"/>
  <c r="I312"/>
  <c r="K312" s="1"/>
  <c r="I311"/>
  <c r="K311" s="1"/>
  <c r="I310"/>
  <c r="K310" s="1"/>
  <c r="I309"/>
  <c r="I308"/>
  <c r="K308" s="1"/>
  <c r="I307"/>
  <c r="K307" s="1"/>
  <c r="I306"/>
  <c r="K306" s="1"/>
  <c r="I305"/>
  <c r="I304"/>
  <c r="K304" s="1"/>
  <c r="I303"/>
  <c r="K303" s="1"/>
  <c r="I302"/>
  <c r="K302" s="1"/>
  <c r="I301"/>
  <c r="I300"/>
  <c r="K300" s="1"/>
  <c r="I299"/>
  <c r="K299" s="1"/>
  <c r="I298"/>
  <c r="K298" s="1"/>
  <c r="I297"/>
  <c r="I296"/>
  <c r="K296" s="1"/>
  <c r="I295"/>
  <c r="K295" s="1"/>
  <c r="I294"/>
  <c r="K294" s="1"/>
  <c r="I293"/>
  <c r="I292"/>
  <c r="K292" s="1"/>
  <c r="I291"/>
  <c r="K291" s="1"/>
  <c r="I290"/>
  <c r="K290" s="1"/>
  <c r="I289"/>
  <c r="I288"/>
  <c r="K288" s="1"/>
  <c r="I287"/>
  <c r="K287" s="1"/>
  <c r="I286"/>
  <c r="K286" s="1"/>
  <c r="I285"/>
  <c r="I284"/>
  <c r="K284" s="1"/>
  <c r="I283"/>
  <c r="K283" s="1"/>
  <c r="I282"/>
  <c r="K282" s="1"/>
  <c r="I281"/>
  <c r="I280"/>
  <c r="K280" s="1"/>
  <c r="I279"/>
  <c r="K279" s="1"/>
  <c r="I278"/>
  <c r="K278" s="1"/>
  <c r="I277"/>
  <c r="I276"/>
  <c r="K276" s="1"/>
  <c r="I275"/>
  <c r="K275" s="1"/>
  <c r="I274"/>
  <c r="K274" s="1"/>
  <c r="I273"/>
  <c r="I272"/>
  <c r="K272" s="1"/>
  <c r="I271"/>
  <c r="K271" s="1"/>
  <c r="I270"/>
  <c r="K270" s="1"/>
  <c r="I269"/>
  <c r="I268"/>
  <c r="K268" s="1"/>
  <c r="I267"/>
  <c r="K267" s="1"/>
  <c r="I266"/>
  <c r="K266" s="1"/>
  <c r="I265"/>
  <c r="I264"/>
  <c r="K264" s="1"/>
  <c r="I263"/>
  <c r="K263" s="1"/>
  <c r="I262"/>
  <c r="K262" s="1"/>
  <c r="I261"/>
  <c r="I260"/>
  <c r="K260" s="1"/>
  <c r="I259"/>
  <c r="K259" s="1"/>
  <c r="I258"/>
  <c r="K258" s="1"/>
  <c r="I257"/>
  <c r="I256"/>
  <c r="K256" s="1"/>
  <c r="I255"/>
  <c r="K255" s="1"/>
  <c r="I254"/>
  <c r="K254" s="1"/>
  <c r="I253"/>
  <c r="I252"/>
  <c r="K252" s="1"/>
  <c r="I251"/>
  <c r="K251" s="1"/>
  <c r="I250"/>
  <c r="K250" s="1"/>
  <c r="I249"/>
  <c r="I248"/>
  <c r="K248" s="1"/>
  <c r="I247"/>
  <c r="K247" s="1"/>
  <c r="I246"/>
  <c r="K246" s="1"/>
  <c r="I245"/>
  <c r="I244"/>
  <c r="K244" s="1"/>
  <c r="I243"/>
  <c r="K243" s="1"/>
  <c r="I242"/>
  <c r="K242" s="1"/>
  <c r="I241"/>
  <c r="I240"/>
  <c r="K240" s="1"/>
  <c r="I239"/>
  <c r="K239" s="1"/>
  <c r="I238"/>
  <c r="K238" s="1"/>
  <c r="I237"/>
  <c r="I236"/>
  <c r="K236" s="1"/>
  <c r="I235"/>
  <c r="K235" s="1"/>
  <c r="I234"/>
  <c r="K234" s="1"/>
  <c r="I233"/>
  <c r="I232"/>
  <c r="K232" s="1"/>
  <c r="I231"/>
  <c r="K231" s="1"/>
  <c r="I230"/>
  <c r="K230" s="1"/>
  <c r="I229"/>
  <c r="I228"/>
  <c r="K228" s="1"/>
  <c r="I227"/>
  <c r="K227" s="1"/>
  <c r="I226"/>
  <c r="K226" s="1"/>
  <c r="I225"/>
  <c r="I224"/>
  <c r="K224" s="1"/>
  <c r="I223"/>
  <c r="K223" s="1"/>
  <c r="I222"/>
  <c r="K222" s="1"/>
  <c r="I221"/>
  <c r="I220"/>
  <c r="K220" s="1"/>
  <c r="I219"/>
  <c r="K219" s="1"/>
  <c r="I218"/>
  <c r="K218" s="1"/>
  <c r="I217"/>
  <c r="I216"/>
  <c r="K216" s="1"/>
  <c r="I215"/>
  <c r="K215" s="1"/>
  <c r="I214"/>
  <c r="K214" s="1"/>
  <c r="I213"/>
  <c r="I212"/>
  <c r="K212" s="1"/>
  <c r="I211"/>
  <c r="K211" s="1"/>
  <c r="I210"/>
  <c r="K210" s="1"/>
  <c r="I209"/>
  <c r="I208"/>
  <c r="K208" s="1"/>
  <c r="I207"/>
  <c r="K207" s="1"/>
  <c r="I206"/>
  <c r="K206" s="1"/>
  <c r="I205"/>
  <c r="I204"/>
  <c r="K204" s="1"/>
  <c r="I203"/>
  <c r="K203" s="1"/>
  <c r="I202"/>
  <c r="K202" s="1"/>
  <c r="I201"/>
  <c r="I200"/>
  <c r="K200" s="1"/>
  <c r="I199"/>
  <c r="K199" s="1"/>
  <c r="I198"/>
  <c r="K198" s="1"/>
  <c r="I197"/>
  <c r="I196"/>
  <c r="K196" s="1"/>
  <c r="I195"/>
  <c r="K195" s="1"/>
  <c r="I194"/>
  <c r="K194" s="1"/>
  <c r="I193"/>
  <c r="I192"/>
  <c r="K192" s="1"/>
  <c r="I191"/>
  <c r="K191" s="1"/>
  <c r="I190"/>
  <c r="K190" s="1"/>
  <c r="I189"/>
  <c r="I188"/>
  <c r="K188" s="1"/>
  <c r="I187"/>
  <c r="K187" s="1"/>
  <c r="I186"/>
  <c r="K186" s="1"/>
  <c r="I185"/>
  <c r="I184"/>
  <c r="K184" s="1"/>
  <c r="I183"/>
  <c r="K183" s="1"/>
  <c r="I182"/>
  <c r="K182" s="1"/>
  <c r="I181"/>
  <c r="I180"/>
  <c r="K180" s="1"/>
  <c r="I179"/>
  <c r="K179" s="1"/>
  <c r="I178"/>
  <c r="K178" s="1"/>
  <c r="I177"/>
  <c r="I176"/>
  <c r="K176" s="1"/>
  <c r="I175"/>
  <c r="K175" s="1"/>
  <c r="I174"/>
  <c r="K174" s="1"/>
  <c r="I173"/>
  <c r="I172"/>
  <c r="K172" s="1"/>
  <c r="I171"/>
  <c r="K171" s="1"/>
  <c r="I170"/>
  <c r="K170" s="1"/>
  <c r="I169"/>
  <c r="I168"/>
  <c r="K168" s="1"/>
  <c r="I167"/>
  <c r="K167" s="1"/>
  <c r="I166"/>
  <c r="K166" s="1"/>
  <c r="I165"/>
  <c r="I164"/>
  <c r="K164" s="1"/>
  <c r="I163"/>
  <c r="K163" s="1"/>
  <c r="I162"/>
  <c r="K162" s="1"/>
  <c r="I161"/>
  <c r="I160"/>
  <c r="K160" s="1"/>
  <c r="I159"/>
  <c r="K159" s="1"/>
  <c r="I158"/>
  <c r="K158" s="1"/>
  <c r="I157"/>
  <c r="I156"/>
  <c r="K156" s="1"/>
  <c r="I155"/>
  <c r="K155" s="1"/>
  <c r="I154"/>
  <c r="K154" s="1"/>
  <c r="I153"/>
  <c r="I152"/>
  <c r="K152" s="1"/>
  <c r="I151"/>
  <c r="K151" s="1"/>
  <c r="I150"/>
  <c r="K150" s="1"/>
  <c r="I149"/>
  <c r="I148"/>
  <c r="K148" s="1"/>
  <c r="I147"/>
  <c r="K147" s="1"/>
  <c r="I146"/>
  <c r="K146" s="1"/>
  <c r="I145"/>
  <c r="I144"/>
  <c r="K144" s="1"/>
  <c r="I143"/>
  <c r="K143" s="1"/>
  <c r="I142"/>
  <c r="K142" s="1"/>
  <c r="I141"/>
  <c r="I140"/>
  <c r="K140" s="1"/>
  <c r="I139"/>
  <c r="K139" s="1"/>
  <c r="I138"/>
  <c r="K138" s="1"/>
  <c r="I137"/>
  <c r="I136"/>
  <c r="K136" s="1"/>
  <c r="I135"/>
  <c r="K135" s="1"/>
  <c r="I134"/>
  <c r="K134" s="1"/>
  <c r="I133"/>
  <c r="I132"/>
  <c r="K132" s="1"/>
  <c r="I131"/>
  <c r="K131" s="1"/>
  <c r="I130"/>
  <c r="K130" s="1"/>
  <c r="I129"/>
  <c r="I128"/>
  <c r="K128" s="1"/>
  <c r="I127"/>
  <c r="K127" s="1"/>
  <c r="I126"/>
  <c r="K126" s="1"/>
  <c r="I125"/>
  <c r="I124"/>
  <c r="K124" s="1"/>
  <c r="I123"/>
  <c r="K123" s="1"/>
  <c r="I122"/>
  <c r="K122" s="1"/>
  <c r="I121"/>
  <c r="I120"/>
  <c r="K120" s="1"/>
  <c r="I119"/>
  <c r="K119" s="1"/>
  <c r="I118"/>
  <c r="K118" s="1"/>
  <c r="I117"/>
  <c r="I116"/>
  <c r="K116" s="1"/>
  <c r="I115"/>
  <c r="K115" s="1"/>
  <c r="I114"/>
  <c r="K114" s="1"/>
  <c r="I113"/>
  <c r="I112"/>
  <c r="K112" s="1"/>
  <c r="I111"/>
  <c r="K111" s="1"/>
  <c r="I110"/>
  <c r="K110" s="1"/>
  <c r="I109"/>
  <c r="I108"/>
  <c r="K108" s="1"/>
  <c r="I107"/>
  <c r="K107" s="1"/>
  <c r="I106"/>
  <c r="K106" s="1"/>
  <c r="I105"/>
  <c r="I104"/>
  <c r="K104" s="1"/>
  <c r="I103"/>
  <c r="K103" s="1"/>
  <c r="I102"/>
  <c r="K102" s="1"/>
  <c r="I101"/>
  <c r="I100"/>
  <c r="K100" s="1"/>
  <c r="I99"/>
  <c r="K99" s="1"/>
  <c r="I98"/>
  <c r="K98" s="1"/>
  <c r="I97"/>
  <c r="I96"/>
  <c r="K96" s="1"/>
  <c r="I95"/>
  <c r="K95" s="1"/>
  <c r="I94"/>
  <c r="K94" s="1"/>
  <c r="I93"/>
  <c r="I92"/>
  <c r="K92" s="1"/>
  <c r="I91"/>
  <c r="K91" s="1"/>
  <c r="I90"/>
  <c r="K90" s="1"/>
  <c r="I89"/>
  <c r="I88"/>
  <c r="K88" s="1"/>
  <c r="I87"/>
  <c r="K87" s="1"/>
  <c r="I86"/>
  <c r="K86" s="1"/>
  <c r="I85"/>
  <c r="I84"/>
  <c r="K84" s="1"/>
  <c r="I83"/>
  <c r="K83" s="1"/>
  <c r="I82"/>
  <c r="K82" s="1"/>
  <c r="I81"/>
  <c r="I80"/>
  <c r="K80" s="1"/>
  <c r="I79"/>
  <c r="K79" s="1"/>
  <c r="I78"/>
  <c r="K78" s="1"/>
  <c r="I77"/>
  <c r="I76"/>
  <c r="K76" s="1"/>
  <c r="I75"/>
  <c r="K75" s="1"/>
  <c r="I74"/>
  <c r="K74" s="1"/>
  <c r="I73"/>
  <c r="I72"/>
  <c r="K72" s="1"/>
  <c r="I71"/>
  <c r="K71" s="1"/>
  <c r="I70"/>
  <c r="K70" s="1"/>
  <c r="I69"/>
  <c r="I68"/>
  <c r="K68" s="1"/>
  <c r="I67"/>
  <c r="K67" s="1"/>
  <c r="I66"/>
  <c r="K66" s="1"/>
  <c r="I65"/>
  <c r="I64"/>
  <c r="K64" s="1"/>
  <c r="I63"/>
  <c r="K63" s="1"/>
  <c r="I62"/>
  <c r="K62" s="1"/>
  <c r="I61"/>
  <c r="I60"/>
  <c r="K60" s="1"/>
  <c r="I59"/>
  <c r="K59" s="1"/>
  <c r="I58"/>
  <c r="K58" s="1"/>
  <c r="I57"/>
  <c r="I56"/>
  <c r="K56" s="1"/>
  <c r="I55"/>
  <c r="K55" s="1"/>
  <c r="I54"/>
  <c r="K54" s="1"/>
  <c r="I53"/>
  <c r="I52"/>
  <c r="K52" s="1"/>
  <c r="I51"/>
  <c r="K51" s="1"/>
  <c r="I50"/>
  <c r="K50" s="1"/>
  <c r="I49"/>
  <c r="I48"/>
  <c r="K48" s="1"/>
  <c r="I47"/>
  <c r="K47" s="1"/>
  <c r="I46"/>
  <c r="K46" s="1"/>
  <c r="I45"/>
  <c r="I44"/>
  <c r="K44" s="1"/>
  <c r="I43"/>
  <c r="K43" s="1"/>
  <c r="I42"/>
  <c r="K42" s="1"/>
  <c r="I41"/>
  <c r="I40"/>
  <c r="K40" s="1"/>
  <c r="I39"/>
  <c r="K39" s="1"/>
  <c r="I38"/>
  <c r="K38" s="1"/>
  <c r="I37"/>
  <c r="I36"/>
  <c r="K36" s="1"/>
  <c r="I35"/>
  <c r="K35" s="1"/>
  <c r="I34"/>
  <c r="K34" s="1"/>
  <c r="I33"/>
  <c r="I32"/>
  <c r="K32" s="1"/>
  <c r="I31"/>
  <c r="K31" s="1"/>
  <c r="I30"/>
  <c r="K30" s="1"/>
  <c r="I29"/>
  <c r="I28"/>
  <c r="K28" s="1"/>
  <c r="I27"/>
  <c r="K27" s="1"/>
  <c r="I26"/>
  <c r="K26" s="1"/>
  <c r="I25"/>
  <c r="I24"/>
  <c r="K24" s="1"/>
  <c r="I23"/>
  <c r="K23" s="1"/>
  <c r="I22"/>
  <c r="K22" s="1"/>
  <c r="I21"/>
  <c r="I20"/>
  <c r="K20" s="1"/>
  <c r="I19"/>
  <c r="K19" s="1"/>
  <c r="I18"/>
  <c r="K18" s="1"/>
  <c r="I17"/>
  <c r="I16"/>
  <c r="K16" s="1"/>
  <c r="I15"/>
  <c r="K15" s="1"/>
  <c r="I14"/>
  <c r="K14" s="1"/>
  <c r="I13"/>
  <c r="I12"/>
  <c r="K12" s="1"/>
  <c r="I11"/>
  <c r="K11" s="1"/>
  <c r="I10"/>
  <c r="K10" s="1"/>
  <c r="I9"/>
  <c r="I8"/>
  <c r="K8" s="1"/>
  <c r="I7"/>
  <c r="K7" s="1"/>
  <c r="I6"/>
  <c r="K6" s="1"/>
  <c r="C6"/>
  <c r="C7"/>
  <c r="C8"/>
  <c r="C9"/>
  <c r="C10"/>
  <c r="K679" l="1"/>
  <c r="K683"/>
  <c r="K687"/>
  <c r="K691"/>
  <c r="K695"/>
  <c r="K699"/>
  <c r="K319"/>
  <c r="K323"/>
  <c r="K327"/>
  <c r="K331"/>
  <c r="K335"/>
  <c r="K339"/>
  <c r="K318"/>
  <c r="K322"/>
  <c r="K326"/>
  <c r="K330"/>
  <c r="K334"/>
  <c r="K338"/>
  <c r="K9"/>
  <c r="K13"/>
  <c r="K17"/>
  <c r="K21"/>
  <c r="K25"/>
  <c r="K29"/>
  <c r="K33"/>
  <c r="K37"/>
  <c r="K41"/>
  <c r="K45"/>
  <c r="K49"/>
  <c r="K53"/>
  <c r="K57"/>
  <c r="K61"/>
  <c r="K65"/>
  <c r="K69"/>
  <c r="K73"/>
  <c r="K77"/>
  <c r="K81"/>
  <c r="K85"/>
  <c r="K89"/>
  <c r="K93"/>
  <c r="K97"/>
  <c r="K101"/>
  <c r="K105"/>
  <c r="K109"/>
  <c r="K113"/>
  <c r="K117"/>
  <c r="K121"/>
  <c r="K125"/>
  <c r="K129"/>
  <c r="K133"/>
  <c r="K137"/>
  <c r="K141"/>
  <c r="K145"/>
  <c r="K149"/>
  <c r="K153"/>
  <c r="K157"/>
  <c r="K161"/>
  <c r="K165"/>
  <c r="K169"/>
  <c r="K173"/>
  <c r="K177"/>
  <c r="K181"/>
  <c r="K185"/>
  <c r="K189"/>
  <c r="K193"/>
  <c r="K197"/>
  <c r="K201"/>
  <c r="K205"/>
  <c r="K209"/>
  <c r="K213"/>
  <c r="K217"/>
  <c r="K221"/>
  <c r="K225"/>
  <c r="K229"/>
  <c r="K233"/>
  <c r="K237"/>
  <c r="K241"/>
  <c r="K245"/>
  <c r="K249"/>
  <c r="K253"/>
  <c r="K257"/>
  <c r="K261"/>
  <c r="K265"/>
  <c r="K269"/>
  <c r="K273"/>
  <c r="K277"/>
  <c r="K281"/>
  <c r="K285"/>
  <c r="K289"/>
  <c r="K293"/>
  <c r="K297"/>
  <c r="K301"/>
  <c r="K305"/>
  <c r="K309"/>
  <c r="K313"/>
  <c r="K317"/>
  <c r="K321"/>
  <c r="K325"/>
  <c r="K329"/>
  <c r="K333"/>
  <c r="K337"/>
  <c r="K341"/>
  <c r="K345"/>
  <c r="K349"/>
  <c r="K353"/>
  <c r="K357"/>
  <c r="K361"/>
  <c r="K365"/>
  <c r="K369"/>
  <c r="K373"/>
  <c r="K377"/>
  <c r="K381"/>
  <c r="K385"/>
  <c r="K389"/>
  <c r="K393"/>
  <c r="K397"/>
  <c r="K401"/>
  <c r="K405"/>
  <c r="K409"/>
  <c r="K413"/>
  <c r="K417"/>
  <c r="K421"/>
  <c r="K425"/>
  <c r="K429"/>
  <c r="K433"/>
  <c r="K437"/>
  <c r="K441"/>
  <c r="K445"/>
  <c r="K449"/>
  <c r="K453"/>
  <c r="K457"/>
  <c r="K461"/>
  <c r="K465"/>
  <c r="K469"/>
  <c r="K473"/>
  <c r="K477"/>
  <c r="K481"/>
  <c r="K485"/>
  <c r="K489"/>
  <c r="K493"/>
  <c r="K497"/>
  <c r="K501"/>
  <c r="K505"/>
  <c r="K509"/>
  <c r="K513"/>
  <c r="K517"/>
  <c r="K521"/>
  <c r="K525"/>
  <c r="K529"/>
  <c r="K533"/>
  <c r="K537"/>
  <c r="K541"/>
  <c r="K545"/>
  <c r="K549"/>
  <c r="K553"/>
  <c r="K557"/>
  <c r="K561"/>
  <c r="K565"/>
  <c r="K569"/>
  <c r="K573"/>
  <c r="K577"/>
  <c r="K581"/>
  <c r="K585"/>
  <c r="K589"/>
  <c r="K593"/>
  <c r="K597"/>
  <c r="K601"/>
  <c r="K605"/>
  <c r="K609"/>
  <c r="K613"/>
  <c r="K617"/>
  <c r="K621"/>
  <c r="K625"/>
  <c r="K629"/>
  <c r="K633"/>
  <c r="K637"/>
  <c r="K641"/>
  <c r="K645"/>
  <c r="K649"/>
  <c r="K653"/>
  <c r="K657"/>
  <c r="K661"/>
  <c r="K665"/>
  <c r="K669"/>
  <c r="K673"/>
  <c r="K677"/>
  <c r="K681"/>
  <c r="K685"/>
  <c r="K689"/>
  <c r="K693"/>
  <c r="K697"/>
  <c r="K701"/>
  <c r="K705"/>
  <c r="K709"/>
  <c r="K713"/>
  <c r="K717"/>
  <c r="K721"/>
  <c r="K725"/>
  <c r="K729"/>
  <c r="K733"/>
  <c r="K737"/>
  <c r="K741"/>
  <c r="K745"/>
  <c r="K748"/>
  <c r="C5"/>
  <c r="E6" l="1"/>
  <c r="E5"/>
  <c r="Q3" i="5"/>
  <c r="S3" s="1"/>
  <c r="G6" i="9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499"/>
  <c r="F500"/>
  <c r="F501"/>
  <c r="F502"/>
  <c r="F503"/>
  <c r="F504"/>
  <c r="F505"/>
  <c r="F506"/>
  <c r="F507"/>
  <c r="F508"/>
  <c r="F509"/>
  <c r="F510"/>
  <c r="F511"/>
  <c r="F512"/>
  <c r="F513"/>
  <c r="F514"/>
  <c r="F515"/>
  <c r="F516"/>
  <c r="F517"/>
  <c r="F518"/>
  <c r="F519"/>
  <c r="F520"/>
  <c r="F521"/>
  <c r="F522"/>
  <c r="F523"/>
  <c r="F524"/>
  <c r="F525"/>
  <c r="F526"/>
  <c r="F527"/>
  <c r="F528"/>
  <c r="F529"/>
  <c r="F530"/>
  <c r="F531"/>
  <c r="F532"/>
  <c r="F533"/>
  <c r="F534"/>
  <c r="F535"/>
  <c r="F536"/>
  <c r="F537"/>
  <c r="F538"/>
  <c r="F539"/>
  <c r="F540"/>
  <c r="F541"/>
  <c r="F542"/>
  <c r="F543"/>
  <c r="F544"/>
  <c r="F545"/>
  <c r="F546"/>
  <c r="F547"/>
  <c r="F548"/>
  <c r="F549"/>
  <c r="F550"/>
  <c r="F551"/>
  <c r="F552"/>
  <c r="F553"/>
  <c r="F554"/>
  <c r="F555"/>
  <c r="F556"/>
  <c r="F557"/>
  <c r="F558"/>
  <c r="F559"/>
  <c r="F560"/>
  <c r="F561"/>
  <c r="F562"/>
  <c r="F563"/>
  <c r="F564"/>
  <c r="F565"/>
  <c r="F566"/>
  <c r="F567"/>
  <c r="F568"/>
  <c r="F569"/>
  <c r="F570"/>
  <c r="F571"/>
  <c r="F572"/>
  <c r="F573"/>
  <c r="F574"/>
  <c r="F575"/>
  <c r="F576"/>
  <c r="F577"/>
  <c r="F578"/>
  <c r="F579"/>
  <c r="F580"/>
  <c r="F581"/>
  <c r="F582"/>
  <c r="F583"/>
  <c r="F584"/>
  <c r="F585"/>
  <c r="F586"/>
  <c r="F587"/>
  <c r="F588"/>
  <c r="F589"/>
  <c r="F590"/>
  <c r="F591"/>
  <c r="F592"/>
  <c r="F593"/>
  <c r="F594"/>
  <c r="F595"/>
  <c r="F596"/>
  <c r="F597"/>
  <c r="F598"/>
  <c r="F599"/>
  <c r="F600"/>
  <c r="F601"/>
  <c r="F602"/>
  <c r="F603"/>
  <c r="F604"/>
  <c r="F605"/>
  <c r="F606"/>
  <c r="F607"/>
  <c r="F608"/>
  <c r="F609"/>
  <c r="F610"/>
  <c r="F611"/>
  <c r="F612"/>
  <c r="F613"/>
  <c r="F614"/>
  <c r="F615"/>
  <c r="F616"/>
  <c r="F617"/>
  <c r="F618"/>
  <c r="F619"/>
  <c r="F620"/>
  <c r="F621"/>
  <c r="F622"/>
  <c r="F623"/>
  <c r="F624"/>
  <c r="F625"/>
  <c r="F626"/>
  <c r="F627"/>
  <c r="F628"/>
  <c r="F629"/>
  <c r="F630"/>
  <c r="F631"/>
  <c r="F632"/>
  <c r="F633"/>
  <c r="F634"/>
  <c r="F635"/>
  <c r="F636"/>
  <c r="F637"/>
  <c r="F638"/>
  <c r="F639"/>
  <c r="F640"/>
  <c r="F641"/>
  <c r="F642"/>
  <c r="F643"/>
  <c r="F644"/>
  <c r="F645"/>
  <c r="F646"/>
  <c r="F647"/>
  <c r="F648"/>
  <c r="F649"/>
  <c r="F650"/>
  <c r="F651"/>
  <c r="F652"/>
  <c r="F653"/>
  <c r="F654"/>
  <c r="F655"/>
  <c r="F656"/>
  <c r="F657"/>
  <c r="F658"/>
  <c r="F659"/>
  <c r="F660"/>
  <c r="F661"/>
  <c r="F662"/>
  <c r="F663"/>
  <c r="F664"/>
  <c r="F665"/>
  <c r="F666"/>
  <c r="F667"/>
  <c r="F668"/>
  <c r="F669"/>
  <c r="F670"/>
  <c r="F671"/>
  <c r="F672"/>
  <c r="F673"/>
  <c r="F674"/>
  <c r="F675"/>
  <c r="F676"/>
  <c r="F677"/>
  <c r="F678"/>
  <c r="F679"/>
  <c r="F680"/>
  <c r="F681"/>
  <c r="F682"/>
  <c r="F683"/>
  <c r="F684"/>
  <c r="F685"/>
  <c r="F686"/>
  <c r="F687"/>
  <c r="F688"/>
  <c r="F689"/>
  <c r="F690"/>
  <c r="F691"/>
  <c r="F692"/>
  <c r="F693"/>
  <c r="F694"/>
  <c r="F695"/>
  <c r="F696"/>
  <c r="F697"/>
  <c r="F698"/>
  <c r="F699"/>
  <c r="F700"/>
  <c r="F701"/>
  <c r="F702"/>
  <c r="F703"/>
  <c r="F704"/>
  <c r="F705"/>
  <c r="F706"/>
  <c r="F707"/>
  <c r="F708"/>
  <c r="F709"/>
  <c r="F710"/>
  <c r="F711"/>
  <c r="F712"/>
  <c r="F713"/>
  <c r="F714"/>
  <c r="F715"/>
  <c r="F716"/>
  <c r="F717"/>
  <c r="F718"/>
  <c r="F719"/>
  <c r="F720"/>
  <c r="F721"/>
  <c r="F722"/>
  <c r="F723"/>
  <c r="F724"/>
  <c r="F725"/>
  <c r="F726"/>
  <c r="F727"/>
  <c r="F728"/>
  <c r="F729"/>
  <c r="F730"/>
  <c r="F731"/>
  <c r="F732"/>
  <c r="F733"/>
  <c r="F734"/>
  <c r="F735"/>
  <c r="F736"/>
  <c r="F737"/>
  <c r="F738"/>
  <c r="F739"/>
  <c r="F740"/>
  <c r="F741"/>
  <c r="F742"/>
  <c r="F743"/>
  <c r="F744"/>
  <c r="F745"/>
  <c r="F746"/>
  <c r="F747"/>
  <c r="F748"/>
  <c r="F5"/>
  <c r="S481" i="5"/>
  <c r="S585"/>
  <c r="S601"/>
  <c r="S709"/>
  <c r="S713"/>
  <c r="S725"/>
  <c r="S741"/>
  <c r="P3"/>
  <c r="P4"/>
  <c r="Q4"/>
  <c r="S4" s="1"/>
  <c r="P5"/>
  <c r="Q5"/>
  <c r="S5" s="1"/>
  <c r="P6"/>
  <c r="Q6"/>
  <c r="S6" s="1"/>
  <c r="P7"/>
  <c r="Q7"/>
  <c r="S7" s="1"/>
  <c r="P8"/>
  <c r="Q8"/>
  <c r="S8" s="1"/>
  <c r="P9"/>
  <c r="Q9"/>
  <c r="S9" s="1"/>
  <c r="P10"/>
  <c r="Q10"/>
  <c r="S10" s="1"/>
  <c r="P11"/>
  <c r="Q11"/>
  <c r="S11" s="1"/>
  <c r="P12"/>
  <c r="Q12"/>
  <c r="S12" s="1"/>
  <c r="P13"/>
  <c r="Q13"/>
  <c r="S13" s="1"/>
  <c r="P14"/>
  <c r="Q14"/>
  <c r="S14" s="1"/>
  <c r="P15"/>
  <c r="Q15"/>
  <c r="S15" s="1"/>
  <c r="P16"/>
  <c r="Q16"/>
  <c r="S16" s="1"/>
  <c r="P17"/>
  <c r="Q17"/>
  <c r="S17" s="1"/>
  <c r="P18"/>
  <c r="Q18"/>
  <c r="S18" s="1"/>
  <c r="P19"/>
  <c r="Q19"/>
  <c r="S19" s="1"/>
  <c r="P20"/>
  <c r="Q20"/>
  <c r="S20" s="1"/>
  <c r="P21"/>
  <c r="Q21"/>
  <c r="S21" s="1"/>
  <c r="P22"/>
  <c r="Q22"/>
  <c r="S22" s="1"/>
  <c r="P23"/>
  <c r="Q23"/>
  <c r="S23" s="1"/>
  <c r="P24"/>
  <c r="Q24"/>
  <c r="S24" s="1"/>
  <c r="P25"/>
  <c r="Q25"/>
  <c r="S25" s="1"/>
  <c r="P26"/>
  <c r="Q26"/>
  <c r="S26" s="1"/>
  <c r="P27"/>
  <c r="Q27"/>
  <c r="S27" s="1"/>
  <c r="P28"/>
  <c r="Q28"/>
  <c r="S28" s="1"/>
  <c r="P29"/>
  <c r="Q29"/>
  <c r="S29" s="1"/>
  <c r="P30"/>
  <c r="Q30"/>
  <c r="S30" s="1"/>
  <c r="P31"/>
  <c r="Q31"/>
  <c r="S31" s="1"/>
  <c r="P32"/>
  <c r="Q32"/>
  <c r="S32" s="1"/>
  <c r="P33"/>
  <c r="Q33"/>
  <c r="S33" s="1"/>
  <c r="P34"/>
  <c r="Q34"/>
  <c r="S34" s="1"/>
  <c r="P35"/>
  <c r="Q35"/>
  <c r="S35" s="1"/>
  <c r="P36"/>
  <c r="Q36"/>
  <c r="S36" s="1"/>
  <c r="P37"/>
  <c r="Q37"/>
  <c r="S37" s="1"/>
  <c r="P38"/>
  <c r="Q38"/>
  <c r="S38" s="1"/>
  <c r="P39"/>
  <c r="Q39"/>
  <c r="S39" s="1"/>
  <c r="P40"/>
  <c r="Q40"/>
  <c r="S40" s="1"/>
  <c r="P41"/>
  <c r="Q41"/>
  <c r="S41" s="1"/>
  <c r="P42"/>
  <c r="Q42"/>
  <c r="S42" s="1"/>
  <c r="P43"/>
  <c r="Q43"/>
  <c r="S43" s="1"/>
  <c r="P44"/>
  <c r="Q44"/>
  <c r="S44" s="1"/>
  <c r="P45"/>
  <c r="Q45"/>
  <c r="S45" s="1"/>
  <c r="P46"/>
  <c r="Q46"/>
  <c r="S46" s="1"/>
  <c r="P47"/>
  <c r="Q47"/>
  <c r="S47" s="1"/>
  <c r="P48"/>
  <c r="Q48"/>
  <c r="S48" s="1"/>
  <c r="P49"/>
  <c r="Q49"/>
  <c r="S49" s="1"/>
  <c r="P50"/>
  <c r="Q50"/>
  <c r="S50" s="1"/>
  <c r="P51"/>
  <c r="Q51"/>
  <c r="S51" s="1"/>
  <c r="P52"/>
  <c r="Q52"/>
  <c r="S52" s="1"/>
  <c r="P53"/>
  <c r="Q53"/>
  <c r="S53" s="1"/>
  <c r="P54"/>
  <c r="Q54"/>
  <c r="S54" s="1"/>
  <c r="P55"/>
  <c r="Q55"/>
  <c r="S55" s="1"/>
  <c r="P56"/>
  <c r="Q56"/>
  <c r="S56" s="1"/>
  <c r="P57"/>
  <c r="Q57"/>
  <c r="S57" s="1"/>
  <c r="P58"/>
  <c r="Q58"/>
  <c r="S58" s="1"/>
  <c r="P59"/>
  <c r="Q59"/>
  <c r="S59" s="1"/>
  <c r="P60"/>
  <c r="Q60"/>
  <c r="S60" s="1"/>
  <c r="P61"/>
  <c r="Q61"/>
  <c r="S61" s="1"/>
  <c r="P62"/>
  <c r="Q62"/>
  <c r="S62" s="1"/>
  <c r="P63"/>
  <c r="Q63"/>
  <c r="S63" s="1"/>
  <c r="P64"/>
  <c r="Q64"/>
  <c r="S64" s="1"/>
  <c r="P65"/>
  <c r="Q65"/>
  <c r="S65" s="1"/>
  <c r="P66"/>
  <c r="Q66"/>
  <c r="S66" s="1"/>
  <c r="P67"/>
  <c r="Q67"/>
  <c r="S67" s="1"/>
  <c r="P68"/>
  <c r="Q68"/>
  <c r="S68" s="1"/>
  <c r="P69"/>
  <c r="Q69"/>
  <c r="S69" s="1"/>
  <c r="P70"/>
  <c r="Q70"/>
  <c r="S70" s="1"/>
  <c r="P71"/>
  <c r="Q71"/>
  <c r="S71" s="1"/>
  <c r="P72"/>
  <c r="Q72"/>
  <c r="S72" s="1"/>
  <c r="P73"/>
  <c r="Q73"/>
  <c r="S73" s="1"/>
  <c r="P74"/>
  <c r="Q74"/>
  <c r="S74" s="1"/>
  <c r="P75"/>
  <c r="Q75"/>
  <c r="S75" s="1"/>
  <c r="P76"/>
  <c r="Q76"/>
  <c r="S76" s="1"/>
  <c r="P77"/>
  <c r="Q77"/>
  <c r="S77" s="1"/>
  <c r="P78"/>
  <c r="Q78"/>
  <c r="S78" s="1"/>
  <c r="P79"/>
  <c r="Q79"/>
  <c r="S79" s="1"/>
  <c r="P80"/>
  <c r="Q80"/>
  <c r="S80" s="1"/>
  <c r="P81"/>
  <c r="Q81"/>
  <c r="S81" s="1"/>
  <c r="P82"/>
  <c r="Q82"/>
  <c r="S82" s="1"/>
  <c r="P83"/>
  <c r="Q83"/>
  <c r="S83" s="1"/>
  <c r="P84"/>
  <c r="Q84"/>
  <c r="S84" s="1"/>
  <c r="P85"/>
  <c r="Q85"/>
  <c r="S85" s="1"/>
  <c r="P86"/>
  <c r="Q86"/>
  <c r="S86" s="1"/>
  <c r="P87"/>
  <c r="Q87"/>
  <c r="S87" s="1"/>
  <c r="P88"/>
  <c r="Q88"/>
  <c r="S88" s="1"/>
  <c r="P89"/>
  <c r="Q89"/>
  <c r="S89" s="1"/>
  <c r="P90"/>
  <c r="Q90"/>
  <c r="S90" s="1"/>
  <c r="P91"/>
  <c r="Q91"/>
  <c r="S91" s="1"/>
  <c r="P92"/>
  <c r="Q92"/>
  <c r="S92" s="1"/>
  <c r="P93"/>
  <c r="Q93"/>
  <c r="S93" s="1"/>
  <c r="P94"/>
  <c r="Q94"/>
  <c r="S94" s="1"/>
  <c r="P95"/>
  <c r="Q95"/>
  <c r="S95" s="1"/>
  <c r="P96"/>
  <c r="Q96"/>
  <c r="S96" s="1"/>
  <c r="P97"/>
  <c r="Q97"/>
  <c r="S97" s="1"/>
  <c r="P98"/>
  <c r="Q98"/>
  <c r="S98" s="1"/>
  <c r="P99"/>
  <c r="Q99"/>
  <c r="S99" s="1"/>
  <c r="P100"/>
  <c r="Q100"/>
  <c r="S100" s="1"/>
  <c r="P101"/>
  <c r="Q101"/>
  <c r="S101" s="1"/>
  <c r="P102"/>
  <c r="Q102"/>
  <c r="S102" s="1"/>
  <c r="P103"/>
  <c r="Q103"/>
  <c r="S103" s="1"/>
  <c r="P104"/>
  <c r="Q104"/>
  <c r="S104" s="1"/>
  <c r="P105"/>
  <c r="Q105"/>
  <c r="S105" s="1"/>
  <c r="P106"/>
  <c r="Q106"/>
  <c r="S106" s="1"/>
  <c r="P107"/>
  <c r="Q107"/>
  <c r="S107" s="1"/>
  <c r="P108"/>
  <c r="Q108"/>
  <c r="S108" s="1"/>
  <c r="P109"/>
  <c r="Q109"/>
  <c r="S109" s="1"/>
  <c r="P110"/>
  <c r="Q110"/>
  <c r="S110" s="1"/>
  <c r="P111"/>
  <c r="Q111"/>
  <c r="S111" s="1"/>
  <c r="P112"/>
  <c r="Q112"/>
  <c r="S112" s="1"/>
  <c r="P113"/>
  <c r="Q113"/>
  <c r="S113" s="1"/>
  <c r="P114"/>
  <c r="Q114"/>
  <c r="S114" s="1"/>
  <c r="P115"/>
  <c r="Q115"/>
  <c r="S115" s="1"/>
  <c r="P116"/>
  <c r="Q116"/>
  <c r="S116" s="1"/>
  <c r="P117"/>
  <c r="Q117"/>
  <c r="S117" s="1"/>
  <c r="P118"/>
  <c r="Q118"/>
  <c r="S118" s="1"/>
  <c r="P119"/>
  <c r="Q119"/>
  <c r="S119" s="1"/>
  <c r="P120"/>
  <c r="Q120"/>
  <c r="S120" s="1"/>
  <c r="P121"/>
  <c r="Q121"/>
  <c r="S121" s="1"/>
  <c r="P122"/>
  <c r="Q122"/>
  <c r="S122" s="1"/>
  <c r="P123"/>
  <c r="Q123"/>
  <c r="S123" s="1"/>
  <c r="P124"/>
  <c r="Q124"/>
  <c r="S124" s="1"/>
  <c r="P125"/>
  <c r="Q125"/>
  <c r="S125" s="1"/>
  <c r="P126"/>
  <c r="Q126"/>
  <c r="S126" s="1"/>
  <c r="P127"/>
  <c r="Q127"/>
  <c r="S127" s="1"/>
  <c r="P128"/>
  <c r="Q128"/>
  <c r="S128" s="1"/>
  <c r="P129"/>
  <c r="Q129"/>
  <c r="S129" s="1"/>
  <c r="P130"/>
  <c r="Q130"/>
  <c r="S130" s="1"/>
  <c r="P131"/>
  <c r="Q131"/>
  <c r="S131" s="1"/>
  <c r="P132"/>
  <c r="Q132"/>
  <c r="S132" s="1"/>
  <c r="P133"/>
  <c r="Q133"/>
  <c r="S133" s="1"/>
  <c r="P134"/>
  <c r="Q134"/>
  <c r="S134" s="1"/>
  <c r="P135"/>
  <c r="Q135"/>
  <c r="S135" s="1"/>
  <c r="P136"/>
  <c r="Q136"/>
  <c r="S136" s="1"/>
  <c r="P137"/>
  <c r="Q137"/>
  <c r="S137" s="1"/>
  <c r="P138"/>
  <c r="Q138"/>
  <c r="S138" s="1"/>
  <c r="P139"/>
  <c r="Q139"/>
  <c r="S139" s="1"/>
  <c r="P140"/>
  <c r="Q140"/>
  <c r="S140" s="1"/>
  <c r="P141"/>
  <c r="Q141"/>
  <c r="S141" s="1"/>
  <c r="P142"/>
  <c r="Q142"/>
  <c r="S142" s="1"/>
  <c r="P143"/>
  <c r="Q143"/>
  <c r="S143" s="1"/>
  <c r="P144"/>
  <c r="Q144"/>
  <c r="S144" s="1"/>
  <c r="P145"/>
  <c r="Q145"/>
  <c r="S145" s="1"/>
  <c r="P146"/>
  <c r="Q146"/>
  <c r="S146" s="1"/>
  <c r="P147"/>
  <c r="Q147"/>
  <c r="S147" s="1"/>
  <c r="P148"/>
  <c r="Q148"/>
  <c r="S148" s="1"/>
  <c r="P149"/>
  <c r="Q149"/>
  <c r="S149" s="1"/>
  <c r="P150"/>
  <c r="Q150"/>
  <c r="S150" s="1"/>
  <c r="P151"/>
  <c r="Q151"/>
  <c r="S151" s="1"/>
  <c r="P152"/>
  <c r="Q152"/>
  <c r="S152" s="1"/>
  <c r="P153"/>
  <c r="Q153"/>
  <c r="S153" s="1"/>
  <c r="P154"/>
  <c r="Q154"/>
  <c r="S154" s="1"/>
  <c r="P155"/>
  <c r="Q155"/>
  <c r="S155" s="1"/>
  <c r="P156"/>
  <c r="Q156"/>
  <c r="S156" s="1"/>
  <c r="P157"/>
  <c r="Q157"/>
  <c r="S157" s="1"/>
  <c r="P158"/>
  <c r="Q158"/>
  <c r="S158" s="1"/>
  <c r="P159"/>
  <c r="Q159"/>
  <c r="S159" s="1"/>
  <c r="P160"/>
  <c r="Q160"/>
  <c r="S160" s="1"/>
  <c r="P161"/>
  <c r="Q161"/>
  <c r="S161" s="1"/>
  <c r="P162"/>
  <c r="Q162"/>
  <c r="S162" s="1"/>
  <c r="P163"/>
  <c r="Q163"/>
  <c r="S163" s="1"/>
  <c r="P164"/>
  <c r="Q164"/>
  <c r="S164" s="1"/>
  <c r="P165"/>
  <c r="Q165"/>
  <c r="S165" s="1"/>
  <c r="P166"/>
  <c r="Q166"/>
  <c r="S166" s="1"/>
  <c r="P167"/>
  <c r="Q167"/>
  <c r="S167" s="1"/>
  <c r="P168"/>
  <c r="Q168"/>
  <c r="S168" s="1"/>
  <c r="P169"/>
  <c r="Q169"/>
  <c r="S169" s="1"/>
  <c r="P170"/>
  <c r="Q170"/>
  <c r="S170" s="1"/>
  <c r="P171"/>
  <c r="Q171"/>
  <c r="S171" s="1"/>
  <c r="P172"/>
  <c r="Q172"/>
  <c r="S172" s="1"/>
  <c r="P173"/>
  <c r="Q173"/>
  <c r="S173" s="1"/>
  <c r="P174"/>
  <c r="Q174"/>
  <c r="S174" s="1"/>
  <c r="P175"/>
  <c r="Q175"/>
  <c r="S175" s="1"/>
  <c r="P176"/>
  <c r="Q176"/>
  <c r="S176" s="1"/>
  <c r="P177"/>
  <c r="Q177"/>
  <c r="S177" s="1"/>
  <c r="P178"/>
  <c r="Q178"/>
  <c r="S178" s="1"/>
  <c r="P179"/>
  <c r="Q179"/>
  <c r="S179" s="1"/>
  <c r="P180"/>
  <c r="Q180"/>
  <c r="S180" s="1"/>
  <c r="P181"/>
  <c r="Q181"/>
  <c r="S181" s="1"/>
  <c r="P182"/>
  <c r="Q182"/>
  <c r="S182" s="1"/>
  <c r="P183"/>
  <c r="Q183"/>
  <c r="S183" s="1"/>
  <c r="P184"/>
  <c r="Q184"/>
  <c r="S184" s="1"/>
  <c r="P185"/>
  <c r="Q185"/>
  <c r="S185" s="1"/>
  <c r="P186"/>
  <c r="Q186"/>
  <c r="S186" s="1"/>
  <c r="P187"/>
  <c r="Q187"/>
  <c r="S187" s="1"/>
  <c r="P188"/>
  <c r="Q188"/>
  <c r="S188" s="1"/>
  <c r="P189"/>
  <c r="Q189"/>
  <c r="S189" s="1"/>
  <c r="P190"/>
  <c r="Q190"/>
  <c r="S190" s="1"/>
  <c r="P191"/>
  <c r="Q191"/>
  <c r="S191" s="1"/>
  <c r="P192"/>
  <c r="Q192"/>
  <c r="S192" s="1"/>
  <c r="P193"/>
  <c r="Q193"/>
  <c r="S193" s="1"/>
  <c r="P194"/>
  <c r="Q194"/>
  <c r="S194" s="1"/>
  <c r="P195"/>
  <c r="Q195"/>
  <c r="S195" s="1"/>
  <c r="P196"/>
  <c r="Q196"/>
  <c r="S196" s="1"/>
  <c r="P197"/>
  <c r="Q197"/>
  <c r="S197" s="1"/>
  <c r="P198"/>
  <c r="Q198"/>
  <c r="S198" s="1"/>
  <c r="P199"/>
  <c r="Q199"/>
  <c r="S199" s="1"/>
  <c r="P200"/>
  <c r="Q200"/>
  <c r="S200" s="1"/>
  <c r="P201"/>
  <c r="Q201"/>
  <c r="S201" s="1"/>
  <c r="P202"/>
  <c r="Q202"/>
  <c r="S202" s="1"/>
  <c r="P203"/>
  <c r="Q203"/>
  <c r="S203" s="1"/>
  <c r="P204"/>
  <c r="Q204"/>
  <c r="S204" s="1"/>
  <c r="P205"/>
  <c r="Q205"/>
  <c r="S205" s="1"/>
  <c r="P206"/>
  <c r="Q206"/>
  <c r="S206" s="1"/>
  <c r="P207"/>
  <c r="Q207"/>
  <c r="S207" s="1"/>
  <c r="P208"/>
  <c r="Q208"/>
  <c r="S208" s="1"/>
  <c r="P209"/>
  <c r="Q209"/>
  <c r="S209" s="1"/>
  <c r="P210"/>
  <c r="Q210"/>
  <c r="S210" s="1"/>
  <c r="P211"/>
  <c r="Q211"/>
  <c r="S211" s="1"/>
  <c r="P212"/>
  <c r="Q212"/>
  <c r="S212" s="1"/>
  <c r="P213"/>
  <c r="Q213"/>
  <c r="S213" s="1"/>
  <c r="P214"/>
  <c r="Q214"/>
  <c r="S214" s="1"/>
  <c r="P215"/>
  <c r="Q215"/>
  <c r="S215" s="1"/>
  <c r="P216"/>
  <c r="Q216"/>
  <c r="S216" s="1"/>
  <c r="P217"/>
  <c r="Q217"/>
  <c r="S217" s="1"/>
  <c r="P218"/>
  <c r="Q218"/>
  <c r="S218" s="1"/>
  <c r="P219"/>
  <c r="Q219"/>
  <c r="S219" s="1"/>
  <c r="P220"/>
  <c r="Q220"/>
  <c r="S220" s="1"/>
  <c r="P221"/>
  <c r="Q221"/>
  <c r="S221" s="1"/>
  <c r="P222"/>
  <c r="Q222"/>
  <c r="S222" s="1"/>
  <c r="P223"/>
  <c r="Q223"/>
  <c r="S223" s="1"/>
  <c r="P224"/>
  <c r="Q224"/>
  <c r="S224" s="1"/>
  <c r="P225"/>
  <c r="Q225"/>
  <c r="S225" s="1"/>
  <c r="P226"/>
  <c r="Q226"/>
  <c r="S226" s="1"/>
  <c r="P227"/>
  <c r="Q227"/>
  <c r="S227" s="1"/>
  <c r="P228"/>
  <c r="Q228"/>
  <c r="S228" s="1"/>
  <c r="P229"/>
  <c r="Q229"/>
  <c r="S229" s="1"/>
  <c r="P230"/>
  <c r="Q230"/>
  <c r="S230" s="1"/>
  <c r="P231"/>
  <c r="Q231"/>
  <c r="S231" s="1"/>
  <c r="P232"/>
  <c r="Q232"/>
  <c r="S232" s="1"/>
  <c r="P233"/>
  <c r="Q233"/>
  <c r="S233" s="1"/>
  <c r="P234"/>
  <c r="Q234"/>
  <c r="S234" s="1"/>
  <c r="P235"/>
  <c r="Q235"/>
  <c r="S235" s="1"/>
  <c r="P236"/>
  <c r="Q236"/>
  <c r="S236" s="1"/>
  <c r="P237"/>
  <c r="Q237"/>
  <c r="S237" s="1"/>
  <c r="P238"/>
  <c r="Q238"/>
  <c r="S238" s="1"/>
  <c r="P239"/>
  <c r="Q239"/>
  <c r="S239" s="1"/>
  <c r="P240"/>
  <c r="Q240"/>
  <c r="S240" s="1"/>
  <c r="P241"/>
  <c r="Q241"/>
  <c r="S241" s="1"/>
  <c r="P242"/>
  <c r="Q242"/>
  <c r="S242" s="1"/>
  <c r="P243"/>
  <c r="Q243"/>
  <c r="S243" s="1"/>
  <c r="P244"/>
  <c r="Q244"/>
  <c r="S244" s="1"/>
  <c r="P245"/>
  <c r="Q245"/>
  <c r="S245" s="1"/>
  <c r="P246"/>
  <c r="Q246"/>
  <c r="S246" s="1"/>
  <c r="P247"/>
  <c r="Q247"/>
  <c r="S247" s="1"/>
  <c r="P248"/>
  <c r="Q248"/>
  <c r="S248" s="1"/>
  <c r="P249"/>
  <c r="Q249"/>
  <c r="S249" s="1"/>
  <c r="P250"/>
  <c r="Q250"/>
  <c r="S250" s="1"/>
  <c r="P251"/>
  <c r="Q251"/>
  <c r="S251" s="1"/>
  <c r="P252"/>
  <c r="Q252"/>
  <c r="S252" s="1"/>
  <c r="P253"/>
  <c r="Q253"/>
  <c r="S253" s="1"/>
  <c r="P254"/>
  <c r="Q254"/>
  <c r="S254" s="1"/>
  <c r="P255"/>
  <c r="Q255"/>
  <c r="S255" s="1"/>
  <c r="P256"/>
  <c r="Q256"/>
  <c r="S256" s="1"/>
  <c r="P257"/>
  <c r="Q257"/>
  <c r="S257" s="1"/>
  <c r="P258"/>
  <c r="Q258"/>
  <c r="S258" s="1"/>
  <c r="P259"/>
  <c r="Q259"/>
  <c r="S259" s="1"/>
  <c r="P260"/>
  <c r="Q260"/>
  <c r="S260" s="1"/>
  <c r="P261"/>
  <c r="Q261"/>
  <c r="S261" s="1"/>
  <c r="P262"/>
  <c r="Q262"/>
  <c r="S262" s="1"/>
  <c r="P263"/>
  <c r="Q263"/>
  <c r="S263" s="1"/>
  <c r="P264"/>
  <c r="Q264"/>
  <c r="S264" s="1"/>
  <c r="P265"/>
  <c r="Q265"/>
  <c r="S265" s="1"/>
  <c r="P266"/>
  <c r="Q266"/>
  <c r="S266" s="1"/>
  <c r="P267"/>
  <c r="Q267"/>
  <c r="S267" s="1"/>
  <c r="P268"/>
  <c r="Q268"/>
  <c r="S268" s="1"/>
  <c r="P269"/>
  <c r="Q269"/>
  <c r="S269" s="1"/>
  <c r="P270"/>
  <c r="Q270"/>
  <c r="S270" s="1"/>
  <c r="P271"/>
  <c r="Q271"/>
  <c r="S271" s="1"/>
  <c r="P272"/>
  <c r="Q272"/>
  <c r="S272" s="1"/>
  <c r="P273"/>
  <c r="Q273"/>
  <c r="S273" s="1"/>
  <c r="P274"/>
  <c r="Q274"/>
  <c r="S274" s="1"/>
  <c r="P275"/>
  <c r="Q275"/>
  <c r="S275" s="1"/>
  <c r="P276"/>
  <c r="Q276"/>
  <c r="S276" s="1"/>
  <c r="P277"/>
  <c r="Q277"/>
  <c r="S277" s="1"/>
  <c r="P278"/>
  <c r="Q278"/>
  <c r="S278" s="1"/>
  <c r="P279"/>
  <c r="Q279"/>
  <c r="S279" s="1"/>
  <c r="P280"/>
  <c r="Q280"/>
  <c r="S280" s="1"/>
  <c r="P281"/>
  <c r="Q281"/>
  <c r="S281" s="1"/>
  <c r="P282"/>
  <c r="Q282"/>
  <c r="S282" s="1"/>
  <c r="P283"/>
  <c r="Q283"/>
  <c r="S283" s="1"/>
  <c r="P284"/>
  <c r="Q284"/>
  <c r="S284" s="1"/>
  <c r="P285"/>
  <c r="Q285"/>
  <c r="S285" s="1"/>
  <c r="P286"/>
  <c r="Q286"/>
  <c r="S286" s="1"/>
  <c r="P287"/>
  <c r="Q287"/>
  <c r="S287" s="1"/>
  <c r="P288"/>
  <c r="Q288"/>
  <c r="S288" s="1"/>
  <c r="P289"/>
  <c r="Q289"/>
  <c r="S289" s="1"/>
  <c r="P290"/>
  <c r="Q290"/>
  <c r="S290" s="1"/>
  <c r="P291"/>
  <c r="Q291"/>
  <c r="S291" s="1"/>
  <c r="P292"/>
  <c r="Q292"/>
  <c r="S292" s="1"/>
  <c r="P293"/>
  <c r="Q293"/>
  <c r="S293" s="1"/>
  <c r="P294"/>
  <c r="Q294"/>
  <c r="S294" s="1"/>
  <c r="P295"/>
  <c r="Q295"/>
  <c r="S295" s="1"/>
  <c r="P296"/>
  <c r="Q296"/>
  <c r="S296" s="1"/>
  <c r="P297"/>
  <c r="Q297"/>
  <c r="S297" s="1"/>
  <c r="P298"/>
  <c r="Q298"/>
  <c r="S298" s="1"/>
  <c r="P299"/>
  <c r="Q299"/>
  <c r="S299" s="1"/>
  <c r="P300"/>
  <c r="Q300"/>
  <c r="S300" s="1"/>
  <c r="P301"/>
  <c r="Q301"/>
  <c r="S301" s="1"/>
  <c r="P302"/>
  <c r="Q302"/>
  <c r="S302" s="1"/>
  <c r="P303"/>
  <c r="Q303"/>
  <c r="S303" s="1"/>
  <c r="P304"/>
  <c r="Q304"/>
  <c r="S304" s="1"/>
  <c r="P305"/>
  <c r="Q305"/>
  <c r="S305" s="1"/>
  <c r="P306"/>
  <c r="Q306"/>
  <c r="S306" s="1"/>
  <c r="P307"/>
  <c r="Q307"/>
  <c r="S307" s="1"/>
  <c r="P308"/>
  <c r="Q308"/>
  <c r="S308" s="1"/>
  <c r="P309"/>
  <c r="Q309"/>
  <c r="S309" s="1"/>
  <c r="P310"/>
  <c r="Q310"/>
  <c r="S310" s="1"/>
  <c r="P311"/>
  <c r="Q311"/>
  <c r="S311" s="1"/>
  <c r="P312"/>
  <c r="Q312"/>
  <c r="S312" s="1"/>
  <c r="P313"/>
  <c r="Q313"/>
  <c r="S313" s="1"/>
  <c r="P314"/>
  <c r="Q314"/>
  <c r="S314" s="1"/>
  <c r="P315"/>
  <c r="Q315"/>
  <c r="S315" s="1"/>
  <c r="P316"/>
  <c r="Q316"/>
  <c r="S316" s="1"/>
  <c r="P317"/>
  <c r="Q317"/>
  <c r="S317" s="1"/>
  <c r="P318"/>
  <c r="Q318"/>
  <c r="S318" s="1"/>
  <c r="P319"/>
  <c r="Q319"/>
  <c r="S319" s="1"/>
  <c r="P320"/>
  <c r="Q320"/>
  <c r="S320" s="1"/>
  <c r="P321"/>
  <c r="Q321"/>
  <c r="S321" s="1"/>
  <c r="P322"/>
  <c r="Q322"/>
  <c r="S322" s="1"/>
  <c r="P323"/>
  <c r="Q323"/>
  <c r="S323" s="1"/>
  <c r="P324"/>
  <c r="Q324"/>
  <c r="S324" s="1"/>
  <c r="P325"/>
  <c r="Q325"/>
  <c r="S325" s="1"/>
  <c r="P326"/>
  <c r="Q326"/>
  <c r="S326" s="1"/>
  <c r="P327"/>
  <c r="Q327"/>
  <c r="S327" s="1"/>
  <c r="P328"/>
  <c r="Q328"/>
  <c r="S328" s="1"/>
  <c r="P329"/>
  <c r="Q329"/>
  <c r="S329" s="1"/>
  <c r="P330"/>
  <c r="Q330"/>
  <c r="S330" s="1"/>
  <c r="P331"/>
  <c r="Q331"/>
  <c r="S331" s="1"/>
  <c r="P332"/>
  <c r="Q332"/>
  <c r="S332" s="1"/>
  <c r="P333"/>
  <c r="Q333"/>
  <c r="S333" s="1"/>
  <c r="P334"/>
  <c r="Q334"/>
  <c r="S334" s="1"/>
  <c r="P335"/>
  <c r="Q335"/>
  <c r="S335" s="1"/>
  <c r="P336"/>
  <c r="Q336"/>
  <c r="S336" s="1"/>
  <c r="P337"/>
  <c r="Q337"/>
  <c r="S337" s="1"/>
  <c r="P338"/>
  <c r="Q338"/>
  <c r="S338" s="1"/>
  <c r="P339"/>
  <c r="Q339"/>
  <c r="S339" s="1"/>
  <c r="P340"/>
  <c r="Q340"/>
  <c r="S340" s="1"/>
  <c r="P341"/>
  <c r="Q341"/>
  <c r="S341" s="1"/>
  <c r="P342"/>
  <c r="Q342"/>
  <c r="S342" s="1"/>
  <c r="P343"/>
  <c r="Q343"/>
  <c r="S343" s="1"/>
  <c r="P344"/>
  <c r="Q344"/>
  <c r="S344" s="1"/>
  <c r="P345"/>
  <c r="Q345"/>
  <c r="S345" s="1"/>
  <c r="P346"/>
  <c r="Q346"/>
  <c r="S346" s="1"/>
  <c r="P347"/>
  <c r="Q347"/>
  <c r="S347" s="1"/>
  <c r="P348"/>
  <c r="Q348"/>
  <c r="S348" s="1"/>
  <c r="P349"/>
  <c r="Q349"/>
  <c r="S349" s="1"/>
  <c r="P350"/>
  <c r="Q350"/>
  <c r="S350" s="1"/>
  <c r="P351"/>
  <c r="Q351"/>
  <c r="S351" s="1"/>
  <c r="P352"/>
  <c r="Q352"/>
  <c r="S352" s="1"/>
  <c r="P353"/>
  <c r="Q353"/>
  <c r="S353" s="1"/>
  <c r="P354"/>
  <c r="Q354"/>
  <c r="S354" s="1"/>
  <c r="P355"/>
  <c r="Q355"/>
  <c r="S355" s="1"/>
  <c r="P356"/>
  <c r="Q356"/>
  <c r="S356" s="1"/>
  <c r="P357"/>
  <c r="Q357"/>
  <c r="S357" s="1"/>
  <c r="P358"/>
  <c r="Q358"/>
  <c r="S358" s="1"/>
  <c r="P359"/>
  <c r="Q359"/>
  <c r="S359" s="1"/>
  <c r="P360"/>
  <c r="Q360"/>
  <c r="S360" s="1"/>
  <c r="P361"/>
  <c r="Q361"/>
  <c r="S361" s="1"/>
  <c r="P362"/>
  <c r="Q362"/>
  <c r="S362" s="1"/>
  <c r="P363"/>
  <c r="Q363"/>
  <c r="S363" s="1"/>
  <c r="P364"/>
  <c r="Q364"/>
  <c r="S364" s="1"/>
  <c r="P365"/>
  <c r="Q365"/>
  <c r="S365" s="1"/>
  <c r="P366"/>
  <c r="Q366"/>
  <c r="S366" s="1"/>
  <c r="P367"/>
  <c r="Q367"/>
  <c r="S367" s="1"/>
  <c r="P368"/>
  <c r="Q368"/>
  <c r="S368" s="1"/>
  <c r="P369"/>
  <c r="Q369"/>
  <c r="S369" s="1"/>
  <c r="P370"/>
  <c r="Q370"/>
  <c r="S370" s="1"/>
  <c r="P371"/>
  <c r="Q371"/>
  <c r="S371" s="1"/>
  <c r="P372"/>
  <c r="Q372"/>
  <c r="S372" s="1"/>
  <c r="P373"/>
  <c r="Q373"/>
  <c r="S373" s="1"/>
  <c r="P374"/>
  <c r="Q374"/>
  <c r="S374" s="1"/>
  <c r="P375"/>
  <c r="Q375"/>
  <c r="S375" s="1"/>
  <c r="P376"/>
  <c r="Q376"/>
  <c r="S376" s="1"/>
  <c r="P377"/>
  <c r="Q377"/>
  <c r="S377" s="1"/>
  <c r="P378"/>
  <c r="Q378"/>
  <c r="S378" s="1"/>
  <c r="P379"/>
  <c r="Q379"/>
  <c r="S379" s="1"/>
  <c r="P380"/>
  <c r="Q380"/>
  <c r="S380" s="1"/>
  <c r="P381"/>
  <c r="Q381"/>
  <c r="S381" s="1"/>
  <c r="P382"/>
  <c r="Q382"/>
  <c r="S382" s="1"/>
  <c r="P383"/>
  <c r="Q383"/>
  <c r="S383" s="1"/>
  <c r="P384"/>
  <c r="Q384"/>
  <c r="S384" s="1"/>
  <c r="P385"/>
  <c r="Q385"/>
  <c r="S385" s="1"/>
  <c r="P386"/>
  <c r="Q386"/>
  <c r="S386" s="1"/>
  <c r="P387"/>
  <c r="Q387"/>
  <c r="S387" s="1"/>
  <c r="P388"/>
  <c r="Q388"/>
  <c r="S388" s="1"/>
  <c r="P389"/>
  <c r="Q389"/>
  <c r="S389" s="1"/>
  <c r="P390"/>
  <c r="Q390"/>
  <c r="S390" s="1"/>
  <c r="P391"/>
  <c r="Q391"/>
  <c r="S391" s="1"/>
  <c r="P392"/>
  <c r="Q392"/>
  <c r="S392" s="1"/>
  <c r="P393"/>
  <c r="Q393"/>
  <c r="S393" s="1"/>
  <c r="P394"/>
  <c r="Q394"/>
  <c r="S394" s="1"/>
  <c r="P395"/>
  <c r="Q395"/>
  <c r="S395" s="1"/>
  <c r="P396"/>
  <c r="Q396"/>
  <c r="S396" s="1"/>
  <c r="P397"/>
  <c r="Q397"/>
  <c r="S397" s="1"/>
  <c r="P398"/>
  <c r="Q398"/>
  <c r="S398" s="1"/>
  <c r="P399"/>
  <c r="Q399"/>
  <c r="S399" s="1"/>
  <c r="P400"/>
  <c r="Q400"/>
  <c r="S400" s="1"/>
  <c r="P401"/>
  <c r="Q401"/>
  <c r="S401" s="1"/>
  <c r="P402"/>
  <c r="Q402"/>
  <c r="S402" s="1"/>
  <c r="P403"/>
  <c r="Q403"/>
  <c r="S403" s="1"/>
  <c r="P404"/>
  <c r="Q404"/>
  <c r="S404" s="1"/>
  <c r="P405"/>
  <c r="Q405"/>
  <c r="S405" s="1"/>
  <c r="P406"/>
  <c r="Q406"/>
  <c r="S406" s="1"/>
  <c r="P407"/>
  <c r="Q407"/>
  <c r="S407" s="1"/>
  <c r="P408"/>
  <c r="Q408"/>
  <c r="S408" s="1"/>
  <c r="P409"/>
  <c r="Q409"/>
  <c r="S409" s="1"/>
  <c r="P410"/>
  <c r="Q410"/>
  <c r="S410" s="1"/>
  <c r="P411"/>
  <c r="Q411"/>
  <c r="S411" s="1"/>
  <c r="P412"/>
  <c r="Q412"/>
  <c r="S412" s="1"/>
  <c r="P413"/>
  <c r="Q413"/>
  <c r="S413" s="1"/>
  <c r="P414"/>
  <c r="Q414"/>
  <c r="S414" s="1"/>
  <c r="P415"/>
  <c r="Q415"/>
  <c r="S415" s="1"/>
  <c r="P416"/>
  <c r="Q416"/>
  <c r="S416" s="1"/>
  <c r="P417"/>
  <c r="Q417"/>
  <c r="S417" s="1"/>
  <c r="P418"/>
  <c r="Q418"/>
  <c r="S418" s="1"/>
  <c r="P419"/>
  <c r="Q419"/>
  <c r="S419" s="1"/>
  <c r="P420"/>
  <c r="Q420"/>
  <c r="S420" s="1"/>
  <c r="P421"/>
  <c r="Q421"/>
  <c r="S421" s="1"/>
  <c r="P422"/>
  <c r="Q422"/>
  <c r="S422" s="1"/>
  <c r="P423"/>
  <c r="Q423"/>
  <c r="S423" s="1"/>
  <c r="P424"/>
  <c r="Q424"/>
  <c r="S424" s="1"/>
  <c r="P425"/>
  <c r="Q425"/>
  <c r="S425" s="1"/>
  <c r="P426"/>
  <c r="Q426"/>
  <c r="S426" s="1"/>
  <c r="P427"/>
  <c r="Q427"/>
  <c r="S427" s="1"/>
  <c r="P428"/>
  <c r="Q428"/>
  <c r="S428" s="1"/>
  <c r="P429"/>
  <c r="Q429"/>
  <c r="S429" s="1"/>
  <c r="P430"/>
  <c r="Q430"/>
  <c r="S430" s="1"/>
  <c r="P431"/>
  <c r="Q431"/>
  <c r="S431" s="1"/>
  <c r="P432"/>
  <c r="Q432"/>
  <c r="S432" s="1"/>
  <c r="P433"/>
  <c r="Q433"/>
  <c r="S433" s="1"/>
  <c r="P434"/>
  <c r="Q434"/>
  <c r="S434" s="1"/>
  <c r="P435"/>
  <c r="Q435"/>
  <c r="S435" s="1"/>
  <c r="P436"/>
  <c r="Q436"/>
  <c r="S436" s="1"/>
  <c r="P437"/>
  <c r="Q437"/>
  <c r="S437" s="1"/>
  <c r="P438"/>
  <c r="Q438"/>
  <c r="S438" s="1"/>
  <c r="P439"/>
  <c r="Q439"/>
  <c r="S439" s="1"/>
  <c r="P440"/>
  <c r="Q440"/>
  <c r="S440" s="1"/>
  <c r="P441"/>
  <c r="Q441"/>
  <c r="S441" s="1"/>
  <c r="P442"/>
  <c r="Q442"/>
  <c r="S442" s="1"/>
  <c r="P443"/>
  <c r="Q443"/>
  <c r="S443" s="1"/>
  <c r="P444"/>
  <c r="Q444"/>
  <c r="S444" s="1"/>
  <c r="P445"/>
  <c r="Q445"/>
  <c r="S445" s="1"/>
  <c r="P446"/>
  <c r="Q446"/>
  <c r="S446" s="1"/>
  <c r="P447"/>
  <c r="Q447"/>
  <c r="S447" s="1"/>
  <c r="P448"/>
  <c r="Q448"/>
  <c r="S448" s="1"/>
  <c r="P449"/>
  <c r="Q449"/>
  <c r="S449" s="1"/>
  <c r="P450"/>
  <c r="Q450"/>
  <c r="S450" s="1"/>
  <c r="P451"/>
  <c r="Q451"/>
  <c r="S451" s="1"/>
  <c r="P452"/>
  <c r="Q452"/>
  <c r="S452" s="1"/>
  <c r="P453"/>
  <c r="Q453"/>
  <c r="S453" s="1"/>
  <c r="P454"/>
  <c r="Q454"/>
  <c r="S454" s="1"/>
  <c r="P455"/>
  <c r="Q455"/>
  <c r="S455" s="1"/>
  <c r="P456"/>
  <c r="Q456"/>
  <c r="S456" s="1"/>
  <c r="P457"/>
  <c r="Q457"/>
  <c r="S457" s="1"/>
  <c r="P458"/>
  <c r="Q458"/>
  <c r="S458" s="1"/>
  <c r="P459"/>
  <c r="Q459"/>
  <c r="S459" s="1"/>
  <c r="P460"/>
  <c r="Q460"/>
  <c r="S460" s="1"/>
  <c r="P461"/>
  <c r="Q461"/>
  <c r="S461" s="1"/>
  <c r="P462"/>
  <c r="Q462"/>
  <c r="S462" s="1"/>
  <c r="P463"/>
  <c r="Q463"/>
  <c r="S463" s="1"/>
  <c r="P464"/>
  <c r="Q464"/>
  <c r="S464" s="1"/>
  <c r="P465"/>
  <c r="Q465"/>
  <c r="S465" s="1"/>
  <c r="P466"/>
  <c r="Q466"/>
  <c r="S466" s="1"/>
  <c r="P467"/>
  <c r="Q467"/>
  <c r="S467" s="1"/>
  <c r="P468"/>
  <c r="Q468"/>
  <c r="S468" s="1"/>
  <c r="P469"/>
  <c r="Q469"/>
  <c r="S469" s="1"/>
  <c r="P470"/>
  <c r="Q470"/>
  <c r="S470" s="1"/>
  <c r="P471"/>
  <c r="Q471"/>
  <c r="S471" s="1"/>
  <c r="P472"/>
  <c r="Q472"/>
  <c r="S472" s="1"/>
  <c r="P473"/>
  <c r="Q473"/>
  <c r="S473" s="1"/>
  <c r="P474"/>
  <c r="Q474"/>
  <c r="S474" s="1"/>
  <c r="P475"/>
  <c r="Q475"/>
  <c r="S475" s="1"/>
  <c r="P476"/>
  <c r="Q476"/>
  <c r="S476" s="1"/>
  <c r="P477"/>
  <c r="Q477"/>
  <c r="S477" s="1"/>
  <c r="P478"/>
  <c r="Q478"/>
  <c r="S478" s="1"/>
  <c r="P479"/>
  <c r="Q479"/>
  <c r="S479" s="1"/>
  <c r="P480"/>
  <c r="Q480"/>
  <c r="S480" s="1"/>
  <c r="P481"/>
  <c r="Q481"/>
  <c r="P482"/>
  <c r="Q482"/>
  <c r="S482" s="1"/>
  <c r="P483"/>
  <c r="Q483"/>
  <c r="S483" s="1"/>
  <c r="P484"/>
  <c r="Q484"/>
  <c r="S484" s="1"/>
  <c r="P485"/>
  <c r="Q485"/>
  <c r="S485" s="1"/>
  <c r="P486"/>
  <c r="Q486"/>
  <c r="S486" s="1"/>
  <c r="P487"/>
  <c r="Q487"/>
  <c r="S487" s="1"/>
  <c r="P488"/>
  <c r="Q488"/>
  <c r="S488" s="1"/>
  <c r="P489"/>
  <c r="Q489"/>
  <c r="S489" s="1"/>
  <c r="P490"/>
  <c r="Q490"/>
  <c r="S490" s="1"/>
  <c r="P491"/>
  <c r="Q491"/>
  <c r="S491" s="1"/>
  <c r="P492"/>
  <c r="Q492"/>
  <c r="S492" s="1"/>
  <c r="P493"/>
  <c r="Q493"/>
  <c r="S493" s="1"/>
  <c r="P494"/>
  <c r="Q494"/>
  <c r="S494" s="1"/>
  <c r="P495"/>
  <c r="Q495"/>
  <c r="S495" s="1"/>
  <c r="P496"/>
  <c r="Q496"/>
  <c r="S496" s="1"/>
  <c r="P497"/>
  <c r="Q497"/>
  <c r="S497" s="1"/>
  <c r="P498"/>
  <c r="Q498"/>
  <c r="S498" s="1"/>
  <c r="P499"/>
  <c r="Q499"/>
  <c r="S499" s="1"/>
  <c r="P500"/>
  <c r="Q500"/>
  <c r="S500" s="1"/>
  <c r="P501"/>
  <c r="Q501"/>
  <c r="S501" s="1"/>
  <c r="P502"/>
  <c r="Q502"/>
  <c r="S502" s="1"/>
  <c r="P503"/>
  <c r="Q503"/>
  <c r="S503" s="1"/>
  <c r="P504"/>
  <c r="Q504"/>
  <c r="S504" s="1"/>
  <c r="P505"/>
  <c r="Q505"/>
  <c r="S505" s="1"/>
  <c r="P506"/>
  <c r="Q506"/>
  <c r="S506" s="1"/>
  <c r="P507"/>
  <c r="Q507"/>
  <c r="S507" s="1"/>
  <c r="P508"/>
  <c r="Q508"/>
  <c r="S508" s="1"/>
  <c r="P509"/>
  <c r="Q509"/>
  <c r="S509" s="1"/>
  <c r="P510"/>
  <c r="Q510"/>
  <c r="S510" s="1"/>
  <c r="P511"/>
  <c r="Q511"/>
  <c r="S511" s="1"/>
  <c r="P512"/>
  <c r="Q512"/>
  <c r="S512" s="1"/>
  <c r="P513"/>
  <c r="Q513"/>
  <c r="S513" s="1"/>
  <c r="P514"/>
  <c r="Q514"/>
  <c r="S514" s="1"/>
  <c r="P515"/>
  <c r="Q515"/>
  <c r="S515" s="1"/>
  <c r="P516"/>
  <c r="Q516"/>
  <c r="S516" s="1"/>
  <c r="P517"/>
  <c r="Q517"/>
  <c r="S517" s="1"/>
  <c r="P518"/>
  <c r="Q518"/>
  <c r="S518" s="1"/>
  <c r="P519"/>
  <c r="Q519"/>
  <c r="S519" s="1"/>
  <c r="P520"/>
  <c r="Q520"/>
  <c r="S520" s="1"/>
  <c r="P521"/>
  <c r="Q521"/>
  <c r="S521" s="1"/>
  <c r="P522"/>
  <c r="Q522"/>
  <c r="S522" s="1"/>
  <c r="P523"/>
  <c r="Q523"/>
  <c r="S523" s="1"/>
  <c r="P524"/>
  <c r="Q524"/>
  <c r="S524" s="1"/>
  <c r="P525"/>
  <c r="Q525"/>
  <c r="S525" s="1"/>
  <c r="P526"/>
  <c r="Q526"/>
  <c r="S526" s="1"/>
  <c r="P527"/>
  <c r="Q527"/>
  <c r="S527" s="1"/>
  <c r="P528"/>
  <c r="Q528"/>
  <c r="S528" s="1"/>
  <c r="P529"/>
  <c r="Q529"/>
  <c r="S529" s="1"/>
  <c r="P530"/>
  <c r="Q530"/>
  <c r="S530" s="1"/>
  <c r="P531"/>
  <c r="Q531"/>
  <c r="S531" s="1"/>
  <c r="P532"/>
  <c r="Q532"/>
  <c r="S532" s="1"/>
  <c r="P533"/>
  <c r="Q533"/>
  <c r="S533" s="1"/>
  <c r="P534"/>
  <c r="Q534"/>
  <c r="S534" s="1"/>
  <c r="P535"/>
  <c r="Q535"/>
  <c r="S535" s="1"/>
  <c r="P536"/>
  <c r="Q536"/>
  <c r="S536" s="1"/>
  <c r="P537"/>
  <c r="Q537"/>
  <c r="S537" s="1"/>
  <c r="P538"/>
  <c r="Q538"/>
  <c r="S538" s="1"/>
  <c r="P539"/>
  <c r="Q539"/>
  <c r="S539" s="1"/>
  <c r="P540"/>
  <c r="Q540"/>
  <c r="S540" s="1"/>
  <c r="P541"/>
  <c r="Q541"/>
  <c r="S541" s="1"/>
  <c r="P542"/>
  <c r="Q542"/>
  <c r="S542" s="1"/>
  <c r="P543"/>
  <c r="Q543"/>
  <c r="S543" s="1"/>
  <c r="P544"/>
  <c r="Q544"/>
  <c r="S544" s="1"/>
  <c r="P545"/>
  <c r="Q545"/>
  <c r="S545" s="1"/>
  <c r="P546"/>
  <c r="Q546"/>
  <c r="S546" s="1"/>
  <c r="P547"/>
  <c r="Q547"/>
  <c r="S547" s="1"/>
  <c r="P548"/>
  <c r="Q548"/>
  <c r="S548" s="1"/>
  <c r="P549"/>
  <c r="Q549"/>
  <c r="S549" s="1"/>
  <c r="P550"/>
  <c r="Q550"/>
  <c r="S550" s="1"/>
  <c r="P551"/>
  <c r="Q551"/>
  <c r="S551" s="1"/>
  <c r="P552"/>
  <c r="Q552"/>
  <c r="S552" s="1"/>
  <c r="P553"/>
  <c r="Q553"/>
  <c r="S553" s="1"/>
  <c r="P554"/>
  <c r="Q554"/>
  <c r="S554" s="1"/>
  <c r="P555"/>
  <c r="Q555"/>
  <c r="S555" s="1"/>
  <c r="P556"/>
  <c r="Q556"/>
  <c r="S556" s="1"/>
  <c r="P557"/>
  <c r="Q557"/>
  <c r="S557" s="1"/>
  <c r="P558"/>
  <c r="Q558"/>
  <c r="S558" s="1"/>
  <c r="P559"/>
  <c r="Q559"/>
  <c r="S559" s="1"/>
  <c r="P560"/>
  <c r="Q560"/>
  <c r="S560" s="1"/>
  <c r="P561"/>
  <c r="Q561"/>
  <c r="S561" s="1"/>
  <c r="P562"/>
  <c r="Q562"/>
  <c r="S562" s="1"/>
  <c r="P563"/>
  <c r="Q563"/>
  <c r="S563" s="1"/>
  <c r="P564"/>
  <c r="Q564"/>
  <c r="S564" s="1"/>
  <c r="P565"/>
  <c r="Q565"/>
  <c r="S565" s="1"/>
  <c r="P566"/>
  <c r="Q566"/>
  <c r="S566" s="1"/>
  <c r="P567"/>
  <c r="Q567"/>
  <c r="S567" s="1"/>
  <c r="P568"/>
  <c r="Q568"/>
  <c r="S568" s="1"/>
  <c r="P569"/>
  <c r="Q569"/>
  <c r="S569" s="1"/>
  <c r="P570"/>
  <c r="Q570"/>
  <c r="S570" s="1"/>
  <c r="P571"/>
  <c r="Q571"/>
  <c r="S571" s="1"/>
  <c r="P572"/>
  <c r="Q572"/>
  <c r="S572" s="1"/>
  <c r="P573"/>
  <c r="Q573"/>
  <c r="S573" s="1"/>
  <c r="P574"/>
  <c r="Q574"/>
  <c r="S574" s="1"/>
  <c r="P575"/>
  <c r="Q575"/>
  <c r="S575" s="1"/>
  <c r="P576"/>
  <c r="Q576"/>
  <c r="S576" s="1"/>
  <c r="P577"/>
  <c r="Q577"/>
  <c r="S577" s="1"/>
  <c r="P578"/>
  <c r="Q578"/>
  <c r="S578" s="1"/>
  <c r="P579"/>
  <c r="Q579"/>
  <c r="S579" s="1"/>
  <c r="P580"/>
  <c r="Q580"/>
  <c r="S580" s="1"/>
  <c r="P581"/>
  <c r="Q581"/>
  <c r="S581" s="1"/>
  <c r="P582"/>
  <c r="Q582"/>
  <c r="S582" s="1"/>
  <c r="P583"/>
  <c r="Q583"/>
  <c r="S583" s="1"/>
  <c r="P584"/>
  <c r="Q584"/>
  <c r="S584" s="1"/>
  <c r="P585"/>
  <c r="Q585"/>
  <c r="P586"/>
  <c r="Q586"/>
  <c r="S586" s="1"/>
  <c r="P587"/>
  <c r="Q587"/>
  <c r="S587" s="1"/>
  <c r="P588"/>
  <c r="Q588"/>
  <c r="S588" s="1"/>
  <c r="P589"/>
  <c r="Q589"/>
  <c r="S589" s="1"/>
  <c r="P590"/>
  <c r="Q590"/>
  <c r="S590" s="1"/>
  <c r="P591"/>
  <c r="Q591"/>
  <c r="S591" s="1"/>
  <c r="P592"/>
  <c r="Q592"/>
  <c r="S592" s="1"/>
  <c r="P593"/>
  <c r="Q593"/>
  <c r="S593" s="1"/>
  <c r="P594"/>
  <c r="Q594"/>
  <c r="S594" s="1"/>
  <c r="P595"/>
  <c r="Q595"/>
  <c r="S595" s="1"/>
  <c r="P596"/>
  <c r="Q596"/>
  <c r="S596" s="1"/>
  <c r="P597"/>
  <c r="Q597"/>
  <c r="S597" s="1"/>
  <c r="P598"/>
  <c r="Q598"/>
  <c r="S598" s="1"/>
  <c r="P599"/>
  <c r="Q599"/>
  <c r="S599" s="1"/>
  <c r="P600"/>
  <c r="Q600"/>
  <c r="S600" s="1"/>
  <c r="P601"/>
  <c r="Q601"/>
  <c r="P602"/>
  <c r="Q602"/>
  <c r="S602" s="1"/>
  <c r="P603"/>
  <c r="Q603"/>
  <c r="S603" s="1"/>
  <c r="P604"/>
  <c r="Q604"/>
  <c r="S604" s="1"/>
  <c r="P605"/>
  <c r="Q605"/>
  <c r="S605" s="1"/>
  <c r="P606"/>
  <c r="Q606"/>
  <c r="S606" s="1"/>
  <c r="P607"/>
  <c r="Q607"/>
  <c r="S607" s="1"/>
  <c r="P608"/>
  <c r="Q608"/>
  <c r="S608" s="1"/>
  <c r="P609"/>
  <c r="Q609"/>
  <c r="S609" s="1"/>
  <c r="P610"/>
  <c r="Q610"/>
  <c r="S610" s="1"/>
  <c r="P611"/>
  <c r="Q611"/>
  <c r="S611" s="1"/>
  <c r="P612"/>
  <c r="Q612"/>
  <c r="S612" s="1"/>
  <c r="P613"/>
  <c r="Q613"/>
  <c r="S613" s="1"/>
  <c r="P614"/>
  <c r="Q614"/>
  <c r="S614" s="1"/>
  <c r="P615"/>
  <c r="Q615"/>
  <c r="S615" s="1"/>
  <c r="P616"/>
  <c r="Q616"/>
  <c r="S616" s="1"/>
  <c r="P617"/>
  <c r="Q617"/>
  <c r="S617" s="1"/>
  <c r="P618"/>
  <c r="Q618"/>
  <c r="S618" s="1"/>
  <c r="P619"/>
  <c r="Q619"/>
  <c r="S619" s="1"/>
  <c r="P620"/>
  <c r="Q620"/>
  <c r="S620" s="1"/>
  <c r="P621"/>
  <c r="Q621"/>
  <c r="S621" s="1"/>
  <c r="P622"/>
  <c r="Q622"/>
  <c r="S622" s="1"/>
  <c r="P623"/>
  <c r="Q623"/>
  <c r="S623" s="1"/>
  <c r="P624"/>
  <c r="Q624"/>
  <c r="S624" s="1"/>
  <c r="P625"/>
  <c r="Q625"/>
  <c r="S625" s="1"/>
  <c r="P626"/>
  <c r="Q626"/>
  <c r="S626" s="1"/>
  <c r="P627"/>
  <c r="Q627"/>
  <c r="S627" s="1"/>
  <c r="P628"/>
  <c r="Q628"/>
  <c r="S628" s="1"/>
  <c r="P629"/>
  <c r="Q629"/>
  <c r="S629" s="1"/>
  <c r="P630"/>
  <c r="Q630"/>
  <c r="S630" s="1"/>
  <c r="P631"/>
  <c r="Q631"/>
  <c r="S631" s="1"/>
  <c r="P632"/>
  <c r="Q632"/>
  <c r="S632" s="1"/>
  <c r="P633"/>
  <c r="Q633"/>
  <c r="S633" s="1"/>
  <c r="P634"/>
  <c r="Q634"/>
  <c r="S634" s="1"/>
  <c r="P635"/>
  <c r="Q635"/>
  <c r="S635" s="1"/>
  <c r="P636"/>
  <c r="Q636"/>
  <c r="S636" s="1"/>
  <c r="P637"/>
  <c r="Q637"/>
  <c r="S637" s="1"/>
  <c r="P638"/>
  <c r="Q638"/>
  <c r="S638" s="1"/>
  <c r="P639"/>
  <c r="Q639"/>
  <c r="S639" s="1"/>
  <c r="P640"/>
  <c r="Q640"/>
  <c r="S640" s="1"/>
  <c r="P641"/>
  <c r="Q641"/>
  <c r="S641" s="1"/>
  <c r="P642"/>
  <c r="Q642"/>
  <c r="S642" s="1"/>
  <c r="P643"/>
  <c r="Q643"/>
  <c r="S643" s="1"/>
  <c r="P644"/>
  <c r="Q644"/>
  <c r="S644" s="1"/>
  <c r="P645"/>
  <c r="Q645"/>
  <c r="S645" s="1"/>
  <c r="P646"/>
  <c r="Q646"/>
  <c r="S646" s="1"/>
  <c r="P647"/>
  <c r="Q647"/>
  <c r="S647" s="1"/>
  <c r="P648"/>
  <c r="Q648"/>
  <c r="S648" s="1"/>
  <c r="P649"/>
  <c r="Q649"/>
  <c r="S649" s="1"/>
  <c r="P650"/>
  <c r="Q650"/>
  <c r="S650" s="1"/>
  <c r="P651"/>
  <c r="Q651"/>
  <c r="S651" s="1"/>
  <c r="P652"/>
  <c r="Q652"/>
  <c r="S652" s="1"/>
  <c r="P653"/>
  <c r="Q653"/>
  <c r="S653" s="1"/>
  <c r="P654"/>
  <c r="Q654"/>
  <c r="S654" s="1"/>
  <c r="P655"/>
  <c r="Q655"/>
  <c r="S655" s="1"/>
  <c r="P656"/>
  <c r="Q656"/>
  <c r="S656" s="1"/>
  <c r="P657"/>
  <c r="Q657"/>
  <c r="S657" s="1"/>
  <c r="P658"/>
  <c r="Q658"/>
  <c r="S658" s="1"/>
  <c r="P659"/>
  <c r="Q659"/>
  <c r="S659" s="1"/>
  <c r="P660"/>
  <c r="Q660"/>
  <c r="S660" s="1"/>
  <c r="P661"/>
  <c r="Q661"/>
  <c r="S661" s="1"/>
  <c r="P662"/>
  <c r="Q662"/>
  <c r="S662" s="1"/>
  <c r="P663"/>
  <c r="Q663"/>
  <c r="S663" s="1"/>
  <c r="P664"/>
  <c r="Q664"/>
  <c r="S664" s="1"/>
  <c r="P665"/>
  <c r="Q665"/>
  <c r="S665" s="1"/>
  <c r="P666"/>
  <c r="Q666"/>
  <c r="S666" s="1"/>
  <c r="P667"/>
  <c r="Q667"/>
  <c r="S667" s="1"/>
  <c r="P668"/>
  <c r="Q668"/>
  <c r="S668" s="1"/>
  <c r="P669"/>
  <c r="Q669"/>
  <c r="S669" s="1"/>
  <c r="P670"/>
  <c r="Q670"/>
  <c r="S670" s="1"/>
  <c r="P671"/>
  <c r="Q671"/>
  <c r="S671" s="1"/>
  <c r="P672"/>
  <c r="Q672"/>
  <c r="S672" s="1"/>
  <c r="P673"/>
  <c r="Q673"/>
  <c r="S673" s="1"/>
  <c r="P674"/>
  <c r="Q674"/>
  <c r="S674" s="1"/>
  <c r="P675"/>
  <c r="Q675"/>
  <c r="S675" s="1"/>
  <c r="P676"/>
  <c r="Q676"/>
  <c r="S676" s="1"/>
  <c r="P677"/>
  <c r="Q677"/>
  <c r="S677" s="1"/>
  <c r="P678"/>
  <c r="Q678"/>
  <c r="S678" s="1"/>
  <c r="P679"/>
  <c r="Q679"/>
  <c r="S679" s="1"/>
  <c r="P680"/>
  <c r="Q680"/>
  <c r="S680" s="1"/>
  <c r="P681"/>
  <c r="Q681"/>
  <c r="S681" s="1"/>
  <c r="P682"/>
  <c r="Q682"/>
  <c r="S682" s="1"/>
  <c r="P683"/>
  <c r="Q683"/>
  <c r="S683" s="1"/>
  <c r="P684"/>
  <c r="Q684"/>
  <c r="S684" s="1"/>
  <c r="P685"/>
  <c r="Q685"/>
  <c r="S685" s="1"/>
  <c r="P686"/>
  <c r="Q686"/>
  <c r="S686" s="1"/>
  <c r="P687"/>
  <c r="Q687"/>
  <c r="S687" s="1"/>
  <c r="P688"/>
  <c r="Q688"/>
  <c r="S688" s="1"/>
  <c r="P689"/>
  <c r="Q689"/>
  <c r="S689" s="1"/>
  <c r="P690"/>
  <c r="Q690"/>
  <c r="S690" s="1"/>
  <c r="P691"/>
  <c r="Q691"/>
  <c r="S691" s="1"/>
  <c r="P692"/>
  <c r="Q692"/>
  <c r="S692" s="1"/>
  <c r="P693"/>
  <c r="Q693"/>
  <c r="S693" s="1"/>
  <c r="P694"/>
  <c r="Q694"/>
  <c r="S694" s="1"/>
  <c r="P695"/>
  <c r="Q695"/>
  <c r="S695" s="1"/>
  <c r="P696"/>
  <c r="Q696"/>
  <c r="S696" s="1"/>
  <c r="P697"/>
  <c r="Q697"/>
  <c r="S697" s="1"/>
  <c r="P698"/>
  <c r="Q698"/>
  <c r="S698" s="1"/>
  <c r="P699"/>
  <c r="Q699"/>
  <c r="S699" s="1"/>
  <c r="P700"/>
  <c r="Q700"/>
  <c r="S700" s="1"/>
  <c r="P701"/>
  <c r="Q701"/>
  <c r="S701" s="1"/>
  <c r="P702"/>
  <c r="Q702"/>
  <c r="S702" s="1"/>
  <c r="P703"/>
  <c r="Q703"/>
  <c r="S703" s="1"/>
  <c r="P704"/>
  <c r="Q704"/>
  <c r="S704" s="1"/>
  <c r="P705"/>
  <c r="Q705"/>
  <c r="S705" s="1"/>
  <c r="P706"/>
  <c r="Q706"/>
  <c r="S706" s="1"/>
  <c r="P707"/>
  <c r="Q707"/>
  <c r="S707" s="1"/>
  <c r="P708"/>
  <c r="Q708"/>
  <c r="S708" s="1"/>
  <c r="P709"/>
  <c r="Q709"/>
  <c r="P710"/>
  <c r="Q710"/>
  <c r="S710" s="1"/>
  <c r="P711"/>
  <c r="Q711"/>
  <c r="S711" s="1"/>
  <c r="P712"/>
  <c r="Q712"/>
  <c r="S712" s="1"/>
  <c r="P713"/>
  <c r="Q713"/>
  <c r="P714"/>
  <c r="Q714"/>
  <c r="S714" s="1"/>
  <c r="P715"/>
  <c r="Q715"/>
  <c r="S715" s="1"/>
  <c r="P716"/>
  <c r="Q716"/>
  <c r="S716" s="1"/>
  <c r="P717"/>
  <c r="Q717"/>
  <c r="S717" s="1"/>
  <c r="P718"/>
  <c r="Q718"/>
  <c r="S718" s="1"/>
  <c r="P719"/>
  <c r="Q719"/>
  <c r="S719" s="1"/>
  <c r="P720"/>
  <c r="Q720"/>
  <c r="S720" s="1"/>
  <c r="P721"/>
  <c r="Q721"/>
  <c r="S721" s="1"/>
  <c r="P722"/>
  <c r="Q722"/>
  <c r="S722" s="1"/>
  <c r="P723"/>
  <c r="Q723"/>
  <c r="S723" s="1"/>
  <c r="P724"/>
  <c r="Q724"/>
  <c r="S724" s="1"/>
  <c r="P725"/>
  <c r="Q725"/>
  <c r="P726"/>
  <c r="Q726"/>
  <c r="S726" s="1"/>
  <c r="P727"/>
  <c r="Q727"/>
  <c r="S727" s="1"/>
  <c r="P728"/>
  <c r="Q728"/>
  <c r="S728" s="1"/>
  <c r="P729"/>
  <c r="Q729"/>
  <c r="S729" s="1"/>
  <c r="P730"/>
  <c r="Q730"/>
  <c r="S730" s="1"/>
  <c r="P731"/>
  <c r="Q731"/>
  <c r="S731" s="1"/>
  <c r="P732"/>
  <c r="Q732"/>
  <c r="S732" s="1"/>
  <c r="P733"/>
  <c r="Q733"/>
  <c r="S733" s="1"/>
  <c r="P734"/>
  <c r="Q734"/>
  <c r="S734" s="1"/>
  <c r="P735"/>
  <c r="Q735"/>
  <c r="S735" s="1"/>
  <c r="P736"/>
  <c r="Q736"/>
  <c r="S736" s="1"/>
  <c r="P737"/>
  <c r="Q737"/>
  <c r="S737" s="1"/>
  <c r="P738"/>
  <c r="Q738"/>
  <c r="S738" s="1"/>
  <c r="P739"/>
  <c r="Q739"/>
  <c r="S739" s="1"/>
  <c r="P740"/>
  <c r="Q740"/>
  <c r="S740" s="1"/>
  <c r="P741"/>
  <c r="Q741"/>
  <c r="P742"/>
  <c r="Q742"/>
  <c r="S742" s="1"/>
  <c r="P743"/>
  <c r="Q743"/>
  <c r="S743" s="1"/>
  <c r="P744"/>
  <c r="Q744"/>
  <c r="S744" s="1"/>
  <c r="P745"/>
  <c r="Q745"/>
  <c r="S745" s="1"/>
  <c r="P746"/>
  <c r="Q746"/>
  <c r="S746" s="1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O137"/>
  <c r="O138"/>
  <c r="O139"/>
  <c r="O140"/>
  <c r="O141"/>
  <c r="O142"/>
  <c r="O143"/>
  <c r="O144"/>
  <c r="O145"/>
  <c r="O146"/>
  <c r="O147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77"/>
  <c r="O178"/>
  <c r="O179"/>
  <c r="O180"/>
  <c r="O181"/>
  <c r="O182"/>
  <c r="O183"/>
  <c r="O184"/>
  <c r="O185"/>
  <c r="O186"/>
  <c r="O187"/>
  <c r="O188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257"/>
  <c r="O258"/>
  <c r="O259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321"/>
  <c r="O322"/>
  <c r="O323"/>
  <c r="O324"/>
  <c r="O325"/>
  <c r="O326"/>
  <c r="O327"/>
  <c r="O328"/>
  <c r="O329"/>
  <c r="O330"/>
  <c r="O331"/>
  <c r="O332"/>
  <c r="O333"/>
  <c r="O334"/>
  <c r="O335"/>
  <c r="O336"/>
  <c r="O337"/>
  <c r="O338"/>
  <c r="O339"/>
  <c r="O340"/>
  <c r="O341"/>
  <c r="O342"/>
  <c r="O343"/>
  <c r="O344"/>
  <c r="O345"/>
  <c r="O346"/>
  <c r="O347"/>
  <c r="O348"/>
  <c r="O349"/>
  <c r="O350"/>
  <c r="O351"/>
  <c r="O352"/>
  <c r="O353"/>
  <c r="O354"/>
  <c r="O355"/>
  <c r="O356"/>
  <c r="O357"/>
  <c r="O358"/>
  <c r="O359"/>
  <c r="O360"/>
  <c r="O361"/>
  <c r="O362"/>
  <c r="O363"/>
  <c r="O364"/>
  <c r="O365"/>
  <c r="O366"/>
  <c r="O367"/>
  <c r="O368"/>
  <c r="O369"/>
  <c r="O370"/>
  <c r="O371"/>
  <c r="O372"/>
  <c r="O373"/>
  <c r="O374"/>
  <c r="O375"/>
  <c r="O376"/>
  <c r="O377"/>
  <c r="O378"/>
  <c r="O379"/>
  <c r="O380"/>
  <c r="O381"/>
  <c r="O382"/>
  <c r="O383"/>
  <c r="O384"/>
  <c r="O385"/>
  <c r="O386"/>
  <c r="O387"/>
  <c r="O388"/>
  <c r="O389"/>
  <c r="O390"/>
  <c r="O391"/>
  <c r="O392"/>
  <c r="O393"/>
  <c r="O394"/>
  <c r="O395"/>
  <c r="O396"/>
  <c r="O397"/>
  <c r="O398"/>
  <c r="O399"/>
  <c r="O400"/>
  <c r="O401"/>
  <c r="O402"/>
  <c r="O403"/>
  <c r="O404"/>
  <c r="O405"/>
  <c r="O406"/>
  <c r="O407"/>
  <c r="O408"/>
  <c r="O409"/>
  <c r="O410"/>
  <c r="O411"/>
  <c r="O412"/>
  <c r="O413"/>
  <c r="O414"/>
  <c r="O415"/>
  <c r="O416"/>
  <c r="O417"/>
  <c r="O418"/>
  <c r="O419"/>
  <c r="O420"/>
  <c r="O421"/>
  <c r="O422"/>
  <c r="O423"/>
  <c r="O424"/>
  <c r="O425"/>
  <c r="O426"/>
  <c r="O427"/>
  <c r="O428"/>
  <c r="O429"/>
  <c r="O430"/>
  <c r="O431"/>
  <c r="O432"/>
  <c r="O433"/>
  <c r="O434"/>
  <c r="O435"/>
  <c r="O436"/>
  <c r="O437"/>
  <c r="O438"/>
  <c r="O439"/>
  <c r="O440"/>
  <c r="O441"/>
  <c r="O442"/>
  <c r="O443"/>
  <c r="O444"/>
  <c r="O445"/>
  <c r="O446"/>
  <c r="O447"/>
  <c r="O448"/>
  <c r="O449"/>
  <c r="O450"/>
  <c r="O451"/>
  <c r="O452"/>
  <c r="O453"/>
  <c r="O454"/>
  <c r="O455"/>
  <c r="O456"/>
  <c r="O457"/>
  <c r="O458"/>
  <c r="O459"/>
  <c r="O460"/>
  <c r="O461"/>
  <c r="O462"/>
  <c r="O463"/>
  <c r="O464"/>
  <c r="O465"/>
  <c r="O466"/>
  <c r="O467"/>
  <c r="O468"/>
  <c r="O469"/>
  <c r="O470"/>
  <c r="O471"/>
  <c r="O472"/>
  <c r="O473"/>
  <c r="O474"/>
  <c r="O475"/>
  <c r="O476"/>
  <c r="O477"/>
  <c r="O478"/>
  <c r="O479"/>
  <c r="O480"/>
  <c r="O481"/>
  <c r="O482"/>
  <c r="O483"/>
  <c r="O484"/>
  <c r="O485"/>
  <c r="O486"/>
  <c r="O487"/>
  <c r="O488"/>
  <c r="O489"/>
  <c r="O490"/>
  <c r="O491"/>
  <c r="O492"/>
  <c r="O493"/>
  <c r="O494"/>
  <c r="O495"/>
  <c r="O496"/>
  <c r="O497"/>
  <c r="O498"/>
  <c r="O499"/>
  <c r="O500"/>
  <c r="O501"/>
  <c r="O502"/>
  <c r="O503"/>
  <c r="O504"/>
  <c r="O505"/>
  <c r="O506"/>
  <c r="O507"/>
  <c r="O508"/>
  <c r="O509"/>
  <c r="O510"/>
  <c r="O511"/>
  <c r="O512"/>
  <c r="O513"/>
  <c r="O514"/>
  <c r="O515"/>
  <c r="O516"/>
  <c r="O517"/>
  <c r="O518"/>
  <c r="O519"/>
  <c r="O520"/>
  <c r="O521"/>
  <c r="O522"/>
  <c r="O523"/>
  <c r="O524"/>
  <c r="O525"/>
  <c r="O526"/>
  <c r="O527"/>
  <c r="O528"/>
  <c r="O529"/>
  <c r="O530"/>
  <c r="O531"/>
  <c r="O532"/>
  <c r="O533"/>
  <c r="O534"/>
  <c r="O535"/>
  <c r="O536"/>
  <c r="O537"/>
  <c r="O538"/>
  <c r="O539"/>
  <c r="O540"/>
  <c r="O541"/>
  <c r="O542"/>
  <c r="O543"/>
  <c r="O544"/>
  <c r="O545"/>
  <c r="O546"/>
  <c r="O547"/>
  <c r="O548"/>
  <c r="O549"/>
  <c r="O550"/>
  <c r="O551"/>
  <c r="O552"/>
  <c r="O553"/>
  <c r="O554"/>
  <c r="O555"/>
  <c r="O556"/>
  <c r="O557"/>
  <c r="O558"/>
  <c r="O559"/>
  <c r="O560"/>
  <c r="O561"/>
  <c r="O562"/>
  <c r="O563"/>
  <c r="O564"/>
  <c r="O565"/>
  <c r="O566"/>
  <c r="O567"/>
  <c r="O568"/>
  <c r="O569"/>
  <c r="O570"/>
  <c r="O571"/>
  <c r="O572"/>
  <c r="O573"/>
  <c r="O574"/>
  <c r="O575"/>
  <c r="O576"/>
  <c r="O577"/>
  <c r="O578"/>
  <c r="O579"/>
  <c r="O580"/>
  <c r="O581"/>
  <c r="O582"/>
  <c r="O583"/>
  <c r="O584"/>
  <c r="O585"/>
  <c r="O586"/>
  <c r="O587"/>
  <c r="O588"/>
  <c r="O589"/>
  <c r="O590"/>
  <c r="O591"/>
  <c r="O592"/>
  <c r="O593"/>
  <c r="O594"/>
  <c r="O595"/>
  <c r="O596"/>
  <c r="O597"/>
  <c r="O598"/>
  <c r="O599"/>
  <c r="O600"/>
  <c r="O601"/>
  <c r="O602"/>
  <c r="O603"/>
  <c r="O604"/>
  <c r="O605"/>
  <c r="O606"/>
  <c r="O607"/>
  <c r="O608"/>
  <c r="O609"/>
  <c r="O610"/>
  <c r="O611"/>
  <c r="O612"/>
  <c r="O613"/>
  <c r="O614"/>
  <c r="O615"/>
  <c r="O616"/>
  <c r="O617"/>
  <c r="O618"/>
  <c r="O619"/>
  <c r="O620"/>
  <c r="O621"/>
  <c r="O622"/>
  <c r="O623"/>
  <c r="O624"/>
  <c r="O625"/>
  <c r="O626"/>
  <c r="O627"/>
  <c r="O628"/>
  <c r="O629"/>
  <c r="O630"/>
  <c r="O631"/>
  <c r="O632"/>
  <c r="O633"/>
  <c r="O634"/>
  <c r="O635"/>
  <c r="O636"/>
  <c r="O637"/>
  <c r="O638"/>
  <c r="O639"/>
  <c r="O640"/>
  <c r="O641"/>
  <c r="O642"/>
  <c r="O643"/>
  <c r="O644"/>
  <c r="O645"/>
  <c r="O646"/>
  <c r="O647"/>
  <c r="O648"/>
  <c r="O649"/>
  <c r="O650"/>
  <c r="O651"/>
  <c r="O652"/>
  <c r="O653"/>
  <c r="O654"/>
  <c r="O655"/>
  <c r="O656"/>
  <c r="O657"/>
  <c r="O658"/>
  <c r="O659"/>
  <c r="O660"/>
  <c r="O661"/>
  <c r="O662"/>
  <c r="O663"/>
  <c r="O664"/>
  <c r="O665"/>
  <c r="O666"/>
  <c r="O667"/>
  <c r="O668"/>
  <c r="O669"/>
  <c r="O670"/>
  <c r="O671"/>
  <c r="O672"/>
  <c r="O673"/>
  <c r="O674"/>
  <c r="O675"/>
  <c r="O676"/>
  <c r="O677"/>
  <c r="O678"/>
  <c r="O679"/>
  <c r="O680"/>
  <c r="O681"/>
  <c r="O682"/>
  <c r="O683"/>
  <c r="O684"/>
  <c r="O685"/>
  <c r="O686"/>
  <c r="O687"/>
  <c r="O688"/>
  <c r="O689"/>
  <c r="O690"/>
  <c r="O691"/>
  <c r="O692"/>
  <c r="O693"/>
  <c r="O694"/>
  <c r="O695"/>
  <c r="O696"/>
  <c r="O697"/>
  <c r="O698"/>
  <c r="O699"/>
  <c r="O700"/>
  <c r="O701"/>
  <c r="O702"/>
  <c r="O703"/>
  <c r="O704"/>
  <c r="O705"/>
  <c r="O706"/>
  <c r="O707"/>
  <c r="O708"/>
  <c r="O709"/>
  <c r="O710"/>
  <c r="O711"/>
  <c r="O712"/>
  <c r="O713"/>
  <c r="O714"/>
  <c r="O715"/>
  <c r="O716"/>
  <c r="O717"/>
  <c r="O718"/>
  <c r="O719"/>
  <c r="O720"/>
  <c r="O721"/>
  <c r="O722"/>
  <c r="O723"/>
  <c r="O724"/>
  <c r="O725"/>
  <c r="O726"/>
  <c r="O727"/>
  <c r="O728"/>
  <c r="O729"/>
  <c r="O730"/>
  <c r="O731"/>
  <c r="O732"/>
  <c r="O733"/>
  <c r="O734"/>
  <c r="O735"/>
  <c r="O736"/>
  <c r="O737"/>
  <c r="O738"/>
  <c r="O739"/>
  <c r="O740"/>
  <c r="O741"/>
  <c r="O742"/>
  <c r="O743"/>
  <c r="O744"/>
  <c r="O745"/>
  <c r="O746"/>
  <c r="O3"/>
  <c r="M7"/>
  <c r="K749" i="9" l="1"/>
  <c r="S747" i="5"/>
  <c r="B5" i="6"/>
  <c r="B6"/>
  <c r="I4" i="5"/>
  <c r="I5" s="1"/>
  <c r="I6" s="1"/>
  <c r="I7" s="1"/>
  <c r="I8" s="1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I80" s="1"/>
  <c r="I81" s="1"/>
  <c r="I82" s="1"/>
  <c r="I83" s="1"/>
  <c r="I84" s="1"/>
  <c r="I85" s="1"/>
  <c r="I86" s="1"/>
  <c r="I87" s="1"/>
  <c r="I88" s="1"/>
  <c r="I89" s="1"/>
  <c r="I90" s="1"/>
  <c r="I91" s="1"/>
  <c r="I92" s="1"/>
  <c r="I93" s="1"/>
  <c r="I94" s="1"/>
  <c r="I95" s="1"/>
  <c r="I96" s="1"/>
  <c r="I97" s="1"/>
  <c r="I98" s="1"/>
  <c r="I99" s="1"/>
  <c r="I100" s="1"/>
  <c r="I101" s="1"/>
  <c r="I102" s="1"/>
  <c r="I103" s="1"/>
  <c r="I104" s="1"/>
  <c r="I105" s="1"/>
  <c r="I106" s="1"/>
  <c r="I107" s="1"/>
  <c r="I108" s="1"/>
  <c r="I109" s="1"/>
  <c r="I110" s="1"/>
  <c r="I111" s="1"/>
  <c r="I112" s="1"/>
  <c r="I113" s="1"/>
  <c r="I114" s="1"/>
  <c r="I115" s="1"/>
  <c r="I116" s="1"/>
  <c r="I117" s="1"/>
  <c r="I118" s="1"/>
  <c r="I119" s="1"/>
  <c r="I120" s="1"/>
  <c r="I121" s="1"/>
  <c r="I122" s="1"/>
  <c r="I123" s="1"/>
  <c r="I124" s="1"/>
  <c r="I125" s="1"/>
  <c r="I126" s="1"/>
  <c r="I127" s="1"/>
  <c r="I128" s="1"/>
  <c r="I129" s="1"/>
  <c r="I130" s="1"/>
  <c r="I131" s="1"/>
  <c r="I132" s="1"/>
  <c r="I133" s="1"/>
  <c r="I134" s="1"/>
  <c r="I135" s="1"/>
  <c r="I136" s="1"/>
  <c r="I137" s="1"/>
  <c r="I138" s="1"/>
  <c r="I139" s="1"/>
  <c r="I140" s="1"/>
  <c r="I141" s="1"/>
  <c r="I142" s="1"/>
  <c r="I143" s="1"/>
  <c r="I144" s="1"/>
  <c r="I145" s="1"/>
  <c r="I146" s="1"/>
  <c r="I147" s="1"/>
  <c r="I148" s="1"/>
  <c r="I149" s="1"/>
  <c r="I150" s="1"/>
  <c r="I151" s="1"/>
  <c r="I152" s="1"/>
  <c r="I153" s="1"/>
  <c r="I154" s="1"/>
  <c r="I155" s="1"/>
  <c r="I156" s="1"/>
  <c r="I157" s="1"/>
  <c r="I158" s="1"/>
  <c r="I159" s="1"/>
  <c r="I160" s="1"/>
  <c r="I161" s="1"/>
  <c r="I162" s="1"/>
  <c r="I163" s="1"/>
  <c r="I164" s="1"/>
  <c r="I165" s="1"/>
  <c r="I166" s="1"/>
  <c r="I167" s="1"/>
  <c r="I168" s="1"/>
  <c r="I169" s="1"/>
  <c r="I170" s="1"/>
  <c r="I171" s="1"/>
  <c r="I172" s="1"/>
  <c r="I173" s="1"/>
  <c r="I174" s="1"/>
  <c r="I175" s="1"/>
  <c r="I176" s="1"/>
  <c r="I177" s="1"/>
  <c r="I178" s="1"/>
  <c r="I179" s="1"/>
  <c r="I180" s="1"/>
  <c r="I181" s="1"/>
  <c r="I182" s="1"/>
  <c r="I183" s="1"/>
  <c r="I184" s="1"/>
  <c r="I185" s="1"/>
  <c r="I186" s="1"/>
  <c r="I187" s="1"/>
  <c r="I188" s="1"/>
  <c r="I189" s="1"/>
  <c r="I190" s="1"/>
  <c r="I191" s="1"/>
  <c r="I192" s="1"/>
  <c r="I193" s="1"/>
  <c r="I194" s="1"/>
  <c r="I195" s="1"/>
  <c r="I196" s="1"/>
  <c r="I197" s="1"/>
  <c r="I198" s="1"/>
  <c r="I199" s="1"/>
  <c r="I200" s="1"/>
  <c r="I201" s="1"/>
  <c r="I202" s="1"/>
  <c r="I203" s="1"/>
  <c r="I204" s="1"/>
  <c r="I205" s="1"/>
  <c r="I206" s="1"/>
  <c r="I207" s="1"/>
  <c r="I208" s="1"/>
  <c r="I209" s="1"/>
  <c r="I210" s="1"/>
  <c r="I211" s="1"/>
  <c r="I212" s="1"/>
  <c r="I213" s="1"/>
  <c r="I214" s="1"/>
  <c r="I215" s="1"/>
  <c r="I216" s="1"/>
  <c r="I217" s="1"/>
  <c r="I218" s="1"/>
  <c r="I219" s="1"/>
  <c r="I220" s="1"/>
  <c r="I221" s="1"/>
  <c r="I222" s="1"/>
  <c r="I223" s="1"/>
  <c r="I224" s="1"/>
  <c r="I225" s="1"/>
  <c r="I226" s="1"/>
  <c r="I227" s="1"/>
  <c r="I228" s="1"/>
  <c r="I229" s="1"/>
  <c r="I230" s="1"/>
  <c r="I231" s="1"/>
  <c r="I232" s="1"/>
  <c r="I233" s="1"/>
  <c r="I234" s="1"/>
  <c r="I235" s="1"/>
  <c r="I236" s="1"/>
  <c r="I237" s="1"/>
  <c r="I238" s="1"/>
  <c r="I239" s="1"/>
  <c r="I240" s="1"/>
  <c r="I241" s="1"/>
  <c r="I242" s="1"/>
  <c r="I243" s="1"/>
  <c r="I244" s="1"/>
  <c r="I245" s="1"/>
  <c r="I246" s="1"/>
  <c r="I247" s="1"/>
  <c r="I248" s="1"/>
  <c r="I249" s="1"/>
  <c r="I250" s="1"/>
  <c r="I251" s="1"/>
  <c r="I252" s="1"/>
  <c r="I253" s="1"/>
  <c r="I254" s="1"/>
  <c r="I255" s="1"/>
  <c r="I256" s="1"/>
  <c r="I257" s="1"/>
  <c r="I258" s="1"/>
  <c r="I259" s="1"/>
  <c r="I260" s="1"/>
  <c r="I261" s="1"/>
  <c r="I262" s="1"/>
  <c r="I263" s="1"/>
  <c r="I264" s="1"/>
  <c r="I265" s="1"/>
  <c r="I266" s="1"/>
  <c r="I267" s="1"/>
  <c r="I268" s="1"/>
  <c r="I269" s="1"/>
  <c r="I270" s="1"/>
  <c r="I271" s="1"/>
  <c r="I272" s="1"/>
  <c r="I273" s="1"/>
  <c r="I274" s="1"/>
  <c r="I275" s="1"/>
  <c r="I276" s="1"/>
  <c r="I277" s="1"/>
  <c r="I278" s="1"/>
  <c r="I279" s="1"/>
  <c r="I280" s="1"/>
  <c r="I281" s="1"/>
  <c r="I282" s="1"/>
  <c r="I283" s="1"/>
  <c r="I284" s="1"/>
  <c r="I285" s="1"/>
  <c r="I286" s="1"/>
  <c r="I287" s="1"/>
  <c r="I288" s="1"/>
  <c r="I289" s="1"/>
  <c r="I290" s="1"/>
  <c r="I291" s="1"/>
  <c r="I292" s="1"/>
  <c r="I293" s="1"/>
  <c r="I294" s="1"/>
  <c r="I295" s="1"/>
  <c r="I296" s="1"/>
  <c r="I297" s="1"/>
  <c r="I298" s="1"/>
  <c r="I299" s="1"/>
  <c r="I300" s="1"/>
  <c r="I301" s="1"/>
  <c r="I302" s="1"/>
  <c r="I303" s="1"/>
  <c r="I304" s="1"/>
  <c r="I305" s="1"/>
  <c r="I306" s="1"/>
  <c r="I307" s="1"/>
  <c r="I308" s="1"/>
  <c r="I309" s="1"/>
  <c r="I310" s="1"/>
  <c r="I311" s="1"/>
  <c r="I312" s="1"/>
  <c r="I313" s="1"/>
  <c r="I314" s="1"/>
  <c r="I315" s="1"/>
  <c r="I316" s="1"/>
  <c r="I317" s="1"/>
  <c r="I318" s="1"/>
  <c r="I319" s="1"/>
  <c r="I320" s="1"/>
  <c r="I321" s="1"/>
  <c r="I322" s="1"/>
  <c r="I323" s="1"/>
  <c r="I324" s="1"/>
  <c r="I325" s="1"/>
  <c r="I326" s="1"/>
  <c r="I327" s="1"/>
  <c r="I328" s="1"/>
  <c r="I329" s="1"/>
  <c r="I330" s="1"/>
  <c r="I331" s="1"/>
  <c r="I332" s="1"/>
  <c r="I333" s="1"/>
  <c r="I334" s="1"/>
  <c r="I335" s="1"/>
  <c r="I336" s="1"/>
  <c r="I337" s="1"/>
  <c r="I338" s="1"/>
  <c r="I339" s="1"/>
  <c r="I340" s="1"/>
  <c r="I341" s="1"/>
  <c r="I342" s="1"/>
  <c r="I343" s="1"/>
  <c r="I344" s="1"/>
  <c r="I345" s="1"/>
  <c r="I346" s="1"/>
  <c r="I347" s="1"/>
  <c r="I348" s="1"/>
  <c r="I349" s="1"/>
  <c r="I350" s="1"/>
  <c r="I351" s="1"/>
  <c r="I352" s="1"/>
  <c r="I353" s="1"/>
  <c r="I354" s="1"/>
  <c r="I355" s="1"/>
  <c r="I356" s="1"/>
  <c r="I357" s="1"/>
  <c r="I358" s="1"/>
  <c r="I359" s="1"/>
  <c r="I360" s="1"/>
  <c r="I361" s="1"/>
  <c r="I362" s="1"/>
  <c r="I363" s="1"/>
  <c r="I364" s="1"/>
  <c r="I365" s="1"/>
  <c r="I366" s="1"/>
  <c r="I367" s="1"/>
  <c r="I368" s="1"/>
  <c r="I369" s="1"/>
  <c r="I370" s="1"/>
  <c r="I371" s="1"/>
  <c r="I372" s="1"/>
  <c r="I373" s="1"/>
  <c r="I374" s="1"/>
  <c r="I375" s="1"/>
  <c r="I376" s="1"/>
  <c r="I377" s="1"/>
  <c r="I378" s="1"/>
  <c r="I379" s="1"/>
  <c r="I380" s="1"/>
  <c r="I381" s="1"/>
  <c r="I382" s="1"/>
  <c r="I383" s="1"/>
  <c r="I384" s="1"/>
  <c r="I385" s="1"/>
  <c r="I386" s="1"/>
  <c r="I387" s="1"/>
  <c r="I388" s="1"/>
  <c r="I389" s="1"/>
  <c r="I390" s="1"/>
  <c r="I391" s="1"/>
  <c r="I392" s="1"/>
  <c r="I393" s="1"/>
  <c r="I394" s="1"/>
  <c r="I395" s="1"/>
  <c r="I396" s="1"/>
  <c r="I397" s="1"/>
  <c r="I398" s="1"/>
  <c r="I399" s="1"/>
  <c r="I400" s="1"/>
  <c r="I401" s="1"/>
  <c r="I402" s="1"/>
  <c r="I403" s="1"/>
  <c r="I404" s="1"/>
  <c r="I405" s="1"/>
  <c r="I406" s="1"/>
  <c r="I407" s="1"/>
  <c r="I408" s="1"/>
  <c r="I409" s="1"/>
  <c r="I410" s="1"/>
  <c r="I411" s="1"/>
  <c r="I412" s="1"/>
  <c r="I413" s="1"/>
  <c r="I414" s="1"/>
  <c r="I415" s="1"/>
  <c r="I416" s="1"/>
  <c r="I417" s="1"/>
  <c r="I418" s="1"/>
  <c r="I419" s="1"/>
  <c r="I420" s="1"/>
  <c r="I421" s="1"/>
  <c r="I422" s="1"/>
  <c r="I423" s="1"/>
  <c r="I424" s="1"/>
  <c r="I425" s="1"/>
  <c r="I426" s="1"/>
  <c r="I427" s="1"/>
  <c r="I428" s="1"/>
  <c r="I429" s="1"/>
  <c r="I430" s="1"/>
  <c r="I431" s="1"/>
  <c r="I432" s="1"/>
  <c r="I433" s="1"/>
  <c r="I434" s="1"/>
  <c r="I435" s="1"/>
  <c r="I436" s="1"/>
  <c r="I437" s="1"/>
  <c r="I438" s="1"/>
  <c r="I439" s="1"/>
  <c r="I440" s="1"/>
  <c r="I441" s="1"/>
  <c r="I442" s="1"/>
  <c r="I443" s="1"/>
  <c r="I444" s="1"/>
  <c r="I445" s="1"/>
  <c r="I446" s="1"/>
  <c r="I447" s="1"/>
  <c r="I448" s="1"/>
  <c r="I449" s="1"/>
  <c r="I450" s="1"/>
  <c r="I451" s="1"/>
  <c r="I452" s="1"/>
  <c r="I453" s="1"/>
  <c r="I454" s="1"/>
  <c r="I455" s="1"/>
  <c r="I456" s="1"/>
  <c r="I457" s="1"/>
  <c r="I458" s="1"/>
  <c r="I459" s="1"/>
  <c r="I460" s="1"/>
  <c r="I461" s="1"/>
  <c r="I462" s="1"/>
  <c r="I463" s="1"/>
  <c r="I464" s="1"/>
  <c r="I465" s="1"/>
  <c r="I466" s="1"/>
  <c r="I467" s="1"/>
  <c r="I468" s="1"/>
  <c r="I469" s="1"/>
  <c r="I470" s="1"/>
  <c r="I471" s="1"/>
  <c r="I472" s="1"/>
  <c r="I473" s="1"/>
  <c r="I474" s="1"/>
  <c r="I475" s="1"/>
  <c r="I476" s="1"/>
  <c r="I477" s="1"/>
  <c r="I478" s="1"/>
  <c r="I479" s="1"/>
  <c r="I480" s="1"/>
  <c r="I481" s="1"/>
  <c r="I482" s="1"/>
  <c r="I483" s="1"/>
  <c r="I484" s="1"/>
  <c r="I485" s="1"/>
  <c r="I486" s="1"/>
  <c r="I487" s="1"/>
  <c r="I488" s="1"/>
  <c r="I489" s="1"/>
  <c r="I490" s="1"/>
  <c r="I491" s="1"/>
  <c r="I492" s="1"/>
  <c r="I493" s="1"/>
  <c r="I494" s="1"/>
  <c r="I495" s="1"/>
  <c r="I496" s="1"/>
  <c r="I497" s="1"/>
  <c r="I498" s="1"/>
  <c r="I499" s="1"/>
  <c r="I500" s="1"/>
  <c r="I501" s="1"/>
  <c r="I502" s="1"/>
  <c r="I503" s="1"/>
  <c r="I504" s="1"/>
  <c r="I505" s="1"/>
  <c r="I506" s="1"/>
  <c r="I507" s="1"/>
  <c r="I508" s="1"/>
  <c r="I509" s="1"/>
  <c r="I510" s="1"/>
  <c r="I511" s="1"/>
  <c r="I512" s="1"/>
  <c r="I513" s="1"/>
  <c r="I514" s="1"/>
  <c r="I515" s="1"/>
  <c r="I516" s="1"/>
  <c r="I517" s="1"/>
  <c r="I518" s="1"/>
  <c r="I519" s="1"/>
  <c r="I520" s="1"/>
  <c r="I521" s="1"/>
  <c r="I522" s="1"/>
  <c r="I523" s="1"/>
  <c r="I524" s="1"/>
  <c r="I525" s="1"/>
  <c r="I526" s="1"/>
  <c r="I527" s="1"/>
  <c r="I528" s="1"/>
  <c r="I529" s="1"/>
  <c r="I530" s="1"/>
  <c r="I531" s="1"/>
  <c r="I532" s="1"/>
  <c r="I533" s="1"/>
  <c r="I534" s="1"/>
  <c r="I535" s="1"/>
  <c r="I536" s="1"/>
  <c r="I537" s="1"/>
  <c r="I538" s="1"/>
  <c r="I539" s="1"/>
  <c r="I540" s="1"/>
  <c r="I541" s="1"/>
  <c r="I542" s="1"/>
  <c r="I543" s="1"/>
  <c r="I544" s="1"/>
  <c r="I545" s="1"/>
  <c r="I546" s="1"/>
  <c r="I547" s="1"/>
  <c r="I548" s="1"/>
  <c r="I549" s="1"/>
  <c r="I550" s="1"/>
  <c r="I551" s="1"/>
  <c r="I552" s="1"/>
  <c r="I553" s="1"/>
  <c r="I554" s="1"/>
  <c r="I555" s="1"/>
  <c r="I556" s="1"/>
  <c r="I557" s="1"/>
  <c r="I558" s="1"/>
  <c r="I559" s="1"/>
  <c r="I560" s="1"/>
  <c r="I561" s="1"/>
  <c r="I562" s="1"/>
  <c r="I563" s="1"/>
  <c r="I564" s="1"/>
  <c r="I565" s="1"/>
  <c r="I566" s="1"/>
  <c r="I567" s="1"/>
  <c r="I568" s="1"/>
  <c r="I569" s="1"/>
  <c r="I570" s="1"/>
  <c r="I571" s="1"/>
  <c r="I572" s="1"/>
  <c r="I573" s="1"/>
  <c r="I574" s="1"/>
  <c r="I575" s="1"/>
  <c r="I576" s="1"/>
  <c r="I577" s="1"/>
  <c r="I578" s="1"/>
  <c r="I579" s="1"/>
  <c r="I580" s="1"/>
  <c r="I581" s="1"/>
  <c r="I582" s="1"/>
  <c r="I583" s="1"/>
  <c r="I584" s="1"/>
  <c r="I585" s="1"/>
  <c r="I586" s="1"/>
  <c r="I587" s="1"/>
  <c r="I588" s="1"/>
  <c r="I589" s="1"/>
  <c r="I590" s="1"/>
  <c r="I591" s="1"/>
  <c r="I592" s="1"/>
  <c r="I593" s="1"/>
  <c r="I594" s="1"/>
  <c r="I595" s="1"/>
  <c r="I596" s="1"/>
  <c r="I597" s="1"/>
  <c r="I598" s="1"/>
  <c r="I599" s="1"/>
  <c r="I600" s="1"/>
  <c r="I601" s="1"/>
  <c r="I602" s="1"/>
  <c r="I603" s="1"/>
  <c r="I604" s="1"/>
  <c r="I605" s="1"/>
  <c r="I606" s="1"/>
  <c r="I607" s="1"/>
  <c r="I608" s="1"/>
  <c r="I609" s="1"/>
  <c r="I610" s="1"/>
  <c r="I611" s="1"/>
  <c r="I612" s="1"/>
  <c r="I613" s="1"/>
  <c r="I614" s="1"/>
  <c r="I615" s="1"/>
  <c r="I616" s="1"/>
  <c r="I617" s="1"/>
  <c r="I618" s="1"/>
  <c r="I619" s="1"/>
  <c r="I620" s="1"/>
  <c r="I621" s="1"/>
  <c r="I622" s="1"/>
  <c r="I623" s="1"/>
  <c r="I624" s="1"/>
  <c r="I625" s="1"/>
  <c r="I626" s="1"/>
  <c r="I627" s="1"/>
  <c r="I628" s="1"/>
  <c r="I629" s="1"/>
  <c r="I630" s="1"/>
  <c r="I631" s="1"/>
  <c r="I632" s="1"/>
  <c r="I633" s="1"/>
  <c r="I634" s="1"/>
  <c r="I635" s="1"/>
  <c r="I636" s="1"/>
  <c r="I637" s="1"/>
  <c r="I638" s="1"/>
  <c r="I639" s="1"/>
  <c r="I640" s="1"/>
  <c r="I641" s="1"/>
  <c r="I642" s="1"/>
  <c r="I643" s="1"/>
  <c r="I644" s="1"/>
  <c r="I645" s="1"/>
  <c r="I646" s="1"/>
  <c r="I647" s="1"/>
  <c r="I648" s="1"/>
  <c r="I649" s="1"/>
  <c r="I650" s="1"/>
  <c r="I651" s="1"/>
  <c r="I652" s="1"/>
  <c r="I653" s="1"/>
  <c r="I654" s="1"/>
  <c r="I655" s="1"/>
  <c r="I656" s="1"/>
  <c r="I657" s="1"/>
  <c r="I658" s="1"/>
  <c r="I659" s="1"/>
  <c r="I660" s="1"/>
  <c r="I661" s="1"/>
  <c r="I662" s="1"/>
  <c r="I663" s="1"/>
  <c r="I664" s="1"/>
  <c r="I665" s="1"/>
  <c r="I666" s="1"/>
  <c r="I667" s="1"/>
  <c r="I668" s="1"/>
  <c r="I669" s="1"/>
  <c r="I670" s="1"/>
  <c r="I671" s="1"/>
  <c r="I672" s="1"/>
  <c r="I673" s="1"/>
  <c r="I674" s="1"/>
  <c r="I675" s="1"/>
  <c r="I676" s="1"/>
  <c r="I677" s="1"/>
  <c r="I678" s="1"/>
  <c r="I679" s="1"/>
  <c r="I680" s="1"/>
  <c r="I681" s="1"/>
  <c r="I682" s="1"/>
  <c r="I683" s="1"/>
  <c r="I684" s="1"/>
  <c r="I685" s="1"/>
  <c r="I686" s="1"/>
  <c r="I687" s="1"/>
  <c r="I688" s="1"/>
  <c r="I689" s="1"/>
  <c r="I690" s="1"/>
  <c r="I691" s="1"/>
  <c r="I692" s="1"/>
  <c r="I693" s="1"/>
  <c r="I694" s="1"/>
  <c r="I695" s="1"/>
  <c r="I696" s="1"/>
  <c r="I697" s="1"/>
  <c r="I698" s="1"/>
  <c r="I699" s="1"/>
  <c r="I700" s="1"/>
  <c r="I701" s="1"/>
  <c r="I702" s="1"/>
  <c r="I703" s="1"/>
  <c r="I704" s="1"/>
  <c r="I705" s="1"/>
  <c r="I706" s="1"/>
  <c r="I707" s="1"/>
  <c r="I708" s="1"/>
  <c r="I709" s="1"/>
  <c r="I710" s="1"/>
  <c r="I711" s="1"/>
  <c r="I712" s="1"/>
  <c r="I713" s="1"/>
  <c r="I714" s="1"/>
  <c r="I715" s="1"/>
  <c r="I716" s="1"/>
  <c r="I717" s="1"/>
  <c r="I718" s="1"/>
  <c r="I719" s="1"/>
  <c r="I720" s="1"/>
  <c r="I721" s="1"/>
  <c r="I722" s="1"/>
  <c r="I723" s="1"/>
  <c r="I724" s="1"/>
  <c r="I725" s="1"/>
  <c r="I726" s="1"/>
  <c r="I727" s="1"/>
  <c r="I728" s="1"/>
  <c r="I729" s="1"/>
  <c r="I730" s="1"/>
  <c r="I731" s="1"/>
  <c r="I732" s="1"/>
  <c r="I733" s="1"/>
  <c r="I734" s="1"/>
  <c r="I735" s="1"/>
  <c r="I736" s="1"/>
  <c r="I737" s="1"/>
  <c r="I738" s="1"/>
  <c r="I739" s="1"/>
  <c r="I740" s="1"/>
  <c r="I741" s="1"/>
  <c r="I742" s="1"/>
  <c r="I743" s="1"/>
  <c r="I744" s="1"/>
  <c r="I745" s="1"/>
  <c r="I746" s="1"/>
  <c r="I747" l="1"/>
  <c r="G4" l="1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H4"/>
  <c r="J4" s="1"/>
  <c r="K4" s="1"/>
  <c r="C5" i="7" s="1"/>
  <c r="H5" i="5"/>
  <c r="J5" s="1"/>
  <c r="K5" s="1"/>
  <c r="D5" i="7" s="1"/>
  <c r="H6" i="5"/>
  <c r="J6" s="1"/>
  <c r="K6" s="1"/>
  <c r="E5" i="7" s="1"/>
  <c r="H7" i="5"/>
  <c r="J7" s="1"/>
  <c r="K7" s="1"/>
  <c r="F5" i="7" s="1"/>
  <c r="H8" i="5"/>
  <c r="J8" s="1"/>
  <c r="K8" s="1"/>
  <c r="G5" i="7" s="1"/>
  <c r="H9" i="5"/>
  <c r="J9" s="1"/>
  <c r="K9" s="1"/>
  <c r="H5" i="7" s="1"/>
  <c r="H10" i="5"/>
  <c r="J10" s="1"/>
  <c r="K10" s="1"/>
  <c r="I5" i="7" s="1"/>
  <c r="H11" i="5"/>
  <c r="J11" s="1"/>
  <c r="K11" s="1"/>
  <c r="J5" i="7" s="1"/>
  <c r="H12" i="5"/>
  <c r="J12" s="1"/>
  <c r="K12" s="1"/>
  <c r="K5" i="7" s="1"/>
  <c r="H13" i="5"/>
  <c r="J13" s="1"/>
  <c r="K13" s="1"/>
  <c r="L5" i="7" s="1"/>
  <c r="H14" i="5"/>
  <c r="J14" s="1"/>
  <c r="K14" s="1"/>
  <c r="M5" i="7" s="1"/>
  <c r="H15" i="5"/>
  <c r="J15" s="1"/>
  <c r="K15" s="1"/>
  <c r="N5" i="7" s="1"/>
  <c r="H16" i="5"/>
  <c r="J16" s="1"/>
  <c r="K16" s="1"/>
  <c r="O5" i="7" s="1"/>
  <c r="H17" i="5"/>
  <c r="J17" s="1"/>
  <c r="K17" s="1"/>
  <c r="P5" i="7" s="1"/>
  <c r="H18" i="5"/>
  <c r="J18" s="1"/>
  <c r="K18" s="1"/>
  <c r="Q5" i="7" s="1"/>
  <c r="H19" i="5"/>
  <c r="J19" s="1"/>
  <c r="K19" s="1"/>
  <c r="R5" i="7" s="1"/>
  <c r="H20" i="5"/>
  <c r="J20" s="1"/>
  <c r="K20" s="1"/>
  <c r="S5" i="7" s="1"/>
  <c r="H21" i="5"/>
  <c r="J21" s="1"/>
  <c r="K21" s="1"/>
  <c r="T5" i="7" s="1"/>
  <c r="H22" i="5"/>
  <c r="J22" s="1"/>
  <c r="K22" s="1"/>
  <c r="U5" i="7" s="1"/>
  <c r="H23" i="5"/>
  <c r="J23" s="1"/>
  <c r="K23" s="1"/>
  <c r="V5" i="7" s="1"/>
  <c r="H24" i="5"/>
  <c r="J24" s="1"/>
  <c r="K24" s="1"/>
  <c r="W5" i="7" s="1"/>
  <c r="H25" i="5"/>
  <c r="J25" s="1"/>
  <c r="K25" s="1"/>
  <c r="X5" i="7" s="1"/>
  <c r="H26" i="5"/>
  <c r="J26" s="1"/>
  <c r="K26" s="1"/>
  <c r="Y5" i="7" s="1"/>
  <c r="H27" i="5"/>
  <c r="J27" s="1"/>
  <c r="K27" s="1"/>
  <c r="H28"/>
  <c r="J28" s="1"/>
  <c r="K28" s="1"/>
  <c r="C6" i="7" s="1"/>
  <c r="H29" i="5"/>
  <c r="J29" s="1"/>
  <c r="K29" s="1"/>
  <c r="D6" i="7" s="1"/>
  <c r="H30" i="5"/>
  <c r="J30" s="1"/>
  <c r="K30" s="1"/>
  <c r="E6" i="7" s="1"/>
  <c r="H31" i="5"/>
  <c r="J31" s="1"/>
  <c r="K31" s="1"/>
  <c r="F6" i="7" s="1"/>
  <c r="H32" i="5"/>
  <c r="J32" s="1"/>
  <c r="K32" s="1"/>
  <c r="G6" i="7" s="1"/>
  <c r="H33" i="5"/>
  <c r="J33" s="1"/>
  <c r="K33" s="1"/>
  <c r="H6" i="7" s="1"/>
  <c r="H34" i="5"/>
  <c r="J34" s="1"/>
  <c r="K34" s="1"/>
  <c r="I6" i="7" s="1"/>
  <c r="H35" i="5"/>
  <c r="J35" s="1"/>
  <c r="K35" s="1"/>
  <c r="J6" i="7" s="1"/>
  <c r="H36" i="5"/>
  <c r="J36" s="1"/>
  <c r="K36" s="1"/>
  <c r="K6" i="7" s="1"/>
  <c r="H37" i="5"/>
  <c r="J37" s="1"/>
  <c r="K37" s="1"/>
  <c r="L6" i="7" s="1"/>
  <c r="H38" i="5"/>
  <c r="J38" s="1"/>
  <c r="K38" s="1"/>
  <c r="M6" i="7" s="1"/>
  <c r="H39" i="5"/>
  <c r="J39" s="1"/>
  <c r="K39" s="1"/>
  <c r="N6" i="7" s="1"/>
  <c r="H40" i="5"/>
  <c r="J40" s="1"/>
  <c r="K40" s="1"/>
  <c r="O6" i="7" s="1"/>
  <c r="H41" i="5"/>
  <c r="J41" s="1"/>
  <c r="K41" s="1"/>
  <c r="P6" i="7" s="1"/>
  <c r="H42" i="5"/>
  <c r="J42" s="1"/>
  <c r="K42" s="1"/>
  <c r="Q6" i="7" s="1"/>
  <c r="H43" i="5"/>
  <c r="J43" s="1"/>
  <c r="K43" s="1"/>
  <c r="R6" i="7" s="1"/>
  <c r="H44" i="5"/>
  <c r="J44" s="1"/>
  <c r="K44" s="1"/>
  <c r="S6" i="7" s="1"/>
  <c r="H45" i="5"/>
  <c r="J45" s="1"/>
  <c r="K45" s="1"/>
  <c r="T6" i="7" s="1"/>
  <c r="H46" i="5"/>
  <c r="J46" s="1"/>
  <c r="K46" s="1"/>
  <c r="U6" i="7" s="1"/>
  <c r="H47" i="5"/>
  <c r="J47" s="1"/>
  <c r="K47" s="1"/>
  <c r="V6" i="7" s="1"/>
  <c r="H48" i="5"/>
  <c r="J48" s="1"/>
  <c r="K48" s="1"/>
  <c r="W6" i="7" s="1"/>
  <c r="H49" i="5"/>
  <c r="J49" s="1"/>
  <c r="K49" s="1"/>
  <c r="X6" i="7" s="1"/>
  <c r="H50" i="5"/>
  <c r="J50" s="1"/>
  <c r="K50" s="1"/>
  <c r="Y6" i="7" s="1"/>
  <c r="H51" i="5"/>
  <c r="J51" s="1"/>
  <c r="K51" s="1"/>
  <c r="B7" i="7" s="1"/>
  <c r="H52" i="5"/>
  <c r="J52" s="1"/>
  <c r="K52" s="1"/>
  <c r="C7" i="7" s="1"/>
  <c r="H53" i="5"/>
  <c r="J53" s="1"/>
  <c r="K53" s="1"/>
  <c r="D7" i="7" s="1"/>
  <c r="H54" i="5"/>
  <c r="J54" s="1"/>
  <c r="K54" s="1"/>
  <c r="E7" i="7" s="1"/>
  <c r="H55" i="5"/>
  <c r="J55" s="1"/>
  <c r="K55" s="1"/>
  <c r="F7" i="7" s="1"/>
  <c r="H56" i="5"/>
  <c r="J56" s="1"/>
  <c r="K56" s="1"/>
  <c r="G7" i="7" s="1"/>
  <c r="H57" i="5"/>
  <c r="J57" s="1"/>
  <c r="K57" s="1"/>
  <c r="H7" i="7" s="1"/>
  <c r="H58" i="5"/>
  <c r="J58" s="1"/>
  <c r="K58" s="1"/>
  <c r="I7" i="7" s="1"/>
  <c r="H59" i="5"/>
  <c r="J59" s="1"/>
  <c r="K59" s="1"/>
  <c r="J7" i="7" s="1"/>
  <c r="H60" i="5"/>
  <c r="J60" s="1"/>
  <c r="K60" s="1"/>
  <c r="K7" i="7" s="1"/>
  <c r="H61" i="5"/>
  <c r="J61" s="1"/>
  <c r="K61" s="1"/>
  <c r="L7" i="7" s="1"/>
  <c r="H62" i="5"/>
  <c r="J62" s="1"/>
  <c r="K62" s="1"/>
  <c r="M7" i="7" s="1"/>
  <c r="H63" i="5"/>
  <c r="J63" s="1"/>
  <c r="K63" s="1"/>
  <c r="N7" i="7" s="1"/>
  <c r="H64" i="5"/>
  <c r="J64" s="1"/>
  <c r="K64" s="1"/>
  <c r="O7" i="7" s="1"/>
  <c r="H65" i="5"/>
  <c r="J65" s="1"/>
  <c r="K65" s="1"/>
  <c r="P7" i="7" s="1"/>
  <c r="H66" i="5"/>
  <c r="J66" s="1"/>
  <c r="K66" s="1"/>
  <c r="Q7" i="7" s="1"/>
  <c r="H67" i="5"/>
  <c r="J67" s="1"/>
  <c r="K67" s="1"/>
  <c r="R7" i="7" s="1"/>
  <c r="H68" i="5"/>
  <c r="J68" s="1"/>
  <c r="K68" s="1"/>
  <c r="S7" i="7" s="1"/>
  <c r="H69" i="5"/>
  <c r="J69" s="1"/>
  <c r="K69" s="1"/>
  <c r="T7" i="7" s="1"/>
  <c r="H70" i="5"/>
  <c r="J70" s="1"/>
  <c r="K70" s="1"/>
  <c r="U7" i="7" s="1"/>
  <c r="H71" i="5"/>
  <c r="J71" s="1"/>
  <c r="K71" s="1"/>
  <c r="V7" i="7" s="1"/>
  <c r="H72" i="5"/>
  <c r="J72" s="1"/>
  <c r="K72" s="1"/>
  <c r="W7" i="7" s="1"/>
  <c r="H73" i="5"/>
  <c r="J73" s="1"/>
  <c r="K73" s="1"/>
  <c r="X7" i="7" s="1"/>
  <c r="H74" i="5"/>
  <c r="J74" s="1"/>
  <c r="K74" s="1"/>
  <c r="Y7" i="7" s="1"/>
  <c r="H75" i="5"/>
  <c r="J75" s="1"/>
  <c r="K75" s="1"/>
  <c r="B8" i="7" s="1"/>
  <c r="H76" i="5"/>
  <c r="J76" s="1"/>
  <c r="K76" s="1"/>
  <c r="C8" i="7" s="1"/>
  <c r="H77" i="5"/>
  <c r="J77" s="1"/>
  <c r="K77" s="1"/>
  <c r="D8" i="7" s="1"/>
  <c r="H78" i="5"/>
  <c r="J78" s="1"/>
  <c r="K78" s="1"/>
  <c r="E8" i="7" s="1"/>
  <c r="H79" i="5"/>
  <c r="J79" s="1"/>
  <c r="K79" s="1"/>
  <c r="F8" i="7" s="1"/>
  <c r="H80" i="5"/>
  <c r="J80" s="1"/>
  <c r="K80" s="1"/>
  <c r="G8" i="7" s="1"/>
  <c r="H81" i="5"/>
  <c r="J81" s="1"/>
  <c r="K81" s="1"/>
  <c r="H8" i="7" s="1"/>
  <c r="H82" i="5"/>
  <c r="J82" s="1"/>
  <c r="K82" s="1"/>
  <c r="I8" i="7" s="1"/>
  <c r="H83" i="5"/>
  <c r="J83" s="1"/>
  <c r="K83" s="1"/>
  <c r="J8" i="7" s="1"/>
  <c r="H84" i="5"/>
  <c r="J84" s="1"/>
  <c r="K84" s="1"/>
  <c r="K8" i="7" s="1"/>
  <c r="H85" i="5"/>
  <c r="J85" s="1"/>
  <c r="K85" s="1"/>
  <c r="L8" i="7" s="1"/>
  <c r="H86" i="5"/>
  <c r="J86" s="1"/>
  <c r="K86" s="1"/>
  <c r="M8" i="7" s="1"/>
  <c r="H87" i="5"/>
  <c r="J87" s="1"/>
  <c r="K87" s="1"/>
  <c r="N8" i="7" s="1"/>
  <c r="H88" i="5"/>
  <c r="J88" s="1"/>
  <c r="K88" s="1"/>
  <c r="O8" i="7" s="1"/>
  <c r="H89" i="5"/>
  <c r="J89" s="1"/>
  <c r="K89" s="1"/>
  <c r="P8" i="7" s="1"/>
  <c r="H90" i="5"/>
  <c r="J90" s="1"/>
  <c r="K90" s="1"/>
  <c r="Q8" i="7" s="1"/>
  <c r="H91" i="5"/>
  <c r="J91" s="1"/>
  <c r="K91" s="1"/>
  <c r="R8" i="7" s="1"/>
  <c r="H92" i="5"/>
  <c r="J92" s="1"/>
  <c r="K92" s="1"/>
  <c r="S8" i="7" s="1"/>
  <c r="H93" i="5"/>
  <c r="J93" s="1"/>
  <c r="K93" s="1"/>
  <c r="T8" i="7" s="1"/>
  <c r="H94" i="5"/>
  <c r="J94" s="1"/>
  <c r="K94" s="1"/>
  <c r="U8" i="7" s="1"/>
  <c r="H95" i="5"/>
  <c r="J95" s="1"/>
  <c r="K95" s="1"/>
  <c r="V8" i="7" s="1"/>
  <c r="H96" i="5"/>
  <c r="J96" s="1"/>
  <c r="K96" s="1"/>
  <c r="W8" i="7" s="1"/>
  <c r="H97" i="5"/>
  <c r="J97" s="1"/>
  <c r="K97" s="1"/>
  <c r="X8" i="7" s="1"/>
  <c r="H98" i="5"/>
  <c r="J98" s="1"/>
  <c r="K98" s="1"/>
  <c r="Y8" i="7" s="1"/>
  <c r="H99" i="5"/>
  <c r="J99" s="1"/>
  <c r="K99" s="1"/>
  <c r="B9" i="7" s="1"/>
  <c r="H100" i="5"/>
  <c r="J100" s="1"/>
  <c r="K100" s="1"/>
  <c r="C9" i="7" s="1"/>
  <c r="H101" i="5"/>
  <c r="J101" s="1"/>
  <c r="K101" s="1"/>
  <c r="D9" i="7" s="1"/>
  <c r="H102" i="5"/>
  <c r="J102" s="1"/>
  <c r="K102" s="1"/>
  <c r="E9" i="7" s="1"/>
  <c r="H103" i="5"/>
  <c r="J103" s="1"/>
  <c r="K103" s="1"/>
  <c r="F9" i="7" s="1"/>
  <c r="H104" i="5"/>
  <c r="J104" s="1"/>
  <c r="K104" s="1"/>
  <c r="G9" i="7" s="1"/>
  <c r="H105" i="5"/>
  <c r="J105" s="1"/>
  <c r="K105" s="1"/>
  <c r="H9" i="7" s="1"/>
  <c r="H106" i="5"/>
  <c r="J106" s="1"/>
  <c r="K106" s="1"/>
  <c r="I9" i="7" s="1"/>
  <c r="H107" i="5"/>
  <c r="J107" s="1"/>
  <c r="K107" s="1"/>
  <c r="J9" i="7" s="1"/>
  <c r="H108" i="5"/>
  <c r="J108" s="1"/>
  <c r="K108" s="1"/>
  <c r="K9" i="7" s="1"/>
  <c r="H109" i="5"/>
  <c r="J109" s="1"/>
  <c r="K109" s="1"/>
  <c r="L9" i="7" s="1"/>
  <c r="H110" i="5"/>
  <c r="J110" s="1"/>
  <c r="K110" s="1"/>
  <c r="M9" i="7" s="1"/>
  <c r="H111" i="5"/>
  <c r="J111" s="1"/>
  <c r="K111" s="1"/>
  <c r="N9" i="7" s="1"/>
  <c r="H112" i="5"/>
  <c r="J112" s="1"/>
  <c r="K112" s="1"/>
  <c r="O9" i="7" s="1"/>
  <c r="H113" i="5"/>
  <c r="J113" s="1"/>
  <c r="K113" s="1"/>
  <c r="P9" i="7" s="1"/>
  <c r="H114" i="5"/>
  <c r="J114" s="1"/>
  <c r="K114" s="1"/>
  <c r="Q9" i="7" s="1"/>
  <c r="H115" i="5"/>
  <c r="J115" s="1"/>
  <c r="K115" s="1"/>
  <c r="R9" i="7" s="1"/>
  <c r="H116" i="5"/>
  <c r="J116" s="1"/>
  <c r="K116" s="1"/>
  <c r="S9" i="7" s="1"/>
  <c r="H117" i="5"/>
  <c r="J117" s="1"/>
  <c r="K117" s="1"/>
  <c r="T9" i="7" s="1"/>
  <c r="H118" i="5"/>
  <c r="J118" s="1"/>
  <c r="K118" s="1"/>
  <c r="U9" i="7" s="1"/>
  <c r="H119" i="5"/>
  <c r="J119" s="1"/>
  <c r="K119" s="1"/>
  <c r="V9" i="7" s="1"/>
  <c r="H120" i="5"/>
  <c r="J120" s="1"/>
  <c r="K120" s="1"/>
  <c r="W9" i="7" s="1"/>
  <c r="H121" i="5"/>
  <c r="J121" s="1"/>
  <c r="K121" s="1"/>
  <c r="X9" i="7" s="1"/>
  <c r="H122" i="5"/>
  <c r="J122" s="1"/>
  <c r="K122" s="1"/>
  <c r="Y9" i="7" s="1"/>
  <c r="H123" i="5"/>
  <c r="J123" s="1"/>
  <c r="K123" s="1"/>
  <c r="H124"/>
  <c r="J124" s="1"/>
  <c r="K124" s="1"/>
  <c r="C10" i="7" s="1"/>
  <c r="H125" i="5"/>
  <c r="J125" s="1"/>
  <c r="K125" s="1"/>
  <c r="D10" i="7" s="1"/>
  <c r="H126" i="5"/>
  <c r="J126" s="1"/>
  <c r="K126" s="1"/>
  <c r="E10" i="7" s="1"/>
  <c r="H127" i="5"/>
  <c r="J127" s="1"/>
  <c r="K127" s="1"/>
  <c r="F10" i="7" s="1"/>
  <c r="H128" i="5"/>
  <c r="J128" s="1"/>
  <c r="K128" s="1"/>
  <c r="G10" i="7" s="1"/>
  <c r="H129" i="5"/>
  <c r="J129" s="1"/>
  <c r="K129" s="1"/>
  <c r="H10" i="7" s="1"/>
  <c r="H130" i="5"/>
  <c r="J130" s="1"/>
  <c r="K130" s="1"/>
  <c r="I10" i="7" s="1"/>
  <c r="H131" i="5"/>
  <c r="J131" s="1"/>
  <c r="K131" s="1"/>
  <c r="J10" i="7" s="1"/>
  <c r="H132" i="5"/>
  <c r="J132" s="1"/>
  <c r="K132" s="1"/>
  <c r="K10" i="7" s="1"/>
  <c r="H133" i="5"/>
  <c r="J133" s="1"/>
  <c r="K133" s="1"/>
  <c r="L10" i="7" s="1"/>
  <c r="H134" i="5"/>
  <c r="J134" s="1"/>
  <c r="K134" s="1"/>
  <c r="M10" i="7" s="1"/>
  <c r="H135" i="5"/>
  <c r="J135" s="1"/>
  <c r="K135" s="1"/>
  <c r="N10" i="7" s="1"/>
  <c r="H136" i="5"/>
  <c r="J136" s="1"/>
  <c r="K136" s="1"/>
  <c r="O10" i="7" s="1"/>
  <c r="H137" i="5"/>
  <c r="J137" s="1"/>
  <c r="K137" s="1"/>
  <c r="P10" i="7" s="1"/>
  <c r="H138" i="5"/>
  <c r="J138" s="1"/>
  <c r="K138" s="1"/>
  <c r="Q10" i="7" s="1"/>
  <c r="H139" i="5"/>
  <c r="J139" s="1"/>
  <c r="K139" s="1"/>
  <c r="R10" i="7" s="1"/>
  <c r="H140" i="5"/>
  <c r="J140" s="1"/>
  <c r="K140" s="1"/>
  <c r="S10" i="7" s="1"/>
  <c r="H141" i="5"/>
  <c r="J141" s="1"/>
  <c r="K141" s="1"/>
  <c r="T10" i="7" s="1"/>
  <c r="H142" i="5"/>
  <c r="J142" s="1"/>
  <c r="K142" s="1"/>
  <c r="U10" i="7" s="1"/>
  <c r="H143" i="5"/>
  <c r="J143" s="1"/>
  <c r="K143" s="1"/>
  <c r="V10" i="7" s="1"/>
  <c r="H144" i="5"/>
  <c r="J144" s="1"/>
  <c r="K144" s="1"/>
  <c r="W10" i="7" s="1"/>
  <c r="H145" i="5"/>
  <c r="J145" s="1"/>
  <c r="K145" s="1"/>
  <c r="X10" i="7" s="1"/>
  <c r="H146" i="5"/>
  <c r="J146" s="1"/>
  <c r="K146" s="1"/>
  <c r="Y10" i="7" s="1"/>
  <c r="H147" i="5"/>
  <c r="J147" s="1"/>
  <c r="K147" s="1"/>
  <c r="H148"/>
  <c r="J148" s="1"/>
  <c r="K148" s="1"/>
  <c r="C11" i="7" s="1"/>
  <c r="H149" i="5"/>
  <c r="J149" s="1"/>
  <c r="K149" s="1"/>
  <c r="D11" i="7" s="1"/>
  <c r="H150" i="5"/>
  <c r="J150" s="1"/>
  <c r="K150" s="1"/>
  <c r="E11" i="7" s="1"/>
  <c r="H151" i="5"/>
  <c r="J151" s="1"/>
  <c r="K151" s="1"/>
  <c r="F11" i="7" s="1"/>
  <c r="H152" i="5"/>
  <c r="J152" s="1"/>
  <c r="K152" s="1"/>
  <c r="G11" i="7" s="1"/>
  <c r="H153" i="5"/>
  <c r="J153" s="1"/>
  <c r="K153" s="1"/>
  <c r="H11" i="7" s="1"/>
  <c r="H154" i="5"/>
  <c r="J154" s="1"/>
  <c r="K154" s="1"/>
  <c r="I11" i="7" s="1"/>
  <c r="H155" i="5"/>
  <c r="J155" s="1"/>
  <c r="K155" s="1"/>
  <c r="J11" i="7" s="1"/>
  <c r="H156" i="5"/>
  <c r="J156" s="1"/>
  <c r="K156" s="1"/>
  <c r="K11" i="7" s="1"/>
  <c r="H157" i="5"/>
  <c r="J157" s="1"/>
  <c r="K157" s="1"/>
  <c r="L11" i="7" s="1"/>
  <c r="H158" i="5"/>
  <c r="J158" s="1"/>
  <c r="K158" s="1"/>
  <c r="M11" i="7" s="1"/>
  <c r="H159" i="5"/>
  <c r="J159" s="1"/>
  <c r="K159" s="1"/>
  <c r="N11" i="7" s="1"/>
  <c r="H160" i="5"/>
  <c r="J160" s="1"/>
  <c r="K160" s="1"/>
  <c r="O11" i="7" s="1"/>
  <c r="H161" i="5"/>
  <c r="J161" s="1"/>
  <c r="K161" s="1"/>
  <c r="P11" i="7" s="1"/>
  <c r="H162" i="5"/>
  <c r="J162" s="1"/>
  <c r="K162" s="1"/>
  <c r="Q11" i="7" s="1"/>
  <c r="H163" i="5"/>
  <c r="J163" s="1"/>
  <c r="K163" s="1"/>
  <c r="R11" i="7" s="1"/>
  <c r="H164" i="5"/>
  <c r="J164" s="1"/>
  <c r="K164" s="1"/>
  <c r="S11" i="7" s="1"/>
  <c r="H165" i="5"/>
  <c r="J165" s="1"/>
  <c r="K165" s="1"/>
  <c r="T11" i="7" s="1"/>
  <c r="H166" i="5"/>
  <c r="J166" s="1"/>
  <c r="K166" s="1"/>
  <c r="U11" i="7" s="1"/>
  <c r="H167" i="5"/>
  <c r="J167" s="1"/>
  <c r="K167" s="1"/>
  <c r="V11" i="7" s="1"/>
  <c r="H168" i="5"/>
  <c r="J168" s="1"/>
  <c r="K168" s="1"/>
  <c r="W11" i="7" s="1"/>
  <c r="H169" i="5"/>
  <c r="J169" s="1"/>
  <c r="K169" s="1"/>
  <c r="X11" i="7" s="1"/>
  <c r="H170" i="5"/>
  <c r="J170" s="1"/>
  <c r="K170" s="1"/>
  <c r="Y11" i="7" s="1"/>
  <c r="H171" i="5"/>
  <c r="J171" s="1"/>
  <c r="K171" s="1"/>
  <c r="H172"/>
  <c r="J172" s="1"/>
  <c r="K172" s="1"/>
  <c r="C12" i="7" s="1"/>
  <c r="H173" i="5"/>
  <c r="J173" s="1"/>
  <c r="K173" s="1"/>
  <c r="D12" i="7" s="1"/>
  <c r="H174" i="5"/>
  <c r="J174" s="1"/>
  <c r="K174" s="1"/>
  <c r="E12" i="7" s="1"/>
  <c r="H175" i="5"/>
  <c r="J175" s="1"/>
  <c r="K175" s="1"/>
  <c r="F12" i="7" s="1"/>
  <c r="H176" i="5"/>
  <c r="J176" s="1"/>
  <c r="K176" s="1"/>
  <c r="G12" i="7" s="1"/>
  <c r="H177" i="5"/>
  <c r="J177" s="1"/>
  <c r="K177" s="1"/>
  <c r="H12" i="7" s="1"/>
  <c r="H178" i="5"/>
  <c r="J178" s="1"/>
  <c r="K178" s="1"/>
  <c r="I12" i="7" s="1"/>
  <c r="H179" i="5"/>
  <c r="J179" s="1"/>
  <c r="K179" s="1"/>
  <c r="J12" i="7" s="1"/>
  <c r="H180" i="5"/>
  <c r="J180" s="1"/>
  <c r="K180" s="1"/>
  <c r="K12" i="7" s="1"/>
  <c r="H181" i="5"/>
  <c r="J181" s="1"/>
  <c r="K181" s="1"/>
  <c r="L12" i="7" s="1"/>
  <c r="H182" i="5"/>
  <c r="J182" s="1"/>
  <c r="K182" s="1"/>
  <c r="M12" i="7" s="1"/>
  <c r="H183" i="5"/>
  <c r="J183" s="1"/>
  <c r="K183" s="1"/>
  <c r="N12" i="7" s="1"/>
  <c r="H184" i="5"/>
  <c r="J184" s="1"/>
  <c r="K184" s="1"/>
  <c r="O12" i="7" s="1"/>
  <c r="H185" i="5"/>
  <c r="J185" s="1"/>
  <c r="K185" s="1"/>
  <c r="P12" i="7" s="1"/>
  <c r="H186" i="5"/>
  <c r="J186" s="1"/>
  <c r="K186" s="1"/>
  <c r="Q12" i="7" s="1"/>
  <c r="H187" i="5"/>
  <c r="J187" s="1"/>
  <c r="K187" s="1"/>
  <c r="R12" i="7" s="1"/>
  <c r="H188" i="5"/>
  <c r="J188" s="1"/>
  <c r="K188" s="1"/>
  <c r="S12" i="7" s="1"/>
  <c r="H189" i="5"/>
  <c r="J189" s="1"/>
  <c r="K189" s="1"/>
  <c r="T12" i="7" s="1"/>
  <c r="H190" i="5"/>
  <c r="J190" s="1"/>
  <c r="K190" s="1"/>
  <c r="U12" i="7" s="1"/>
  <c r="H191" i="5"/>
  <c r="J191" s="1"/>
  <c r="K191" s="1"/>
  <c r="V12" i="7" s="1"/>
  <c r="H192" i="5"/>
  <c r="J192" s="1"/>
  <c r="K192" s="1"/>
  <c r="W12" i="7" s="1"/>
  <c r="H193" i="5"/>
  <c r="J193" s="1"/>
  <c r="K193" s="1"/>
  <c r="X12" i="7" s="1"/>
  <c r="H194" i="5"/>
  <c r="J194" s="1"/>
  <c r="K194" s="1"/>
  <c r="H195"/>
  <c r="J195" s="1"/>
  <c r="K195" s="1"/>
  <c r="H196"/>
  <c r="J196" s="1"/>
  <c r="K196" s="1"/>
  <c r="C13" i="7" s="1"/>
  <c r="H197" i="5"/>
  <c r="J197" s="1"/>
  <c r="K197" s="1"/>
  <c r="D13" i="7" s="1"/>
  <c r="H198" i="5"/>
  <c r="J198" s="1"/>
  <c r="K198" s="1"/>
  <c r="E13" i="7" s="1"/>
  <c r="H199" i="5"/>
  <c r="J199" s="1"/>
  <c r="K199" s="1"/>
  <c r="F13" i="7" s="1"/>
  <c r="H200" i="5"/>
  <c r="J200" s="1"/>
  <c r="K200" s="1"/>
  <c r="G13" i="7" s="1"/>
  <c r="H201" i="5"/>
  <c r="J201" s="1"/>
  <c r="K201" s="1"/>
  <c r="H13" i="7" s="1"/>
  <c r="H202" i="5"/>
  <c r="J202" s="1"/>
  <c r="K202" s="1"/>
  <c r="I13" i="7" s="1"/>
  <c r="H203" i="5"/>
  <c r="J203" s="1"/>
  <c r="K203" s="1"/>
  <c r="J13" i="7" s="1"/>
  <c r="H204" i="5"/>
  <c r="J204" s="1"/>
  <c r="K204" s="1"/>
  <c r="K13" i="7" s="1"/>
  <c r="H205" i="5"/>
  <c r="J205" s="1"/>
  <c r="K205" s="1"/>
  <c r="L13" i="7" s="1"/>
  <c r="H206" i="5"/>
  <c r="J206" s="1"/>
  <c r="K206" s="1"/>
  <c r="M13" i="7" s="1"/>
  <c r="H207" i="5"/>
  <c r="J207" s="1"/>
  <c r="K207" s="1"/>
  <c r="N13" i="7" s="1"/>
  <c r="H208" i="5"/>
  <c r="J208" s="1"/>
  <c r="K208" s="1"/>
  <c r="O13" i="7" s="1"/>
  <c r="H209" i="5"/>
  <c r="J209" s="1"/>
  <c r="K209" s="1"/>
  <c r="P13" i="7" s="1"/>
  <c r="H210" i="5"/>
  <c r="J210" s="1"/>
  <c r="K210" s="1"/>
  <c r="Q13" i="7" s="1"/>
  <c r="H211" i="5"/>
  <c r="J211" s="1"/>
  <c r="K211" s="1"/>
  <c r="R13" i="7" s="1"/>
  <c r="H212" i="5"/>
  <c r="J212" s="1"/>
  <c r="K212" s="1"/>
  <c r="S13" i="7" s="1"/>
  <c r="H213" i="5"/>
  <c r="J213" s="1"/>
  <c r="K213" s="1"/>
  <c r="T13" i="7" s="1"/>
  <c r="H214" i="5"/>
  <c r="J214" s="1"/>
  <c r="K214" s="1"/>
  <c r="U13" i="7" s="1"/>
  <c r="H215" i="5"/>
  <c r="J215" s="1"/>
  <c r="K215" s="1"/>
  <c r="V13" i="7" s="1"/>
  <c r="H216" i="5"/>
  <c r="J216" s="1"/>
  <c r="K216" s="1"/>
  <c r="W13" i="7" s="1"/>
  <c r="H217" i="5"/>
  <c r="J217" s="1"/>
  <c r="K217" s="1"/>
  <c r="X13" i="7" s="1"/>
  <c r="H218" i="5"/>
  <c r="J218" s="1"/>
  <c r="K218" s="1"/>
  <c r="Y13" i="7" s="1"/>
  <c r="H219" i="5"/>
  <c r="J219" s="1"/>
  <c r="K219" s="1"/>
  <c r="H220"/>
  <c r="J220" s="1"/>
  <c r="K220" s="1"/>
  <c r="C14" i="7" s="1"/>
  <c r="H221" i="5"/>
  <c r="J221" s="1"/>
  <c r="K221" s="1"/>
  <c r="D14" i="7" s="1"/>
  <c r="H222" i="5"/>
  <c r="J222" s="1"/>
  <c r="K222" s="1"/>
  <c r="E14" i="7" s="1"/>
  <c r="H223" i="5"/>
  <c r="J223" s="1"/>
  <c r="K223" s="1"/>
  <c r="F14" i="7" s="1"/>
  <c r="H224" i="5"/>
  <c r="J224" s="1"/>
  <c r="K224" s="1"/>
  <c r="G14" i="7" s="1"/>
  <c r="H225" i="5"/>
  <c r="J225" s="1"/>
  <c r="K225" s="1"/>
  <c r="H14" i="7" s="1"/>
  <c r="H226" i="5"/>
  <c r="J226" s="1"/>
  <c r="K226" s="1"/>
  <c r="I14" i="7" s="1"/>
  <c r="H227" i="5"/>
  <c r="J227" s="1"/>
  <c r="K227" s="1"/>
  <c r="J14" i="7" s="1"/>
  <c r="H228" i="5"/>
  <c r="J228" s="1"/>
  <c r="K228" s="1"/>
  <c r="K14" i="7" s="1"/>
  <c r="H229" i="5"/>
  <c r="J229" s="1"/>
  <c r="K229" s="1"/>
  <c r="L14" i="7" s="1"/>
  <c r="H230" i="5"/>
  <c r="J230" s="1"/>
  <c r="K230" s="1"/>
  <c r="M14" i="7" s="1"/>
  <c r="H231" i="5"/>
  <c r="J231" s="1"/>
  <c r="K231" s="1"/>
  <c r="N14" i="7" s="1"/>
  <c r="H232" i="5"/>
  <c r="J232" s="1"/>
  <c r="K232" s="1"/>
  <c r="O14" i="7" s="1"/>
  <c r="H233" i="5"/>
  <c r="J233" s="1"/>
  <c r="K233" s="1"/>
  <c r="P14" i="7" s="1"/>
  <c r="H234" i="5"/>
  <c r="J234" s="1"/>
  <c r="K234" s="1"/>
  <c r="Q14" i="7" s="1"/>
  <c r="H235" i="5"/>
  <c r="J235" s="1"/>
  <c r="K235" s="1"/>
  <c r="R14" i="7" s="1"/>
  <c r="H236" i="5"/>
  <c r="J236" s="1"/>
  <c r="K236" s="1"/>
  <c r="S14" i="7" s="1"/>
  <c r="H237" i="5"/>
  <c r="J237" s="1"/>
  <c r="K237" s="1"/>
  <c r="T14" i="7" s="1"/>
  <c r="H238" i="5"/>
  <c r="J238" s="1"/>
  <c r="K238" s="1"/>
  <c r="U14" i="7" s="1"/>
  <c r="H239" i="5"/>
  <c r="J239" s="1"/>
  <c r="K239" s="1"/>
  <c r="V14" i="7" s="1"/>
  <c r="H240" i="5"/>
  <c r="J240" s="1"/>
  <c r="K240" s="1"/>
  <c r="W14" i="7" s="1"/>
  <c r="H241" i="5"/>
  <c r="J241" s="1"/>
  <c r="K241" s="1"/>
  <c r="X14" i="7" s="1"/>
  <c r="H242" i="5"/>
  <c r="J242" s="1"/>
  <c r="K242" s="1"/>
  <c r="Y14" i="7" s="1"/>
  <c r="H243" i="5"/>
  <c r="J243" s="1"/>
  <c r="K243" s="1"/>
  <c r="H244"/>
  <c r="J244" s="1"/>
  <c r="K244" s="1"/>
  <c r="C15" i="7" s="1"/>
  <c r="H245" i="5"/>
  <c r="J245" s="1"/>
  <c r="K245" s="1"/>
  <c r="D15" i="7" s="1"/>
  <c r="H246" i="5"/>
  <c r="J246" s="1"/>
  <c r="K246" s="1"/>
  <c r="E15" i="7" s="1"/>
  <c r="H247" i="5"/>
  <c r="J247" s="1"/>
  <c r="K247" s="1"/>
  <c r="F15" i="7" s="1"/>
  <c r="H248" i="5"/>
  <c r="J248" s="1"/>
  <c r="K248" s="1"/>
  <c r="G15" i="7" s="1"/>
  <c r="H249" i="5"/>
  <c r="J249" s="1"/>
  <c r="K249" s="1"/>
  <c r="H15" i="7" s="1"/>
  <c r="H250" i="5"/>
  <c r="J250" s="1"/>
  <c r="K250" s="1"/>
  <c r="I15" i="7" s="1"/>
  <c r="H251" i="5"/>
  <c r="J251" s="1"/>
  <c r="K251" s="1"/>
  <c r="J15" i="7" s="1"/>
  <c r="H252" i="5"/>
  <c r="J252" s="1"/>
  <c r="K252" s="1"/>
  <c r="K15" i="7" s="1"/>
  <c r="H253" i="5"/>
  <c r="J253" s="1"/>
  <c r="K253" s="1"/>
  <c r="L15" i="7" s="1"/>
  <c r="H254" i="5"/>
  <c r="J254" s="1"/>
  <c r="K254" s="1"/>
  <c r="M15" i="7" s="1"/>
  <c r="H255" i="5"/>
  <c r="J255" s="1"/>
  <c r="K255" s="1"/>
  <c r="N15" i="7" s="1"/>
  <c r="H256" i="5"/>
  <c r="J256" s="1"/>
  <c r="K256" s="1"/>
  <c r="O15" i="7" s="1"/>
  <c r="H257" i="5"/>
  <c r="J257" s="1"/>
  <c r="K257" s="1"/>
  <c r="P15" i="7" s="1"/>
  <c r="H258" i="5"/>
  <c r="J258" s="1"/>
  <c r="K258" s="1"/>
  <c r="Q15" i="7" s="1"/>
  <c r="H259" i="5"/>
  <c r="J259" s="1"/>
  <c r="K259" s="1"/>
  <c r="R15" i="7" s="1"/>
  <c r="H260" i="5"/>
  <c r="J260" s="1"/>
  <c r="K260" s="1"/>
  <c r="S15" i="7" s="1"/>
  <c r="H261" i="5"/>
  <c r="J261" s="1"/>
  <c r="K261" s="1"/>
  <c r="T15" i="7" s="1"/>
  <c r="H262" i="5"/>
  <c r="J262" s="1"/>
  <c r="K262" s="1"/>
  <c r="U15" i="7" s="1"/>
  <c r="H263" i="5"/>
  <c r="J263" s="1"/>
  <c r="K263" s="1"/>
  <c r="V15" i="7" s="1"/>
  <c r="H264" i="5"/>
  <c r="J264" s="1"/>
  <c r="K264" s="1"/>
  <c r="W15" i="7" s="1"/>
  <c r="H265" i="5"/>
  <c r="J265" s="1"/>
  <c r="K265" s="1"/>
  <c r="X15" i="7" s="1"/>
  <c r="H266" i="5"/>
  <c r="J266" s="1"/>
  <c r="K266" s="1"/>
  <c r="Y15" i="7" s="1"/>
  <c r="H267" i="5"/>
  <c r="J267" s="1"/>
  <c r="K267" s="1"/>
  <c r="H268"/>
  <c r="J268" s="1"/>
  <c r="K268" s="1"/>
  <c r="C16" i="7" s="1"/>
  <c r="H269" i="5"/>
  <c r="J269" s="1"/>
  <c r="K269" s="1"/>
  <c r="D16" i="7" s="1"/>
  <c r="H270" i="5"/>
  <c r="J270" s="1"/>
  <c r="K270" s="1"/>
  <c r="E16" i="7" s="1"/>
  <c r="H271" i="5"/>
  <c r="J271" s="1"/>
  <c r="K271" s="1"/>
  <c r="F16" i="7" s="1"/>
  <c r="H272" i="5"/>
  <c r="J272" s="1"/>
  <c r="K272" s="1"/>
  <c r="G16" i="7" s="1"/>
  <c r="H273" i="5"/>
  <c r="J273" s="1"/>
  <c r="K273" s="1"/>
  <c r="H16" i="7" s="1"/>
  <c r="H274" i="5"/>
  <c r="J274" s="1"/>
  <c r="K274" s="1"/>
  <c r="I16" i="7" s="1"/>
  <c r="H275" i="5"/>
  <c r="J275" s="1"/>
  <c r="K275" s="1"/>
  <c r="J16" i="7" s="1"/>
  <c r="H276" i="5"/>
  <c r="J276" s="1"/>
  <c r="K276" s="1"/>
  <c r="K16" i="7" s="1"/>
  <c r="H277" i="5"/>
  <c r="J277" s="1"/>
  <c r="K277" s="1"/>
  <c r="L16" i="7" s="1"/>
  <c r="H278" i="5"/>
  <c r="J278" s="1"/>
  <c r="K278" s="1"/>
  <c r="M16" i="7" s="1"/>
  <c r="H279" i="5"/>
  <c r="J279" s="1"/>
  <c r="K279" s="1"/>
  <c r="N16" i="7" s="1"/>
  <c r="H280" i="5"/>
  <c r="J280" s="1"/>
  <c r="K280" s="1"/>
  <c r="O16" i="7" s="1"/>
  <c r="H281" i="5"/>
  <c r="J281" s="1"/>
  <c r="K281" s="1"/>
  <c r="P16" i="7" s="1"/>
  <c r="H282" i="5"/>
  <c r="J282" s="1"/>
  <c r="K282" s="1"/>
  <c r="Q16" i="7" s="1"/>
  <c r="H283" i="5"/>
  <c r="J283" s="1"/>
  <c r="K283" s="1"/>
  <c r="R16" i="7" s="1"/>
  <c r="H284" i="5"/>
  <c r="J284" s="1"/>
  <c r="K284" s="1"/>
  <c r="S16" i="7" s="1"/>
  <c r="H285" i="5"/>
  <c r="J285" s="1"/>
  <c r="K285" s="1"/>
  <c r="T16" i="7" s="1"/>
  <c r="H286" i="5"/>
  <c r="J286" s="1"/>
  <c r="K286" s="1"/>
  <c r="U16" i="7" s="1"/>
  <c r="H287" i="5"/>
  <c r="J287" s="1"/>
  <c r="K287" s="1"/>
  <c r="V16" i="7" s="1"/>
  <c r="H288" i="5"/>
  <c r="J288" s="1"/>
  <c r="K288" s="1"/>
  <c r="W16" i="7" s="1"/>
  <c r="H289" i="5"/>
  <c r="J289" s="1"/>
  <c r="K289" s="1"/>
  <c r="X16" i="7" s="1"/>
  <c r="H290" i="5"/>
  <c r="J290" s="1"/>
  <c r="K290" s="1"/>
  <c r="Y16" i="7" s="1"/>
  <c r="H291" i="5"/>
  <c r="J291" s="1"/>
  <c r="K291" s="1"/>
  <c r="H292"/>
  <c r="J292" s="1"/>
  <c r="K292" s="1"/>
  <c r="C17" i="7" s="1"/>
  <c r="H293" i="5"/>
  <c r="J293" s="1"/>
  <c r="K293" s="1"/>
  <c r="D17" i="7" s="1"/>
  <c r="H294" i="5"/>
  <c r="J294" s="1"/>
  <c r="K294" s="1"/>
  <c r="E17" i="7" s="1"/>
  <c r="H295" i="5"/>
  <c r="J295" s="1"/>
  <c r="K295" s="1"/>
  <c r="F17" i="7" s="1"/>
  <c r="H296" i="5"/>
  <c r="J296" s="1"/>
  <c r="K296" s="1"/>
  <c r="G17" i="7" s="1"/>
  <c r="H297" i="5"/>
  <c r="J297" s="1"/>
  <c r="K297" s="1"/>
  <c r="H17" i="7" s="1"/>
  <c r="H298" i="5"/>
  <c r="J298" s="1"/>
  <c r="K298" s="1"/>
  <c r="I17" i="7" s="1"/>
  <c r="H299" i="5"/>
  <c r="J299" s="1"/>
  <c r="K299" s="1"/>
  <c r="J17" i="7" s="1"/>
  <c r="H300" i="5"/>
  <c r="J300" s="1"/>
  <c r="K300" s="1"/>
  <c r="K17" i="7" s="1"/>
  <c r="H301" i="5"/>
  <c r="J301" s="1"/>
  <c r="K301" s="1"/>
  <c r="L17" i="7" s="1"/>
  <c r="H302" i="5"/>
  <c r="J302" s="1"/>
  <c r="K302" s="1"/>
  <c r="M17" i="7" s="1"/>
  <c r="H303" i="5"/>
  <c r="J303" s="1"/>
  <c r="K303" s="1"/>
  <c r="N17" i="7" s="1"/>
  <c r="H304" i="5"/>
  <c r="J304" s="1"/>
  <c r="K304" s="1"/>
  <c r="O17" i="7" s="1"/>
  <c r="H305" i="5"/>
  <c r="J305" s="1"/>
  <c r="K305" s="1"/>
  <c r="P17" i="7" s="1"/>
  <c r="H306" i="5"/>
  <c r="J306" s="1"/>
  <c r="K306" s="1"/>
  <c r="Q17" i="7" s="1"/>
  <c r="H307" i="5"/>
  <c r="J307" s="1"/>
  <c r="K307" s="1"/>
  <c r="R17" i="7" s="1"/>
  <c r="H308" i="5"/>
  <c r="J308" s="1"/>
  <c r="K308" s="1"/>
  <c r="S17" i="7" s="1"/>
  <c r="H309" i="5"/>
  <c r="J309" s="1"/>
  <c r="K309" s="1"/>
  <c r="T17" i="7" s="1"/>
  <c r="H310" i="5"/>
  <c r="J310" s="1"/>
  <c r="K310" s="1"/>
  <c r="U17" i="7" s="1"/>
  <c r="H311" i="5"/>
  <c r="J311" s="1"/>
  <c r="K311" s="1"/>
  <c r="V17" i="7" s="1"/>
  <c r="H312" i="5"/>
  <c r="J312" s="1"/>
  <c r="K312" s="1"/>
  <c r="W17" i="7" s="1"/>
  <c r="H313" i="5"/>
  <c r="J313" s="1"/>
  <c r="K313" s="1"/>
  <c r="X17" i="7" s="1"/>
  <c r="H314" i="5"/>
  <c r="J314" s="1"/>
  <c r="K314" s="1"/>
  <c r="Y17" i="7" s="1"/>
  <c r="H315" i="5"/>
  <c r="J315" s="1"/>
  <c r="K315" s="1"/>
  <c r="H316"/>
  <c r="J316" s="1"/>
  <c r="K316" s="1"/>
  <c r="H317"/>
  <c r="J317" s="1"/>
  <c r="K317" s="1"/>
  <c r="D18" i="7" s="1"/>
  <c r="H318" i="5"/>
  <c r="J318" s="1"/>
  <c r="K318" s="1"/>
  <c r="H319"/>
  <c r="J319" s="1"/>
  <c r="K319" s="1"/>
  <c r="F18" i="7" s="1"/>
  <c r="H320" i="5"/>
  <c r="J320" s="1"/>
  <c r="K320" s="1"/>
  <c r="G18" i="7" s="1"/>
  <c r="H321" i="5"/>
  <c r="J321" s="1"/>
  <c r="K321" s="1"/>
  <c r="H18" i="7" s="1"/>
  <c r="H322" i="5"/>
  <c r="J322" s="1"/>
  <c r="K322" s="1"/>
  <c r="I18" i="7" s="1"/>
  <c r="H323" i="5"/>
  <c r="J323" s="1"/>
  <c r="K323" s="1"/>
  <c r="J18" i="7" s="1"/>
  <c r="H324" i="5"/>
  <c r="J324" s="1"/>
  <c r="K324" s="1"/>
  <c r="K18" i="7" s="1"/>
  <c r="H325" i="5"/>
  <c r="J325" s="1"/>
  <c r="K325" s="1"/>
  <c r="L18" i="7" s="1"/>
  <c r="H326" i="5"/>
  <c r="J326" s="1"/>
  <c r="K326" s="1"/>
  <c r="M18" i="7" s="1"/>
  <c r="H327" i="5"/>
  <c r="J327" s="1"/>
  <c r="K327" s="1"/>
  <c r="N18" i="7" s="1"/>
  <c r="H328" i="5"/>
  <c r="J328" s="1"/>
  <c r="K328" s="1"/>
  <c r="O18" i="7" s="1"/>
  <c r="H329" i="5"/>
  <c r="J329" s="1"/>
  <c r="K329" s="1"/>
  <c r="P18" i="7" s="1"/>
  <c r="H330" i="5"/>
  <c r="J330" s="1"/>
  <c r="K330" s="1"/>
  <c r="Q18" i="7" s="1"/>
  <c r="H331" i="5"/>
  <c r="J331" s="1"/>
  <c r="K331" s="1"/>
  <c r="R18" i="7" s="1"/>
  <c r="H332" i="5"/>
  <c r="J332" s="1"/>
  <c r="K332" s="1"/>
  <c r="S18" i="7" s="1"/>
  <c r="H333" i="5"/>
  <c r="J333" s="1"/>
  <c r="K333" s="1"/>
  <c r="T18" i="7" s="1"/>
  <c r="H334" i="5"/>
  <c r="J334" s="1"/>
  <c r="K334" s="1"/>
  <c r="U18" i="7" s="1"/>
  <c r="H335" i="5"/>
  <c r="J335" s="1"/>
  <c r="K335" s="1"/>
  <c r="V18" i="7" s="1"/>
  <c r="H336" i="5"/>
  <c r="J336" s="1"/>
  <c r="K336" s="1"/>
  <c r="W18" i="7" s="1"/>
  <c r="H337" i="5"/>
  <c r="J337" s="1"/>
  <c r="K337" s="1"/>
  <c r="X18" i="7" s="1"/>
  <c r="H338" i="5"/>
  <c r="J338" s="1"/>
  <c r="K338" s="1"/>
  <c r="Y18" i="7" s="1"/>
  <c r="H339" i="5"/>
  <c r="J339" s="1"/>
  <c r="K339" s="1"/>
  <c r="H340"/>
  <c r="J340" s="1"/>
  <c r="K340" s="1"/>
  <c r="C19" i="7" s="1"/>
  <c r="H341" i="5"/>
  <c r="J341" s="1"/>
  <c r="K341" s="1"/>
  <c r="D19" i="7" s="1"/>
  <c r="H342" i="5"/>
  <c r="J342" s="1"/>
  <c r="K342" s="1"/>
  <c r="E19" i="7" s="1"/>
  <c r="H343" i="5"/>
  <c r="J343" s="1"/>
  <c r="K343" s="1"/>
  <c r="F19" i="7" s="1"/>
  <c r="H344" i="5"/>
  <c r="J344" s="1"/>
  <c r="K344" s="1"/>
  <c r="G19" i="7" s="1"/>
  <c r="H345" i="5"/>
  <c r="J345" s="1"/>
  <c r="K345" s="1"/>
  <c r="H19" i="7" s="1"/>
  <c r="H346" i="5"/>
  <c r="J346" s="1"/>
  <c r="K346" s="1"/>
  <c r="I19" i="7" s="1"/>
  <c r="H347" i="5"/>
  <c r="J347" s="1"/>
  <c r="K347" s="1"/>
  <c r="J19" i="7" s="1"/>
  <c r="H348" i="5"/>
  <c r="J348" s="1"/>
  <c r="K348" s="1"/>
  <c r="K19" i="7" s="1"/>
  <c r="H349" i="5"/>
  <c r="J349" s="1"/>
  <c r="K349" s="1"/>
  <c r="L19" i="7" s="1"/>
  <c r="H350" i="5"/>
  <c r="J350" s="1"/>
  <c r="K350" s="1"/>
  <c r="M19" i="7" s="1"/>
  <c r="H351" i="5"/>
  <c r="J351" s="1"/>
  <c r="K351" s="1"/>
  <c r="N19" i="7" s="1"/>
  <c r="H352" i="5"/>
  <c r="J352" s="1"/>
  <c r="K352" s="1"/>
  <c r="O19" i="7" s="1"/>
  <c r="H353" i="5"/>
  <c r="J353" s="1"/>
  <c r="K353" s="1"/>
  <c r="P19" i="7" s="1"/>
  <c r="H354" i="5"/>
  <c r="J354" s="1"/>
  <c r="K354" s="1"/>
  <c r="Q19" i="7" s="1"/>
  <c r="H355" i="5"/>
  <c r="J355" s="1"/>
  <c r="K355" s="1"/>
  <c r="R19" i="7" s="1"/>
  <c r="H356" i="5"/>
  <c r="J356" s="1"/>
  <c r="K356" s="1"/>
  <c r="S19" i="7" s="1"/>
  <c r="H357" i="5"/>
  <c r="J357" s="1"/>
  <c r="K357" s="1"/>
  <c r="T19" i="7" s="1"/>
  <c r="H358" i="5"/>
  <c r="J358" s="1"/>
  <c r="K358" s="1"/>
  <c r="U19" i="7" s="1"/>
  <c r="H359" i="5"/>
  <c r="J359" s="1"/>
  <c r="K359" s="1"/>
  <c r="V19" i="7" s="1"/>
  <c r="H360" i="5"/>
  <c r="J360" s="1"/>
  <c r="K360" s="1"/>
  <c r="W19" i="7" s="1"/>
  <c r="H361" i="5"/>
  <c r="J361" s="1"/>
  <c r="K361" s="1"/>
  <c r="X19" i="7" s="1"/>
  <c r="H362" i="5"/>
  <c r="J362" s="1"/>
  <c r="K362" s="1"/>
  <c r="Y19" i="7" s="1"/>
  <c r="H363" i="5"/>
  <c r="J363" s="1"/>
  <c r="K363" s="1"/>
  <c r="H364"/>
  <c r="J364" s="1"/>
  <c r="K364" s="1"/>
  <c r="C20" i="7" s="1"/>
  <c r="H365" i="5"/>
  <c r="J365" s="1"/>
  <c r="K365" s="1"/>
  <c r="D20" i="7" s="1"/>
  <c r="H366" i="5"/>
  <c r="J366" s="1"/>
  <c r="K366" s="1"/>
  <c r="E20" i="7" s="1"/>
  <c r="H367" i="5"/>
  <c r="J367" s="1"/>
  <c r="K367" s="1"/>
  <c r="F20" i="7" s="1"/>
  <c r="H368" i="5"/>
  <c r="J368" s="1"/>
  <c r="K368" s="1"/>
  <c r="G20" i="7" s="1"/>
  <c r="H369" i="5"/>
  <c r="J369" s="1"/>
  <c r="K369" s="1"/>
  <c r="H20" i="7" s="1"/>
  <c r="H370" i="5"/>
  <c r="J370" s="1"/>
  <c r="K370" s="1"/>
  <c r="I20" i="7" s="1"/>
  <c r="H371" i="5"/>
  <c r="J371" s="1"/>
  <c r="K371" s="1"/>
  <c r="J20" i="7" s="1"/>
  <c r="H372" i="5"/>
  <c r="J372" s="1"/>
  <c r="K372" s="1"/>
  <c r="K20" i="7" s="1"/>
  <c r="H373" i="5"/>
  <c r="J373" s="1"/>
  <c r="K373" s="1"/>
  <c r="L20" i="7" s="1"/>
  <c r="H374" i="5"/>
  <c r="J374" s="1"/>
  <c r="K374" s="1"/>
  <c r="M20" i="7" s="1"/>
  <c r="H375" i="5"/>
  <c r="J375" s="1"/>
  <c r="K375" s="1"/>
  <c r="N20" i="7" s="1"/>
  <c r="H376" i="5"/>
  <c r="J376" s="1"/>
  <c r="K376" s="1"/>
  <c r="O20" i="7" s="1"/>
  <c r="H377" i="5"/>
  <c r="J377" s="1"/>
  <c r="K377" s="1"/>
  <c r="P20" i="7" s="1"/>
  <c r="H378" i="5"/>
  <c r="J378" s="1"/>
  <c r="K378" s="1"/>
  <c r="Q20" i="7" s="1"/>
  <c r="H379" i="5"/>
  <c r="J379" s="1"/>
  <c r="K379" s="1"/>
  <c r="R20" i="7" s="1"/>
  <c r="H380" i="5"/>
  <c r="J380" s="1"/>
  <c r="K380" s="1"/>
  <c r="S20" i="7" s="1"/>
  <c r="H381" i="5"/>
  <c r="J381" s="1"/>
  <c r="K381" s="1"/>
  <c r="T20" i="7" s="1"/>
  <c r="H382" i="5"/>
  <c r="J382" s="1"/>
  <c r="K382" s="1"/>
  <c r="U20" i="7" s="1"/>
  <c r="H383" i="5"/>
  <c r="J383" s="1"/>
  <c r="K383" s="1"/>
  <c r="V20" i="7" s="1"/>
  <c r="H384" i="5"/>
  <c r="J384" s="1"/>
  <c r="K384" s="1"/>
  <c r="W20" i="7" s="1"/>
  <c r="H385" i="5"/>
  <c r="J385" s="1"/>
  <c r="K385" s="1"/>
  <c r="X20" i="7" s="1"/>
  <c r="H386" i="5"/>
  <c r="J386" s="1"/>
  <c r="K386" s="1"/>
  <c r="Y20" i="7" s="1"/>
  <c r="H387" i="5"/>
  <c r="J387" s="1"/>
  <c r="K387" s="1"/>
  <c r="H388"/>
  <c r="J388" s="1"/>
  <c r="K388" s="1"/>
  <c r="C21" i="7" s="1"/>
  <c r="H389" i="5"/>
  <c r="J389" s="1"/>
  <c r="K389" s="1"/>
  <c r="D21" i="7" s="1"/>
  <c r="H390" i="5"/>
  <c r="J390" s="1"/>
  <c r="K390" s="1"/>
  <c r="E21" i="7" s="1"/>
  <c r="H391" i="5"/>
  <c r="J391" s="1"/>
  <c r="K391" s="1"/>
  <c r="F21" i="7" s="1"/>
  <c r="H392" i="5"/>
  <c r="J392" s="1"/>
  <c r="K392" s="1"/>
  <c r="G21" i="7" s="1"/>
  <c r="H393" i="5"/>
  <c r="J393" s="1"/>
  <c r="K393" s="1"/>
  <c r="H21" i="7" s="1"/>
  <c r="H394" i="5"/>
  <c r="J394" s="1"/>
  <c r="K394" s="1"/>
  <c r="I21" i="7" s="1"/>
  <c r="H395" i="5"/>
  <c r="J395" s="1"/>
  <c r="K395" s="1"/>
  <c r="J21" i="7" s="1"/>
  <c r="H396" i="5"/>
  <c r="J396" s="1"/>
  <c r="K396" s="1"/>
  <c r="K21" i="7" s="1"/>
  <c r="H397" i="5"/>
  <c r="J397" s="1"/>
  <c r="K397" s="1"/>
  <c r="L21" i="7" s="1"/>
  <c r="H398" i="5"/>
  <c r="J398" s="1"/>
  <c r="K398" s="1"/>
  <c r="M21" i="7" s="1"/>
  <c r="H399" i="5"/>
  <c r="J399" s="1"/>
  <c r="K399" s="1"/>
  <c r="N21" i="7" s="1"/>
  <c r="H400" i="5"/>
  <c r="J400" s="1"/>
  <c r="K400" s="1"/>
  <c r="O21" i="7" s="1"/>
  <c r="H401" i="5"/>
  <c r="J401" s="1"/>
  <c r="K401" s="1"/>
  <c r="P21" i="7" s="1"/>
  <c r="H402" i="5"/>
  <c r="J402" s="1"/>
  <c r="K402" s="1"/>
  <c r="Q21" i="7" s="1"/>
  <c r="H403" i="5"/>
  <c r="J403" s="1"/>
  <c r="K403" s="1"/>
  <c r="R21" i="7" s="1"/>
  <c r="H404" i="5"/>
  <c r="J404" s="1"/>
  <c r="K404" s="1"/>
  <c r="S21" i="7" s="1"/>
  <c r="H405" i="5"/>
  <c r="J405" s="1"/>
  <c r="K405" s="1"/>
  <c r="T21" i="7" s="1"/>
  <c r="H406" i="5"/>
  <c r="J406" s="1"/>
  <c r="K406" s="1"/>
  <c r="U21" i="7" s="1"/>
  <c r="H407" i="5"/>
  <c r="J407" s="1"/>
  <c r="K407" s="1"/>
  <c r="V21" i="7" s="1"/>
  <c r="H408" i="5"/>
  <c r="J408" s="1"/>
  <c r="K408" s="1"/>
  <c r="W21" i="7" s="1"/>
  <c r="H409" i="5"/>
  <c r="J409" s="1"/>
  <c r="K409" s="1"/>
  <c r="X21" i="7" s="1"/>
  <c r="H410" i="5"/>
  <c r="J410" s="1"/>
  <c r="K410" s="1"/>
  <c r="H411"/>
  <c r="J411" s="1"/>
  <c r="K411" s="1"/>
  <c r="H412"/>
  <c r="J412" s="1"/>
  <c r="K412" s="1"/>
  <c r="C22" i="7" s="1"/>
  <c r="H413" i="5"/>
  <c r="J413" s="1"/>
  <c r="K413" s="1"/>
  <c r="D22" i="7" s="1"/>
  <c r="H414" i="5"/>
  <c r="J414" s="1"/>
  <c r="K414" s="1"/>
  <c r="E22" i="7" s="1"/>
  <c r="H415" i="5"/>
  <c r="J415" s="1"/>
  <c r="K415" s="1"/>
  <c r="F22" i="7" s="1"/>
  <c r="H416" i="5"/>
  <c r="J416" s="1"/>
  <c r="K416" s="1"/>
  <c r="G22" i="7" s="1"/>
  <c r="H417" i="5"/>
  <c r="J417" s="1"/>
  <c r="K417" s="1"/>
  <c r="H22" i="7" s="1"/>
  <c r="H418" i="5"/>
  <c r="J418" s="1"/>
  <c r="K418" s="1"/>
  <c r="I22" i="7" s="1"/>
  <c r="H419" i="5"/>
  <c r="J419" s="1"/>
  <c r="K419" s="1"/>
  <c r="J22" i="7" s="1"/>
  <c r="H420" i="5"/>
  <c r="J420" s="1"/>
  <c r="K420" s="1"/>
  <c r="K22" i="7" s="1"/>
  <c r="H421" i="5"/>
  <c r="J421" s="1"/>
  <c r="K421" s="1"/>
  <c r="L22" i="7" s="1"/>
  <c r="H422" i="5"/>
  <c r="J422" s="1"/>
  <c r="K422" s="1"/>
  <c r="M22" i="7" s="1"/>
  <c r="H423" i="5"/>
  <c r="J423" s="1"/>
  <c r="K423" s="1"/>
  <c r="N22" i="7" s="1"/>
  <c r="H424" i="5"/>
  <c r="J424" s="1"/>
  <c r="K424" s="1"/>
  <c r="O22" i="7" s="1"/>
  <c r="H425" i="5"/>
  <c r="J425" s="1"/>
  <c r="K425" s="1"/>
  <c r="P22" i="7" s="1"/>
  <c r="H426" i="5"/>
  <c r="J426" s="1"/>
  <c r="K426" s="1"/>
  <c r="Q22" i="7" s="1"/>
  <c r="H427" i="5"/>
  <c r="J427" s="1"/>
  <c r="K427" s="1"/>
  <c r="R22" i="7" s="1"/>
  <c r="H428" i="5"/>
  <c r="J428" s="1"/>
  <c r="K428" s="1"/>
  <c r="S22" i="7" s="1"/>
  <c r="H429" i="5"/>
  <c r="J429" s="1"/>
  <c r="K429" s="1"/>
  <c r="T22" i="7" s="1"/>
  <c r="H430" i="5"/>
  <c r="J430" s="1"/>
  <c r="K430" s="1"/>
  <c r="U22" i="7" s="1"/>
  <c r="H431" i="5"/>
  <c r="J431" s="1"/>
  <c r="K431" s="1"/>
  <c r="V22" i="7" s="1"/>
  <c r="H432" i="5"/>
  <c r="J432" s="1"/>
  <c r="K432" s="1"/>
  <c r="W22" i="7" s="1"/>
  <c r="H433" i="5"/>
  <c r="J433" s="1"/>
  <c r="K433" s="1"/>
  <c r="X22" i="7" s="1"/>
  <c r="H434" i="5"/>
  <c r="J434" s="1"/>
  <c r="K434" s="1"/>
  <c r="Y22" i="7" s="1"/>
  <c r="H435" i="5"/>
  <c r="J435" s="1"/>
  <c r="K435" s="1"/>
  <c r="H436"/>
  <c r="J436" s="1"/>
  <c r="K436" s="1"/>
  <c r="C23" i="7" s="1"/>
  <c r="H437" i="5"/>
  <c r="J437" s="1"/>
  <c r="K437" s="1"/>
  <c r="D23" i="7" s="1"/>
  <c r="H438" i="5"/>
  <c r="J438" s="1"/>
  <c r="K438" s="1"/>
  <c r="E23" i="7" s="1"/>
  <c r="H439" i="5"/>
  <c r="J439" s="1"/>
  <c r="K439" s="1"/>
  <c r="F23" i="7" s="1"/>
  <c r="H440" i="5"/>
  <c r="J440" s="1"/>
  <c r="K440" s="1"/>
  <c r="G23" i="7" s="1"/>
  <c r="H441" i="5"/>
  <c r="J441" s="1"/>
  <c r="K441" s="1"/>
  <c r="H23" i="7" s="1"/>
  <c r="H442" i="5"/>
  <c r="J442" s="1"/>
  <c r="K442" s="1"/>
  <c r="I23" i="7" s="1"/>
  <c r="H443" i="5"/>
  <c r="J443" s="1"/>
  <c r="K443" s="1"/>
  <c r="J23" i="7" s="1"/>
  <c r="H444" i="5"/>
  <c r="J444" s="1"/>
  <c r="K444" s="1"/>
  <c r="K23" i="7" s="1"/>
  <c r="H445" i="5"/>
  <c r="J445" s="1"/>
  <c r="K445" s="1"/>
  <c r="L23" i="7" s="1"/>
  <c r="H446" i="5"/>
  <c r="J446" s="1"/>
  <c r="K446" s="1"/>
  <c r="M23" i="7" s="1"/>
  <c r="H447" i="5"/>
  <c r="J447" s="1"/>
  <c r="K447" s="1"/>
  <c r="N23" i="7" s="1"/>
  <c r="H448" i="5"/>
  <c r="J448" s="1"/>
  <c r="K448" s="1"/>
  <c r="O23" i="7" s="1"/>
  <c r="H449" i="5"/>
  <c r="J449" s="1"/>
  <c r="K449" s="1"/>
  <c r="P23" i="7" s="1"/>
  <c r="H450" i="5"/>
  <c r="J450" s="1"/>
  <c r="K450" s="1"/>
  <c r="Q23" i="7" s="1"/>
  <c r="H451" i="5"/>
  <c r="J451" s="1"/>
  <c r="K451" s="1"/>
  <c r="R23" i="7" s="1"/>
  <c r="H452" i="5"/>
  <c r="J452" s="1"/>
  <c r="K452" s="1"/>
  <c r="S23" i="7" s="1"/>
  <c r="H453" i="5"/>
  <c r="J453" s="1"/>
  <c r="K453" s="1"/>
  <c r="T23" i="7" s="1"/>
  <c r="H454" i="5"/>
  <c r="J454" s="1"/>
  <c r="K454" s="1"/>
  <c r="U23" i="7" s="1"/>
  <c r="H455" i="5"/>
  <c r="J455" s="1"/>
  <c r="K455" s="1"/>
  <c r="V23" i="7" s="1"/>
  <c r="H456" i="5"/>
  <c r="J456" s="1"/>
  <c r="K456" s="1"/>
  <c r="W23" i="7" s="1"/>
  <c r="H457" i="5"/>
  <c r="J457" s="1"/>
  <c r="K457" s="1"/>
  <c r="X23" i="7" s="1"/>
  <c r="H458" i="5"/>
  <c r="J458" s="1"/>
  <c r="K458" s="1"/>
  <c r="Y23" i="7" s="1"/>
  <c r="H459" i="5"/>
  <c r="J459" s="1"/>
  <c r="K459" s="1"/>
  <c r="H460"/>
  <c r="J460" s="1"/>
  <c r="K460" s="1"/>
  <c r="C24" i="7" s="1"/>
  <c r="H461" i="5"/>
  <c r="J461" s="1"/>
  <c r="K461" s="1"/>
  <c r="D24" i="7" s="1"/>
  <c r="H462" i="5"/>
  <c r="J462" s="1"/>
  <c r="K462" s="1"/>
  <c r="E24" i="7" s="1"/>
  <c r="H463" i="5"/>
  <c r="J463" s="1"/>
  <c r="K463" s="1"/>
  <c r="F24" i="7" s="1"/>
  <c r="H464" i="5"/>
  <c r="J464" s="1"/>
  <c r="K464" s="1"/>
  <c r="G24" i="7" s="1"/>
  <c r="H465" i="5"/>
  <c r="J465" s="1"/>
  <c r="K465" s="1"/>
  <c r="H24" i="7" s="1"/>
  <c r="H466" i="5"/>
  <c r="J466" s="1"/>
  <c r="K466" s="1"/>
  <c r="I24" i="7" s="1"/>
  <c r="H467" i="5"/>
  <c r="J467" s="1"/>
  <c r="K467" s="1"/>
  <c r="J24" i="7" s="1"/>
  <c r="H468" i="5"/>
  <c r="J468" s="1"/>
  <c r="K468" s="1"/>
  <c r="K24" i="7" s="1"/>
  <c r="H469" i="5"/>
  <c r="J469" s="1"/>
  <c r="K469" s="1"/>
  <c r="L24" i="7" s="1"/>
  <c r="H470" i="5"/>
  <c r="J470" s="1"/>
  <c r="K470" s="1"/>
  <c r="M24" i="7" s="1"/>
  <c r="H471" i="5"/>
  <c r="J471" s="1"/>
  <c r="K471" s="1"/>
  <c r="N24" i="7" s="1"/>
  <c r="H472" i="5"/>
  <c r="J472" s="1"/>
  <c r="K472" s="1"/>
  <c r="O24" i="7" s="1"/>
  <c r="H473" i="5"/>
  <c r="J473" s="1"/>
  <c r="K473" s="1"/>
  <c r="P24" i="7" s="1"/>
  <c r="H474" i="5"/>
  <c r="J474" s="1"/>
  <c r="K474" s="1"/>
  <c r="Q24" i="7" s="1"/>
  <c r="H475" i="5"/>
  <c r="J475" s="1"/>
  <c r="K475" s="1"/>
  <c r="R24" i="7" s="1"/>
  <c r="H476" i="5"/>
  <c r="J476" s="1"/>
  <c r="K476" s="1"/>
  <c r="S24" i="7" s="1"/>
  <c r="H477" i="5"/>
  <c r="J477" s="1"/>
  <c r="K477" s="1"/>
  <c r="T24" i="7" s="1"/>
  <c r="H478" i="5"/>
  <c r="J478" s="1"/>
  <c r="K478" s="1"/>
  <c r="U24" i="7" s="1"/>
  <c r="H479" i="5"/>
  <c r="J479" s="1"/>
  <c r="K479" s="1"/>
  <c r="V24" i="7" s="1"/>
  <c r="H480" i="5"/>
  <c r="J480" s="1"/>
  <c r="K480" s="1"/>
  <c r="W24" i="7" s="1"/>
  <c r="H481" i="5"/>
  <c r="J481" s="1"/>
  <c r="K481" s="1"/>
  <c r="X24" i="7" s="1"/>
  <c r="H482" i="5"/>
  <c r="J482" s="1"/>
  <c r="K482" s="1"/>
  <c r="Y24" i="7" s="1"/>
  <c r="H483" i="5"/>
  <c r="J483" s="1"/>
  <c r="K483" s="1"/>
  <c r="H484"/>
  <c r="J484" s="1"/>
  <c r="K484" s="1"/>
  <c r="C25" i="7" s="1"/>
  <c r="H485" i="5"/>
  <c r="J485" s="1"/>
  <c r="K485" s="1"/>
  <c r="D25" i="7" s="1"/>
  <c r="H486" i="5"/>
  <c r="J486" s="1"/>
  <c r="K486" s="1"/>
  <c r="E25" i="7" s="1"/>
  <c r="H487" i="5"/>
  <c r="J487" s="1"/>
  <c r="K487" s="1"/>
  <c r="F25" i="7" s="1"/>
  <c r="H488" i="5"/>
  <c r="J488" s="1"/>
  <c r="K488" s="1"/>
  <c r="G25" i="7" s="1"/>
  <c r="H489" i="5"/>
  <c r="J489" s="1"/>
  <c r="K489" s="1"/>
  <c r="H25" i="7" s="1"/>
  <c r="H490" i="5"/>
  <c r="J490" s="1"/>
  <c r="K490" s="1"/>
  <c r="I25" i="7" s="1"/>
  <c r="H491" i="5"/>
  <c r="J491" s="1"/>
  <c r="K491" s="1"/>
  <c r="J25" i="7" s="1"/>
  <c r="H492" i="5"/>
  <c r="J492" s="1"/>
  <c r="K492" s="1"/>
  <c r="K25" i="7" s="1"/>
  <c r="H493" i="5"/>
  <c r="J493" s="1"/>
  <c r="K493" s="1"/>
  <c r="L25" i="7" s="1"/>
  <c r="H494" i="5"/>
  <c r="J494" s="1"/>
  <c r="K494" s="1"/>
  <c r="M25" i="7" s="1"/>
  <c r="H495" i="5"/>
  <c r="J495" s="1"/>
  <c r="K495" s="1"/>
  <c r="N25" i="7" s="1"/>
  <c r="H496" i="5"/>
  <c r="J496" s="1"/>
  <c r="K496" s="1"/>
  <c r="O25" i="7" s="1"/>
  <c r="H497" i="5"/>
  <c r="J497" s="1"/>
  <c r="K497" s="1"/>
  <c r="P25" i="7" s="1"/>
  <c r="H498" i="5"/>
  <c r="J498" s="1"/>
  <c r="K498" s="1"/>
  <c r="Q25" i="7" s="1"/>
  <c r="H499" i="5"/>
  <c r="J499" s="1"/>
  <c r="K499" s="1"/>
  <c r="R25" i="7" s="1"/>
  <c r="H500" i="5"/>
  <c r="J500" s="1"/>
  <c r="K500" s="1"/>
  <c r="S25" i="7" s="1"/>
  <c r="H501" i="5"/>
  <c r="J501" s="1"/>
  <c r="K501" s="1"/>
  <c r="T25" i="7" s="1"/>
  <c r="H502" i="5"/>
  <c r="J502" s="1"/>
  <c r="K502" s="1"/>
  <c r="U25" i="7" s="1"/>
  <c r="H503" i="5"/>
  <c r="J503" s="1"/>
  <c r="K503" s="1"/>
  <c r="V25" i="7" s="1"/>
  <c r="H504" i="5"/>
  <c r="J504" s="1"/>
  <c r="K504" s="1"/>
  <c r="W25" i="7" s="1"/>
  <c r="H505" i="5"/>
  <c r="J505" s="1"/>
  <c r="K505" s="1"/>
  <c r="X25" i="7" s="1"/>
  <c r="H506" i="5"/>
  <c r="J506" s="1"/>
  <c r="K506" s="1"/>
  <c r="Y25" i="7" s="1"/>
  <c r="H507" i="5"/>
  <c r="J507" s="1"/>
  <c r="K507" s="1"/>
  <c r="H508"/>
  <c r="J508" s="1"/>
  <c r="K508" s="1"/>
  <c r="C26" i="7" s="1"/>
  <c r="H509" i="5"/>
  <c r="J509" s="1"/>
  <c r="K509" s="1"/>
  <c r="D26" i="7" s="1"/>
  <c r="H510" i="5"/>
  <c r="J510" s="1"/>
  <c r="K510" s="1"/>
  <c r="E26" i="7" s="1"/>
  <c r="H511" i="5"/>
  <c r="J511" s="1"/>
  <c r="K511" s="1"/>
  <c r="F26" i="7" s="1"/>
  <c r="H512" i="5"/>
  <c r="J512" s="1"/>
  <c r="K512" s="1"/>
  <c r="G26" i="7" s="1"/>
  <c r="H513" i="5"/>
  <c r="J513" s="1"/>
  <c r="K513" s="1"/>
  <c r="H26" i="7" s="1"/>
  <c r="H514" i="5"/>
  <c r="J514" s="1"/>
  <c r="K514" s="1"/>
  <c r="I26" i="7" s="1"/>
  <c r="H515" i="5"/>
  <c r="J515" s="1"/>
  <c r="K515" s="1"/>
  <c r="J26" i="7" s="1"/>
  <c r="H516" i="5"/>
  <c r="J516" s="1"/>
  <c r="K516" s="1"/>
  <c r="K26" i="7" s="1"/>
  <c r="H517" i="5"/>
  <c r="J517" s="1"/>
  <c r="K517" s="1"/>
  <c r="L26" i="7" s="1"/>
  <c r="H518" i="5"/>
  <c r="J518" s="1"/>
  <c r="K518" s="1"/>
  <c r="M26" i="7" s="1"/>
  <c r="H519" i="5"/>
  <c r="J519" s="1"/>
  <c r="K519" s="1"/>
  <c r="N26" i="7" s="1"/>
  <c r="H520" i="5"/>
  <c r="J520" s="1"/>
  <c r="K520" s="1"/>
  <c r="O26" i="7" s="1"/>
  <c r="H521" i="5"/>
  <c r="J521" s="1"/>
  <c r="K521" s="1"/>
  <c r="P26" i="7" s="1"/>
  <c r="H522" i="5"/>
  <c r="J522" s="1"/>
  <c r="K522" s="1"/>
  <c r="Q26" i="7" s="1"/>
  <c r="H523" i="5"/>
  <c r="J523" s="1"/>
  <c r="K523" s="1"/>
  <c r="R26" i="7" s="1"/>
  <c r="H524" i="5"/>
  <c r="J524" s="1"/>
  <c r="K524" s="1"/>
  <c r="S26" i="7" s="1"/>
  <c r="H525" i="5"/>
  <c r="J525" s="1"/>
  <c r="K525" s="1"/>
  <c r="T26" i="7" s="1"/>
  <c r="H526" i="5"/>
  <c r="J526" s="1"/>
  <c r="K526" s="1"/>
  <c r="U26" i="7" s="1"/>
  <c r="H527" i="5"/>
  <c r="J527" s="1"/>
  <c r="K527" s="1"/>
  <c r="V26" i="7" s="1"/>
  <c r="H528" i="5"/>
  <c r="J528" s="1"/>
  <c r="K528" s="1"/>
  <c r="W26" i="7" s="1"/>
  <c r="H529" i="5"/>
  <c r="J529" s="1"/>
  <c r="K529" s="1"/>
  <c r="X26" i="7" s="1"/>
  <c r="H530" i="5"/>
  <c r="J530" s="1"/>
  <c r="K530" s="1"/>
  <c r="Y26" i="7" s="1"/>
  <c r="H531" i="5"/>
  <c r="J531" s="1"/>
  <c r="K531" s="1"/>
  <c r="H532"/>
  <c r="J532" s="1"/>
  <c r="K532" s="1"/>
  <c r="C27" i="7" s="1"/>
  <c r="H533" i="5"/>
  <c r="J533" s="1"/>
  <c r="K533" s="1"/>
  <c r="D27" i="7" s="1"/>
  <c r="H534" i="5"/>
  <c r="J534" s="1"/>
  <c r="K534" s="1"/>
  <c r="E27" i="7" s="1"/>
  <c r="H535" i="5"/>
  <c r="J535" s="1"/>
  <c r="K535" s="1"/>
  <c r="F27" i="7" s="1"/>
  <c r="H536" i="5"/>
  <c r="J536" s="1"/>
  <c r="K536" s="1"/>
  <c r="G27" i="7" s="1"/>
  <c r="H537" i="5"/>
  <c r="J537" s="1"/>
  <c r="K537" s="1"/>
  <c r="H27" i="7" s="1"/>
  <c r="H538" i="5"/>
  <c r="J538" s="1"/>
  <c r="K538" s="1"/>
  <c r="I27" i="7" s="1"/>
  <c r="H539" i="5"/>
  <c r="J539" s="1"/>
  <c r="K539" s="1"/>
  <c r="J27" i="7" s="1"/>
  <c r="H540" i="5"/>
  <c r="J540" s="1"/>
  <c r="K540" s="1"/>
  <c r="K27" i="7" s="1"/>
  <c r="H541" i="5"/>
  <c r="J541" s="1"/>
  <c r="K541" s="1"/>
  <c r="L27" i="7" s="1"/>
  <c r="H542" i="5"/>
  <c r="J542" s="1"/>
  <c r="K542" s="1"/>
  <c r="M27" i="7" s="1"/>
  <c r="H543" i="5"/>
  <c r="J543" s="1"/>
  <c r="K543" s="1"/>
  <c r="N27" i="7" s="1"/>
  <c r="H544" i="5"/>
  <c r="J544" s="1"/>
  <c r="K544" s="1"/>
  <c r="O27" i="7" s="1"/>
  <c r="H545" i="5"/>
  <c r="J545" s="1"/>
  <c r="K545" s="1"/>
  <c r="P27" i="7" s="1"/>
  <c r="H546" i="5"/>
  <c r="J546" s="1"/>
  <c r="K546" s="1"/>
  <c r="Q27" i="7" s="1"/>
  <c r="H547" i="5"/>
  <c r="J547" s="1"/>
  <c r="K547" s="1"/>
  <c r="R27" i="7" s="1"/>
  <c r="H548" i="5"/>
  <c r="J548" s="1"/>
  <c r="K548" s="1"/>
  <c r="S27" i="7" s="1"/>
  <c r="H549" i="5"/>
  <c r="J549" s="1"/>
  <c r="K549" s="1"/>
  <c r="T27" i="7" s="1"/>
  <c r="H550" i="5"/>
  <c r="J550" s="1"/>
  <c r="K550" s="1"/>
  <c r="U27" i="7" s="1"/>
  <c r="H551" i="5"/>
  <c r="J551" s="1"/>
  <c r="K551" s="1"/>
  <c r="V27" i="7" s="1"/>
  <c r="H552" i="5"/>
  <c r="J552" s="1"/>
  <c r="K552" s="1"/>
  <c r="W27" i="7" s="1"/>
  <c r="H553" i="5"/>
  <c r="J553" s="1"/>
  <c r="K553" s="1"/>
  <c r="X27" i="7" s="1"/>
  <c r="H554" i="5"/>
  <c r="J554" s="1"/>
  <c r="K554" s="1"/>
  <c r="Y27" i="7" s="1"/>
  <c r="H555" i="5"/>
  <c r="J555" s="1"/>
  <c r="K555" s="1"/>
  <c r="H556"/>
  <c r="J556" s="1"/>
  <c r="K556" s="1"/>
  <c r="C28" i="7" s="1"/>
  <c r="H557" i="5"/>
  <c r="J557" s="1"/>
  <c r="K557" s="1"/>
  <c r="D28" i="7" s="1"/>
  <c r="H558" i="5"/>
  <c r="J558" s="1"/>
  <c r="K558" s="1"/>
  <c r="E28" i="7" s="1"/>
  <c r="H559" i="5"/>
  <c r="J559" s="1"/>
  <c r="K559" s="1"/>
  <c r="F28" i="7" s="1"/>
  <c r="H560" i="5"/>
  <c r="J560" s="1"/>
  <c r="K560" s="1"/>
  <c r="G28" i="7" s="1"/>
  <c r="H561" i="5"/>
  <c r="J561" s="1"/>
  <c r="K561" s="1"/>
  <c r="H28" i="7" s="1"/>
  <c r="H562" i="5"/>
  <c r="J562" s="1"/>
  <c r="K562" s="1"/>
  <c r="I28" i="7" s="1"/>
  <c r="H563" i="5"/>
  <c r="J563" s="1"/>
  <c r="K563" s="1"/>
  <c r="J28" i="7" s="1"/>
  <c r="H564" i="5"/>
  <c r="J564" s="1"/>
  <c r="K564" s="1"/>
  <c r="K28" i="7" s="1"/>
  <c r="H565" i="5"/>
  <c r="J565" s="1"/>
  <c r="K565" s="1"/>
  <c r="L28" i="7" s="1"/>
  <c r="H566" i="5"/>
  <c r="J566" s="1"/>
  <c r="K566" s="1"/>
  <c r="M28" i="7" s="1"/>
  <c r="H567" i="5"/>
  <c r="J567" s="1"/>
  <c r="K567" s="1"/>
  <c r="N28" i="7" s="1"/>
  <c r="H568" i="5"/>
  <c r="J568" s="1"/>
  <c r="K568" s="1"/>
  <c r="O28" i="7" s="1"/>
  <c r="H569" i="5"/>
  <c r="J569" s="1"/>
  <c r="K569" s="1"/>
  <c r="P28" i="7" s="1"/>
  <c r="H570" i="5"/>
  <c r="J570" s="1"/>
  <c r="K570" s="1"/>
  <c r="Q28" i="7" s="1"/>
  <c r="H571" i="5"/>
  <c r="J571" s="1"/>
  <c r="K571" s="1"/>
  <c r="R28" i="7" s="1"/>
  <c r="H572" i="5"/>
  <c r="J572" s="1"/>
  <c r="K572" s="1"/>
  <c r="S28" i="7" s="1"/>
  <c r="H573" i="5"/>
  <c r="J573" s="1"/>
  <c r="K573" s="1"/>
  <c r="T28" i="7" s="1"/>
  <c r="H574" i="5"/>
  <c r="J574" s="1"/>
  <c r="K574" s="1"/>
  <c r="U28" i="7" s="1"/>
  <c r="H575" i="5"/>
  <c r="J575" s="1"/>
  <c r="K575" s="1"/>
  <c r="V28" i="7" s="1"/>
  <c r="H576" i="5"/>
  <c r="J576" s="1"/>
  <c r="K576" s="1"/>
  <c r="W28" i="7" s="1"/>
  <c r="H577" i="5"/>
  <c r="J577" s="1"/>
  <c r="K577" s="1"/>
  <c r="X28" i="7" s="1"/>
  <c r="H578" i="5"/>
  <c r="J578" s="1"/>
  <c r="K578" s="1"/>
  <c r="Y28" i="7" s="1"/>
  <c r="H579" i="5"/>
  <c r="J579" s="1"/>
  <c r="K579" s="1"/>
  <c r="H580"/>
  <c r="J580" s="1"/>
  <c r="K580" s="1"/>
  <c r="C29" i="7" s="1"/>
  <c r="H581" i="5"/>
  <c r="J581" s="1"/>
  <c r="K581" s="1"/>
  <c r="D29" i="7" s="1"/>
  <c r="H582" i="5"/>
  <c r="J582" s="1"/>
  <c r="K582" s="1"/>
  <c r="E29" i="7" s="1"/>
  <c r="H583" i="5"/>
  <c r="J583" s="1"/>
  <c r="K583" s="1"/>
  <c r="F29" i="7" s="1"/>
  <c r="H584" i="5"/>
  <c r="J584" s="1"/>
  <c r="K584" s="1"/>
  <c r="G29" i="7" s="1"/>
  <c r="H585" i="5"/>
  <c r="J585" s="1"/>
  <c r="K585" s="1"/>
  <c r="H29" i="7" s="1"/>
  <c r="H586" i="5"/>
  <c r="J586" s="1"/>
  <c r="K586" s="1"/>
  <c r="I29" i="7" s="1"/>
  <c r="H587" i="5"/>
  <c r="J587" s="1"/>
  <c r="K587" s="1"/>
  <c r="J29" i="7" s="1"/>
  <c r="H588" i="5"/>
  <c r="J588" s="1"/>
  <c r="K588" s="1"/>
  <c r="K29" i="7" s="1"/>
  <c r="H589" i="5"/>
  <c r="J589" s="1"/>
  <c r="K589" s="1"/>
  <c r="L29" i="7" s="1"/>
  <c r="H590" i="5"/>
  <c r="J590" s="1"/>
  <c r="K590" s="1"/>
  <c r="M29" i="7" s="1"/>
  <c r="H591" i="5"/>
  <c r="J591" s="1"/>
  <c r="K591" s="1"/>
  <c r="N29" i="7" s="1"/>
  <c r="H592" i="5"/>
  <c r="J592" s="1"/>
  <c r="K592" s="1"/>
  <c r="O29" i="7" s="1"/>
  <c r="H593" i="5"/>
  <c r="J593" s="1"/>
  <c r="K593" s="1"/>
  <c r="P29" i="7" s="1"/>
  <c r="H594" i="5"/>
  <c r="J594" s="1"/>
  <c r="K594" s="1"/>
  <c r="Q29" i="7" s="1"/>
  <c r="H595" i="5"/>
  <c r="J595" s="1"/>
  <c r="K595" s="1"/>
  <c r="R29" i="7" s="1"/>
  <c r="H596" i="5"/>
  <c r="J596" s="1"/>
  <c r="K596" s="1"/>
  <c r="S29" i="7" s="1"/>
  <c r="H597" i="5"/>
  <c r="J597" s="1"/>
  <c r="K597" s="1"/>
  <c r="T29" i="7" s="1"/>
  <c r="H598" i="5"/>
  <c r="J598" s="1"/>
  <c r="K598" s="1"/>
  <c r="U29" i="7" s="1"/>
  <c r="H599" i="5"/>
  <c r="J599" s="1"/>
  <c r="K599" s="1"/>
  <c r="V29" i="7" s="1"/>
  <c r="H600" i="5"/>
  <c r="J600" s="1"/>
  <c r="K600" s="1"/>
  <c r="W29" i="7" s="1"/>
  <c r="H601" i="5"/>
  <c r="J601" s="1"/>
  <c r="K601" s="1"/>
  <c r="X29" i="7" s="1"/>
  <c r="H602" i="5"/>
  <c r="J602" s="1"/>
  <c r="K602" s="1"/>
  <c r="Y29" i="7" s="1"/>
  <c r="H603" i="5"/>
  <c r="J603" s="1"/>
  <c r="K603" s="1"/>
  <c r="H604"/>
  <c r="J604" s="1"/>
  <c r="K604" s="1"/>
  <c r="C30" i="7" s="1"/>
  <c r="H605" i="5"/>
  <c r="J605" s="1"/>
  <c r="K605" s="1"/>
  <c r="D30" i="7" s="1"/>
  <c r="H606" i="5"/>
  <c r="J606" s="1"/>
  <c r="K606" s="1"/>
  <c r="E30" i="7" s="1"/>
  <c r="H607" i="5"/>
  <c r="J607" s="1"/>
  <c r="K607" s="1"/>
  <c r="F30" i="7" s="1"/>
  <c r="H608" i="5"/>
  <c r="J608" s="1"/>
  <c r="K608" s="1"/>
  <c r="G30" i="7" s="1"/>
  <c r="H609" i="5"/>
  <c r="J609" s="1"/>
  <c r="K609" s="1"/>
  <c r="H30" i="7" s="1"/>
  <c r="H610" i="5"/>
  <c r="J610" s="1"/>
  <c r="K610" s="1"/>
  <c r="I30" i="7" s="1"/>
  <c r="H611" i="5"/>
  <c r="J611" s="1"/>
  <c r="K611" s="1"/>
  <c r="J30" i="7" s="1"/>
  <c r="H612" i="5"/>
  <c r="J612" s="1"/>
  <c r="K612" s="1"/>
  <c r="K30" i="7" s="1"/>
  <c r="H613" i="5"/>
  <c r="J613" s="1"/>
  <c r="K613" s="1"/>
  <c r="L30" i="7" s="1"/>
  <c r="H614" i="5"/>
  <c r="J614" s="1"/>
  <c r="K614" s="1"/>
  <c r="M30" i="7" s="1"/>
  <c r="H615" i="5"/>
  <c r="J615" s="1"/>
  <c r="K615" s="1"/>
  <c r="N30" i="7" s="1"/>
  <c r="H616" i="5"/>
  <c r="J616" s="1"/>
  <c r="K616" s="1"/>
  <c r="O30" i="7" s="1"/>
  <c r="H617" i="5"/>
  <c r="J617" s="1"/>
  <c r="K617" s="1"/>
  <c r="P30" i="7" s="1"/>
  <c r="H618" i="5"/>
  <c r="J618" s="1"/>
  <c r="K618" s="1"/>
  <c r="Q30" i="7" s="1"/>
  <c r="H619" i="5"/>
  <c r="J619" s="1"/>
  <c r="K619" s="1"/>
  <c r="R30" i="7" s="1"/>
  <c r="H620" i="5"/>
  <c r="J620" s="1"/>
  <c r="K620" s="1"/>
  <c r="S30" i="7" s="1"/>
  <c r="H621" i="5"/>
  <c r="J621" s="1"/>
  <c r="K621" s="1"/>
  <c r="T30" i="7" s="1"/>
  <c r="H622" i="5"/>
  <c r="J622" s="1"/>
  <c r="K622" s="1"/>
  <c r="U30" i="7" s="1"/>
  <c r="H623" i="5"/>
  <c r="J623" s="1"/>
  <c r="K623" s="1"/>
  <c r="V30" i="7" s="1"/>
  <c r="H624" i="5"/>
  <c r="J624" s="1"/>
  <c r="K624" s="1"/>
  <c r="W30" i="7" s="1"/>
  <c r="H625" i="5"/>
  <c r="J625" s="1"/>
  <c r="K625" s="1"/>
  <c r="X30" i="7" s="1"/>
  <c r="H626" i="5"/>
  <c r="J626" s="1"/>
  <c r="K626" s="1"/>
  <c r="Y30" i="7" s="1"/>
  <c r="H627" i="5"/>
  <c r="J627" s="1"/>
  <c r="K627" s="1"/>
  <c r="H628"/>
  <c r="J628" s="1"/>
  <c r="K628" s="1"/>
  <c r="C31" i="7" s="1"/>
  <c r="H629" i="5"/>
  <c r="J629" s="1"/>
  <c r="K629" s="1"/>
  <c r="D31" i="7" s="1"/>
  <c r="H630" i="5"/>
  <c r="J630" s="1"/>
  <c r="K630" s="1"/>
  <c r="E31" i="7" s="1"/>
  <c r="H631" i="5"/>
  <c r="J631" s="1"/>
  <c r="K631" s="1"/>
  <c r="F31" i="7" s="1"/>
  <c r="H632" i="5"/>
  <c r="J632" s="1"/>
  <c r="K632" s="1"/>
  <c r="G31" i="7" s="1"/>
  <c r="H633" i="5"/>
  <c r="J633" s="1"/>
  <c r="K633" s="1"/>
  <c r="H31" i="7" s="1"/>
  <c r="H634" i="5"/>
  <c r="J634" s="1"/>
  <c r="K634" s="1"/>
  <c r="I31" i="7" s="1"/>
  <c r="H635" i="5"/>
  <c r="J635" s="1"/>
  <c r="K635" s="1"/>
  <c r="J31" i="7" s="1"/>
  <c r="H636" i="5"/>
  <c r="J636" s="1"/>
  <c r="K636" s="1"/>
  <c r="K31" i="7" s="1"/>
  <c r="H637" i="5"/>
  <c r="J637" s="1"/>
  <c r="K637" s="1"/>
  <c r="L31" i="7" s="1"/>
  <c r="H638" i="5"/>
  <c r="J638" s="1"/>
  <c r="K638" s="1"/>
  <c r="M31" i="7" s="1"/>
  <c r="H639" i="5"/>
  <c r="J639" s="1"/>
  <c r="K639" s="1"/>
  <c r="N31" i="7" s="1"/>
  <c r="H640" i="5"/>
  <c r="J640" s="1"/>
  <c r="K640" s="1"/>
  <c r="O31" i="7" s="1"/>
  <c r="H641" i="5"/>
  <c r="J641" s="1"/>
  <c r="K641" s="1"/>
  <c r="P31" i="7" s="1"/>
  <c r="H642" i="5"/>
  <c r="J642" s="1"/>
  <c r="K642" s="1"/>
  <c r="Q31" i="7" s="1"/>
  <c r="H643" i="5"/>
  <c r="J643" s="1"/>
  <c r="K643" s="1"/>
  <c r="R31" i="7" s="1"/>
  <c r="H644" i="5"/>
  <c r="J644" s="1"/>
  <c r="K644" s="1"/>
  <c r="S31" i="7" s="1"/>
  <c r="H645" i="5"/>
  <c r="J645" s="1"/>
  <c r="K645" s="1"/>
  <c r="T31" i="7" s="1"/>
  <c r="H646" i="5"/>
  <c r="J646" s="1"/>
  <c r="K646" s="1"/>
  <c r="U31" i="7" s="1"/>
  <c r="H647" i="5"/>
  <c r="J647" s="1"/>
  <c r="K647" s="1"/>
  <c r="V31" i="7" s="1"/>
  <c r="H648" i="5"/>
  <c r="J648" s="1"/>
  <c r="K648" s="1"/>
  <c r="W31" i="7" s="1"/>
  <c r="H649" i="5"/>
  <c r="J649" s="1"/>
  <c r="K649" s="1"/>
  <c r="X31" i="7" s="1"/>
  <c r="H650" i="5"/>
  <c r="J650" s="1"/>
  <c r="K650" s="1"/>
  <c r="Y31" i="7" s="1"/>
  <c r="H651" i="5"/>
  <c r="J651" s="1"/>
  <c r="K651" s="1"/>
  <c r="H652"/>
  <c r="J652" s="1"/>
  <c r="K652" s="1"/>
  <c r="C32" i="7" s="1"/>
  <c r="H653" i="5"/>
  <c r="J653" s="1"/>
  <c r="K653" s="1"/>
  <c r="D32" i="7" s="1"/>
  <c r="H654" i="5"/>
  <c r="J654" s="1"/>
  <c r="K654" s="1"/>
  <c r="E32" i="7" s="1"/>
  <c r="H655" i="5"/>
  <c r="J655" s="1"/>
  <c r="K655" s="1"/>
  <c r="F32" i="7" s="1"/>
  <c r="H656" i="5"/>
  <c r="J656" s="1"/>
  <c r="K656" s="1"/>
  <c r="G32" i="7" s="1"/>
  <c r="H657" i="5"/>
  <c r="J657" s="1"/>
  <c r="K657" s="1"/>
  <c r="H32" i="7" s="1"/>
  <c r="H658" i="5"/>
  <c r="J658" s="1"/>
  <c r="K658" s="1"/>
  <c r="I32" i="7" s="1"/>
  <c r="H659" i="5"/>
  <c r="J659" s="1"/>
  <c r="K659" s="1"/>
  <c r="J32" i="7" s="1"/>
  <c r="H660" i="5"/>
  <c r="J660" s="1"/>
  <c r="K660" s="1"/>
  <c r="K32" i="7" s="1"/>
  <c r="H661" i="5"/>
  <c r="J661" s="1"/>
  <c r="K661" s="1"/>
  <c r="L32" i="7" s="1"/>
  <c r="H662" i="5"/>
  <c r="J662" s="1"/>
  <c r="K662" s="1"/>
  <c r="M32" i="7" s="1"/>
  <c r="H663" i="5"/>
  <c r="J663" s="1"/>
  <c r="K663" s="1"/>
  <c r="N32" i="7" s="1"/>
  <c r="H664" i="5"/>
  <c r="J664" s="1"/>
  <c r="K664" s="1"/>
  <c r="O32" i="7" s="1"/>
  <c r="H665" i="5"/>
  <c r="J665" s="1"/>
  <c r="K665" s="1"/>
  <c r="P32" i="7" s="1"/>
  <c r="H666" i="5"/>
  <c r="J666" s="1"/>
  <c r="K666" s="1"/>
  <c r="Q32" i="7" s="1"/>
  <c r="H667" i="5"/>
  <c r="J667" s="1"/>
  <c r="K667" s="1"/>
  <c r="R32" i="7" s="1"/>
  <c r="H668" i="5"/>
  <c r="J668" s="1"/>
  <c r="K668" s="1"/>
  <c r="S32" i="7" s="1"/>
  <c r="H669" i="5"/>
  <c r="J669" s="1"/>
  <c r="K669" s="1"/>
  <c r="T32" i="7" s="1"/>
  <c r="H670" i="5"/>
  <c r="J670" s="1"/>
  <c r="K670" s="1"/>
  <c r="U32" i="7" s="1"/>
  <c r="H671" i="5"/>
  <c r="J671" s="1"/>
  <c r="K671" s="1"/>
  <c r="V32" i="7" s="1"/>
  <c r="H672" i="5"/>
  <c r="J672" s="1"/>
  <c r="K672" s="1"/>
  <c r="W32" i="7" s="1"/>
  <c r="H673" i="5"/>
  <c r="J673" s="1"/>
  <c r="K673" s="1"/>
  <c r="X32" i="7" s="1"/>
  <c r="H674" i="5"/>
  <c r="J674" s="1"/>
  <c r="K674" s="1"/>
  <c r="Y32" i="7" s="1"/>
  <c r="H675" i="5"/>
  <c r="J675" s="1"/>
  <c r="K675" s="1"/>
  <c r="H676"/>
  <c r="J676" s="1"/>
  <c r="K676" s="1"/>
  <c r="C33" i="7" s="1"/>
  <c r="H677" i="5"/>
  <c r="J677" s="1"/>
  <c r="K677" s="1"/>
  <c r="D33" i="7" s="1"/>
  <c r="H678" i="5"/>
  <c r="J678" s="1"/>
  <c r="K678" s="1"/>
  <c r="E33" i="7" s="1"/>
  <c r="H679" i="5"/>
  <c r="J679" s="1"/>
  <c r="K679" s="1"/>
  <c r="F33" i="7" s="1"/>
  <c r="H680" i="5"/>
  <c r="J680" s="1"/>
  <c r="K680" s="1"/>
  <c r="G33" i="7" s="1"/>
  <c r="H681" i="5"/>
  <c r="J681" s="1"/>
  <c r="K681" s="1"/>
  <c r="H33" i="7" s="1"/>
  <c r="H682" i="5"/>
  <c r="J682" s="1"/>
  <c r="K682" s="1"/>
  <c r="I33" i="7" s="1"/>
  <c r="H683" i="5"/>
  <c r="J683" s="1"/>
  <c r="K683" s="1"/>
  <c r="J33" i="7" s="1"/>
  <c r="H684" i="5"/>
  <c r="J684" s="1"/>
  <c r="K684" s="1"/>
  <c r="K33" i="7" s="1"/>
  <c r="H685" i="5"/>
  <c r="J685" s="1"/>
  <c r="K685" s="1"/>
  <c r="L33" i="7" s="1"/>
  <c r="H686" i="5"/>
  <c r="J686" s="1"/>
  <c r="K686" s="1"/>
  <c r="M33" i="7" s="1"/>
  <c r="H687" i="5"/>
  <c r="J687" s="1"/>
  <c r="K687" s="1"/>
  <c r="N33" i="7" s="1"/>
  <c r="H688" i="5"/>
  <c r="J688" s="1"/>
  <c r="K688" s="1"/>
  <c r="O33" i="7" s="1"/>
  <c r="H689" i="5"/>
  <c r="J689" s="1"/>
  <c r="K689" s="1"/>
  <c r="P33" i="7" s="1"/>
  <c r="H690" i="5"/>
  <c r="J690" s="1"/>
  <c r="K690" s="1"/>
  <c r="Q33" i="7" s="1"/>
  <c r="H691" i="5"/>
  <c r="J691" s="1"/>
  <c r="K691" s="1"/>
  <c r="R33" i="7" s="1"/>
  <c r="H692" i="5"/>
  <c r="J692" s="1"/>
  <c r="K692" s="1"/>
  <c r="S33" i="7" s="1"/>
  <c r="H693" i="5"/>
  <c r="J693" s="1"/>
  <c r="K693" s="1"/>
  <c r="T33" i="7" s="1"/>
  <c r="H694" i="5"/>
  <c r="J694" s="1"/>
  <c r="K694" s="1"/>
  <c r="U33" i="7" s="1"/>
  <c r="H695" i="5"/>
  <c r="J695" s="1"/>
  <c r="K695" s="1"/>
  <c r="V33" i="7" s="1"/>
  <c r="H696" i="5"/>
  <c r="J696" s="1"/>
  <c r="K696" s="1"/>
  <c r="W33" i="7" s="1"/>
  <c r="H697" i="5"/>
  <c r="J697" s="1"/>
  <c r="K697" s="1"/>
  <c r="X33" i="7" s="1"/>
  <c r="H698" i="5"/>
  <c r="J698" s="1"/>
  <c r="K698" s="1"/>
  <c r="Y33" i="7" s="1"/>
  <c r="H699" i="5"/>
  <c r="J699" s="1"/>
  <c r="K699" s="1"/>
  <c r="H700"/>
  <c r="J700" s="1"/>
  <c r="K700" s="1"/>
  <c r="C34" i="7" s="1"/>
  <c r="H701" i="5"/>
  <c r="J701" s="1"/>
  <c r="K701" s="1"/>
  <c r="D34" i="7" s="1"/>
  <c r="H702" i="5"/>
  <c r="J702" s="1"/>
  <c r="K702" s="1"/>
  <c r="E34" i="7" s="1"/>
  <c r="H703" i="5"/>
  <c r="J703" s="1"/>
  <c r="K703" s="1"/>
  <c r="F34" i="7" s="1"/>
  <c r="H704" i="5"/>
  <c r="J704" s="1"/>
  <c r="K704" s="1"/>
  <c r="G34" i="7" s="1"/>
  <c r="H705" i="5"/>
  <c r="J705" s="1"/>
  <c r="K705" s="1"/>
  <c r="H34" i="7" s="1"/>
  <c r="H706" i="5"/>
  <c r="J706" s="1"/>
  <c r="K706" s="1"/>
  <c r="I34" i="7" s="1"/>
  <c r="H707" i="5"/>
  <c r="J707" s="1"/>
  <c r="K707" s="1"/>
  <c r="J34" i="7" s="1"/>
  <c r="H708" i="5"/>
  <c r="J708" s="1"/>
  <c r="K708" s="1"/>
  <c r="K34" i="7" s="1"/>
  <c r="H709" i="5"/>
  <c r="J709" s="1"/>
  <c r="K709" s="1"/>
  <c r="L34" i="7" s="1"/>
  <c r="H710" i="5"/>
  <c r="J710" s="1"/>
  <c r="K710" s="1"/>
  <c r="M34" i="7" s="1"/>
  <c r="H711" i="5"/>
  <c r="J711" s="1"/>
  <c r="K711" s="1"/>
  <c r="N34" i="7" s="1"/>
  <c r="H712" i="5"/>
  <c r="J712" s="1"/>
  <c r="K712" s="1"/>
  <c r="O34" i="7" s="1"/>
  <c r="H713" i="5"/>
  <c r="J713" s="1"/>
  <c r="K713" s="1"/>
  <c r="P34" i="7" s="1"/>
  <c r="H714" i="5"/>
  <c r="J714" s="1"/>
  <c r="K714" s="1"/>
  <c r="Q34" i="7" s="1"/>
  <c r="H715" i="5"/>
  <c r="J715" s="1"/>
  <c r="K715" s="1"/>
  <c r="R34" i="7" s="1"/>
  <c r="H716" i="5"/>
  <c r="J716" s="1"/>
  <c r="K716" s="1"/>
  <c r="S34" i="7" s="1"/>
  <c r="H717" i="5"/>
  <c r="J717" s="1"/>
  <c r="K717" s="1"/>
  <c r="T34" i="7" s="1"/>
  <c r="H718" i="5"/>
  <c r="J718" s="1"/>
  <c r="K718" s="1"/>
  <c r="U34" i="7" s="1"/>
  <c r="H719" i="5"/>
  <c r="J719" s="1"/>
  <c r="K719" s="1"/>
  <c r="V34" i="7" s="1"/>
  <c r="H720" i="5"/>
  <c r="J720" s="1"/>
  <c r="K720" s="1"/>
  <c r="W34" i="7" s="1"/>
  <c r="H721" i="5"/>
  <c r="J721" s="1"/>
  <c r="K721" s="1"/>
  <c r="X34" i="7" s="1"/>
  <c r="H722" i="5"/>
  <c r="J722" s="1"/>
  <c r="K722" s="1"/>
  <c r="Y34" i="7" s="1"/>
  <c r="H723" i="5"/>
  <c r="J723" s="1"/>
  <c r="K723" s="1"/>
  <c r="H724"/>
  <c r="J724" s="1"/>
  <c r="K724" s="1"/>
  <c r="C35" i="7" s="1"/>
  <c r="H725" i="5"/>
  <c r="J725" s="1"/>
  <c r="K725" s="1"/>
  <c r="D35" i="7" s="1"/>
  <c r="H726" i="5"/>
  <c r="J726" s="1"/>
  <c r="K726" s="1"/>
  <c r="E35" i="7" s="1"/>
  <c r="H727" i="5"/>
  <c r="J727" s="1"/>
  <c r="K727" s="1"/>
  <c r="F35" i="7" s="1"/>
  <c r="H728" i="5"/>
  <c r="J728" s="1"/>
  <c r="K728" s="1"/>
  <c r="G35" i="7" s="1"/>
  <c r="H729" i="5"/>
  <c r="J729" s="1"/>
  <c r="K729" s="1"/>
  <c r="H35" i="7" s="1"/>
  <c r="H730" i="5"/>
  <c r="J730" s="1"/>
  <c r="K730" s="1"/>
  <c r="I35" i="7" s="1"/>
  <c r="H731" i="5"/>
  <c r="J731" s="1"/>
  <c r="K731" s="1"/>
  <c r="J35" i="7" s="1"/>
  <c r="H732" i="5"/>
  <c r="J732" s="1"/>
  <c r="K732" s="1"/>
  <c r="K35" i="7" s="1"/>
  <c r="H733" i="5"/>
  <c r="J733" s="1"/>
  <c r="K733" s="1"/>
  <c r="L35" i="7" s="1"/>
  <c r="H734" i="5"/>
  <c r="J734" s="1"/>
  <c r="K734" s="1"/>
  <c r="M35" i="7" s="1"/>
  <c r="H735" i="5"/>
  <c r="J735" s="1"/>
  <c r="K735" s="1"/>
  <c r="N35" i="7" s="1"/>
  <c r="H736" i="5"/>
  <c r="J736" s="1"/>
  <c r="K736" s="1"/>
  <c r="O35" i="7" s="1"/>
  <c r="H737" i="5"/>
  <c r="J737" s="1"/>
  <c r="K737" s="1"/>
  <c r="P35" i="7" s="1"/>
  <c r="H738" i="5"/>
  <c r="J738" s="1"/>
  <c r="K738" s="1"/>
  <c r="Q35" i="7" s="1"/>
  <c r="H739" i="5"/>
  <c r="J739" s="1"/>
  <c r="K739" s="1"/>
  <c r="R35" i="7" s="1"/>
  <c r="H740" i="5"/>
  <c r="J740" s="1"/>
  <c r="K740" s="1"/>
  <c r="S35" i="7" s="1"/>
  <c r="H741" i="5"/>
  <c r="J741" s="1"/>
  <c r="K741" s="1"/>
  <c r="T35" i="7" s="1"/>
  <c r="H742" i="5"/>
  <c r="J742" s="1"/>
  <c r="K742" s="1"/>
  <c r="U35" i="7" s="1"/>
  <c r="H743" i="5"/>
  <c r="J743" s="1"/>
  <c r="K743" s="1"/>
  <c r="V35" i="7" s="1"/>
  <c r="H744" i="5"/>
  <c r="J744" s="1"/>
  <c r="K744" s="1"/>
  <c r="W35" i="7" s="1"/>
  <c r="H745" i="5"/>
  <c r="J745" s="1"/>
  <c r="K745" s="1"/>
  <c r="X35" i="7" s="1"/>
  <c r="H746" i="5"/>
  <c r="J746" s="1"/>
  <c r="K746" s="1"/>
  <c r="Y35" i="7" s="1"/>
  <c r="B32" l="1"/>
  <c r="Z32" s="1"/>
  <c r="B31"/>
  <c r="Z31" s="1"/>
  <c r="B30"/>
  <c r="Z30" s="1"/>
  <c r="B35"/>
  <c r="Z35" s="1"/>
  <c r="B34"/>
  <c r="B33"/>
  <c r="Z33" s="1"/>
  <c r="B29"/>
  <c r="Z29" s="1"/>
  <c r="B28"/>
  <c r="Z28" s="1"/>
  <c r="B27"/>
  <c r="Z27" s="1"/>
  <c r="B26"/>
  <c r="Z26" s="1"/>
  <c r="B25"/>
  <c r="Z25" s="1"/>
  <c r="B24"/>
  <c r="Z24" s="1"/>
  <c r="B23"/>
  <c r="Z23" s="1"/>
  <c r="B22"/>
  <c r="Z22" s="1"/>
  <c r="Y21"/>
  <c r="B21"/>
  <c r="B20"/>
  <c r="Z20" s="1"/>
  <c r="B19"/>
  <c r="Z19" s="1"/>
  <c r="B18"/>
  <c r="B17"/>
  <c r="Z17" s="1"/>
  <c r="B16"/>
  <c r="Z16" s="1"/>
  <c r="B15"/>
  <c r="Z15" s="1"/>
  <c r="B14"/>
  <c r="Z14" s="1"/>
  <c r="B13"/>
  <c r="Z13" s="1"/>
  <c r="Z9"/>
  <c r="Y12"/>
  <c r="B12"/>
  <c r="Z8"/>
  <c r="B11"/>
  <c r="Z11" s="1"/>
  <c r="Z7"/>
  <c r="B10"/>
  <c r="Z10" s="1"/>
  <c r="E18"/>
  <c r="C18"/>
  <c r="B6"/>
  <c r="Z6" s="1"/>
  <c r="G3" i="5"/>
  <c r="H3" s="1"/>
  <c r="J3" s="1"/>
  <c r="K3" s="1"/>
  <c r="B5" i="7" s="1"/>
  <c r="Z5" s="1"/>
  <c r="Z21" l="1"/>
  <c r="Z12"/>
  <c r="Z18"/>
  <c r="G747" i="5"/>
  <c r="M9" s="1"/>
  <c r="H747"/>
  <c r="K747"/>
  <c r="Z34" i="7" s="1"/>
  <c r="J747" i="5"/>
  <c r="B2" i="6"/>
  <c r="B3" s="1"/>
  <c r="B7" s="1"/>
  <c r="M8" i="5" l="1"/>
  <c r="M5" s="1"/>
  <c r="M6" s="1"/>
  <c r="M10" s="1"/>
</calcChain>
</file>

<file path=xl/comments1.xml><?xml version="1.0" encoding="utf-8"?>
<comments xmlns="http://schemas.openxmlformats.org/spreadsheetml/2006/main">
  <authors>
    <author>Lenovo</author>
  </authors>
  <commentList>
    <comment ref="M4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JH: zadaj cenu štiepky v </t>
        </r>
        <r>
          <rPr>
            <b/>
            <sz val="9"/>
            <color indexed="81"/>
            <rFont val="Calibri"/>
            <family val="2"/>
            <charset val="238"/>
          </rPr>
          <t>€/</t>
        </r>
        <r>
          <rPr>
            <b/>
            <sz val="9"/>
            <color indexed="81"/>
            <rFont val="Tahoma"/>
            <family val="2"/>
            <charset val="238"/>
          </rPr>
          <t xml:space="preserve">ATT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M7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JH: dodávka tepla za príslušný mesiac bunka G747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M8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JH: mesačný plán výroby EE bunka K747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M10" authorId="0">
      <text>
        <r>
          <rPr>
            <b/>
            <sz val="9"/>
            <color indexed="81"/>
            <rFont val="Tahoma"/>
            <family val="2"/>
            <charset val="238"/>
          </rPr>
          <t>JH: pri tejto cene fakturácie EE sa nám pokryjú len náklady na štiepku, pri vyšších cenách sa postupne pokryjú aj ďalšie náklady V a F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B1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JH: zadaj cenu štiepky v </t>
        </r>
        <r>
          <rPr>
            <b/>
            <sz val="9"/>
            <color indexed="81"/>
            <rFont val="Calibri"/>
            <family val="2"/>
            <charset val="238"/>
          </rPr>
          <t>€/</t>
        </r>
        <r>
          <rPr>
            <b/>
            <sz val="9"/>
            <color indexed="81"/>
            <rFont val="Tahoma"/>
            <family val="2"/>
            <charset val="238"/>
          </rPr>
          <t xml:space="preserve">ATT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4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JH: zadaj dodávku tepla za príslušný mesiac
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C5" authorId="0">
      <text>
        <r>
          <rPr>
            <b/>
            <sz val="9"/>
            <color indexed="81"/>
            <rFont val="Tahoma"/>
            <family val="2"/>
            <charset val="238"/>
          </rPr>
          <t>JH: zadaj plán výroby EE v MW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  <comment ref="B7" authorId="0">
      <text>
        <r>
          <rPr>
            <b/>
            <sz val="9"/>
            <color indexed="81"/>
            <rFont val="Tahoma"/>
            <family val="2"/>
            <charset val="238"/>
          </rPr>
          <t>JH: pri tejto cene fakturácie EE sa nám pokryjú len náklady na štiepku, pri vyšších cenách sa postupne pokryjú aj ďalšie náklady V a F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<sst xmlns="http://schemas.openxmlformats.org/spreadsheetml/2006/main" count="8254" uniqueCount="254">
  <si>
    <t>$Date</t>
  </si>
  <si>
    <t>$Time</t>
  </si>
  <si>
    <t>IIN_LEISTUNG-NETZ</t>
  </si>
  <si>
    <t>IIN_TE_VORLAUF-NETZ</t>
  </si>
  <si>
    <t>IID_DAMPFDRUCK1-HEIZKONDENSATOR</t>
  </si>
  <si>
    <t>IIN_LEISTUNG-REGELKUEHLKREIS</t>
  </si>
  <si>
    <t>IIAN_DTU_GEN_WIRKLEISTUNG</t>
  </si>
  <si>
    <t>01/01/20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</si>
  <si>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</si>
  <si>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</si>
  <si>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</si>
  <si>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</si>
  <si>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</si>
  <si>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</si>
  <si>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</si>
  <si>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</si>
  <si>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</si>
  <si>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</si>
  <si>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</si>
  <si>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</si>
  <si>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</si>
  <si>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</si>
  <si>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</si>
  <si>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</si>
  <si>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</si>
  <si>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</si>
  <si>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</si>
  <si>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</si>
  <si>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</si>
  <si>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</si>
  <si>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</si>
  <si>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</si>
  <si>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01/02/20</t>
  </si>
  <si>
    <t>01/03/20</t>
  </si>
  <si>
    <t>01/04/20</t>
  </si>
  <si>
    <t>01/05/20</t>
  </si>
  <si>
    <t>01/06/20</t>
  </si>
  <si>
    <t>01/07/20</t>
  </si>
  <si>
    <t>01/08/20</t>
  </si>
  <si>
    <t>01/09/20</t>
  </si>
  <si>
    <t>01/10/20</t>
  </si>
  <si>
    <t>01/11/20</t>
  </si>
  <si>
    <t>01/12/20</t>
  </si>
  <si>
    <t>01/13/20</t>
  </si>
  <si>
    <t>01/14/20</t>
  </si>
  <si>
    <t>01/15/20</t>
  </si>
  <si>
    <t>01/16/20</t>
  </si>
  <si>
    <t>01/17/20</t>
  </si>
  <si>
    <t>01/18/20</t>
  </si>
  <si>
    <t>01/19/20</t>
  </si>
  <si>
    <t>01/20/20</t>
  </si>
  <si>
    <t>01/21/20</t>
  </si>
  <si>
    <t>01/22/20</t>
  </si>
  <si>
    <t>01/23/20</t>
  </si>
  <si>
    <t>01/24/20</t>
  </si>
  <si>
    <t>01/25/20</t>
  </si>
  <si>
    <t>01/26/20</t>
  </si>
  <si>
    <t>01/27/20</t>
  </si>
  <si>
    <t>01/28/20</t>
  </si>
  <si>
    <t>01/29/20</t>
  </si>
  <si>
    <t>01/30/20</t>
  </si>
  <si>
    <t>01/31/20</t>
  </si>
  <si>
    <t>02/01/20</t>
  </si>
  <si>
    <t>01/01/21</t>
  </si>
  <si>
    <t>01/02/21</t>
  </si>
  <si>
    <t>01/03/21</t>
  </si>
  <si>
    <t>01/04/21</t>
  </si>
  <si>
    <t>01/05/21</t>
  </si>
  <si>
    <t>01/06/21</t>
  </si>
  <si>
    <t>01/07/21</t>
  </si>
  <si>
    <t>01/08/21</t>
  </si>
  <si>
    <t>01/09/21</t>
  </si>
  <si>
    <t>01/10/21</t>
  </si>
  <si>
    <t>01/11/21</t>
  </si>
  <si>
    <t>01/12/21</t>
  </si>
  <si>
    <t>01/13/21</t>
  </si>
  <si>
    <t>01/14/21</t>
  </si>
  <si>
    <t>01/15/21</t>
  </si>
  <si>
    <t>01/16/21</t>
  </si>
  <si>
    <t>01/17/21</t>
  </si>
  <si>
    <t>01/18/21</t>
  </si>
  <si>
    <t>01/19/21</t>
  </si>
  <si>
    <t>01/20/21</t>
  </si>
  <si>
    <t>01/21/21</t>
  </si>
  <si>
    <t>01/22/21</t>
  </si>
  <si>
    <t>01/23/21</t>
  </si>
  <si>
    <t>01/24/21</t>
  </si>
  <si>
    <t>01/25/21</t>
  </si>
  <si>
    <t>01/26/21</t>
  </si>
  <si>
    <t>01/27/21</t>
  </si>
  <si>
    <t>01/28/21</t>
  </si>
  <si>
    <t>01/29/21</t>
  </si>
  <si>
    <t>01/30/21</t>
  </si>
  <si>
    <t>01/31/21</t>
  </si>
  <si>
    <t>02/01/21</t>
  </si>
  <si>
    <t>01/01/24</t>
  </si>
  <si>
    <t>01/02/24</t>
  </si>
  <si>
    <t>01/03/24</t>
  </si>
  <si>
    <t>01/04/24</t>
  </si>
  <si>
    <t>01/05/24</t>
  </si>
  <si>
    <t>01/06/24</t>
  </si>
  <si>
    <t>01/07/24</t>
  </si>
  <si>
    <t>01/08/24</t>
  </si>
  <si>
    <t>01/09/24</t>
  </si>
  <si>
    <t>01/10/24</t>
  </si>
  <si>
    <t>01/11/24</t>
  </si>
  <si>
    <t>01/12/24</t>
  </si>
  <si>
    <t>01/13/24</t>
  </si>
  <si>
    <t>01/14/24</t>
  </si>
  <si>
    <t>01/15/24</t>
  </si>
  <si>
    <t>01/16/24</t>
  </si>
  <si>
    <t>01/17/24</t>
  </si>
  <si>
    <t>01/18/24</t>
  </si>
  <si>
    <t>01/19/24</t>
  </si>
  <si>
    <t>01/20/24</t>
  </si>
  <si>
    <t>01/21/24</t>
  </si>
  <si>
    <t>01/22/24</t>
  </si>
  <si>
    <t>01/23/24</t>
  </si>
  <si>
    <t>01/24/24</t>
  </si>
  <si>
    <t>01/25/24</t>
  </si>
  <si>
    <t>01/26/24</t>
  </si>
  <si>
    <t>01/27/24</t>
  </si>
  <si>
    <t>01/28/24</t>
  </si>
  <si>
    <t>01/29/24</t>
  </si>
  <si>
    <t>01/30/24</t>
  </si>
  <si>
    <t>01/31/24</t>
  </si>
  <si>
    <t>02/01/24</t>
  </si>
  <si>
    <t>01/01/23</t>
  </si>
  <si>
    <t>01/02/23</t>
  </si>
  <si>
    <t>01/03/23</t>
  </si>
  <si>
    <t>01/04/23</t>
  </si>
  <si>
    <t>01/05/23</t>
  </si>
  <si>
    <t>01/06/23</t>
  </si>
  <si>
    <t>01/07/23</t>
  </si>
  <si>
    <t>01/08/23</t>
  </si>
  <si>
    <t>01/09/23</t>
  </si>
  <si>
    <t>01/10/23</t>
  </si>
  <si>
    <t>01/11/23</t>
  </si>
  <si>
    <t>01/12/23</t>
  </si>
  <si>
    <t>01/13/23</t>
  </si>
  <si>
    <t>01/14/23</t>
  </si>
  <si>
    <t>01/15/23</t>
  </si>
  <si>
    <t>01/16/23</t>
  </si>
  <si>
    <t>01/17/23</t>
  </si>
  <si>
    <t>01/18/23</t>
  </si>
  <si>
    <t>01/19/23</t>
  </si>
  <si>
    <t>01/20/23</t>
  </si>
  <si>
    <t>01/21/23</t>
  </si>
  <si>
    <t>01/22/23</t>
  </si>
  <si>
    <t>01/23/23</t>
  </si>
  <si>
    <t>01/24/23</t>
  </si>
  <si>
    <t>01/25/23</t>
  </si>
  <si>
    <t>01/26/23</t>
  </si>
  <si>
    <t>01/27/23</t>
  </si>
  <si>
    <t>01/28/23</t>
  </si>
  <si>
    <t>01/29/23</t>
  </si>
  <si>
    <t>01/30/23</t>
  </si>
  <si>
    <t>01/31/23</t>
  </si>
  <si>
    <t>02/01/23</t>
  </si>
  <si>
    <t>Ø</t>
  </si>
  <si>
    <t>koef</t>
  </si>
  <si>
    <t>MW EE</t>
  </si>
  <si>
    <r>
      <t xml:space="preserve">cena štiepky </t>
    </r>
    <r>
      <rPr>
        <sz val="10"/>
        <rFont val="Calibri"/>
        <family val="2"/>
        <charset val="238"/>
      </rPr>
      <t>€/</t>
    </r>
    <r>
      <rPr>
        <sz val="10"/>
        <rFont val="Arial"/>
        <family val="2"/>
        <charset val="238"/>
      </rPr>
      <t>ATT</t>
    </r>
  </si>
  <si>
    <t>teplo dodávka MWh</t>
  </si>
  <si>
    <t>PLÁN</t>
  </si>
  <si>
    <t>EE dodávka MWh</t>
  </si>
  <si>
    <t>spotreba štiepky ATT</t>
  </si>
  <si>
    <r>
      <t xml:space="preserve">náklad štiepka </t>
    </r>
    <r>
      <rPr>
        <sz val="10"/>
        <rFont val="Calibri"/>
        <family val="2"/>
        <charset val="238"/>
      </rPr>
      <t>€</t>
    </r>
    <r>
      <rPr>
        <sz val="10"/>
        <rFont val="Arial"/>
        <family val="2"/>
        <charset val="238"/>
      </rPr>
      <t xml:space="preserve"> </t>
    </r>
  </si>
  <si>
    <t>tržba VZ teplo</t>
  </si>
  <si>
    <r>
      <t xml:space="preserve">EE náklad na štiepku </t>
    </r>
    <r>
      <rPr>
        <sz val="10"/>
        <rFont val="Calibri"/>
        <family val="2"/>
        <charset val="238"/>
      </rPr>
      <t>€/</t>
    </r>
    <r>
      <rPr>
        <sz val="10"/>
        <rFont val="Arial"/>
        <family val="2"/>
        <charset val="238"/>
      </rPr>
      <t>MWh</t>
    </r>
  </si>
  <si>
    <t>∑</t>
  </si>
  <si>
    <t>Mesačná Predikcia výroby (Január  2025)</t>
  </si>
  <si>
    <t xml:space="preserve">Obchodný deň </t>
  </si>
  <si>
    <t>Obchodná hodina</t>
  </si>
  <si>
    <t>SPOLU</t>
  </si>
  <si>
    <t>v mesiaci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</si>
  <si>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</si>
  <si>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</si>
  <si>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</si>
  <si>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</si>
  <si>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</si>
  <si>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</si>
  <si>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</si>
  <si>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</si>
  <si>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</si>
  <si>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</si>
  <si>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</si>
  <si>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</si>
  <si>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</si>
  <si>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</si>
  <si>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</si>
  <si>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</si>
  <si>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</si>
  <si>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</si>
  <si>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</si>
  <si>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</si>
  <si>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</si>
  <si>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</si>
  <si>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</si>
  <si>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</si>
  <si>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</si>
  <si>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</si>
  <si>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</si>
  <si>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</si>
  <si>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</si>
  <si>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</si>
  <si>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</si>
  <si>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01/01/25</t>
  </si>
  <si>
    <t>01/02/25</t>
  </si>
  <si>
    <t>01/03/25</t>
  </si>
  <si>
    <t>01/04/25</t>
  </si>
  <si>
    <t>01/05/25</t>
  </si>
  <si>
    <t>01/06/25</t>
  </si>
  <si>
    <t>01/07/25</t>
  </si>
  <si>
    <t>01/08/25</t>
  </si>
  <si>
    <t>01/09/25</t>
  </si>
  <si>
    <t>2025 Skutočnosť</t>
  </si>
  <si>
    <t>Cena SK (EUR/MWh)</t>
  </si>
  <si>
    <t>Tržby výroba EE</t>
  </si>
  <si>
    <r>
      <t xml:space="preserve">Sieť </t>
    </r>
    <r>
      <rPr>
        <sz val="10"/>
        <rFont val="Calibri"/>
        <family val="2"/>
        <charset val="238"/>
      </rPr>
      <t>[kWh]</t>
    </r>
  </si>
  <si>
    <t>EE [kW]</t>
  </si>
  <si>
    <t>Marič [kWh]</t>
  </si>
  <si>
    <t>Marič</t>
  </si>
  <si>
    <t>Táto farba znamená plán</t>
  </si>
  <si>
    <t>Táto farba znamená skutočnosť</t>
  </si>
  <si>
    <t>Dátum</t>
  </si>
  <si>
    <t>Čas</t>
  </si>
  <si>
    <t>Zmena plánu oproti pôvodnému</t>
  </si>
  <si>
    <t>Skutočnosť sieť [kWh]</t>
  </si>
  <si>
    <t>Plán sieť [kWh]</t>
  </si>
  <si>
    <t>Plán EE [MW]</t>
  </si>
  <si>
    <t>Skutočnosť EE [MW]</t>
  </si>
  <si>
    <t>01/11/25</t>
  </si>
  <si>
    <t>01/12/25</t>
  </si>
  <si>
    <t>01/13/25</t>
  </si>
  <si>
    <t>01/14/25</t>
  </si>
  <si>
    <t>Zobchodované na intraday</t>
  </si>
  <si>
    <t>01/15/25</t>
  </si>
  <si>
    <t>01/16/25</t>
  </si>
  <si>
    <t>01/17/25</t>
  </si>
  <si>
    <t>01/18/25</t>
  </si>
  <si>
    <t>01/19/25</t>
  </si>
  <si>
    <t>01/20/25</t>
  </si>
  <si>
    <t>01/21/25</t>
  </si>
  <si>
    <t>01/22/25</t>
  </si>
  <si>
    <t>01/23/25</t>
  </si>
  <si>
    <t>01/24/25</t>
  </si>
  <si>
    <t>01/25/25</t>
  </si>
  <si>
    <t>01/26/25</t>
  </si>
  <si>
    <t>01/27/25</t>
  </si>
  <si>
    <t>01/28/25</t>
  </si>
  <si>
    <t>01/29/25</t>
  </si>
  <si>
    <t>01/30/25</t>
  </si>
  <si>
    <t>01/31/25</t>
  </si>
</sst>
</file>

<file path=xl/styles.xml><?xml version="1.0" encoding="utf-8"?>
<styleSheet xmlns="http://schemas.openxmlformats.org/spreadsheetml/2006/main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00"/>
    <numFmt numFmtId="165" formatCode="0.0"/>
    <numFmt numFmtId="166" formatCode="[$-F800]dddd\,\ mmmm\ dd\,\ yyyy"/>
    <numFmt numFmtId="167" formatCode="_-* #,##0\ _€_-;\-* #,##0\ _€_-;_-* &quot;-&quot;??\ _€_-;_-@_-"/>
  </numFmts>
  <fonts count="7"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9"/>
      <color indexed="81"/>
      <name val="Calibri"/>
      <family val="2"/>
      <charset val="238"/>
    </font>
    <font>
      <b/>
      <sz val="11"/>
      <color theme="1"/>
      <name val="Times New Roman"/>
      <family val="1"/>
      <charset val="238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</cellStyleXfs>
  <cellXfs count="132">
    <xf numFmtId="0" fontId="0" fillId="0" borderId="0" xfId="0"/>
    <xf numFmtId="49" fontId="0" fillId="0" borderId="0" xfId="0" applyNumberFormat="1" applyFont="1"/>
    <xf numFmtId="0" fontId="0" fillId="0" borderId="0" xfId="0" applyFont="1" applyBorder="1"/>
    <xf numFmtId="49" fontId="0" fillId="0" borderId="0" xfId="0" applyNumberFormat="1" applyFont="1" applyBorder="1"/>
    <xf numFmtId="43" fontId="0" fillId="0" borderId="0" xfId="1" applyFont="1"/>
    <xf numFmtId="43" fontId="0" fillId="0" borderId="0" xfId="1" applyFont="1" applyBorder="1"/>
    <xf numFmtId="0" fontId="0" fillId="3" borderId="1" xfId="0" applyFill="1" applyBorder="1" applyAlignment="1">
      <alignment horizontal="center"/>
    </xf>
    <xf numFmtId="43" fontId="0" fillId="3" borderId="2" xfId="1" applyFont="1" applyFill="1" applyBorder="1"/>
    <xf numFmtId="43" fontId="0" fillId="0" borderId="0" xfId="0" applyNumberFormat="1"/>
    <xf numFmtId="43" fontId="0" fillId="3" borderId="0" xfId="1" applyFont="1" applyFill="1" applyBorder="1"/>
    <xf numFmtId="43" fontId="0" fillId="5" borderId="2" xfId="0" applyNumberFormat="1" applyFill="1" applyBorder="1"/>
    <xf numFmtId="43" fontId="0" fillId="0" borderId="1" xfId="0" applyNumberFormat="1" applyBorder="1"/>
    <xf numFmtId="0" fontId="0" fillId="4" borderId="0" xfId="0" applyFill="1" applyAlignment="1">
      <alignment horizontal="center"/>
    </xf>
    <xf numFmtId="43" fontId="0" fillId="4" borderId="0" xfId="1" applyFont="1" applyFill="1"/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9" xfId="0" applyNumberFormat="1" applyBorder="1"/>
    <xf numFmtId="0" fontId="0" fillId="0" borderId="9" xfId="0" applyBorder="1" applyAlignment="1">
      <alignment horizontal="center"/>
    </xf>
    <xf numFmtId="43" fontId="0" fillId="0" borderId="9" xfId="0" applyNumberFormat="1" applyBorder="1"/>
    <xf numFmtId="49" fontId="0" fillId="6" borderId="0" xfId="0" applyNumberFormat="1" applyFont="1" applyFill="1"/>
    <xf numFmtId="49" fontId="0" fillId="7" borderId="0" xfId="0" applyNumberFormat="1" applyFont="1" applyFill="1"/>
    <xf numFmtId="0" fontId="0" fillId="8" borderId="0" xfId="0" applyFill="1"/>
    <xf numFmtId="49" fontId="0" fillId="8" borderId="0" xfId="0" applyNumberFormat="1" applyFont="1" applyFill="1"/>
    <xf numFmtId="0" fontId="0" fillId="9" borderId="0" xfId="0" applyFill="1"/>
    <xf numFmtId="49" fontId="0" fillId="9" borderId="0" xfId="0" applyNumberFormat="1" applyFont="1" applyFill="1"/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/>
    <xf numFmtId="0" fontId="0" fillId="0" borderId="16" xfId="0" applyBorder="1"/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44" fontId="0" fillId="0" borderId="0" xfId="2" applyFont="1" applyBorder="1" applyAlignment="1">
      <alignment horizontal="center"/>
    </xf>
    <xf numFmtId="4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4" fontId="0" fillId="0" borderId="17" xfId="2" applyFont="1" applyBorder="1" applyAlignment="1">
      <alignment horizontal="center"/>
    </xf>
    <xf numFmtId="44" fontId="0" fillId="0" borderId="18" xfId="0" applyNumberFormat="1" applyBorder="1" applyAlignment="1">
      <alignment horizontal="center"/>
    </xf>
    <xf numFmtId="43" fontId="0" fillId="4" borderId="15" xfId="1" applyFont="1" applyFill="1" applyBorder="1"/>
    <xf numFmtId="43" fontId="0" fillId="0" borderId="15" xfId="1" applyFont="1" applyBorder="1"/>
    <xf numFmtId="43" fontId="0" fillId="3" borderId="15" xfId="1" applyFont="1" applyFill="1" applyBorder="1"/>
    <xf numFmtId="43" fontId="0" fillId="5" borderId="15" xfId="1" applyFont="1" applyFill="1" applyBorder="1"/>
    <xf numFmtId="43" fontId="0" fillId="0" borderId="18" xfId="1" applyFont="1" applyBorder="1"/>
    <xf numFmtId="0" fontId="0" fillId="0" borderId="15" xfId="0" applyBorder="1"/>
    <xf numFmtId="0" fontId="0" fillId="0" borderId="10" xfId="0" applyBorder="1"/>
    <xf numFmtId="0" fontId="0" fillId="0" borderId="5" xfId="0" applyBorder="1"/>
    <xf numFmtId="1" fontId="0" fillId="0" borderId="5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/>
    <xf numFmtId="49" fontId="0" fillId="2" borderId="0" xfId="0" applyNumberFormat="1" applyFont="1" applyFill="1"/>
    <xf numFmtId="1" fontId="0" fillId="0" borderId="14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0" fillId="0" borderId="0" xfId="0" applyNumberFormat="1"/>
    <xf numFmtId="14" fontId="0" fillId="6" borderId="0" xfId="0" applyNumberFormat="1" applyFill="1"/>
    <xf numFmtId="14" fontId="0" fillId="7" borderId="0" xfId="0" applyNumberFormat="1" applyFill="1"/>
    <xf numFmtId="0" fontId="0" fillId="2" borderId="12" xfId="0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5" fontId="0" fillId="2" borderId="0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65" fontId="0" fillId="2" borderId="17" xfId="0" applyNumberFormat="1" applyFill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6" fontId="0" fillId="12" borderId="4" xfId="0" applyNumberFormat="1" applyFill="1" applyBorder="1" applyAlignment="1">
      <alignment horizontal="center" vertical="center"/>
    </xf>
    <xf numFmtId="49" fontId="0" fillId="12" borderId="13" xfId="0" applyNumberFormat="1" applyFill="1" applyBorder="1" applyAlignment="1">
      <alignment horizontal="center" vertical="center"/>
    </xf>
    <xf numFmtId="167" fontId="0" fillId="3" borderId="12" xfId="0" applyNumberFormat="1" applyFill="1" applyBorder="1" applyAlignment="1">
      <alignment horizontal="center" vertical="center"/>
    </xf>
    <xf numFmtId="166" fontId="0" fillId="12" borderId="2" xfId="0" applyNumberFormat="1" applyFill="1" applyBorder="1" applyAlignment="1">
      <alignment horizontal="center" vertical="center"/>
    </xf>
    <xf numFmtId="49" fontId="0" fillId="12" borderId="15" xfId="0" applyNumberFormat="1" applyFill="1" applyBorder="1" applyAlignment="1">
      <alignment horizontal="center" vertical="center"/>
    </xf>
    <xf numFmtId="167" fontId="0" fillId="3" borderId="0" xfId="0" applyNumberFormat="1" applyFill="1" applyBorder="1" applyAlignment="1">
      <alignment horizontal="center" vertical="center"/>
    </xf>
    <xf numFmtId="166" fontId="0" fillId="12" borderId="3" xfId="0" applyNumberFormat="1" applyFill="1" applyBorder="1" applyAlignment="1">
      <alignment horizontal="center" vertical="center"/>
    </xf>
    <xf numFmtId="49" fontId="0" fillId="12" borderId="18" xfId="0" applyNumberFormat="1" applyFill="1" applyBorder="1" applyAlignment="1">
      <alignment horizontal="center" vertical="center"/>
    </xf>
    <xf numFmtId="167" fontId="0" fillId="3" borderId="17" xfId="0" applyNumberFormat="1" applyFill="1" applyBorder="1" applyAlignment="1">
      <alignment horizontal="center" vertical="center"/>
    </xf>
    <xf numFmtId="166" fontId="0" fillId="7" borderId="4" xfId="0" applyNumberFormat="1" applyFill="1" applyBorder="1" applyAlignment="1">
      <alignment horizontal="center" vertical="center"/>
    </xf>
    <xf numFmtId="49" fontId="0" fillId="7" borderId="13" xfId="0" applyNumberFormat="1" applyFill="1" applyBorder="1" applyAlignment="1">
      <alignment horizontal="center" vertical="center"/>
    </xf>
    <xf numFmtId="166" fontId="0" fillId="7" borderId="2" xfId="0" applyNumberFormat="1" applyFill="1" applyBorder="1" applyAlignment="1">
      <alignment horizontal="center" vertical="center"/>
    </xf>
    <xf numFmtId="49" fontId="0" fillId="7" borderId="15" xfId="0" applyNumberFormat="1" applyFill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49" fontId="0" fillId="7" borderId="18" xfId="0" applyNumberFormat="1" applyFill="1" applyBorder="1" applyAlignment="1">
      <alignment horizontal="center" vertical="center"/>
    </xf>
    <xf numFmtId="167" fontId="0" fillId="3" borderId="16" xfId="0" applyNumberFormat="1" applyFill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0" fontId="0" fillId="0" borderId="0" xfId="0" applyFill="1" applyAlignment="1" applyProtection="1">
      <alignment wrapText="1"/>
    </xf>
    <xf numFmtId="0" fontId="0" fillId="0" borderId="0" xfId="0" applyAlignment="1">
      <alignment wrapText="1"/>
    </xf>
    <xf numFmtId="0" fontId="0" fillId="3" borderId="4" xfId="0" applyFill="1" applyBorder="1" applyAlignment="1" applyProtection="1">
      <alignment horizontal="center" wrapText="1"/>
    </xf>
    <xf numFmtId="0" fontId="0" fillId="2" borderId="2" xfId="0" applyFill="1" applyBorder="1" applyAlignment="1" applyProtection="1">
      <alignment horizontal="center" wrapText="1"/>
    </xf>
    <xf numFmtId="0" fontId="0" fillId="0" borderId="0" xfId="0" applyAlignment="1" applyProtection="1">
      <alignment horizontal="center" wrapText="1"/>
    </xf>
    <xf numFmtId="49" fontId="0" fillId="3" borderId="0" xfId="0" applyNumberFormat="1" applyFont="1" applyFill="1"/>
    <xf numFmtId="14" fontId="0" fillId="3" borderId="0" xfId="0" applyNumberFormat="1" applyFill="1" applyAlignment="1">
      <alignment horizontal="center" vertical="center"/>
    </xf>
    <xf numFmtId="49" fontId="0" fillId="3" borderId="0" xfId="0" applyNumberFormat="1" applyFont="1" applyFill="1" applyAlignment="1">
      <alignment horizontal="center" vertical="center"/>
    </xf>
    <xf numFmtId="21" fontId="0" fillId="3" borderId="0" xfId="0" applyNumberFormat="1" applyFill="1" applyAlignment="1">
      <alignment horizontal="center" vertical="center"/>
    </xf>
    <xf numFmtId="14" fontId="0" fillId="2" borderId="0" xfId="0" applyNumberFormat="1" applyFill="1"/>
    <xf numFmtId="0" fontId="0" fillId="3" borderId="0" xfId="0" applyFill="1"/>
    <xf numFmtId="2" fontId="0" fillId="3" borderId="17" xfId="0" applyNumberFormat="1" applyFill="1" applyBorder="1" applyAlignment="1">
      <alignment horizontal="center" vertical="center"/>
    </xf>
    <xf numFmtId="165" fontId="0" fillId="3" borderId="12" xfId="0" applyNumberFormat="1" applyFill="1" applyBorder="1" applyAlignment="1">
      <alignment horizontal="center" vertical="center"/>
    </xf>
    <xf numFmtId="165" fontId="0" fillId="3" borderId="0" xfId="0" applyNumberFormat="1" applyFill="1" applyBorder="1" applyAlignment="1">
      <alignment horizontal="center" vertical="center"/>
    </xf>
    <xf numFmtId="165" fontId="0" fillId="3" borderId="17" xfId="0" applyNumberFormat="1" applyFill="1" applyBorder="1" applyAlignment="1">
      <alignment horizontal="center" vertical="center"/>
    </xf>
    <xf numFmtId="165" fontId="0" fillId="4" borderId="0" xfId="0" applyNumberFormat="1" applyFill="1" applyBorder="1" applyAlignment="1">
      <alignment horizontal="center" vertical="center"/>
    </xf>
    <xf numFmtId="44" fontId="0" fillId="0" borderId="4" xfId="2" applyFont="1" applyBorder="1" applyAlignment="1">
      <alignment horizontal="center" vertical="center"/>
    </xf>
    <xf numFmtId="0" fontId="0" fillId="13" borderId="3" xfId="0" applyFill="1" applyBorder="1" applyAlignment="1" applyProtection="1">
      <alignment horizontal="center" wrapText="1"/>
    </xf>
    <xf numFmtId="165" fontId="0" fillId="0" borderId="0" xfId="0" applyNumberFormat="1"/>
    <xf numFmtId="165" fontId="0" fillId="0" borderId="0" xfId="0" applyNumberFormat="1" applyFill="1" applyAlignment="1">
      <alignment horizontal="center" vertical="center"/>
    </xf>
    <xf numFmtId="0" fontId="0" fillId="4" borderId="2" xfId="0" applyFill="1" applyBorder="1" applyAlignment="1" applyProtection="1">
      <alignment horizontal="center" vertical="center" wrapText="1"/>
    </xf>
    <xf numFmtId="44" fontId="0" fillId="0" borderId="1" xfId="2" applyFont="1" applyBorder="1" applyAlignment="1">
      <alignment horizontal="center" vertical="center"/>
    </xf>
    <xf numFmtId="43" fontId="0" fillId="0" borderId="0" xfId="0" applyNumberFormat="1" applyBorder="1"/>
    <xf numFmtId="43" fontId="0" fillId="0" borderId="10" xfId="0" applyNumberFormat="1" applyBorder="1"/>
    <xf numFmtId="43" fontId="0" fillId="0" borderId="1" xfId="0" applyNumberFormat="1" applyFill="1" applyBorder="1"/>
    <xf numFmtId="43" fontId="0" fillId="0" borderId="6" xfId="0" applyNumberFormat="1" applyBorder="1"/>
    <xf numFmtId="44" fontId="0" fillId="0" borderId="1" xfId="0" applyNumberFormat="1" applyBorder="1" applyAlignment="1">
      <alignment horizontal="center"/>
    </xf>
    <xf numFmtId="0" fontId="0" fillId="11" borderId="2" xfId="0" applyFont="1" applyFill="1" applyBorder="1" applyAlignment="1" applyProtection="1">
      <alignment horizontal="center" vertical="center" wrapText="1"/>
    </xf>
    <xf numFmtId="0" fontId="0" fillId="11" borderId="3" xfId="0" applyFont="1" applyFill="1" applyBorder="1" applyAlignment="1" applyProtection="1">
      <alignment horizontal="center" vertical="center" wrapText="1"/>
    </xf>
    <xf numFmtId="0" fontId="0" fillId="11" borderId="4" xfId="0" applyFill="1" applyBorder="1" applyAlignment="1" applyProtection="1">
      <alignment horizontal="center" vertical="center" wrapText="1"/>
    </xf>
    <xf numFmtId="0" fontId="0" fillId="11" borderId="2" xfId="0" applyFill="1" applyBorder="1" applyAlignment="1" applyProtection="1">
      <alignment horizontal="center" vertical="center" wrapText="1"/>
    </xf>
    <xf numFmtId="0" fontId="0" fillId="11" borderId="3" xfId="0" applyFill="1" applyBorder="1" applyAlignment="1" applyProtection="1">
      <alignment horizontal="center" vertical="center" wrapText="1"/>
    </xf>
    <xf numFmtId="0" fontId="0" fillId="11" borderId="4" xfId="0" applyFont="1" applyFill="1" applyBorder="1" applyAlignment="1" applyProtection="1">
      <alignment horizontal="center" vertical="center" wrapText="1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0" fillId="10" borderId="13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4">
    <cellStyle name="čiarky" xfId="1" builtinId="3"/>
    <cellStyle name="meny" xfId="2" builtinId="4"/>
    <cellStyle name="Normálna 2" xfId="3"/>
    <cellStyle name="normálne" xfId="0" builtinId="0"/>
  </cellStyles>
  <dxfs count="2"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49"/>
  <sheetViews>
    <sheetView tabSelected="1" workbookViewId="0">
      <pane ySplit="4" topLeftCell="A713" activePane="bottomLeft" state="frozen"/>
      <selection pane="bottomLeft" activeCell="O715" sqref="O715"/>
    </sheetView>
  </sheetViews>
  <sheetFormatPr defaultRowHeight="12.75"/>
  <cols>
    <col min="1" max="1" width="9.140625" customWidth="1"/>
    <col min="2" max="2" width="9.42578125" customWidth="1"/>
    <col min="3" max="3" width="22.140625" bestFit="1" customWidth="1"/>
    <col min="4" max="4" width="9.140625" customWidth="1"/>
    <col min="5" max="5" width="12.85546875" bestFit="1" customWidth="1"/>
    <col min="6" max="6" width="10.5703125" bestFit="1" customWidth="1"/>
    <col min="7" max="7" width="11.140625" bestFit="1" customWidth="1"/>
    <col min="8" max="8" width="11.28515625" customWidth="1"/>
    <col min="9" max="9" width="10.5703125" bestFit="1" customWidth="1"/>
    <col min="10" max="10" width="19.28515625" bestFit="1" customWidth="1"/>
    <col min="11" max="11" width="14.7109375" bestFit="1" customWidth="1"/>
    <col min="12" max="12" width="27.7109375" bestFit="1" customWidth="1"/>
    <col min="13" max="14" width="9.140625" hidden="1" customWidth="1"/>
  </cols>
  <sheetData>
    <row r="1" spans="1:14" s="94" customFormat="1" ht="26.25" customHeight="1">
      <c r="A1" s="97"/>
      <c r="B1" s="97"/>
      <c r="C1" s="125" t="s">
        <v>225</v>
      </c>
      <c r="D1" s="120" t="s">
        <v>226</v>
      </c>
      <c r="E1" s="122" t="s">
        <v>229</v>
      </c>
      <c r="F1" s="122" t="s">
        <v>228</v>
      </c>
      <c r="G1" s="125" t="s">
        <v>221</v>
      </c>
      <c r="H1" s="122" t="s">
        <v>230</v>
      </c>
      <c r="I1" s="122" t="s">
        <v>231</v>
      </c>
      <c r="J1" s="125" t="s">
        <v>217</v>
      </c>
      <c r="K1" s="120" t="s">
        <v>218</v>
      </c>
      <c r="L1" s="95" t="s">
        <v>223</v>
      </c>
      <c r="M1" s="93"/>
    </row>
    <row r="2" spans="1:14" s="94" customFormat="1">
      <c r="A2" s="97"/>
      <c r="B2" s="97"/>
      <c r="C2" s="120"/>
      <c r="D2" s="120"/>
      <c r="E2" s="123"/>
      <c r="F2" s="123"/>
      <c r="G2" s="120"/>
      <c r="H2" s="123"/>
      <c r="I2" s="123"/>
      <c r="J2" s="120"/>
      <c r="K2" s="120"/>
      <c r="L2" s="96" t="s">
        <v>224</v>
      </c>
      <c r="M2" s="93"/>
    </row>
    <row r="3" spans="1:14" s="94" customFormat="1">
      <c r="A3" s="97"/>
      <c r="B3" s="97"/>
      <c r="C3" s="120"/>
      <c r="D3" s="120"/>
      <c r="E3" s="123"/>
      <c r="F3" s="123"/>
      <c r="G3" s="120"/>
      <c r="H3" s="123"/>
      <c r="I3" s="123"/>
      <c r="J3" s="120"/>
      <c r="K3" s="120"/>
      <c r="L3" s="113" t="s">
        <v>236</v>
      </c>
      <c r="M3" s="93"/>
    </row>
    <row r="4" spans="1:14" s="94" customFormat="1" ht="13.5" thickBot="1">
      <c r="A4" s="97"/>
      <c r="B4" s="97"/>
      <c r="C4" s="121"/>
      <c r="D4" s="121"/>
      <c r="E4" s="124"/>
      <c r="F4" s="124"/>
      <c r="G4" s="121"/>
      <c r="H4" s="124"/>
      <c r="I4" s="124"/>
      <c r="J4" s="121"/>
      <c r="K4" s="121"/>
      <c r="L4" s="110" t="s">
        <v>227</v>
      </c>
      <c r="M4" s="93"/>
    </row>
    <row r="5" spans="1:14" ht="13.5" thickBot="1">
      <c r="C5" s="76">
        <f>predikcia!A3</f>
        <v>45658</v>
      </c>
      <c r="D5" s="77" t="str">
        <f>predikcia!B3</f>
        <v>00:00:00</v>
      </c>
      <c r="E5" s="78">
        <f>predikcia!G3</f>
        <v>5010.5</v>
      </c>
      <c r="F5" s="68">
        <f>'DHS25'!C2</f>
        <v>9904</v>
      </c>
      <c r="G5" s="63">
        <f>'DHS25'!D2</f>
        <v>4296</v>
      </c>
      <c r="H5" s="105">
        <v>3</v>
      </c>
      <c r="I5" s="69">
        <f>'DHS25'!E2/1000</f>
        <v>4.0430000000000001</v>
      </c>
      <c r="J5" s="109">
        <f>predikcia!R3</f>
        <v>180</v>
      </c>
      <c r="K5" s="92">
        <f>(J5*0.99-1.9)*I5</f>
        <v>712.78089999999997</v>
      </c>
      <c r="M5" s="112">
        <v>3</v>
      </c>
      <c r="N5" s="111">
        <v>3</v>
      </c>
    </row>
    <row r="6" spans="1:14" ht="13.5" thickBot="1">
      <c r="C6" s="79">
        <f>predikcia!A4</f>
        <v>45658</v>
      </c>
      <c r="D6" s="80" t="str">
        <f>predikcia!B4</f>
        <v>01:00:00</v>
      </c>
      <c r="E6" s="81">
        <f>predikcia!G4</f>
        <v>5542.25</v>
      </c>
      <c r="F6" s="70">
        <f>'DHS25'!C3</f>
        <v>9949</v>
      </c>
      <c r="G6" s="71">
        <f>'DHS25'!D3</f>
        <v>1848</v>
      </c>
      <c r="H6" s="106">
        <v>3</v>
      </c>
      <c r="I6" s="72">
        <f>'DHS25'!E3/1000</f>
        <v>3.0070000000000001</v>
      </c>
      <c r="J6" s="109">
        <f>predikcia!R4</f>
        <v>138.56</v>
      </c>
      <c r="K6" s="92">
        <f t="shared" ref="K6:K69" si="0">(J6*0.99-1.9)*I6</f>
        <v>406.77012079999997</v>
      </c>
      <c r="M6" s="112">
        <v>3</v>
      </c>
      <c r="N6" s="111">
        <v>3</v>
      </c>
    </row>
    <row r="7" spans="1:14" ht="13.5" thickBot="1">
      <c r="C7" s="79">
        <f>predikcia!A5</f>
        <v>45658</v>
      </c>
      <c r="D7" s="80" t="str">
        <f>predikcia!B5</f>
        <v>02:00:00</v>
      </c>
      <c r="E7" s="81">
        <f>predikcia!G5</f>
        <v>6725</v>
      </c>
      <c r="F7" s="70">
        <f>'DHS25'!C4</f>
        <v>11129</v>
      </c>
      <c r="G7" s="71">
        <f>'DHS25'!D4</f>
        <v>309</v>
      </c>
      <c r="H7" s="106">
        <v>3</v>
      </c>
      <c r="I7" s="72">
        <f>'DHS25'!E4/1000</f>
        <v>2.996</v>
      </c>
      <c r="J7" s="109">
        <f>predikcia!R5</f>
        <v>127.12</v>
      </c>
      <c r="K7" s="92">
        <f t="shared" si="0"/>
        <v>371.35060479999999</v>
      </c>
      <c r="M7" s="112">
        <v>3</v>
      </c>
      <c r="N7" s="111">
        <v>3</v>
      </c>
    </row>
    <row r="8" spans="1:14" ht="13.5" thickBot="1">
      <c r="C8" s="79">
        <f>predikcia!A6</f>
        <v>45658</v>
      </c>
      <c r="D8" s="80" t="str">
        <f>predikcia!B6</f>
        <v>03:00:00</v>
      </c>
      <c r="E8" s="81">
        <f>predikcia!G6</f>
        <v>7629.25</v>
      </c>
      <c r="F8" s="70">
        <f>'DHS25'!C5</f>
        <v>11442</v>
      </c>
      <c r="G8" s="71">
        <f>'DHS25'!D5</f>
        <v>49</v>
      </c>
      <c r="H8" s="106">
        <v>3</v>
      </c>
      <c r="I8" s="72">
        <f>'DHS25'!E5/1000</f>
        <v>3</v>
      </c>
      <c r="J8" s="109">
        <f>predikcia!R6</f>
        <v>64.8</v>
      </c>
      <c r="K8" s="92">
        <f t="shared" si="0"/>
        <v>186.756</v>
      </c>
      <c r="M8" s="112">
        <v>3</v>
      </c>
      <c r="N8" s="111">
        <v>3</v>
      </c>
    </row>
    <row r="9" spans="1:14" ht="13.5" thickBot="1">
      <c r="C9" s="79">
        <f>predikcia!A7</f>
        <v>45658</v>
      </c>
      <c r="D9" s="80" t="str">
        <f>predikcia!B7</f>
        <v>04:00:00</v>
      </c>
      <c r="E9" s="81">
        <f>predikcia!G7</f>
        <v>14498.25</v>
      </c>
      <c r="F9" s="70">
        <f>'DHS25'!C6</f>
        <v>16527</v>
      </c>
      <c r="G9" s="71">
        <f>'DHS25'!D6</f>
        <v>89</v>
      </c>
      <c r="H9" s="106">
        <v>5</v>
      </c>
      <c r="I9" s="72">
        <f>'DHS25'!E6/1000</f>
        <v>4.9909999999999997</v>
      </c>
      <c r="J9" s="109">
        <f>predikcia!R7</f>
        <v>71.09</v>
      </c>
      <c r="K9" s="92">
        <f t="shared" si="0"/>
        <v>341.7791881</v>
      </c>
      <c r="M9" s="112">
        <v>5</v>
      </c>
      <c r="N9" s="111">
        <v>5</v>
      </c>
    </row>
    <row r="10" spans="1:14" ht="13.5" thickBot="1">
      <c r="C10" s="79">
        <f>predikcia!A8</f>
        <v>45658</v>
      </c>
      <c r="D10" s="80" t="str">
        <f>predikcia!B8</f>
        <v>05:00:00</v>
      </c>
      <c r="E10" s="81">
        <f>predikcia!G8</f>
        <v>16509.5</v>
      </c>
      <c r="F10" s="70">
        <f>'DHS25'!C7</f>
        <v>19516</v>
      </c>
      <c r="G10" s="71">
        <f>'DHS25'!D7</f>
        <v>60</v>
      </c>
      <c r="H10" s="106">
        <v>6</v>
      </c>
      <c r="I10" s="72">
        <f>'DHS25'!E7/1000</f>
        <v>5.9880000000000004</v>
      </c>
      <c r="J10" s="109">
        <f>predikcia!R8</f>
        <v>3</v>
      </c>
      <c r="K10" s="92">
        <f t="shared" si="0"/>
        <v>6.4071599999999993</v>
      </c>
      <c r="M10" s="112">
        <v>6</v>
      </c>
      <c r="N10" s="111">
        <v>6</v>
      </c>
    </row>
    <row r="11" spans="1:14" ht="13.5" thickBot="1">
      <c r="C11" s="79">
        <f>predikcia!A9</f>
        <v>45658</v>
      </c>
      <c r="D11" s="80" t="str">
        <f>predikcia!B9</f>
        <v>06:00:00</v>
      </c>
      <c r="E11" s="81">
        <f>predikcia!G9</f>
        <v>16696.75</v>
      </c>
      <c r="F11" s="70">
        <f>'DHS25'!C8</f>
        <v>19152</v>
      </c>
      <c r="G11" s="71">
        <f>'DHS25'!D8</f>
        <v>25</v>
      </c>
      <c r="H11" s="106">
        <v>6</v>
      </c>
      <c r="I11" s="72">
        <f>'DHS25'!E8/1000</f>
        <v>6.0039999999999996</v>
      </c>
      <c r="J11" s="109">
        <f>predikcia!R9</f>
        <v>-3.67</v>
      </c>
      <c r="K11" s="92">
        <f t="shared" si="0"/>
        <v>-33.221933199999995</v>
      </c>
      <c r="M11" s="112">
        <v>6</v>
      </c>
      <c r="N11" s="111">
        <v>6</v>
      </c>
    </row>
    <row r="12" spans="1:14" ht="13.5" thickBot="1">
      <c r="C12" s="79">
        <f>predikcia!A10</f>
        <v>45658</v>
      </c>
      <c r="D12" s="80" t="str">
        <f>predikcia!B10</f>
        <v>07:00:00</v>
      </c>
      <c r="E12" s="81">
        <f>predikcia!G10</f>
        <v>13328.5</v>
      </c>
      <c r="F12" s="70">
        <f>'DHS25'!C9</f>
        <v>19102</v>
      </c>
      <c r="G12" s="71">
        <f>'DHS25'!D9</f>
        <v>111</v>
      </c>
      <c r="H12" s="106">
        <v>5</v>
      </c>
      <c r="I12" s="72">
        <f>'DHS25'!E9/1000</f>
        <v>5.8879999999999999</v>
      </c>
      <c r="J12" s="109">
        <f>predikcia!R10</f>
        <v>-5.71</v>
      </c>
      <c r="K12" s="92">
        <f t="shared" si="0"/>
        <v>-44.471475199999993</v>
      </c>
      <c r="M12" s="112">
        <v>5</v>
      </c>
      <c r="N12" s="111">
        <v>5</v>
      </c>
    </row>
    <row r="13" spans="1:14" ht="13.5" thickBot="1">
      <c r="C13" s="79">
        <f>predikcia!A11</f>
        <v>45658</v>
      </c>
      <c r="D13" s="80" t="str">
        <f>predikcia!B11</f>
        <v>08:00:00</v>
      </c>
      <c r="E13" s="81">
        <f>predikcia!G11</f>
        <v>12737.5</v>
      </c>
      <c r="F13" s="70">
        <f>'DHS25'!C10</f>
        <v>16175</v>
      </c>
      <c r="G13" s="71">
        <f>'DHS25'!D10</f>
        <v>80</v>
      </c>
      <c r="H13" s="106">
        <v>5</v>
      </c>
      <c r="I13" s="72">
        <f>'DHS25'!E10/1000</f>
        <v>5</v>
      </c>
      <c r="J13" s="109">
        <f>predikcia!R11</f>
        <v>18.940000000000001</v>
      </c>
      <c r="K13" s="92">
        <f t="shared" si="0"/>
        <v>84.253000000000014</v>
      </c>
      <c r="M13" s="112">
        <v>5</v>
      </c>
      <c r="N13" s="111">
        <v>5</v>
      </c>
    </row>
    <row r="14" spans="1:14" ht="13.5" thickBot="1">
      <c r="C14" s="79">
        <f>predikcia!A12</f>
        <v>45658</v>
      </c>
      <c r="D14" s="80" t="str">
        <f>predikcia!B12</f>
        <v>09:00:00</v>
      </c>
      <c r="E14" s="81">
        <f>predikcia!G12</f>
        <v>13901.75</v>
      </c>
      <c r="F14" s="70">
        <f>'DHS25'!C11</f>
        <v>15994</v>
      </c>
      <c r="G14" s="71">
        <f>'DHS25'!D11</f>
        <v>28</v>
      </c>
      <c r="H14" s="106">
        <v>5</v>
      </c>
      <c r="I14" s="72">
        <f>'DHS25'!E11/1000</f>
        <v>5.0010000000000003</v>
      </c>
      <c r="J14" s="109">
        <f>predikcia!R12</f>
        <v>26.27</v>
      </c>
      <c r="K14" s="92">
        <f t="shared" si="0"/>
        <v>120.56060730000002</v>
      </c>
      <c r="M14" s="112">
        <v>5</v>
      </c>
      <c r="N14" s="111">
        <v>5</v>
      </c>
    </row>
    <row r="15" spans="1:14" ht="13.5" thickBot="1">
      <c r="C15" s="79">
        <f>predikcia!A13</f>
        <v>45658</v>
      </c>
      <c r="D15" s="80" t="str">
        <f>predikcia!B13</f>
        <v>10:00:00</v>
      </c>
      <c r="E15" s="81">
        <f>predikcia!G13</f>
        <v>13734.25</v>
      </c>
      <c r="F15" s="70">
        <f>'DHS25'!C12</f>
        <v>17102</v>
      </c>
      <c r="G15" s="71">
        <f>'DHS25'!D12</f>
        <v>69</v>
      </c>
      <c r="H15" s="106">
        <v>5</v>
      </c>
      <c r="I15" s="72">
        <f>'DHS25'!E12/1000</f>
        <v>5.5030000000000001</v>
      </c>
      <c r="J15" s="109">
        <f>predikcia!R13</f>
        <v>13</v>
      </c>
      <c r="K15" s="92">
        <f t="shared" si="0"/>
        <v>60.367909999999995</v>
      </c>
      <c r="M15" s="112">
        <v>5</v>
      </c>
      <c r="N15" s="111">
        <v>5</v>
      </c>
    </row>
    <row r="16" spans="1:14" ht="13.5" thickBot="1">
      <c r="C16" s="79">
        <f>predikcia!A14</f>
        <v>45658</v>
      </c>
      <c r="D16" s="80" t="str">
        <f>predikcia!B14</f>
        <v>11:00:00</v>
      </c>
      <c r="E16" s="81">
        <f>predikcia!G14</f>
        <v>13889.25</v>
      </c>
      <c r="F16" s="70">
        <f>'DHS25'!C13</f>
        <v>18129</v>
      </c>
      <c r="G16" s="71">
        <f>'DHS25'!D13</f>
        <v>115</v>
      </c>
      <c r="H16" s="106">
        <v>5</v>
      </c>
      <c r="I16" s="72">
        <f>'DHS25'!E13/1000</f>
        <v>5.6950000000000003</v>
      </c>
      <c r="J16" s="109">
        <f>predikcia!R14</f>
        <v>17</v>
      </c>
      <c r="K16" s="92">
        <f t="shared" si="0"/>
        <v>85.026349999999994</v>
      </c>
      <c r="M16" s="112">
        <v>5</v>
      </c>
      <c r="N16" s="111">
        <v>5</v>
      </c>
    </row>
    <row r="17" spans="3:14" ht="13.5" thickBot="1">
      <c r="C17" s="79">
        <f>predikcia!A15</f>
        <v>45658</v>
      </c>
      <c r="D17" s="80" t="str">
        <f>predikcia!B15</f>
        <v>12:00:00</v>
      </c>
      <c r="E17" s="81">
        <f>predikcia!G15</f>
        <v>14322.25</v>
      </c>
      <c r="F17" s="70">
        <f>'DHS25'!C14</f>
        <v>18592</v>
      </c>
      <c r="G17" s="71">
        <f>'DHS25'!D14</f>
        <v>83</v>
      </c>
      <c r="H17" s="106">
        <v>5</v>
      </c>
      <c r="I17" s="72">
        <f>'DHS25'!E14/1000</f>
        <v>5.7080000000000002</v>
      </c>
      <c r="J17" s="109">
        <f>predikcia!R15</f>
        <v>13.62</v>
      </c>
      <c r="K17" s="92">
        <f t="shared" si="0"/>
        <v>66.120330399999986</v>
      </c>
      <c r="M17" s="112">
        <v>5</v>
      </c>
      <c r="N17" s="111">
        <v>5</v>
      </c>
    </row>
    <row r="18" spans="3:14" ht="13.5" thickBot="1">
      <c r="C18" s="79">
        <f>predikcia!A16</f>
        <v>45658</v>
      </c>
      <c r="D18" s="80" t="str">
        <f>predikcia!B16</f>
        <v>13:00:00</v>
      </c>
      <c r="E18" s="81">
        <f>predikcia!G16</f>
        <v>14145.75</v>
      </c>
      <c r="F18" s="70">
        <f>'DHS25'!C15</f>
        <v>17759</v>
      </c>
      <c r="G18" s="71">
        <f>'DHS25'!D15</f>
        <v>103</v>
      </c>
      <c r="H18" s="106">
        <v>5</v>
      </c>
      <c r="I18" s="72">
        <f>'DHS25'!E15/1000</f>
        <v>5.4009999999999998</v>
      </c>
      <c r="J18" s="109">
        <f>predikcia!R16</f>
        <v>23</v>
      </c>
      <c r="K18" s="92">
        <f t="shared" si="0"/>
        <v>112.71887</v>
      </c>
      <c r="M18" s="112">
        <v>5</v>
      </c>
      <c r="N18" s="111">
        <v>5</v>
      </c>
    </row>
    <row r="19" spans="3:14" ht="13.5" thickBot="1">
      <c r="C19" s="79">
        <f>predikcia!A17</f>
        <v>45658</v>
      </c>
      <c r="D19" s="80" t="str">
        <f>predikcia!B17</f>
        <v>14:00:00</v>
      </c>
      <c r="E19" s="81">
        <f>predikcia!G17</f>
        <v>13489</v>
      </c>
      <c r="F19" s="70">
        <f>'DHS25'!C16</f>
        <v>17104</v>
      </c>
      <c r="G19" s="71">
        <f>'DHS25'!D16</f>
        <v>23</v>
      </c>
      <c r="H19" s="106">
        <v>5</v>
      </c>
      <c r="I19" s="72">
        <f>'DHS25'!E16/1000</f>
        <v>5.2569999999999997</v>
      </c>
      <c r="J19" s="109">
        <f>predikcia!R17</f>
        <v>66.8</v>
      </c>
      <c r="K19" s="92">
        <f t="shared" si="0"/>
        <v>337.66762399999988</v>
      </c>
      <c r="M19" s="112">
        <v>5</v>
      </c>
      <c r="N19" s="111">
        <v>5</v>
      </c>
    </row>
    <row r="20" spans="3:14" ht="13.5" thickBot="1">
      <c r="C20" s="79">
        <f>predikcia!A18</f>
        <v>45658</v>
      </c>
      <c r="D20" s="80" t="str">
        <f>predikcia!B18</f>
        <v>15:00:00</v>
      </c>
      <c r="E20" s="81">
        <f>predikcia!G18</f>
        <v>13801</v>
      </c>
      <c r="F20" s="70">
        <f>'DHS25'!C17</f>
        <v>17064</v>
      </c>
      <c r="G20" s="71">
        <f>'DHS25'!D17</f>
        <v>22</v>
      </c>
      <c r="H20" s="106">
        <v>5</v>
      </c>
      <c r="I20" s="72">
        <f>'DHS25'!E17/1000</f>
        <v>5.2990000000000004</v>
      </c>
      <c r="J20" s="109">
        <f>predikcia!R18</f>
        <v>106.12</v>
      </c>
      <c r="K20" s="92">
        <f t="shared" si="0"/>
        <v>546.6384812</v>
      </c>
      <c r="M20" s="112">
        <v>5</v>
      </c>
      <c r="N20" s="111">
        <v>5</v>
      </c>
    </row>
    <row r="21" spans="3:14" ht="13.5" thickBot="1">
      <c r="C21" s="79">
        <f>predikcia!A19</f>
        <v>45658</v>
      </c>
      <c r="D21" s="80" t="str">
        <f>predikcia!B19</f>
        <v>16:00:00</v>
      </c>
      <c r="E21" s="81">
        <f>predikcia!G19</f>
        <v>14192.5</v>
      </c>
      <c r="F21" s="70">
        <f>'DHS25'!C18</f>
        <v>18609</v>
      </c>
      <c r="G21" s="71">
        <f>'DHS25'!D18</f>
        <v>279</v>
      </c>
      <c r="H21" s="106">
        <v>5</v>
      </c>
      <c r="I21" s="72">
        <f>'DHS25'!E18/1000</f>
        <v>5.7060000000000004</v>
      </c>
      <c r="J21" s="109">
        <f>predikcia!R19</f>
        <v>92.4</v>
      </c>
      <c r="K21" s="92">
        <f t="shared" si="0"/>
        <v>511.120656</v>
      </c>
      <c r="M21" s="112">
        <v>5</v>
      </c>
      <c r="N21" s="111">
        <v>5</v>
      </c>
    </row>
    <row r="22" spans="3:14" ht="13.5" thickBot="1">
      <c r="C22" s="79">
        <f>predikcia!A20</f>
        <v>45658</v>
      </c>
      <c r="D22" s="80" t="str">
        <f>predikcia!B20</f>
        <v>17:00:00</v>
      </c>
      <c r="E22" s="81">
        <f>predikcia!G20</f>
        <v>14534.5</v>
      </c>
      <c r="F22" s="70">
        <f>'DHS25'!C19</f>
        <v>18475</v>
      </c>
      <c r="G22" s="71">
        <f>'DHS25'!D19</f>
        <v>22</v>
      </c>
      <c r="H22" s="106">
        <v>5</v>
      </c>
      <c r="I22" s="72">
        <f>'DHS25'!E19/1000</f>
        <v>5.6909999999999998</v>
      </c>
      <c r="J22" s="109">
        <f>predikcia!R20</f>
        <v>81.3</v>
      </c>
      <c r="K22" s="92">
        <f t="shared" si="0"/>
        <v>447.23861699999992</v>
      </c>
      <c r="M22" s="112">
        <v>5</v>
      </c>
      <c r="N22" s="111">
        <v>5</v>
      </c>
    </row>
    <row r="23" spans="3:14" ht="13.5" thickBot="1">
      <c r="C23" s="79">
        <f>predikcia!A21</f>
        <v>45658</v>
      </c>
      <c r="D23" s="80" t="str">
        <f>predikcia!B21</f>
        <v>18:00:00</v>
      </c>
      <c r="E23" s="81">
        <f>predikcia!G21</f>
        <v>14568.25</v>
      </c>
      <c r="F23" s="70">
        <f>'DHS25'!C20</f>
        <v>18488</v>
      </c>
      <c r="G23" s="71">
        <f>'DHS25'!D20</f>
        <v>168</v>
      </c>
      <c r="H23" s="106">
        <v>5</v>
      </c>
      <c r="I23" s="72">
        <f>'DHS25'!E20/1000</f>
        <v>5.7039999999999997</v>
      </c>
      <c r="J23" s="109">
        <f>predikcia!R21</f>
        <v>154.26</v>
      </c>
      <c r="K23" s="92">
        <f t="shared" si="0"/>
        <v>860.26244959999997</v>
      </c>
      <c r="M23" s="112">
        <v>5</v>
      </c>
      <c r="N23" s="111">
        <v>5</v>
      </c>
    </row>
    <row r="24" spans="3:14" ht="13.5" thickBot="1">
      <c r="C24" s="79">
        <f>predikcia!A22</f>
        <v>45658</v>
      </c>
      <c r="D24" s="80" t="str">
        <f>predikcia!B22</f>
        <v>19:00:00</v>
      </c>
      <c r="E24" s="81">
        <f>predikcia!G22</f>
        <v>14806.25</v>
      </c>
      <c r="F24" s="70">
        <f>'DHS25'!C21</f>
        <v>18299</v>
      </c>
      <c r="G24" s="71">
        <f>'DHS25'!D21</f>
        <v>24</v>
      </c>
      <c r="H24" s="106">
        <v>5</v>
      </c>
      <c r="I24" s="72">
        <f>'DHS25'!E21/1000</f>
        <v>5.7140000000000004</v>
      </c>
      <c r="J24" s="109">
        <f>predikcia!R22</f>
        <v>162.05000000000001</v>
      </c>
      <c r="K24" s="92">
        <f t="shared" si="0"/>
        <v>905.83756300000016</v>
      </c>
      <c r="M24" s="112">
        <v>5</v>
      </c>
      <c r="N24" s="111">
        <v>5</v>
      </c>
    </row>
    <row r="25" spans="3:14" ht="13.5" thickBot="1">
      <c r="C25" s="79">
        <f>predikcia!A23</f>
        <v>45658</v>
      </c>
      <c r="D25" s="80" t="str">
        <f>predikcia!B23</f>
        <v>20:00:00</v>
      </c>
      <c r="E25" s="81">
        <f>predikcia!G23</f>
        <v>14610.5</v>
      </c>
      <c r="F25" s="70">
        <f>'DHS25'!C22</f>
        <v>18350</v>
      </c>
      <c r="G25" s="71">
        <f>'DHS25'!D22</f>
        <v>103</v>
      </c>
      <c r="H25" s="106">
        <v>5</v>
      </c>
      <c r="I25" s="72">
        <f>'DHS25'!E22/1000</f>
        <v>5.6139999999999999</v>
      </c>
      <c r="J25" s="109">
        <f>predikcia!R23</f>
        <v>164.55</v>
      </c>
      <c r="K25" s="92">
        <f t="shared" si="0"/>
        <v>903.87926300000004</v>
      </c>
      <c r="M25" s="112">
        <v>5</v>
      </c>
      <c r="N25" s="111">
        <v>5</v>
      </c>
    </row>
    <row r="26" spans="3:14" ht="13.5" thickBot="1">
      <c r="C26" s="79">
        <f>predikcia!A24</f>
        <v>45658</v>
      </c>
      <c r="D26" s="80" t="str">
        <f>predikcia!B24</f>
        <v>21:00:00</v>
      </c>
      <c r="E26" s="81">
        <f>predikcia!G24</f>
        <v>14761</v>
      </c>
      <c r="F26" s="70">
        <f>'DHS25'!C23</f>
        <v>17573</v>
      </c>
      <c r="G26" s="71">
        <f>'DHS25'!D23</f>
        <v>128</v>
      </c>
      <c r="H26" s="106">
        <v>5</v>
      </c>
      <c r="I26" s="72">
        <f>'DHS25'!E23/1000</f>
        <v>5.3860000000000001</v>
      </c>
      <c r="J26" s="109">
        <f>predikcia!R24</f>
        <v>161.31</v>
      </c>
      <c r="K26" s="92">
        <f t="shared" si="0"/>
        <v>849.89410339999995</v>
      </c>
      <c r="M26" s="112">
        <v>5</v>
      </c>
      <c r="N26" s="111">
        <v>5</v>
      </c>
    </row>
    <row r="27" spans="3:14" ht="13.5" thickBot="1">
      <c r="C27" s="79">
        <f>predikcia!A25</f>
        <v>45658</v>
      </c>
      <c r="D27" s="80" t="str">
        <f>predikcia!B25</f>
        <v>22:00:00</v>
      </c>
      <c r="E27" s="81">
        <f>predikcia!G25</f>
        <v>12917</v>
      </c>
      <c r="F27" s="70">
        <f>'DHS25'!C24</f>
        <v>17068</v>
      </c>
      <c r="G27" s="71">
        <f>'DHS25'!D24</f>
        <v>36</v>
      </c>
      <c r="H27" s="106">
        <v>5</v>
      </c>
      <c r="I27" s="72">
        <f>'DHS25'!E24/1000</f>
        <v>5.1959999999999997</v>
      </c>
      <c r="J27" s="109">
        <f>predikcia!R25</f>
        <v>76.900000000000006</v>
      </c>
      <c r="K27" s="92">
        <f t="shared" si="0"/>
        <v>385.70427599999994</v>
      </c>
      <c r="M27" s="112">
        <v>5</v>
      </c>
      <c r="N27" s="111">
        <v>5</v>
      </c>
    </row>
    <row r="28" spans="3:14" ht="13.5" thickBot="1">
      <c r="C28" s="82">
        <f>predikcia!A26</f>
        <v>45658</v>
      </c>
      <c r="D28" s="83" t="str">
        <f>predikcia!B26</f>
        <v>23:00:00</v>
      </c>
      <c r="E28" s="84">
        <f>predikcia!G26</f>
        <v>7391.25</v>
      </c>
      <c r="F28" s="73">
        <f>'DHS25'!C25</f>
        <v>9680</v>
      </c>
      <c r="G28" s="64">
        <f>'DHS25'!D25</f>
        <v>3811</v>
      </c>
      <c r="H28" s="107">
        <v>3</v>
      </c>
      <c r="I28" s="74">
        <f>'DHS25'!E25/1000</f>
        <v>3.645</v>
      </c>
      <c r="J28" s="109">
        <f>predikcia!R26</f>
        <v>26.69</v>
      </c>
      <c r="K28" s="92">
        <f t="shared" si="0"/>
        <v>89.386699500000006</v>
      </c>
      <c r="M28" s="112">
        <v>3</v>
      </c>
      <c r="N28" s="111">
        <v>3</v>
      </c>
    </row>
    <row r="29" spans="3:14" ht="13.5" thickBot="1">
      <c r="C29" s="85">
        <f>predikcia!A27</f>
        <v>45659</v>
      </c>
      <c r="D29" s="86" t="str">
        <f>predikcia!B27</f>
        <v>00:00:00</v>
      </c>
      <c r="E29" s="78">
        <f>predikcia!G27</f>
        <v>6675.25</v>
      </c>
      <c r="F29" s="68">
        <f>'DHS25'!C26</f>
        <v>10280</v>
      </c>
      <c r="G29" s="63">
        <f>'DHS25'!D26</f>
        <v>1088</v>
      </c>
      <c r="H29" s="105">
        <v>3</v>
      </c>
      <c r="I29" s="69">
        <f>'DHS25'!E26/1000</f>
        <v>2.9860000000000002</v>
      </c>
      <c r="J29" s="109">
        <f>predikcia!R27</f>
        <v>59.77</v>
      </c>
      <c r="K29" s="92">
        <f t="shared" si="0"/>
        <v>171.0150878</v>
      </c>
      <c r="M29" s="112">
        <v>3</v>
      </c>
      <c r="N29" s="111">
        <v>3</v>
      </c>
    </row>
    <row r="30" spans="3:14" ht="13.5" thickBot="1">
      <c r="C30" s="87">
        <f>predikcia!A28</f>
        <v>45659</v>
      </c>
      <c r="D30" s="88" t="str">
        <f>predikcia!B28</f>
        <v>01:00:00</v>
      </c>
      <c r="E30" s="81">
        <f>predikcia!G28</f>
        <v>8306</v>
      </c>
      <c r="F30" s="70">
        <f>'DHS25'!C27</f>
        <v>10037</v>
      </c>
      <c r="G30" s="71">
        <f>'DHS25'!D27</f>
        <v>2062</v>
      </c>
      <c r="H30" s="106">
        <v>4</v>
      </c>
      <c r="I30" s="72">
        <f>'DHS25'!E27/1000</f>
        <v>3.6520000000000001</v>
      </c>
      <c r="J30" s="109">
        <f>predikcia!R28</f>
        <v>50</v>
      </c>
      <c r="K30" s="92">
        <f t="shared" si="0"/>
        <v>173.83520000000001</v>
      </c>
      <c r="M30" s="112">
        <v>4</v>
      </c>
      <c r="N30" s="111">
        <v>4</v>
      </c>
    </row>
    <row r="31" spans="3:14" ht="13.5" thickBot="1">
      <c r="C31" s="87">
        <f>predikcia!A29</f>
        <v>45659</v>
      </c>
      <c r="D31" s="88" t="str">
        <f>predikcia!B29</f>
        <v>02:00:00</v>
      </c>
      <c r="E31" s="81">
        <f>predikcia!G29</f>
        <v>8060</v>
      </c>
      <c r="F31" s="70">
        <f>'DHS25'!C28</f>
        <v>13175</v>
      </c>
      <c r="G31" s="71">
        <f>'DHS25'!D28</f>
        <v>1277</v>
      </c>
      <c r="H31" s="106">
        <v>4</v>
      </c>
      <c r="I31" s="72">
        <f>'DHS25'!E28/1000</f>
        <v>4</v>
      </c>
      <c r="J31" s="109">
        <f>predikcia!R29</f>
        <v>68.88</v>
      </c>
      <c r="K31" s="92">
        <f t="shared" si="0"/>
        <v>265.16479999999996</v>
      </c>
      <c r="M31" s="112">
        <v>4</v>
      </c>
      <c r="N31" s="111">
        <v>4</v>
      </c>
    </row>
    <row r="32" spans="3:14" ht="13.5" thickBot="1">
      <c r="C32" s="87">
        <f>predikcia!A30</f>
        <v>45659</v>
      </c>
      <c r="D32" s="88" t="str">
        <f>predikcia!B30</f>
        <v>03:00:00</v>
      </c>
      <c r="E32" s="81">
        <f>predikcia!G30</f>
        <v>9532.25</v>
      </c>
      <c r="F32" s="70">
        <f>'DHS25'!C29</f>
        <v>14322</v>
      </c>
      <c r="G32" s="71">
        <f>'DHS25'!D29</f>
        <v>575</v>
      </c>
      <c r="H32" s="106">
        <v>4</v>
      </c>
      <c r="I32" s="72">
        <f>'DHS25'!E29/1000</f>
        <v>4.0129999999999999</v>
      </c>
      <c r="J32" s="109">
        <f>predikcia!R30</f>
        <v>48.58</v>
      </c>
      <c r="K32" s="92">
        <f t="shared" si="0"/>
        <v>185.37732460000001</v>
      </c>
      <c r="M32" s="112">
        <v>4</v>
      </c>
      <c r="N32" s="111">
        <v>4</v>
      </c>
    </row>
    <row r="33" spans="3:14" ht="13.5" thickBot="1">
      <c r="C33" s="87">
        <f>predikcia!A31</f>
        <v>45659</v>
      </c>
      <c r="D33" s="88" t="str">
        <f>predikcia!B31</f>
        <v>04:00:00</v>
      </c>
      <c r="E33" s="81">
        <f>predikcia!G31</f>
        <v>15640.25</v>
      </c>
      <c r="F33" s="70">
        <f>'DHS25'!C30</f>
        <v>15365</v>
      </c>
      <c r="G33" s="71">
        <f>'DHS25'!D30</f>
        <v>24</v>
      </c>
      <c r="H33" s="106">
        <v>5</v>
      </c>
      <c r="I33" s="72">
        <f>'DHS25'!E30/1000</f>
        <v>4.6470000000000002</v>
      </c>
      <c r="J33" s="109">
        <f>predikcia!R31</f>
        <v>55.14</v>
      </c>
      <c r="K33" s="92">
        <f t="shared" si="0"/>
        <v>244.8439242</v>
      </c>
      <c r="M33" s="112">
        <v>5</v>
      </c>
      <c r="N33" s="111">
        <v>5</v>
      </c>
    </row>
    <row r="34" spans="3:14" ht="13.5" thickBot="1">
      <c r="C34" s="87">
        <f>predikcia!A32</f>
        <v>45659</v>
      </c>
      <c r="D34" s="88" t="str">
        <f>predikcia!B32</f>
        <v>05:00:00</v>
      </c>
      <c r="E34" s="81">
        <f>predikcia!G32</f>
        <v>16587.25</v>
      </c>
      <c r="F34" s="70">
        <f>'DHS25'!C31</f>
        <v>18820</v>
      </c>
      <c r="G34" s="71">
        <f>'DHS25'!D31</f>
        <v>195</v>
      </c>
      <c r="H34" s="106">
        <v>6</v>
      </c>
      <c r="I34" s="72">
        <f>'DHS25'!E31/1000</f>
        <v>5.9340000000000002</v>
      </c>
      <c r="J34" s="109">
        <f>predikcia!R32</f>
        <v>76.209999999999994</v>
      </c>
      <c r="K34" s="92">
        <f t="shared" si="0"/>
        <v>436.43323859999992</v>
      </c>
      <c r="M34" s="112">
        <v>6</v>
      </c>
      <c r="N34" s="111">
        <v>6</v>
      </c>
    </row>
    <row r="35" spans="3:14" ht="13.5" thickBot="1">
      <c r="C35" s="87">
        <f>predikcia!A33</f>
        <v>45659</v>
      </c>
      <c r="D35" s="88" t="str">
        <f>predikcia!B33</f>
        <v>06:00:00</v>
      </c>
      <c r="E35" s="81">
        <f>predikcia!G33</f>
        <v>16944.75</v>
      </c>
      <c r="F35" s="70">
        <f>'DHS25'!C32</f>
        <v>19487</v>
      </c>
      <c r="G35" s="71">
        <f>'DHS25'!D32</f>
        <v>25</v>
      </c>
      <c r="H35" s="106">
        <v>6</v>
      </c>
      <c r="I35" s="72">
        <f>'DHS25'!E32/1000</f>
        <v>6.0069999999999997</v>
      </c>
      <c r="J35" s="109">
        <f>predikcia!R33</f>
        <v>136.19999999999999</v>
      </c>
      <c r="K35" s="92">
        <f t="shared" si="0"/>
        <v>798.55856599999993</v>
      </c>
      <c r="M35" s="112">
        <v>6</v>
      </c>
      <c r="N35" s="111">
        <v>6</v>
      </c>
    </row>
    <row r="36" spans="3:14" ht="13.5" thickBot="1">
      <c r="C36" s="87">
        <f>predikcia!A34</f>
        <v>45659</v>
      </c>
      <c r="D36" s="88" t="str">
        <f>predikcia!B34</f>
        <v>07:00:00</v>
      </c>
      <c r="E36" s="81">
        <f>predikcia!G34</f>
        <v>13824</v>
      </c>
      <c r="F36" s="70">
        <f>'DHS25'!C33</f>
        <v>21425</v>
      </c>
      <c r="G36" s="71">
        <f>'DHS25'!D33</f>
        <v>742</v>
      </c>
      <c r="H36" s="106">
        <v>5</v>
      </c>
      <c r="I36" s="72">
        <f>'DHS25'!E33/1000</f>
        <v>2.105</v>
      </c>
      <c r="J36" s="109">
        <f>predikcia!R34</f>
        <v>157.86000000000001</v>
      </c>
      <c r="K36" s="92">
        <f t="shared" si="0"/>
        <v>324.972847</v>
      </c>
      <c r="M36" s="112">
        <v>5</v>
      </c>
      <c r="N36" s="111">
        <v>5</v>
      </c>
    </row>
    <row r="37" spans="3:14" ht="13.5" thickBot="1">
      <c r="C37" s="87">
        <f>predikcia!A35</f>
        <v>45659</v>
      </c>
      <c r="D37" s="88" t="str">
        <f>predikcia!B35</f>
        <v>08:00:00</v>
      </c>
      <c r="E37" s="81">
        <f>predikcia!G35</f>
        <v>14371.5</v>
      </c>
      <c r="F37" s="70">
        <f>'DHS25'!C34</f>
        <v>16783</v>
      </c>
      <c r="G37" s="71">
        <f>'DHS25'!D34</f>
        <v>96</v>
      </c>
      <c r="H37" s="106">
        <v>5</v>
      </c>
      <c r="I37" s="72">
        <f>'DHS25'!E34/1000</f>
        <v>5.0039999999999996</v>
      </c>
      <c r="J37" s="109">
        <f>predikcia!R35</f>
        <v>130</v>
      </c>
      <c r="K37" s="92">
        <f t="shared" si="0"/>
        <v>634.5071999999999</v>
      </c>
      <c r="M37" s="112">
        <v>5</v>
      </c>
      <c r="N37" s="111">
        <v>5</v>
      </c>
    </row>
    <row r="38" spans="3:14" ht="13.5" thickBot="1">
      <c r="C38" s="87">
        <f>predikcia!A36</f>
        <v>45659</v>
      </c>
      <c r="D38" s="88" t="str">
        <f>predikcia!B36</f>
        <v>09:00:00</v>
      </c>
      <c r="E38" s="81">
        <f>predikcia!G36</f>
        <v>15030.5</v>
      </c>
      <c r="F38" s="70">
        <f>'DHS25'!C35</f>
        <v>17944</v>
      </c>
      <c r="G38" s="71">
        <f>'DHS25'!D35</f>
        <v>27</v>
      </c>
      <c r="H38" s="106">
        <v>5</v>
      </c>
      <c r="I38" s="72">
        <f>'DHS25'!E35/1000</f>
        <v>5.5039999999999996</v>
      </c>
      <c r="J38" s="109">
        <f>predikcia!R36</f>
        <v>133.44</v>
      </c>
      <c r="K38" s="92">
        <f t="shared" si="0"/>
        <v>716.65162239999995</v>
      </c>
      <c r="M38" s="112">
        <v>5</v>
      </c>
      <c r="N38" s="111">
        <v>5</v>
      </c>
    </row>
    <row r="39" spans="3:14" ht="13.5" thickBot="1">
      <c r="C39" s="87">
        <f>predikcia!A37</f>
        <v>45659</v>
      </c>
      <c r="D39" s="88" t="str">
        <f>predikcia!B37</f>
        <v>10:00:00</v>
      </c>
      <c r="E39" s="81">
        <f>predikcia!G37</f>
        <v>14734.25</v>
      </c>
      <c r="F39" s="70">
        <f>'DHS25'!C36</f>
        <v>18279</v>
      </c>
      <c r="G39" s="71">
        <f>'DHS25'!D36</f>
        <v>230</v>
      </c>
      <c r="H39" s="106">
        <v>5</v>
      </c>
      <c r="I39" s="72">
        <f>'DHS25'!E36/1000</f>
        <v>5.7919999999999998</v>
      </c>
      <c r="J39" s="109">
        <f>predikcia!R37</f>
        <v>129.06</v>
      </c>
      <c r="K39" s="92">
        <f t="shared" si="0"/>
        <v>729.03556479999997</v>
      </c>
      <c r="M39" s="112">
        <v>5</v>
      </c>
      <c r="N39" s="111">
        <v>5</v>
      </c>
    </row>
    <row r="40" spans="3:14" ht="13.5" thickBot="1">
      <c r="C40" s="87">
        <f>predikcia!A38</f>
        <v>45659</v>
      </c>
      <c r="D40" s="88" t="str">
        <f>predikcia!B38</f>
        <v>11:00:00</v>
      </c>
      <c r="E40" s="81">
        <f>predikcia!G38</f>
        <v>14416.25</v>
      </c>
      <c r="F40" s="70">
        <f>'DHS25'!C37</f>
        <v>18412</v>
      </c>
      <c r="G40" s="71">
        <f>'DHS25'!D37</f>
        <v>123</v>
      </c>
      <c r="H40" s="106">
        <v>5</v>
      </c>
      <c r="I40" s="72">
        <f>'DHS25'!E37/1000</f>
        <v>5.7949999999999999</v>
      </c>
      <c r="J40" s="109">
        <f>predikcia!R38</f>
        <v>124.28</v>
      </c>
      <c r="K40" s="92">
        <f t="shared" si="0"/>
        <v>701.99007399999994</v>
      </c>
      <c r="M40" s="112">
        <v>5</v>
      </c>
      <c r="N40" s="111">
        <v>5</v>
      </c>
    </row>
    <row r="41" spans="3:14" ht="13.5" thickBot="1">
      <c r="C41" s="87">
        <f>predikcia!A39</f>
        <v>45659</v>
      </c>
      <c r="D41" s="88" t="str">
        <f>predikcia!B39</f>
        <v>12:00:00</v>
      </c>
      <c r="E41" s="81">
        <f>predikcia!G39</f>
        <v>14068.25</v>
      </c>
      <c r="F41" s="70">
        <f>'DHS25'!C38</f>
        <v>18582</v>
      </c>
      <c r="G41" s="71">
        <f>'DHS25'!D38</f>
        <v>156</v>
      </c>
      <c r="H41" s="106">
        <v>5</v>
      </c>
      <c r="I41" s="72">
        <f>'DHS25'!E38/1000</f>
        <v>5.8</v>
      </c>
      <c r="J41" s="109">
        <f>predikcia!R39</f>
        <v>124</v>
      </c>
      <c r="K41" s="92">
        <f t="shared" si="0"/>
        <v>700.98799999999994</v>
      </c>
      <c r="M41" s="112">
        <v>5</v>
      </c>
      <c r="N41" s="111">
        <v>5</v>
      </c>
    </row>
    <row r="42" spans="3:14" ht="13.5" thickBot="1">
      <c r="C42" s="87">
        <f>predikcia!A40</f>
        <v>45659</v>
      </c>
      <c r="D42" s="88" t="str">
        <f>predikcia!B40</f>
        <v>13:00:00</v>
      </c>
      <c r="E42" s="81">
        <f>predikcia!G40</f>
        <v>14212.75</v>
      </c>
      <c r="F42" s="70">
        <f>'DHS25'!C39</f>
        <v>18286</v>
      </c>
      <c r="G42" s="71">
        <f>'DHS25'!D39</f>
        <v>24</v>
      </c>
      <c r="H42" s="106">
        <v>5</v>
      </c>
      <c r="I42" s="72">
        <f>'DHS25'!E39/1000</f>
        <v>5.8140000000000001</v>
      </c>
      <c r="J42" s="109">
        <f>predikcia!R40</f>
        <v>116.92</v>
      </c>
      <c r="K42" s="92">
        <f t="shared" si="0"/>
        <v>661.92855120000002</v>
      </c>
      <c r="M42" s="112">
        <v>5</v>
      </c>
      <c r="N42" s="111">
        <v>5</v>
      </c>
    </row>
    <row r="43" spans="3:14" ht="13.5" thickBot="1">
      <c r="C43" s="87">
        <f>predikcia!A41</f>
        <v>45659</v>
      </c>
      <c r="D43" s="88" t="str">
        <f>predikcia!B41</f>
        <v>14:00:00</v>
      </c>
      <c r="E43" s="81">
        <f>predikcia!G41</f>
        <v>14183.25</v>
      </c>
      <c r="F43" s="70">
        <f>'DHS25'!C40</f>
        <v>18342</v>
      </c>
      <c r="G43" s="71">
        <f>'DHS25'!D40</f>
        <v>79</v>
      </c>
      <c r="H43" s="106">
        <v>5</v>
      </c>
      <c r="I43" s="72">
        <f>'DHS25'!E40/1000</f>
        <v>5.798</v>
      </c>
      <c r="J43" s="109">
        <f>predikcia!R41</f>
        <v>125.5</v>
      </c>
      <c r="K43" s="92">
        <f t="shared" si="0"/>
        <v>709.35631000000001</v>
      </c>
      <c r="M43" s="112">
        <v>5</v>
      </c>
      <c r="N43" s="111">
        <v>5</v>
      </c>
    </row>
    <row r="44" spans="3:14" ht="13.5" thickBot="1">
      <c r="C44" s="87">
        <f>predikcia!A42</f>
        <v>45659</v>
      </c>
      <c r="D44" s="88" t="str">
        <f>predikcia!B42</f>
        <v>15:00:00</v>
      </c>
      <c r="E44" s="81">
        <f>predikcia!G42</f>
        <v>14505</v>
      </c>
      <c r="F44" s="70">
        <f>'DHS25'!C41</f>
        <v>17863</v>
      </c>
      <c r="G44" s="71">
        <f>'DHS25'!D41</f>
        <v>180</v>
      </c>
      <c r="H44" s="106">
        <v>5</v>
      </c>
      <c r="I44" s="72">
        <f>'DHS25'!E41/1000</f>
        <v>5.5060000000000002</v>
      </c>
      <c r="J44" s="109">
        <f>predikcia!R42</f>
        <v>130.11000000000001</v>
      </c>
      <c r="K44" s="92">
        <f t="shared" si="0"/>
        <v>698.76040340000009</v>
      </c>
      <c r="M44" s="112">
        <v>5</v>
      </c>
      <c r="N44" s="111">
        <v>5</v>
      </c>
    </row>
    <row r="45" spans="3:14" ht="13.5" thickBot="1">
      <c r="C45" s="87">
        <f>predikcia!A43</f>
        <v>45659</v>
      </c>
      <c r="D45" s="88" t="str">
        <f>predikcia!B43</f>
        <v>16:00:00</v>
      </c>
      <c r="E45" s="81">
        <f>predikcia!G43</f>
        <v>14402.75</v>
      </c>
      <c r="F45" s="70">
        <f>'DHS25'!C42</f>
        <v>17324</v>
      </c>
      <c r="G45" s="71">
        <f>'DHS25'!D42</f>
        <v>169</v>
      </c>
      <c r="H45" s="106">
        <v>5</v>
      </c>
      <c r="I45" s="72">
        <f>'DHS25'!E42/1000</f>
        <v>5.5010000000000003</v>
      </c>
      <c r="J45" s="109">
        <f>predikcia!R43</f>
        <v>146.6</v>
      </c>
      <c r="K45" s="92">
        <f t="shared" si="0"/>
        <v>787.93023399999993</v>
      </c>
      <c r="M45" s="112">
        <v>5</v>
      </c>
      <c r="N45" s="111">
        <v>5</v>
      </c>
    </row>
    <row r="46" spans="3:14" ht="13.5" thickBot="1">
      <c r="C46" s="87">
        <f>predikcia!A44</f>
        <v>45659</v>
      </c>
      <c r="D46" s="88" t="str">
        <f>predikcia!B44</f>
        <v>17:00:00</v>
      </c>
      <c r="E46" s="81">
        <f>predikcia!G44</f>
        <v>14915.25</v>
      </c>
      <c r="F46" s="70">
        <f>'DHS25'!C43</f>
        <v>17369</v>
      </c>
      <c r="G46" s="71">
        <f>'DHS25'!D43</f>
        <v>29</v>
      </c>
      <c r="H46" s="106">
        <v>5</v>
      </c>
      <c r="I46" s="72">
        <f>'DHS25'!E43/1000</f>
        <v>5.5060000000000002</v>
      </c>
      <c r="J46" s="109">
        <f>predikcia!R44</f>
        <v>147.27000000000001</v>
      </c>
      <c r="K46" s="92">
        <f t="shared" si="0"/>
        <v>792.29853380000009</v>
      </c>
      <c r="M46" s="112">
        <v>5</v>
      </c>
      <c r="N46" s="111">
        <v>5</v>
      </c>
    </row>
    <row r="47" spans="3:14" ht="13.5" thickBot="1">
      <c r="C47" s="87">
        <f>predikcia!A45</f>
        <v>45659</v>
      </c>
      <c r="D47" s="88" t="str">
        <f>predikcia!B45</f>
        <v>18:00:00</v>
      </c>
      <c r="E47" s="81">
        <f>predikcia!G45</f>
        <v>14838.25</v>
      </c>
      <c r="F47" s="70">
        <f>'DHS25'!C44</f>
        <v>17431</v>
      </c>
      <c r="G47" s="71">
        <f>'DHS25'!D44</f>
        <v>53</v>
      </c>
      <c r="H47" s="106">
        <v>5</v>
      </c>
      <c r="I47" s="72">
        <f>'DHS25'!E44/1000</f>
        <v>5.5090000000000003</v>
      </c>
      <c r="J47" s="109">
        <f>predikcia!R45</f>
        <v>150.81</v>
      </c>
      <c r="K47" s="92">
        <f t="shared" si="0"/>
        <v>812.03706709999994</v>
      </c>
      <c r="M47" s="112">
        <v>5</v>
      </c>
      <c r="N47" s="111">
        <v>5</v>
      </c>
    </row>
    <row r="48" spans="3:14" ht="13.5" thickBot="1">
      <c r="C48" s="87">
        <f>predikcia!A46</f>
        <v>45659</v>
      </c>
      <c r="D48" s="88" t="str">
        <f>predikcia!B46</f>
        <v>19:00:00</v>
      </c>
      <c r="E48" s="81">
        <f>predikcia!G46</f>
        <v>14744.75</v>
      </c>
      <c r="F48" s="70">
        <f>'DHS25'!C45</f>
        <v>18834</v>
      </c>
      <c r="G48" s="71">
        <f>'DHS25'!D45</f>
        <v>132</v>
      </c>
      <c r="H48" s="106">
        <v>5</v>
      </c>
      <c r="I48" s="72">
        <f>'DHS25'!E45/1000</f>
        <v>5.8010000000000002</v>
      </c>
      <c r="J48" s="109">
        <f>predikcia!R46</f>
        <v>134.22</v>
      </c>
      <c r="K48" s="92">
        <f t="shared" si="0"/>
        <v>759.80221779999999</v>
      </c>
      <c r="M48" s="112">
        <v>5</v>
      </c>
      <c r="N48" s="111">
        <v>5</v>
      </c>
    </row>
    <row r="49" spans="3:14" ht="13.5" thickBot="1">
      <c r="C49" s="87">
        <f>predikcia!A47</f>
        <v>45659</v>
      </c>
      <c r="D49" s="88" t="str">
        <f>predikcia!B47</f>
        <v>20:00:00</v>
      </c>
      <c r="E49" s="81">
        <f>predikcia!G47</f>
        <v>14941.25</v>
      </c>
      <c r="F49" s="70">
        <f>'DHS25'!C46</f>
        <v>19022</v>
      </c>
      <c r="G49" s="71">
        <f>'DHS25'!D46</f>
        <v>46</v>
      </c>
      <c r="H49" s="106">
        <v>5</v>
      </c>
      <c r="I49" s="72">
        <f>'DHS25'!E46/1000</f>
        <v>5.9</v>
      </c>
      <c r="J49" s="109">
        <f>predikcia!R47</f>
        <v>131.58000000000001</v>
      </c>
      <c r="K49" s="92">
        <f t="shared" si="0"/>
        <v>757.34878000000015</v>
      </c>
      <c r="M49" s="112">
        <v>5</v>
      </c>
      <c r="N49" s="111">
        <v>5</v>
      </c>
    </row>
    <row r="50" spans="3:14" ht="13.5" thickBot="1">
      <c r="C50" s="87">
        <f>predikcia!A48</f>
        <v>45659</v>
      </c>
      <c r="D50" s="88" t="str">
        <f>predikcia!B48</f>
        <v>21:00:00</v>
      </c>
      <c r="E50" s="81">
        <f>predikcia!G48</f>
        <v>15118.25</v>
      </c>
      <c r="F50" s="70">
        <f>'DHS25'!C47</f>
        <v>18823</v>
      </c>
      <c r="G50" s="71">
        <f>'DHS25'!D47</f>
        <v>77</v>
      </c>
      <c r="H50" s="106">
        <v>5</v>
      </c>
      <c r="I50" s="72">
        <f>'DHS25'!E47/1000</f>
        <v>5.8920000000000003</v>
      </c>
      <c r="J50" s="109">
        <f>predikcia!R48</f>
        <v>126.43</v>
      </c>
      <c r="K50" s="92">
        <f t="shared" si="0"/>
        <v>726.28150440000002</v>
      </c>
      <c r="M50" s="112">
        <v>5</v>
      </c>
      <c r="N50" s="111">
        <v>5</v>
      </c>
    </row>
    <row r="51" spans="3:14" ht="13.5" thickBot="1">
      <c r="C51" s="87">
        <f>predikcia!A49</f>
        <v>45659</v>
      </c>
      <c r="D51" s="88" t="str">
        <f>predikcia!B49</f>
        <v>22:00:00</v>
      </c>
      <c r="E51" s="81">
        <f>predikcia!G49</f>
        <v>13768.5</v>
      </c>
      <c r="F51" s="70">
        <f>'DHS25'!C48</f>
        <v>16658</v>
      </c>
      <c r="G51" s="71">
        <f>'DHS25'!D48</f>
        <v>121</v>
      </c>
      <c r="H51" s="106">
        <v>5</v>
      </c>
      <c r="I51" s="72">
        <f>'DHS25'!E48/1000</f>
        <v>5.0030000000000001</v>
      </c>
      <c r="J51" s="109">
        <f>predikcia!R49</f>
        <v>118.34</v>
      </c>
      <c r="K51" s="92">
        <f t="shared" si="0"/>
        <v>576.62876979999999</v>
      </c>
      <c r="M51" s="112">
        <v>5</v>
      </c>
      <c r="N51" s="111">
        <v>5</v>
      </c>
    </row>
    <row r="52" spans="3:14" ht="13.5" thickBot="1">
      <c r="C52" s="89">
        <f>predikcia!A50</f>
        <v>45659</v>
      </c>
      <c r="D52" s="90" t="str">
        <f>predikcia!B50</f>
        <v>23:00:00</v>
      </c>
      <c r="E52" s="84">
        <f>predikcia!G50</f>
        <v>6914.5</v>
      </c>
      <c r="F52" s="73">
        <f>'DHS25'!C49</f>
        <v>13056</v>
      </c>
      <c r="G52" s="64">
        <f>'DHS25'!D49</f>
        <v>53</v>
      </c>
      <c r="H52" s="107">
        <v>3</v>
      </c>
      <c r="I52" s="74">
        <f>'DHS25'!E49/1000</f>
        <v>3.2029999999999998</v>
      </c>
      <c r="J52" s="109">
        <f>predikcia!R50</f>
        <v>87.39</v>
      </c>
      <c r="K52" s="92">
        <f t="shared" si="0"/>
        <v>271.02536829999997</v>
      </c>
      <c r="M52" s="112">
        <v>3</v>
      </c>
      <c r="N52" s="111">
        <v>3</v>
      </c>
    </row>
    <row r="53" spans="3:14" ht="13.5" thickBot="1">
      <c r="C53" s="76">
        <f>predikcia!A51</f>
        <v>45660</v>
      </c>
      <c r="D53" s="77" t="str">
        <f>predikcia!B51</f>
        <v>00:00:00</v>
      </c>
      <c r="E53" s="78">
        <f>predikcia!G51</f>
        <v>6342.5</v>
      </c>
      <c r="F53" s="68">
        <f>'DHS25'!C50</f>
        <v>11126</v>
      </c>
      <c r="G53" s="63">
        <f>'DHS25'!D50</f>
        <v>21</v>
      </c>
      <c r="H53" s="105">
        <v>3</v>
      </c>
      <c r="I53" s="69">
        <f>'DHS25'!E50/1000</f>
        <v>2.9969999999999999</v>
      </c>
      <c r="J53" s="109">
        <f>predikcia!R51</f>
        <v>104.27</v>
      </c>
      <c r="K53" s="92">
        <f t="shared" si="0"/>
        <v>303.67791809999994</v>
      </c>
      <c r="M53" s="112">
        <v>3</v>
      </c>
      <c r="N53" s="111">
        <v>3</v>
      </c>
    </row>
    <row r="54" spans="3:14" ht="13.5" thickBot="1">
      <c r="C54" s="79">
        <f>predikcia!A52</f>
        <v>45660</v>
      </c>
      <c r="D54" s="80" t="str">
        <f>predikcia!B52</f>
        <v>01:00:00</v>
      </c>
      <c r="E54" s="81">
        <f>predikcia!G52</f>
        <v>7466.75</v>
      </c>
      <c r="F54" s="70">
        <f>'DHS25'!C51</f>
        <v>11979</v>
      </c>
      <c r="G54" s="71">
        <f>'DHS25'!D51</f>
        <v>22</v>
      </c>
      <c r="H54" s="106">
        <v>3</v>
      </c>
      <c r="I54" s="72">
        <f>'DHS25'!E51/1000</f>
        <v>2.9969999999999999</v>
      </c>
      <c r="J54" s="109">
        <f>predikcia!R52</f>
        <v>95.84</v>
      </c>
      <c r="K54" s="92">
        <f t="shared" si="0"/>
        <v>278.66585520000001</v>
      </c>
      <c r="M54" s="112">
        <v>3</v>
      </c>
      <c r="N54" s="111">
        <v>3</v>
      </c>
    </row>
    <row r="55" spans="3:14" ht="13.5" thickBot="1">
      <c r="C55" s="79">
        <f>predikcia!A53</f>
        <v>45660</v>
      </c>
      <c r="D55" s="80" t="str">
        <f>predikcia!B53</f>
        <v>02:00:00</v>
      </c>
      <c r="E55" s="81">
        <f>predikcia!G53</f>
        <v>8298</v>
      </c>
      <c r="F55" s="70">
        <f>'DHS25'!C52</f>
        <v>13754</v>
      </c>
      <c r="G55" s="71">
        <f>'DHS25'!D52</f>
        <v>20</v>
      </c>
      <c r="H55" s="106">
        <v>4</v>
      </c>
      <c r="I55" s="72">
        <f>'DHS25'!E52/1000</f>
        <v>3.484</v>
      </c>
      <c r="J55" s="109">
        <f>predikcia!R53</f>
        <v>90.4</v>
      </c>
      <c r="K55" s="92">
        <f t="shared" si="0"/>
        <v>305.18446399999999</v>
      </c>
      <c r="M55" s="112">
        <v>4</v>
      </c>
      <c r="N55" s="111">
        <v>4</v>
      </c>
    </row>
    <row r="56" spans="3:14" ht="13.5" thickBot="1">
      <c r="C56" s="79">
        <f>predikcia!A54</f>
        <v>45660</v>
      </c>
      <c r="D56" s="80" t="str">
        <f>predikcia!B54</f>
        <v>03:00:00</v>
      </c>
      <c r="E56" s="81">
        <f>predikcia!G54</f>
        <v>9445.5</v>
      </c>
      <c r="F56" s="70">
        <f>'DHS25'!C53</f>
        <v>15929</v>
      </c>
      <c r="G56" s="71">
        <f>'DHS25'!D53</f>
        <v>163</v>
      </c>
      <c r="H56" s="106">
        <v>4</v>
      </c>
      <c r="I56" s="72">
        <f>'DHS25'!E53/1000</f>
        <v>4.0049999999999999</v>
      </c>
      <c r="J56" s="109">
        <f>predikcia!R54</f>
        <v>88.17</v>
      </c>
      <c r="K56" s="92">
        <f t="shared" si="0"/>
        <v>341.9801415</v>
      </c>
      <c r="M56" s="112">
        <v>4</v>
      </c>
      <c r="N56" s="111">
        <v>4</v>
      </c>
    </row>
    <row r="57" spans="3:14" ht="13.5" thickBot="1">
      <c r="C57" s="79">
        <f>predikcia!A55</f>
        <v>45660</v>
      </c>
      <c r="D57" s="80" t="str">
        <f>predikcia!B55</f>
        <v>04:00:00</v>
      </c>
      <c r="E57" s="81">
        <f>predikcia!G55</f>
        <v>16206</v>
      </c>
      <c r="F57" s="70">
        <f>'DHS25'!C54</f>
        <v>18265</v>
      </c>
      <c r="G57" s="71">
        <f>'DHS25'!D54</f>
        <v>34</v>
      </c>
      <c r="H57" s="106">
        <v>6</v>
      </c>
      <c r="I57" s="72">
        <f>'DHS25'!E54/1000</f>
        <v>5.4379999999999997</v>
      </c>
      <c r="J57" s="109">
        <f>predikcia!R55</f>
        <v>87.22</v>
      </c>
      <c r="K57" s="92">
        <f t="shared" si="0"/>
        <v>459.22713639999989</v>
      </c>
      <c r="M57" s="112">
        <v>6</v>
      </c>
      <c r="N57" s="111">
        <v>6</v>
      </c>
    </row>
    <row r="58" spans="3:14" ht="13.5" thickBot="1">
      <c r="C58" s="79">
        <f>predikcia!A56</f>
        <v>45660</v>
      </c>
      <c r="D58" s="80" t="str">
        <f>predikcia!B56</f>
        <v>05:00:00</v>
      </c>
      <c r="E58" s="81">
        <f>predikcia!G56</f>
        <v>17029.5</v>
      </c>
      <c r="F58" s="70">
        <f>'DHS25'!C55</f>
        <v>18521</v>
      </c>
      <c r="G58" s="71">
        <f>'DHS25'!D55</f>
        <v>2069</v>
      </c>
      <c r="H58" s="106">
        <v>6</v>
      </c>
      <c r="I58" s="72">
        <f>'DHS25'!E55/1000</f>
        <v>5.9720000000000004</v>
      </c>
      <c r="J58" s="109">
        <f>predikcia!R56</f>
        <v>93.67</v>
      </c>
      <c r="K58" s="92">
        <f t="shared" si="0"/>
        <v>542.4564676</v>
      </c>
      <c r="M58" s="112">
        <v>6</v>
      </c>
      <c r="N58" s="111">
        <v>6</v>
      </c>
    </row>
    <row r="59" spans="3:14" ht="13.5" thickBot="1">
      <c r="C59" s="79">
        <f>predikcia!A57</f>
        <v>45660</v>
      </c>
      <c r="D59" s="80" t="str">
        <f>predikcia!B57</f>
        <v>06:00:00</v>
      </c>
      <c r="E59" s="81">
        <f>predikcia!G57</f>
        <v>16911.25</v>
      </c>
      <c r="F59" s="70">
        <f>'DHS25'!C56</f>
        <v>14878</v>
      </c>
      <c r="G59" s="71">
        <f>'DHS25'!D56</f>
        <v>3858</v>
      </c>
      <c r="H59" s="106">
        <v>6</v>
      </c>
      <c r="I59" s="72">
        <f>'DHS25'!E56/1000</f>
        <v>5.9859999999999998</v>
      </c>
      <c r="J59" s="109">
        <f>predikcia!R57</f>
        <v>115.1</v>
      </c>
      <c r="K59" s="92">
        <f t="shared" si="0"/>
        <v>670.72531399999991</v>
      </c>
      <c r="M59" s="112">
        <v>6</v>
      </c>
      <c r="N59" s="111">
        <v>6</v>
      </c>
    </row>
    <row r="60" spans="3:14" ht="13.5" thickBot="1">
      <c r="C60" s="79">
        <f>predikcia!A58</f>
        <v>45660</v>
      </c>
      <c r="D60" s="80" t="str">
        <f>predikcia!B58</f>
        <v>07:00:00</v>
      </c>
      <c r="E60" s="81">
        <f>predikcia!G58</f>
        <v>14088.75</v>
      </c>
      <c r="F60" s="70">
        <f>'DHS25'!C57</f>
        <v>15759</v>
      </c>
      <c r="G60" s="71">
        <f>'DHS25'!D57</f>
        <v>2655</v>
      </c>
      <c r="H60" s="106">
        <v>5</v>
      </c>
      <c r="I60" s="72">
        <f>'DHS25'!E57/1000</f>
        <v>5.5830000000000002</v>
      </c>
      <c r="J60" s="109">
        <f>predikcia!R58</f>
        <v>159.49</v>
      </c>
      <c r="K60" s="92">
        <f t="shared" si="0"/>
        <v>870.92064330000005</v>
      </c>
      <c r="M60" s="112">
        <v>5</v>
      </c>
      <c r="N60" s="111">
        <v>5</v>
      </c>
    </row>
    <row r="61" spans="3:14" ht="13.5" thickBot="1">
      <c r="C61" s="79">
        <f>predikcia!A59</f>
        <v>45660</v>
      </c>
      <c r="D61" s="80" t="str">
        <f>predikcia!B59</f>
        <v>08:00:00</v>
      </c>
      <c r="E61" s="81">
        <f>predikcia!G59</f>
        <v>15208.75</v>
      </c>
      <c r="F61" s="70">
        <f>'DHS25'!C58</f>
        <v>16485</v>
      </c>
      <c r="G61" s="71">
        <f>'DHS25'!D58</f>
        <v>82</v>
      </c>
      <c r="H61" s="106">
        <v>5</v>
      </c>
      <c r="I61" s="72">
        <f>'DHS25'!E58/1000</f>
        <v>5.0039999999999996</v>
      </c>
      <c r="J61" s="109">
        <f>predikcia!R59</f>
        <v>155.09</v>
      </c>
      <c r="K61" s="92">
        <f t="shared" si="0"/>
        <v>758.80205639999986</v>
      </c>
      <c r="M61" s="112">
        <v>5</v>
      </c>
      <c r="N61" s="111">
        <v>5</v>
      </c>
    </row>
    <row r="62" spans="3:14" ht="13.5" thickBot="1">
      <c r="C62" s="79">
        <f>predikcia!A60</f>
        <v>45660</v>
      </c>
      <c r="D62" s="80" t="str">
        <f>predikcia!B60</f>
        <v>09:00:00</v>
      </c>
      <c r="E62" s="81">
        <f>predikcia!G60</f>
        <v>15013.5</v>
      </c>
      <c r="F62" s="70">
        <f>'DHS25'!C59</f>
        <v>21583</v>
      </c>
      <c r="G62" s="71">
        <f>'DHS25'!D59</f>
        <v>5768</v>
      </c>
      <c r="H62" s="106">
        <v>5</v>
      </c>
      <c r="I62" s="72">
        <f>'DHS25'!E59/1000</f>
        <v>0</v>
      </c>
      <c r="J62" s="109">
        <f>predikcia!R60</f>
        <v>146.06</v>
      </c>
      <c r="K62" s="92">
        <f t="shared" si="0"/>
        <v>0</v>
      </c>
      <c r="M62" s="112">
        <v>5</v>
      </c>
      <c r="N62" s="111">
        <v>5</v>
      </c>
    </row>
    <row r="63" spans="3:14" ht="13.5" thickBot="1">
      <c r="C63" s="79">
        <f>predikcia!A61</f>
        <v>45660</v>
      </c>
      <c r="D63" s="80" t="str">
        <f>predikcia!B61</f>
        <v>10:00:00</v>
      </c>
      <c r="E63" s="81">
        <f>predikcia!G61</f>
        <v>14668.5</v>
      </c>
      <c r="F63" s="70">
        <f>'DHS25'!C60</f>
        <v>16714</v>
      </c>
      <c r="G63" s="71">
        <f>'DHS25'!D60</f>
        <v>9068</v>
      </c>
      <c r="H63" s="106">
        <v>5</v>
      </c>
      <c r="I63" s="72">
        <f>'DHS25'!E60/1000</f>
        <v>0</v>
      </c>
      <c r="J63" s="109">
        <f>predikcia!R61</f>
        <v>126.68</v>
      </c>
      <c r="K63" s="92">
        <f t="shared" si="0"/>
        <v>0</v>
      </c>
      <c r="M63" s="112">
        <v>5</v>
      </c>
      <c r="N63" s="111">
        <v>5</v>
      </c>
    </row>
    <row r="64" spans="3:14" ht="13.5" thickBot="1">
      <c r="C64" s="79">
        <f>predikcia!A62</f>
        <v>45660</v>
      </c>
      <c r="D64" s="80" t="str">
        <f>predikcia!B62</f>
        <v>11:00:00</v>
      </c>
      <c r="E64" s="81">
        <f>predikcia!G62</f>
        <v>14275</v>
      </c>
      <c r="F64" s="70">
        <f>'DHS25'!C61</f>
        <v>15771</v>
      </c>
      <c r="G64" s="71">
        <f>'DHS25'!D61</f>
        <v>4436</v>
      </c>
      <c r="H64" s="106">
        <v>5</v>
      </c>
      <c r="I64" s="72">
        <f>'DHS25'!E61/1000</f>
        <v>0</v>
      </c>
      <c r="J64" s="109">
        <f>predikcia!R62</f>
        <v>111.59</v>
      </c>
      <c r="K64" s="92">
        <f t="shared" si="0"/>
        <v>0</v>
      </c>
      <c r="M64" s="112">
        <v>5</v>
      </c>
      <c r="N64" s="111">
        <v>5</v>
      </c>
    </row>
    <row r="65" spans="3:14" ht="13.5" thickBot="1">
      <c r="C65" s="79">
        <f>predikcia!A63</f>
        <v>45660</v>
      </c>
      <c r="D65" s="80" t="str">
        <f>predikcia!B63</f>
        <v>12:00:00</v>
      </c>
      <c r="E65" s="81">
        <f>predikcia!G63</f>
        <v>14386</v>
      </c>
      <c r="F65" s="70">
        <f>'DHS25'!C62</f>
        <v>14422</v>
      </c>
      <c r="G65" s="71">
        <f>'DHS25'!D62</f>
        <v>2142</v>
      </c>
      <c r="H65" s="106">
        <v>5</v>
      </c>
      <c r="I65" s="72">
        <f>'DHS25'!E62/1000</f>
        <v>5.0030000000000001</v>
      </c>
      <c r="J65" s="109">
        <f>predikcia!R63</f>
        <v>111.12</v>
      </c>
      <c r="K65" s="92">
        <f t="shared" si="0"/>
        <v>540.8683264</v>
      </c>
      <c r="M65" s="112">
        <v>5</v>
      </c>
      <c r="N65" s="111">
        <v>5</v>
      </c>
    </row>
    <row r="66" spans="3:14" ht="13.5" thickBot="1">
      <c r="C66" s="79">
        <f>predikcia!A64</f>
        <v>45660</v>
      </c>
      <c r="D66" s="80" t="str">
        <f>predikcia!B64</f>
        <v>13:00:00</v>
      </c>
      <c r="E66" s="81">
        <f>predikcia!G64</f>
        <v>13783</v>
      </c>
      <c r="F66" s="70">
        <f>'DHS25'!C63</f>
        <v>15763</v>
      </c>
      <c r="G66" s="71">
        <f>'DHS25'!D63</f>
        <v>926</v>
      </c>
      <c r="H66" s="106">
        <v>5</v>
      </c>
      <c r="I66" s="72">
        <f>'DHS25'!E63/1000</f>
        <v>5.0010000000000003</v>
      </c>
      <c r="J66" s="109">
        <f>predikcia!R64</f>
        <v>109.9</v>
      </c>
      <c r="K66" s="92">
        <f t="shared" si="0"/>
        <v>534.61190099999999</v>
      </c>
      <c r="M66" s="112">
        <v>5</v>
      </c>
      <c r="N66" s="111">
        <v>5</v>
      </c>
    </row>
    <row r="67" spans="3:14" ht="13.5" thickBot="1">
      <c r="C67" s="79">
        <f>predikcia!A65</f>
        <v>45660</v>
      </c>
      <c r="D67" s="80" t="str">
        <f>predikcia!B65</f>
        <v>14:00:00</v>
      </c>
      <c r="E67" s="81">
        <f>predikcia!G65</f>
        <v>13745.75</v>
      </c>
      <c r="F67" s="70">
        <f>'DHS25'!C64</f>
        <v>13909</v>
      </c>
      <c r="G67" s="71">
        <f>'DHS25'!D64</f>
        <v>2221</v>
      </c>
      <c r="H67" s="106">
        <v>5</v>
      </c>
      <c r="I67" s="72">
        <f>'DHS25'!E64/1000</f>
        <v>4.9980000000000002</v>
      </c>
      <c r="J67" s="109">
        <f>predikcia!R65</f>
        <v>121.61</v>
      </c>
      <c r="K67" s="92">
        <f t="shared" si="0"/>
        <v>592.23251219999997</v>
      </c>
      <c r="M67" s="112">
        <v>5</v>
      </c>
      <c r="N67" s="111">
        <v>5</v>
      </c>
    </row>
    <row r="68" spans="3:14" ht="13.5" thickBot="1">
      <c r="C68" s="79">
        <f>predikcia!A66</f>
        <v>45660</v>
      </c>
      <c r="D68" s="80" t="str">
        <f>predikcia!B66</f>
        <v>15:00:00</v>
      </c>
      <c r="E68" s="81">
        <f>predikcia!G66</f>
        <v>13919.75</v>
      </c>
      <c r="F68" s="70">
        <f>'DHS25'!C65</f>
        <v>13985</v>
      </c>
      <c r="G68" s="71">
        <f>'DHS25'!D65</f>
        <v>2087</v>
      </c>
      <c r="H68" s="106">
        <v>5</v>
      </c>
      <c r="I68" s="72">
        <f>'DHS25'!E65/1000</f>
        <v>4.9930000000000003</v>
      </c>
      <c r="J68" s="109">
        <f>predikcia!R66</f>
        <v>142</v>
      </c>
      <c r="K68" s="92">
        <f t="shared" si="0"/>
        <v>692.42924000000005</v>
      </c>
      <c r="M68" s="112">
        <v>5</v>
      </c>
      <c r="N68" s="111">
        <v>5</v>
      </c>
    </row>
    <row r="69" spans="3:14" ht="13.5" thickBot="1">
      <c r="C69" s="79">
        <f>predikcia!A67</f>
        <v>45660</v>
      </c>
      <c r="D69" s="80" t="str">
        <f>predikcia!B67</f>
        <v>16:00:00</v>
      </c>
      <c r="E69" s="81">
        <f>predikcia!G67</f>
        <v>14037.5</v>
      </c>
      <c r="F69" s="70">
        <f>'DHS25'!C66</f>
        <v>16544</v>
      </c>
      <c r="G69" s="71">
        <f>'DHS25'!D66</f>
        <v>42</v>
      </c>
      <c r="H69" s="106">
        <v>5</v>
      </c>
      <c r="I69" s="72">
        <f>'DHS25'!E66/1000</f>
        <v>5.2110000000000003</v>
      </c>
      <c r="J69" s="109">
        <f>predikcia!R67</f>
        <v>165.35</v>
      </c>
      <c r="K69" s="92">
        <f t="shared" si="0"/>
        <v>843.12156149999998</v>
      </c>
      <c r="M69" s="112">
        <v>5</v>
      </c>
      <c r="N69" s="111">
        <v>5</v>
      </c>
    </row>
    <row r="70" spans="3:14" ht="13.5" thickBot="1">
      <c r="C70" s="79">
        <f>predikcia!A68</f>
        <v>45660</v>
      </c>
      <c r="D70" s="80" t="str">
        <f>predikcia!B68</f>
        <v>17:00:00</v>
      </c>
      <c r="E70" s="81">
        <f>predikcia!G68</f>
        <v>14281</v>
      </c>
      <c r="F70" s="70">
        <f>'DHS25'!C67</f>
        <v>17525</v>
      </c>
      <c r="G70" s="71">
        <f>'DHS25'!D67</f>
        <v>90</v>
      </c>
      <c r="H70" s="106">
        <v>5</v>
      </c>
      <c r="I70" s="72">
        <f>'DHS25'!E67/1000</f>
        <v>5.4889999999999999</v>
      </c>
      <c r="J70" s="109">
        <f>predikcia!R68</f>
        <v>147.62</v>
      </c>
      <c r="K70" s="92">
        <f t="shared" ref="K70:K133" si="1">(J70*0.99-1.9)*I70</f>
        <v>791.75421819999997</v>
      </c>
      <c r="M70" s="112">
        <v>5</v>
      </c>
      <c r="N70" s="111">
        <v>5</v>
      </c>
    </row>
    <row r="71" spans="3:14" ht="13.5" thickBot="1">
      <c r="C71" s="79">
        <f>predikcia!A69</f>
        <v>45660</v>
      </c>
      <c r="D71" s="80" t="str">
        <f>predikcia!B69</f>
        <v>18:00:00</v>
      </c>
      <c r="E71" s="81">
        <f>predikcia!G69</f>
        <v>14832.5</v>
      </c>
      <c r="F71" s="70">
        <f>'DHS25'!C68</f>
        <v>18122</v>
      </c>
      <c r="G71" s="71">
        <f>'DHS25'!D68</f>
        <v>90</v>
      </c>
      <c r="H71" s="106">
        <v>5</v>
      </c>
      <c r="I71" s="72">
        <f>'DHS25'!E68/1000</f>
        <v>5.5979999999999999</v>
      </c>
      <c r="J71" s="109">
        <f>predikcia!R69</f>
        <v>166.41</v>
      </c>
      <c r="K71" s="92">
        <f t="shared" si="1"/>
        <v>911.61134819999995</v>
      </c>
      <c r="M71" s="112">
        <v>5</v>
      </c>
      <c r="N71" s="111">
        <v>5</v>
      </c>
    </row>
    <row r="72" spans="3:14" ht="13.5" thickBot="1">
      <c r="C72" s="79">
        <f>predikcia!A70</f>
        <v>45660</v>
      </c>
      <c r="D72" s="80" t="str">
        <f>predikcia!B70</f>
        <v>19:00:00</v>
      </c>
      <c r="E72" s="81">
        <f>predikcia!G70</f>
        <v>15347.25</v>
      </c>
      <c r="F72" s="70">
        <f>'DHS25'!C69</f>
        <v>18166</v>
      </c>
      <c r="G72" s="71">
        <f>'DHS25'!D69</f>
        <v>217</v>
      </c>
      <c r="H72" s="106">
        <v>5</v>
      </c>
      <c r="I72" s="72">
        <f>'DHS25'!E69/1000</f>
        <v>5.59</v>
      </c>
      <c r="J72" s="109">
        <f>predikcia!R70</f>
        <v>165.91</v>
      </c>
      <c r="K72" s="92">
        <f t="shared" si="1"/>
        <v>907.54153099999996</v>
      </c>
      <c r="M72" s="112">
        <v>5</v>
      </c>
      <c r="N72" s="111">
        <v>5</v>
      </c>
    </row>
    <row r="73" spans="3:14" ht="13.5" thickBot="1">
      <c r="C73" s="79">
        <f>predikcia!A71</f>
        <v>45660</v>
      </c>
      <c r="D73" s="80" t="str">
        <f>predikcia!B71</f>
        <v>20:00:00</v>
      </c>
      <c r="E73" s="81">
        <f>predikcia!G71</f>
        <v>15155</v>
      </c>
      <c r="F73" s="70">
        <f>'DHS25'!C70</f>
        <v>18951</v>
      </c>
      <c r="G73" s="71">
        <f>'DHS25'!D70</f>
        <v>120</v>
      </c>
      <c r="H73" s="106">
        <v>5</v>
      </c>
      <c r="I73" s="72">
        <f>'DHS25'!E70/1000</f>
        <v>5.984</v>
      </c>
      <c r="J73" s="109">
        <f>predikcia!R71</f>
        <v>151.16</v>
      </c>
      <c r="K73" s="92">
        <f t="shared" si="1"/>
        <v>884.12642560000006</v>
      </c>
      <c r="M73" s="112">
        <v>5</v>
      </c>
      <c r="N73" s="111">
        <v>5</v>
      </c>
    </row>
    <row r="74" spans="3:14" ht="13.5" thickBot="1">
      <c r="C74" s="79">
        <f>predikcia!A72</f>
        <v>45660</v>
      </c>
      <c r="D74" s="80" t="str">
        <f>predikcia!B72</f>
        <v>21:00:00</v>
      </c>
      <c r="E74" s="81">
        <f>predikcia!G72</f>
        <v>15281.25</v>
      </c>
      <c r="F74" s="70">
        <f>'DHS25'!C71</f>
        <v>19130</v>
      </c>
      <c r="G74" s="71">
        <f>'DHS25'!D71</f>
        <v>34</v>
      </c>
      <c r="H74" s="106">
        <v>5</v>
      </c>
      <c r="I74" s="72">
        <f>'DHS25'!E71/1000</f>
        <v>6.0289999999999999</v>
      </c>
      <c r="J74" s="109">
        <f>predikcia!R72</f>
        <v>124.99</v>
      </c>
      <c r="K74" s="92">
        <f t="shared" si="1"/>
        <v>734.57396289999997</v>
      </c>
      <c r="M74" s="112">
        <v>5</v>
      </c>
      <c r="N74" s="111">
        <v>5</v>
      </c>
    </row>
    <row r="75" spans="3:14" ht="13.5" thickBot="1">
      <c r="C75" s="79">
        <f>predikcia!A73</f>
        <v>45660</v>
      </c>
      <c r="D75" s="80" t="str">
        <f>predikcia!B73</f>
        <v>22:00:00</v>
      </c>
      <c r="E75" s="81">
        <f>predikcia!G73</f>
        <v>13183</v>
      </c>
      <c r="F75" s="70">
        <f>'DHS25'!C72</f>
        <v>16633</v>
      </c>
      <c r="G75" s="71">
        <f>'DHS25'!D72</f>
        <v>69</v>
      </c>
      <c r="H75" s="106">
        <v>5</v>
      </c>
      <c r="I75" s="72">
        <f>'DHS25'!E72/1000</f>
        <v>5.0110000000000001</v>
      </c>
      <c r="J75" s="109">
        <f>predikcia!R73</f>
        <v>145.13</v>
      </c>
      <c r="K75" s="92">
        <f t="shared" si="1"/>
        <v>710.45306569999991</v>
      </c>
      <c r="M75" s="112">
        <v>5</v>
      </c>
      <c r="N75" s="111">
        <v>5</v>
      </c>
    </row>
    <row r="76" spans="3:14" ht="13.5" thickBot="1">
      <c r="C76" s="82">
        <f>predikcia!A74</f>
        <v>45660</v>
      </c>
      <c r="D76" s="83" t="str">
        <f>predikcia!B74</f>
        <v>23:00:00</v>
      </c>
      <c r="E76" s="84">
        <f>predikcia!G74</f>
        <v>6992.75</v>
      </c>
      <c r="F76" s="73">
        <f>'DHS25'!C73</f>
        <v>11111</v>
      </c>
      <c r="G76" s="64">
        <f>'DHS25'!D73</f>
        <v>75</v>
      </c>
      <c r="H76" s="107">
        <v>3</v>
      </c>
      <c r="I76" s="74">
        <f>'DHS25'!E73/1000</f>
        <v>2.9860000000000002</v>
      </c>
      <c r="J76" s="109">
        <f>predikcia!R74</f>
        <v>140.38999999999999</v>
      </c>
      <c r="K76" s="92">
        <f t="shared" si="1"/>
        <v>409.33909460000001</v>
      </c>
      <c r="M76" s="112">
        <v>3</v>
      </c>
      <c r="N76" s="111">
        <v>3</v>
      </c>
    </row>
    <row r="77" spans="3:14" ht="13.5" thickBot="1">
      <c r="C77" s="85">
        <f>predikcia!A75</f>
        <v>45661</v>
      </c>
      <c r="D77" s="86" t="str">
        <f>predikcia!B75</f>
        <v>00:00:00</v>
      </c>
      <c r="E77" s="78">
        <f>predikcia!G75</f>
        <v>6203.5</v>
      </c>
      <c r="F77" s="68">
        <f>'DHS25'!C74</f>
        <v>11705</v>
      </c>
      <c r="G77" s="63">
        <f>'DHS25'!D74</f>
        <v>93</v>
      </c>
      <c r="H77" s="105">
        <v>3</v>
      </c>
      <c r="I77" s="69">
        <f>'DHS25'!E74/1000</f>
        <v>2.9980000000000002</v>
      </c>
      <c r="J77" s="109">
        <f>predikcia!R75</f>
        <v>104.08</v>
      </c>
      <c r="K77" s="92">
        <f t="shared" si="1"/>
        <v>303.21532159999998</v>
      </c>
      <c r="M77" s="112">
        <v>3</v>
      </c>
      <c r="N77" s="111">
        <v>3</v>
      </c>
    </row>
    <row r="78" spans="3:14" ht="13.5" thickBot="1">
      <c r="C78" s="87">
        <f>predikcia!A76</f>
        <v>45661</v>
      </c>
      <c r="D78" s="88" t="str">
        <f>predikcia!B76</f>
        <v>01:00:00</v>
      </c>
      <c r="E78" s="81">
        <f>predikcia!G76</f>
        <v>7197</v>
      </c>
      <c r="F78" s="70">
        <f>'DHS25'!C75</f>
        <v>10472</v>
      </c>
      <c r="G78" s="71">
        <f>'DHS25'!D75</f>
        <v>908</v>
      </c>
      <c r="H78" s="106">
        <v>3</v>
      </c>
      <c r="I78" s="72">
        <f>'DHS25'!E75/1000</f>
        <v>2.9940000000000002</v>
      </c>
      <c r="J78" s="109">
        <f>predikcia!R76</f>
        <v>101.53</v>
      </c>
      <c r="K78" s="92">
        <f t="shared" si="1"/>
        <v>295.2524118</v>
      </c>
      <c r="M78" s="112">
        <v>3</v>
      </c>
      <c r="N78" s="111">
        <v>3</v>
      </c>
    </row>
    <row r="79" spans="3:14" ht="13.5" thickBot="1">
      <c r="C79" s="87">
        <f>predikcia!A77</f>
        <v>45661</v>
      </c>
      <c r="D79" s="88" t="str">
        <f>predikcia!B77</f>
        <v>02:00:00</v>
      </c>
      <c r="E79" s="81">
        <f>predikcia!G77</f>
        <v>8407.75</v>
      </c>
      <c r="F79" s="70">
        <f>'DHS25'!C76</f>
        <v>14524</v>
      </c>
      <c r="G79" s="71">
        <f>'DHS25'!D76</f>
        <v>76</v>
      </c>
      <c r="H79" s="106">
        <v>4</v>
      </c>
      <c r="I79" s="72">
        <f>'DHS25'!E76/1000</f>
        <v>3.9980000000000002</v>
      </c>
      <c r="J79" s="109">
        <f>predikcia!R77</f>
        <v>103.54</v>
      </c>
      <c r="K79" s="92">
        <f t="shared" si="1"/>
        <v>402.21719080000003</v>
      </c>
      <c r="M79" s="112">
        <v>4</v>
      </c>
      <c r="N79" s="111">
        <v>4</v>
      </c>
    </row>
    <row r="80" spans="3:14" ht="13.5" thickBot="1">
      <c r="C80" s="87">
        <f>predikcia!A78</f>
        <v>45661</v>
      </c>
      <c r="D80" s="88" t="str">
        <f>predikcia!B78</f>
        <v>03:00:00</v>
      </c>
      <c r="E80" s="81">
        <f>predikcia!G78</f>
        <v>10369.75</v>
      </c>
      <c r="F80" s="70">
        <f>'DHS25'!C77</f>
        <v>14777</v>
      </c>
      <c r="G80" s="71">
        <f>'DHS25'!D77</f>
        <v>46</v>
      </c>
      <c r="H80" s="106">
        <v>4</v>
      </c>
      <c r="I80" s="72">
        <f>'DHS25'!E77/1000</f>
        <v>4.0350000000000001</v>
      </c>
      <c r="J80" s="109">
        <f>predikcia!R78</f>
        <v>100.71</v>
      </c>
      <c r="K80" s="92">
        <f t="shared" si="1"/>
        <v>394.63470150000001</v>
      </c>
      <c r="M80" s="112">
        <v>4</v>
      </c>
      <c r="N80" s="111">
        <v>4</v>
      </c>
    </row>
    <row r="81" spans="3:14" ht="13.5" thickBot="1">
      <c r="C81" s="87">
        <f>predikcia!A79</f>
        <v>45661</v>
      </c>
      <c r="D81" s="88" t="str">
        <f>predikcia!B79</f>
        <v>04:00:00</v>
      </c>
      <c r="E81" s="81">
        <f>predikcia!G79</f>
        <v>16631.5</v>
      </c>
      <c r="F81" s="70">
        <f>'DHS25'!C78</f>
        <v>19702</v>
      </c>
      <c r="G81" s="71">
        <f>'DHS25'!D78</f>
        <v>21</v>
      </c>
      <c r="H81" s="106">
        <v>6</v>
      </c>
      <c r="I81" s="72">
        <f>'DHS25'!E78/1000</f>
        <v>5.9550000000000001</v>
      </c>
      <c r="J81" s="109">
        <f>predikcia!R79</f>
        <v>101.1</v>
      </c>
      <c r="K81" s="92">
        <f t="shared" si="1"/>
        <v>584.71549499999992</v>
      </c>
      <c r="M81" s="112">
        <v>6</v>
      </c>
      <c r="N81" s="111">
        <v>6</v>
      </c>
    </row>
    <row r="82" spans="3:14" ht="13.5" thickBot="1">
      <c r="C82" s="87">
        <f>predikcia!A80</f>
        <v>45661</v>
      </c>
      <c r="D82" s="88" t="str">
        <f>predikcia!B80</f>
        <v>05:00:00</v>
      </c>
      <c r="E82" s="81">
        <f>predikcia!G80</f>
        <v>17028.5</v>
      </c>
      <c r="F82" s="70">
        <f>'DHS25'!C79</f>
        <v>18990</v>
      </c>
      <c r="G82" s="71">
        <f>'DHS25'!D79</f>
        <v>22</v>
      </c>
      <c r="H82" s="106">
        <v>6</v>
      </c>
      <c r="I82" s="72">
        <f>'DHS25'!E79/1000</f>
        <v>5.96</v>
      </c>
      <c r="J82" s="109">
        <f>predikcia!R80</f>
        <v>106.1</v>
      </c>
      <c r="K82" s="92">
        <f t="shared" si="1"/>
        <v>614.70843999999988</v>
      </c>
      <c r="M82" s="112">
        <v>6</v>
      </c>
      <c r="N82" s="111">
        <v>6</v>
      </c>
    </row>
    <row r="83" spans="3:14" ht="13.5" thickBot="1">
      <c r="C83" s="87">
        <f>predikcia!A81</f>
        <v>45661</v>
      </c>
      <c r="D83" s="88" t="str">
        <f>predikcia!B81</f>
        <v>06:00:00</v>
      </c>
      <c r="E83" s="81">
        <f>predikcia!G81</f>
        <v>17149.5</v>
      </c>
      <c r="F83" s="70">
        <f>'DHS25'!C80</f>
        <v>19456</v>
      </c>
      <c r="G83" s="71">
        <f>'DHS25'!D80</f>
        <v>47</v>
      </c>
      <c r="H83" s="106">
        <v>6</v>
      </c>
      <c r="I83" s="72">
        <f>'DHS25'!E80/1000</f>
        <v>6.008</v>
      </c>
      <c r="J83" s="109">
        <f>predikcia!R81</f>
        <v>112.47</v>
      </c>
      <c r="K83" s="92">
        <f t="shared" si="1"/>
        <v>657.54736239999988</v>
      </c>
      <c r="M83" s="112">
        <v>6</v>
      </c>
      <c r="N83" s="111">
        <v>6</v>
      </c>
    </row>
    <row r="84" spans="3:14" ht="13.5" thickBot="1">
      <c r="C84" s="87">
        <f>predikcia!A82</f>
        <v>45661</v>
      </c>
      <c r="D84" s="88" t="str">
        <f>predikcia!B82</f>
        <v>07:00:00</v>
      </c>
      <c r="E84" s="81">
        <f>predikcia!G82</f>
        <v>15566.5</v>
      </c>
      <c r="F84" s="70">
        <f>'DHS25'!C81</f>
        <v>19356</v>
      </c>
      <c r="G84" s="71">
        <f>'DHS25'!D81</f>
        <v>93</v>
      </c>
      <c r="H84" s="106">
        <v>5</v>
      </c>
      <c r="I84" s="72">
        <f>'DHS25'!E81/1000</f>
        <v>5.88</v>
      </c>
      <c r="J84" s="109">
        <f>predikcia!R82</f>
        <v>117.14</v>
      </c>
      <c r="K84" s="92">
        <f t="shared" si="1"/>
        <v>670.72336799999994</v>
      </c>
      <c r="M84" s="112">
        <v>5</v>
      </c>
      <c r="N84" s="111">
        <v>5</v>
      </c>
    </row>
    <row r="85" spans="3:14" ht="13.5" thickBot="1">
      <c r="C85" s="87">
        <f>predikcia!A83</f>
        <v>45661</v>
      </c>
      <c r="D85" s="88" t="str">
        <f>predikcia!B83</f>
        <v>08:00:00</v>
      </c>
      <c r="E85" s="81">
        <f>predikcia!G83</f>
        <v>15508.75</v>
      </c>
      <c r="F85" s="70">
        <f>'DHS25'!C82</f>
        <v>16484</v>
      </c>
      <c r="G85" s="71">
        <f>'DHS25'!D82</f>
        <v>74</v>
      </c>
      <c r="H85" s="106">
        <v>5</v>
      </c>
      <c r="I85" s="72">
        <f>'DHS25'!E82/1000</f>
        <v>4.9930000000000003</v>
      </c>
      <c r="J85" s="109">
        <f>predikcia!R83</f>
        <v>128.38999999999999</v>
      </c>
      <c r="K85" s="92">
        <f t="shared" si="1"/>
        <v>625.15405729999998</v>
      </c>
      <c r="M85" s="112">
        <v>5</v>
      </c>
      <c r="N85" s="111">
        <v>5</v>
      </c>
    </row>
    <row r="86" spans="3:14" ht="13.5" thickBot="1">
      <c r="C86" s="87">
        <f>predikcia!A84</f>
        <v>45661</v>
      </c>
      <c r="D86" s="88" t="str">
        <f>predikcia!B84</f>
        <v>09:00:00</v>
      </c>
      <c r="E86" s="81">
        <f>predikcia!G84</f>
        <v>15673</v>
      </c>
      <c r="F86" s="70">
        <f>'DHS25'!C83</f>
        <v>17695</v>
      </c>
      <c r="G86" s="71">
        <f>'DHS25'!D83</f>
        <v>177</v>
      </c>
      <c r="H86" s="106">
        <v>5</v>
      </c>
      <c r="I86" s="72">
        <f>'DHS25'!E83/1000</f>
        <v>5.4820000000000002</v>
      </c>
      <c r="J86" s="109">
        <f>predikcia!R84</f>
        <v>130.75</v>
      </c>
      <c r="K86" s="92">
        <f t="shared" si="1"/>
        <v>699.18798500000003</v>
      </c>
      <c r="M86" s="112">
        <v>5</v>
      </c>
      <c r="N86" s="111">
        <v>5</v>
      </c>
    </row>
    <row r="87" spans="3:14" ht="13.5" thickBot="1">
      <c r="C87" s="87">
        <f>predikcia!A85</f>
        <v>45661</v>
      </c>
      <c r="D87" s="88" t="str">
        <f>predikcia!B85</f>
        <v>10:00:00</v>
      </c>
      <c r="E87" s="81">
        <f>predikcia!G85</f>
        <v>15411.25</v>
      </c>
      <c r="F87" s="70">
        <f>'DHS25'!C84</f>
        <v>18713</v>
      </c>
      <c r="G87" s="71">
        <f>'DHS25'!D84</f>
        <v>123</v>
      </c>
      <c r="H87" s="106">
        <v>5</v>
      </c>
      <c r="I87" s="72">
        <f>'DHS25'!E84/1000</f>
        <v>5.5880000000000001</v>
      </c>
      <c r="J87" s="109">
        <f>predikcia!R85</f>
        <v>130.34</v>
      </c>
      <c r="K87" s="92">
        <f t="shared" si="1"/>
        <v>710.4393207999999</v>
      </c>
      <c r="M87" s="112">
        <v>5</v>
      </c>
      <c r="N87" s="111">
        <v>5</v>
      </c>
    </row>
    <row r="88" spans="3:14" ht="13.5" thickBot="1">
      <c r="C88" s="87">
        <f>predikcia!A86</f>
        <v>45661</v>
      </c>
      <c r="D88" s="88" t="str">
        <f>predikcia!B86</f>
        <v>11:00:00</v>
      </c>
      <c r="E88" s="81">
        <f>predikcia!G86</f>
        <v>14536.5</v>
      </c>
      <c r="F88" s="70">
        <f>'DHS25'!C85</f>
        <v>17747</v>
      </c>
      <c r="G88" s="71">
        <f>'DHS25'!D85</f>
        <v>113</v>
      </c>
      <c r="H88" s="106">
        <v>5</v>
      </c>
      <c r="I88" s="72">
        <f>'DHS25'!E85/1000</f>
        <v>5.4089999999999998</v>
      </c>
      <c r="J88" s="109">
        <f>predikcia!R86</f>
        <v>128.29</v>
      </c>
      <c r="K88" s="92">
        <f t="shared" si="1"/>
        <v>676.7043038999999</v>
      </c>
      <c r="M88" s="112">
        <v>5</v>
      </c>
      <c r="N88" s="111">
        <v>5</v>
      </c>
    </row>
    <row r="89" spans="3:14" ht="13.5" thickBot="1">
      <c r="C89" s="87">
        <f>predikcia!A87</f>
        <v>45661</v>
      </c>
      <c r="D89" s="88" t="str">
        <f>predikcia!B87</f>
        <v>12:00:00</v>
      </c>
      <c r="E89" s="81">
        <f>predikcia!G87</f>
        <v>14408</v>
      </c>
      <c r="F89" s="70">
        <f>'DHS25'!C86</f>
        <v>16531</v>
      </c>
      <c r="G89" s="71">
        <f>'DHS25'!D86</f>
        <v>42</v>
      </c>
      <c r="H89" s="106">
        <v>5</v>
      </c>
      <c r="I89" s="72">
        <f>'DHS25'!E86/1000</f>
        <v>5.0030000000000001</v>
      </c>
      <c r="J89" s="109">
        <f>predikcia!R87</f>
        <v>130.03</v>
      </c>
      <c r="K89" s="92">
        <f t="shared" si="1"/>
        <v>634.52898909999999</v>
      </c>
      <c r="M89" s="112">
        <v>5</v>
      </c>
      <c r="N89" s="111">
        <v>5</v>
      </c>
    </row>
    <row r="90" spans="3:14" ht="13.5" thickBot="1">
      <c r="C90" s="87">
        <f>predikcia!A88</f>
        <v>45661</v>
      </c>
      <c r="D90" s="88" t="str">
        <f>predikcia!B88</f>
        <v>13:00:00</v>
      </c>
      <c r="E90" s="81">
        <f>predikcia!G88</f>
        <v>14266.75</v>
      </c>
      <c r="F90" s="70">
        <f>'DHS25'!C87</f>
        <v>16246</v>
      </c>
      <c r="G90" s="71">
        <f>'DHS25'!D87</f>
        <v>22</v>
      </c>
      <c r="H90" s="106">
        <v>5</v>
      </c>
      <c r="I90" s="72">
        <f>'DHS25'!E87/1000</f>
        <v>5.0010000000000003</v>
      </c>
      <c r="J90" s="109">
        <f>predikcia!R88</f>
        <v>129.85</v>
      </c>
      <c r="K90" s="92">
        <f t="shared" si="1"/>
        <v>633.38415150000003</v>
      </c>
      <c r="M90" s="112">
        <v>5</v>
      </c>
      <c r="N90" s="111">
        <v>5</v>
      </c>
    </row>
    <row r="91" spans="3:14" ht="13.5" thickBot="1">
      <c r="C91" s="87">
        <f>predikcia!A89</f>
        <v>45661</v>
      </c>
      <c r="D91" s="88" t="str">
        <f>predikcia!B89</f>
        <v>14:00:00</v>
      </c>
      <c r="E91" s="81">
        <f>predikcia!G89</f>
        <v>13975.75</v>
      </c>
      <c r="F91" s="70">
        <f>'DHS25'!C88</f>
        <v>16217</v>
      </c>
      <c r="G91" s="71">
        <f>'DHS25'!D88</f>
        <v>73</v>
      </c>
      <c r="H91" s="106">
        <v>5</v>
      </c>
      <c r="I91" s="72">
        <f>'DHS25'!E88/1000</f>
        <v>5.0060000000000002</v>
      </c>
      <c r="J91" s="109">
        <f>predikcia!R89</f>
        <v>136.4</v>
      </c>
      <c r="K91" s="92">
        <f t="shared" si="1"/>
        <v>666.47881600000005</v>
      </c>
      <c r="M91" s="112">
        <v>5</v>
      </c>
      <c r="N91" s="111">
        <v>5</v>
      </c>
    </row>
    <row r="92" spans="3:14" ht="13.5" thickBot="1">
      <c r="C92" s="87">
        <f>predikcia!A90</f>
        <v>45661</v>
      </c>
      <c r="D92" s="88" t="str">
        <f>predikcia!B90</f>
        <v>15:00:00</v>
      </c>
      <c r="E92" s="81">
        <f>predikcia!G90</f>
        <v>13715</v>
      </c>
      <c r="F92" s="70">
        <f>'DHS25'!C89</f>
        <v>16756</v>
      </c>
      <c r="G92" s="71">
        <f>'DHS25'!D89</f>
        <v>201</v>
      </c>
      <c r="H92" s="106">
        <v>5</v>
      </c>
      <c r="I92" s="72">
        <f>'DHS25'!E89/1000</f>
        <v>5.0010000000000003</v>
      </c>
      <c r="J92" s="109">
        <f>predikcia!R90</f>
        <v>137.13999999999999</v>
      </c>
      <c r="K92" s="92">
        <f t="shared" si="1"/>
        <v>669.47686859999999</v>
      </c>
      <c r="M92" s="112">
        <v>5</v>
      </c>
      <c r="N92" s="111">
        <v>5</v>
      </c>
    </row>
    <row r="93" spans="3:14" ht="13.5" thickBot="1">
      <c r="C93" s="87">
        <f>predikcia!A91</f>
        <v>45661</v>
      </c>
      <c r="D93" s="88" t="str">
        <f>predikcia!B91</f>
        <v>16:00:00</v>
      </c>
      <c r="E93" s="81">
        <f>predikcia!G91</f>
        <v>14149</v>
      </c>
      <c r="F93" s="70">
        <f>'DHS25'!C90</f>
        <v>16677</v>
      </c>
      <c r="G93" s="71">
        <f>'DHS25'!D90</f>
        <v>70</v>
      </c>
      <c r="H93" s="106">
        <v>5</v>
      </c>
      <c r="I93" s="72">
        <f>'DHS25'!E90/1000</f>
        <v>5.1980000000000004</v>
      </c>
      <c r="J93" s="109">
        <f>predikcia!R91</f>
        <v>153.4</v>
      </c>
      <c r="K93" s="92">
        <f t="shared" si="1"/>
        <v>779.52326800000014</v>
      </c>
      <c r="M93" s="112">
        <v>5</v>
      </c>
      <c r="N93" s="111">
        <v>5</v>
      </c>
    </row>
    <row r="94" spans="3:14" ht="13.5" thickBot="1">
      <c r="C94" s="87">
        <f>predikcia!A92</f>
        <v>45661</v>
      </c>
      <c r="D94" s="88" t="str">
        <f>predikcia!B92</f>
        <v>17:00:00</v>
      </c>
      <c r="E94" s="81">
        <f>predikcia!G92</f>
        <v>14573</v>
      </c>
      <c r="F94" s="70">
        <f>'DHS25'!C91</f>
        <v>17491</v>
      </c>
      <c r="G94" s="71">
        <f>'DHS25'!D91</f>
        <v>74</v>
      </c>
      <c r="H94" s="106">
        <v>5</v>
      </c>
      <c r="I94" s="72">
        <f>'DHS25'!E91/1000</f>
        <v>5.4980000000000002</v>
      </c>
      <c r="J94" s="109">
        <f>predikcia!R92</f>
        <v>137.66</v>
      </c>
      <c r="K94" s="75">
        <f t="shared" si="1"/>
        <v>738.83993320000002</v>
      </c>
      <c r="M94" s="112">
        <v>5</v>
      </c>
      <c r="N94" s="111">
        <v>5</v>
      </c>
    </row>
    <row r="95" spans="3:14" ht="13.5" thickBot="1">
      <c r="C95" s="87">
        <f>predikcia!A93</f>
        <v>45661</v>
      </c>
      <c r="D95" s="88" t="str">
        <f>predikcia!B93</f>
        <v>18:00:00</v>
      </c>
      <c r="E95" s="81">
        <f>predikcia!G93</f>
        <v>15021</v>
      </c>
      <c r="F95" s="70">
        <f>'DHS25'!C92</f>
        <v>19247</v>
      </c>
      <c r="G95" s="71">
        <f>'DHS25'!D92</f>
        <v>108</v>
      </c>
      <c r="H95" s="106">
        <v>5</v>
      </c>
      <c r="I95" s="72">
        <f>'DHS25'!E92/1000</f>
        <v>6.0179999999999998</v>
      </c>
      <c r="J95" s="109">
        <f>predikcia!R93</f>
        <v>129.51</v>
      </c>
      <c r="K95" s="75">
        <f t="shared" si="1"/>
        <v>760.16306819999988</v>
      </c>
      <c r="M95" s="112">
        <v>5</v>
      </c>
      <c r="N95" s="111">
        <v>5</v>
      </c>
    </row>
    <row r="96" spans="3:14" ht="13.5" thickBot="1">
      <c r="C96" s="87">
        <f>predikcia!A94</f>
        <v>45661</v>
      </c>
      <c r="D96" s="88" t="str">
        <f>predikcia!B94</f>
        <v>19:00:00</v>
      </c>
      <c r="E96" s="81">
        <f>predikcia!G94</f>
        <v>14795</v>
      </c>
      <c r="F96" s="70">
        <f>'DHS25'!C93</f>
        <v>19771</v>
      </c>
      <c r="G96" s="71">
        <f>'DHS25'!D93</f>
        <v>42</v>
      </c>
      <c r="H96" s="106">
        <v>5</v>
      </c>
      <c r="I96" s="72">
        <f>'DHS25'!E93/1000</f>
        <v>6.2050000000000001</v>
      </c>
      <c r="J96" s="109">
        <f>predikcia!R94</f>
        <v>120.89</v>
      </c>
      <c r="K96" s="92">
        <f t="shared" si="1"/>
        <v>730.83172549999995</v>
      </c>
      <c r="M96" s="112">
        <v>5</v>
      </c>
      <c r="N96" s="111">
        <v>5</v>
      </c>
    </row>
    <row r="97" spans="3:14" ht="13.5" thickBot="1">
      <c r="C97" s="87">
        <f>predikcia!A95</f>
        <v>45661</v>
      </c>
      <c r="D97" s="88" t="str">
        <f>predikcia!B95</f>
        <v>20:00:00</v>
      </c>
      <c r="E97" s="81">
        <f>predikcia!G95</f>
        <v>14874</v>
      </c>
      <c r="F97" s="70">
        <f>'DHS25'!C94</f>
        <v>19469</v>
      </c>
      <c r="G97" s="71">
        <f>'DHS25'!D94</f>
        <v>36</v>
      </c>
      <c r="H97" s="106">
        <v>5</v>
      </c>
      <c r="I97" s="72">
        <f>'DHS25'!E94/1000</f>
        <v>6.2240000000000002</v>
      </c>
      <c r="J97" s="109">
        <f>predikcia!R95</f>
        <v>119.97</v>
      </c>
      <c r="K97" s="92">
        <f t="shared" si="1"/>
        <v>727.40074719999996</v>
      </c>
      <c r="M97" s="112">
        <v>5</v>
      </c>
      <c r="N97" s="111">
        <v>5</v>
      </c>
    </row>
    <row r="98" spans="3:14" ht="13.5" thickBot="1">
      <c r="C98" s="87">
        <f>predikcia!A96</f>
        <v>45661</v>
      </c>
      <c r="D98" s="88" t="str">
        <f>predikcia!B96</f>
        <v>21:00:00</v>
      </c>
      <c r="E98" s="81">
        <f>predikcia!G96</f>
        <v>15273.5</v>
      </c>
      <c r="F98" s="70">
        <f>'DHS25'!C95</f>
        <v>19897</v>
      </c>
      <c r="G98" s="71">
        <f>'DHS25'!D95</f>
        <v>75</v>
      </c>
      <c r="H98" s="106">
        <v>5</v>
      </c>
      <c r="I98" s="72">
        <f>'DHS25'!E95/1000</f>
        <v>6.19</v>
      </c>
      <c r="J98" s="109">
        <f>predikcia!R96</f>
        <v>113.48</v>
      </c>
      <c r="K98" s="75">
        <f t="shared" si="1"/>
        <v>683.65578800000003</v>
      </c>
      <c r="M98" s="112">
        <v>5</v>
      </c>
      <c r="N98" s="111">
        <v>5</v>
      </c>
    </row>
    <row r="99" spans="3:14" ht="13.5" thickBot="1">
      <c r="C99" s="87">
        <f>predikcia!A97</f>
        <v>45661</v>
      </c>
      <c r="D99" s="88" t="str">
        <f>predikcia!B97</f>
        <v>22:00:00</v>
      </c>
      <c r="E99" s="81">
        <f>predikcia!G97</f>
        <v>13513.5</v>
      </c>
      <c r="F99" s="70">
        <f>'DHS25'!C96</f>
        <v>18570</v>
      </c>
      <c r="G99" s="71">
        <f>'DHS25'!D96</f>
        <v>699</v>
      </c>
      <c r="H99" s="106">
        <v>5</v>
      </c>
      <c r="I99" s="72">
        <f>'DHS25'!E96/1000</f>
        <v>6.0049999999999999</v>
      </c>
      <c r="J99" s="109">
        <f>predikcia!R97</f>
        <v>109.21</v>
      </c>
      <c r="K99" s="92">
        <f t="shared" si="1"/>
        <v>637.83848949999992</v>
      </c>
      <c r="M99" s="112">
        <v>5</v>
      </c>
      <c r="N99" s="111">
        <v>5</v>
      </c>
    </row>
    <row r="100" spans="3:14" ht="13.5" thickBot="1">
      <c r="C100" s="89">
        <f>predikcia!A98</f>
        <v>45661</v>
      </c>
      <c r="D100" s="90" t="str">
        <f>predikcia!B98</f>
        <v>23:00:00</v>
      </c>
      <c r="E100" s="84">
        <f>predikcia!G98</f>
        <v>6623.25</v>
      </c>
      <c r="F100" s="73">
        <f>'DHS25'!C97</f>
        <v>14403</v>
      </c>
      <c r="G100" s="64">
        <f>'DHS25'!D97</f>
        <v>1598</v>
      </c>
      <c r="H100" s="107">
        <v>3</v>
      </c>
      <c r="I100" s="74">
        <f>'DHS25'!E97/1000</f>
        <v>4.4969999999999999</v>
      </c>
      <c r="J100" s="109">
        <f>predikcia!R98</f>
        <v>105.45</v>
      </c>
      <c r="K100" s="92">
        <f t="shared" si="1"/>
        <v>460.92226349999993</v>
      </c>
      <c r="M100" s="112">
        <v>3</v>
      </c>
      <c r="N100" s="111">
        <v>3</v>
      </c>
    </row>
    <row r="101" spans="3:14" ht="13.5" thickBot="1">
      <c r="C101" s="76">
        <f>predikcia!A99</f>
        <v>45662</v>
      </c>
      <c r="D101" s="77" t="str">
        <f>predikcia!B99</f>
        <v>00:00:00</v>
      </c>
      <c r="E101" s="78">
        <f>predikcia!G99</f>
        <v>6683.5</v>
      </c>
      <c r="F101" s="68">
        <f>'DHS25'!C98</f>
        <v>13916</v>
      </c>
      <c r="G101" s="63">
        <f>'DHS25'!D98</f>
        <v>1865</v>
      </c>
      <c r="H101" s="105">
        <v>3</v>
      </c>
      <c r="I101" s="69">
        <f>'DHS25'!E98/1000</f>
        <v>4.5010000000000003</v>
      </c>
      <c r="J101" s="109">
        <f>predikcia!R99</f>
        <v>112.98</v>
      </c>
      <c r="K101" s="92">
        <f t="shared" si="1"/>
        <v>494.88585019999999</v>
      </c>
      <c r="M101" s="112">
        <v>3</v>
      </c>
      <c r="N101" s="111">
        <v>3</v>
      </c>
    </row>
    <row r="102" spans="3:14" ht="13.5" thickBot="1">
      <c r="C102" s="79">
        <f>predikcia!A100</f>
        <v>45662</v>
      </c>
      <c r="D102" s="80" t="str">
        <f>predikcia!B100</f>
        <v>01:00:00</v>
      </c>
      <c r="E102" s="81">
        <f>predikcia!G100</f>
        <v>6832.75</v>
      </c>
      <c r="F102" s="70">
        <f>'DHS25'!C99</f>
        <v>13103</v>
      </c>
      <c r="G102" s="71">
        <f>'DHS25'!D99</f>
        <v>1731</v>
      </c>
      <c r="H102" s="106">
        <v>3</v>
      </c>
      <c r="I102" s="72">
        <f>'DHS25'!E99/1000</f>
        <v>3.9950000000000001</v>
      </c>
      <c r="J102" s="109">
        <f>predikcia!R100</f>
        <v>99.55</v>
      </c>
      <c r="K102" s="92">
        <f t="shared" si="1"/>
        <v>386.13472749999994</v>
      </c>
      <c r="M102" s="112">
        <v>3</v>
      </c>
      <c r="N102" s="111">
        <v>3</v>
      </c>
    </row>
    <row r="103" spans="3:14" ht="13.5" thickBot="1">
      <c r="C103" s="79">
        <f>predikcia!A101</f>
        <v>45662</v>
      </c>
      <c r="D103" s="80" t="str">
        <f>predikcia!B101</f>
        <v>02:00:00</v>
      </c>
      <c r="E103" s="81">
        <f>predikcia!G101</f>
        <v>7144</v>
      </c>
      <c r="F103" s="70">
        <f>'DHS25'!C100</f>
        <v>15580</v>
      </c>
      <c r="G103" s="71">
        <f>'DHS25'!D100</f>
        <v>1253</v>
      </c>
      <c r="H103" s="106">
        <v>3</v>
      </c>
      <c r="I103" s="72">
        <f>'DHS25'!E100/1000</f>
        <v>4.79</v>
      </c>
      <c r="J103" s="109">
        <f>predikcia!R101</f>
        <v>95.92</v>
      </c>
      <c r="K103" s="92">
        <f t="shared" si="1"/>
        <v>445.76123200000001</v>
      </c>
      <c r="M103" s="112">
        <v>3</v>
      </c>
      <c r="N103" s="111">
        <v>3</v>
      </c>
    </row>
    <row r="104" spans="3:14" ht="13.5" thickBot="1">
      <c r="C104" s="79">
        <f>predikcia!A102</f>
        <v>45662</v>
      </c>
      <c r="D104" s="80" t="str">
        <f>predikcia!B102</f>
        <v>03:00:00</v>
      </c>
      <c r="E104" s="81">
        <f>predikcia!G102</f>
        <v>8890.5</v>
      </c>
      <c r="F104" s="70">
        <f>'DHS25'!C101</f>
        <v>17063</v>
      </c>
      <c r="G104" s="71">
        <f>'DHS25'!D101</f>
        <v>1595</v>
      </c>
      <c r="H104" s="106">
        <v>4</v>
      </c>
      <c r="I104" s="72">
        <f>'DHS25'!E101/1000</f>
        <v>5.1950000000000003</v>
      </c>
      <c r="J104" s="109">
        <f>predikcia!R102</f>
        <v>95.31</v>
      </c>
      <c r="K104" s="92">
        <f t="shared" si="1"/>
        <v>480.31359549999996</v>
      </c>
      <c r="M104" s="112">
        <v>4</v>
      </c>
      <c r="N104" s="111">
        <v>4</v>
      </c>
    </row>
    <row r="105" spans="3:14" ht="13.5" thickBot="1">
      <c r="C105" s="79">
        <f>predikcia!A103</f>
        <v>45662</v>
      </c>
      <c r="D105" s="80" t="str">
        <f>predikcia!B103</f>
        <v>04:00:00</v>
      </c>
      <c r="E105" s="81">
        <f>predikcia!G103</f>
        <v>16423.75</v>
      </c>
      <c r="F105" s="70">
        <f>'DHS25'!C102</f>
        <v>17280</v>
      </c>
      <c r="G105" s="71">
        <f>'DHS25'!D102</f>
        <v>1335</v>
      </c>
      <c r="H105" s="106">
        <v>6</v>
      </c>
      <c r="I105" s="72">
        <f>'DHS25'!E102/1000</f>
        <v>5.7130000000000001</v>
      </c>
      <c r="J105" s="109">
        <f>predikcia!R103</f>
        <v>93.59</v>
      </c>
      <c r="K105" s="92">
        <f t="shared" si="1"/>
        <v>518.47817329999998</v>
      </c>
      <c r="M105" s="112">
        <v>6</v>
      </c>
      <c r="N105" s="111">
        <v>6</v>
      </c>
    </row>
    <row r="106" spans="3:14" ht="13.5" thickBot="1">
      <c r="C106" s="79">
        <f>predikcia!A104</f>
        <v>45662</v>
      </c>
      <c r="D106" s="80" t="str">
        <f>predikcia!B104</f>
        <v>05:00:00</v>
      </c>
      <c r="E106" s="81">
        <f>predikcia!G104</f>
        <v>15964.5</v>
      </c>
      <c r="F106" s="70">
        <f>'DHS25'!C103</f>
        <v>18580</v>
      </c>
      <c r="G106" s="71">
        <f>'DHS25'!D103</f>
        <v>1392</v>
      </c>
      <c r="H106" s="106">
        <v>5</v>
      </c>
      <c r="I106" s="72">
        <f>'DHS25'!E103/1000</f>
        <v>6.2009999999999996</v>
      </c>
      <c r="J106" s="109">
        <f>predikcia!R104</f>
        <v>89.66</v>
      </c>
      <c r="K106" s="92">
        <f t="shared" si="1"/>
        <v>538.63994339999988</v>
      </c>
      <c r="M106" s="112">
        <v>5</v>
      </c>
      <c r="N106" s="111">
        <v>5</v>
      </c>
    </row>
    <row r="107" spans="3:14" ht="13.5" thickBot="1">
      <c r="C107" s="79">
        <f>predikcia!A105</f>
        <v>45662</v>
      </c>
      <c r="D107" s="80" t="str">
        <f>predikcia!B105</f>
        <v>06:00:00</v>
      </c>
      <c r="E107" s="81">
        <f>predikcia!G105</f>
        <v>15958.75</v>
      </c>
      <c r="F107" s="70">
        <f>'DHS25'!C104</f>
        <v>18665</v>
      </c>
      <c r="G107" s="71">
        <f>'DHS25'!D104</f>
        <v>1379</v>
      </c>
      <c r="H107" s="106">
        <v>5</v>
      </c>
      <c r="I107" s="72">
        <f>'DHS25'!E104/1000</f>
        <v>6.1870000000000003</v>
      </c>
      <c r="J107" s="109">
        <f>predikcia!R105</f>
        <v>90.92</v>
      </c>
      <c r="K107" s="92">
        <f t="shared" si="1"/>
        <v>545.14151960000004</v>
      </c>
      <c r="M107" s="112">
        <v>5</v>
      </c>
      <c r="N107" s="111">
        <v>5</v>
      </c>
    </row>
    <row r="108" spans="3:14" ht="13.5" thickBot="1">
      <c r="C108" s="79">
        <f>predikcia!A106</f>
        <v>45662</v>
      </c>
      <c r="D108" s="80" t="str">
        <f>predikcia!B106</f>
        <v>07:00:00</v>
      </c>
      <c r="E108" s="81">
        <f>predikcia!G106</f>
        <v>14260.25</v>
      </c>
      <c r="F108" s="70">
        <f>'DHS25'!C105</f>
        <v>18939</v>
      </c>
      <c r="G108" s="71">
        <f>'DHS25'!D105</f>
        <v>1538</v>
      </c>
      <c r="H108" s="106">
        <v>5</v>
      </c>
      <c r="I108" s="72">
        <f>'DHS25'!E105/1000</f>
        <v>6.2</v>
      </c>
      <c r="J108" s="109">
        <f>predikcia!R106</f>
        <v>89.57</v>
      </c>
      <c r="K108" s="92">
        <f t="shared" si="1"/>
        <v>538.00065999999993</v>
      </c>
      <c r="M108" s="112">
        <v>5</v>
      </c>
      <c r="N108" s="111">
        <v>5</v>
      </c>
    </row>
    <row r="109" spans="3:14" ht="13.5" thickBot="1">
      <c r="C109" s="79">
        <f>predikcia!A107</f>
        <v>45662</v>
      </c>
      <c r="D109" s="80" t="str">
        <f>predikcia!B107</f>
        <v>08:00:00</v>
      </c>
      <c r="E109" s="81">
        <f>predikcia!G107</f>
        <v>14485.75</v>
      </c>
      <c r="F109" s="70">
        <f>'DHS25'!C106</f>
        <v>18454</v>
      </c>
      <c r="G109" s="71">
        <f>'DHS25'!D106</f>
        <v>1334</v>
      </c>
      <c r="H109" s="106">
        <v>5</v>
      </c>
      <c r="I109" s="72">
        <f>'DHS25'!E106/1000</f>
        <v>6.1989999999999998</v>
      </c>
      <c r="J109" s="109">
        <f>predikcia!R107</f>
        <v>97.39</v>
      </c>
      <c r="K109" s="92">
        <f t="shared" si="1"/>
        <v>585.90530389999992</v>
      </c>
      <c r="M109" s="112">
        <v>5</v>
      </c>
      <c r="N109" s="111">
        <v>5</v>
      </c>
    </row>
    <row r="110" spans="3:14" ht="13.5" thickBot="1">
      <c r="C110" s="79">
        <f>predikcia!A108</f>
        <v>45662</v>
      </c>
      <c r="D110" s="80" t="str">
        <f>predikcia!B108</f>
        <v>09:00:00</v>
      </c>
      <c r="E110" s="81">
        <f>predikcia!G108</f>
        <v>15359.5</v>
      </c>
      <c r="F110" s="70">
        <f>'DHS25'!C107</f>
        <v>19217</v>
      </c>
      <c r="G110" s="71">
        <f>'DHS25'!D107</f>
        <v>1332</v>
      </c>
      <c r="H110" s="106">
        <v>5</v>
      </c>
      <c r="I110" s="72">
        <f>'DHS25'!E107/1000</f>
        <v>6.4029999999999996</v>
      </c>
      <c r="J110" s="109">
        <f>predikcia!R108</f>
        <v>98.94</v>
      </c>
      <c r="K110" s="92">
        <f t="shared" si="1"/>
        <v>615.01199179999992</v>
      </c>
      <c r="M110" s="112">
        <v>5</v>
      </c>
      <c r="N110" s="111">
        <v>5</v>
      </c>
    </row>
    <row r="111" spans="3:14" ht="13.5" thickBot="1">
      <c r="C111" s="79">
        <f>predikcia!A109</f>
        <v>45662</v>
      </c>
      <c r="D111" s="80" t="str">
        <f>predikcia!B109</f>
        <v>10:00:00</v>
      </c>
      <c r="E111" s="81">
        <f>predikcia!G109</f>
        <v>15156.5</v>
      </c>
      <c r="F111" s="70">
        <f>'DHS25'!C108</f>
        <v>19561</v>
      </c>
      <c r="G111" s="71">
        <f>'DHS25'!D108</f>
        <v>1279</v>
      </c>
      <c r="H111" s="106">
        <v>5</v>
      </c>
      <c r="I111" s="72">
        <f>'DHS25'!E108/1000</f>
        <v>6.4</v>
      </c>
      <c r="J111" s="109">
        <f>predikcia!R109</f>
        <v>94.62</v>
      </c>
      <c r="K111" s="92">
        <f t="shared" si="1"/>
        <v>587.35231999999996</v>
      </c>
      <c r="M111" s="112">
        <v>5</v>
      </c>
      <c r="N111" s="111">
        <v>5</v>
      </c>
    </row>
    <row r="112" spans="3:14" ht="13.5" thickBot="1">
      <c r="C112" s="79">
        <f>predikcia!A110</f>
        <v>45662</v>
      </c>
      <c r="D112" s="80" t="str">
        <f>predikcia!B110</f>
        <v>11:00:00</v>
      </c>
      <c r="E112" s="81">
        <f>predikcia!G110</f>
        <v>14605</v>
      </c>
      <c r="F112" s="70">
        <f>'DHS25'!C109</f>
        <v>18757</v>
      </c>
      <c r="G112" s="71">
        <f>'DHS25'!D109</f>
        <v>1228</v>
      </c>
      <c r="H112" s="106">
        <v>5</v>
      </c>
      <c r="I112" s="72">
        <f>'DHS25'!E109/1000</f>
        <v>6.21</v>
      </c>
      <c r="J112" s="109">
        <f>predikcia!R110</f>
        <v>98.94</v>
      </c>
      <c r="K112" s="92">
        <f t="shared" si="1"/>
        <v>596.47422599999993</v>
      </c>
      <c r="M112" s="112">
        <v>5</v>
      </c>
      <c r="N112" s="111">
        <v>5</v>
      </c>
    </row>
    <row r="113" spans="3:14" ht="13.5" thickBot="1">
      <c r="C113" s="79">
        <f>predikcia!A111</f>
        <v>45662</v>
      </c>
      <c r="D113" s="80" t="str">
        <f>predikcia!B111</f>
        <v>12:00:00</v>
      </c>
      <c r="E113" s="81">
        <f>predikcia!G111</f>
        <v>14735</v>
      </c>
      <c r="F113" s="70">
        <f>'DHS25'!C110</f>
        <v>16420</v>
      </c>
      <c r="G113" s="71">
        <f>'DHS25'!D110</f>
        <v>162</v>
      </c>
      <c r="H113" s="106">
        <v>5</v>
      </c>
      <c r="I113" s="72">
        <f>'DHS25'!E110/1000</f>
        <v>5.0019999999999998</v>
      </c>
      <c r="J113" s="109">
        <f>predikcia!R111</f>
        <v>94.81</v>
      </c>
      <c r="K113" s="92">
        <f t="shared" si="1"/>
        <v>459.99342379999996</v>
      </c>
      <c r="M113" s="112">
        <v>5</v>
      </c>
      <c r="N113" s="111">
        <v>5</v>
      </c>
    </row>
    <row r="114" spans="3:14" ht="13.5" thickBot="1">
      <c r="C114" s="79">
        <f>predikcia!A112</f>
        <v>45662</v>
      </c>
      <c r="D114" s="80" t="str">
        <f>predikcia!B112</f>
        <v>13:00:00</v>
      </c>
      <c r="E114" s="81">
        <f>predikcia!G112</f>
        <v>13969</v>
      </c>
      <c r="F114" s="70">
        <f>'DHS25'!C111</f>
        <v>16396</v>
      </c>
      <c r="G114" s="71">
        <f>'DHS25'!D111</f>
        <v>33</v>
      </c>
      <c r="H114" s="106">
        <v>5</v>
      </c>
      <c r="I114" s="72">
        <f>'DHS25'!E111/1000</f>
        <v>4.9960000000000004</v>
      </c>
      <c r="J114" s="109">
        <f>predikcia!R112</f>
        <v>103.45</v>
      </c>
      <c r="K114" s="92">
        <f t="shared" si="1"/>
        <v>502.17543800000004</v>
      </c>
      <c r="M114" s="112">
        <v>5</v>
      </c>
      <c r="N114" s="111">
        <v>5</v>
      </c>
    </row>
    <row r="115" spans="3:14" ht="13.5" thickBot="1">
      <c r="C115" s="79">
        <f>predikcia!A113</f>
        <v>45662</v>
      </c>
      <c r="D115" s="80" t="str">
        <f>predikcia!B113</f>
        <v>14:00:00</v>
      </c>
      <c r="E115" s="81">
        <f>predikcia!G113</f>
        <v>13292.5</v>
      </c>
      <c r="F115" s="70">
        <f>'DHS25'!C112</f>
        <v>16247</v>
      </c>
      <c r="G115" s="71">
        <f>'DHS25'!D112</f>
        <v>20</v>
      </c>
      <c r="H115" s="106">
        <v>5</v>
      </c>
      <c r="I115" s="72">
        <f>'DHS25'!E112/1000</f>
        <v>5.0069999999999997</v>
      </c>
      <c r="J115" s="109">
        <f>predikcia!R113</f>
        <v>116.45</v>
      </c>
      <c r="K115" s="92">
        <f t="shared" si="1"/>
        <v>567.7211984999999</v>
      </c>
      <c r="M115" s="112">
        <v>5</v>
      </c>
      <c r="N115" s="111">
        <v>5</v>
      </c>
    </row>
    <row r="116" spans="3:14" ht="13.5" thickBot="1">
      <c r="C116" s="79">
        <f>predikcia!A114</f>
        <v>45662</v>
      </c>
      <c r="D116" s="80" t="str">
        <f>predikcia!B114</f>
        <v>15:00:00</v>
      </c>
      <c r="E116" s="81">
        <f>predikcia!G114</f>
        <v>13923.75</v>
      </c>
      <c r="F116" s="70">
        <f>'DHS25'!C113</f>
        <v>17938</v>
      </c>
      <c r="G116" s="71">
        <f>'DHS25'!D113</f>
        <v>229</v>
      </c>
      <c r="H116" s="106">
        <v>5</v>
      </c>
      <c r="I116" s="72">
        <f>'DHS25'!E113/1000</f>
        <v>5.3979999999999997</v>
      </c>
      <c r="J116" s="109">
        <f>predikcia!R114</f>
        <v>128.01</v>
      </c>
      <c r="K116" s="92">
        <f t="shared" si="1"/>
        <v>673.83180019999986</v>
      </c>
      <c r="M116" s="112">
        <v>5</v>
      </c>
      <c r="N116" s="111">
        <v>5</v>
      </c>
    </row>
    <row r="117" spans="3:14" ht="13.5" thickBot="1">
      <c r="C117" s="79">
        <f>predikcia!A115</f>
        <v>45662</v>
      </c>
      <c r="D117" s="80" t="str">
        <f>predikcia!B115</f>
        <v>16:00:00</v>
      </c>
      <c r="E117" s="81">
        <f>predikcia!G115</f>
        <v>14015</v>
      </c>
      <c r="F117" s="70">
        <f>'DHS25'!C114</f>
        <v>18568</v>
      </c>
      <c r="G117" s="71">
        <f>'DHS25'!D114</f>
        <v>104</v>
      </c>
      <c r="H117" s="106">
        <v>5</v>
      </c>
      <c r="I117" s="72">
        <f>'DHS25'!E114/1000</f>
        <v>5.6029999999999998</v>
      </c>
      <c r="J117" s="109">
        <f>predikcia!R115</f>
        <v>154.74</v>
      </c>
      <c r="K117" s="92">
        <f t="shared" si="1"/>
        <v>847.69243779999988</v>
      </c>
      <c r="M117" s="112">
        <v>5</v>
      </c>
      <c r="N117" s="111">
        <v>5</v>
      </c>
    </row>
    <row r="118" spans="3:14" ht="13.5" thickBot="1">
      <c r="C118" s="79">
        <f>predikcia!A116</f>
        <v>45662</v>
      </c>
      <c r="D118" s="80" t="str">
        <f>predikcia!B116</f>
        <v>17:00:00</v>
      </c>
      <c r="E118" s="81">
        <f>predikcia!G116</f>
        <v>14931.5</v>
      </c>
      <c r="F118" s="70">
        <f>'DHS25'!C115</f>
        <v>17963</v>
      </c>
      <c r="G118" s="71">
        <f>'DHS25'!D115</f>
        <v>96</v>
      </c>
      <c r="H118" s="106">
        <v>5</v>
      </c>
      <c r="I118" s="72">
        <f>'DHS25'!E115/1000</f>
        <v>5.601</v>
      </c>
      <c r="J118" s="109">
        <f>predikcia!R116</f>
        <v>117.45</v>
      </c>
      <c r="K118" s="92">
        <f t="shared" si="1"/>
        <v>640.61717550000003</v>
      </c>
      <c r="M118" s="112">
        <v>5</v>
      </c>
      <c r="N118" s="111">
        <v>5</v>
      </c>
    </row>
    <row r="119" spans="3:14" ht="13.5" thickBot="1">
      <c r="C119" s="79">
        <f>predikcia!A117</f>
        <v>45662</v>
      </c>
      <c r="D119" s="80" t="str">
        <f>predikcia!B117</f>
        <v>18:00:00</v>
      </c>
      <c r="E119" s="81">
        <f>predikcia!G117</f>
        <v>13864.5</v>
      </c>
      <c r="F119" s="70">
        <f>'DHS25'!C116</f>
        <v>17955</v>
      </c>
      <c r="G119" s="71">
        <f>'DHS25'!D116</f>
        <v>171</v>
      </c>
      <c r="H119" s="106">
        <v>5</v>
      </c>
      <c r="I119" s="72">
        <f>'DHS25'!E116/1000</f>
        <v>5.5960000000000001</v>
      </c>
      <c r="J119" s="109">
        <f>predikcia!R117</f>
        <v>109.04</v>
      </c>
      <c r="K119" s="92">
        <f t="shared" si="1"/>
        <v>593.45356159999994</v>
      </c>
      <c r="M119" s="112">
        <v>5</v>
      </c>
      <c r="N119" s="111">
        <v>5</v>
      </c>
    </row>
    <row r="120" spans="3:14" ht="13.5" thickBot="1">
      <c r="C120" s="79">
        <f>predikcia!A118</f>
        <v>45662</v>
      </c>
      <c r="D120" s="80" t="str">
        <f>predikcia!B118</f>
        <v>19:00:00</v>
      </c>
      <c r="E120" s="81">
        <f>predikcia!G118</f>
        <v>15062.5</v>
      </c>
      <c r="F120" s="70">
        <f>'DHS25'!C117</f>
        <v>17069</v>
      </c>
      <c r="G120" s="71">
        <f>'DHS25'!D117</f>
        <v>16</v>
      </c>
      <c r="H120" s="106">
        <v>5</v>
      </c>
      <c r="I120" s="72">
        <f>'DHS25'!E117/1000</f>
        <v>5.2939999999999996</v>
      </c>
      <c r="J120" s="109">
        <f>predikcia!R118</f>
        <v>199.05</v>
      </c>
      <c r="K120" s="92">
        <f t="shared" si="1"/>
        <v>1033.174393</v>
      </c>
      <c r="M120" s="112">
        <v>5</v>
      </c>
      <c r="N120" s="111">
        <v>5</v>
      </c>
    </row>
    <row r="121" spans="3:14" ht="13.5" thickBot="1">
      <c r="C121" s="79">
        <f>predikcia!A119</f>
        <v>45662</v>
      </c>
      <c r="D121" s="80" t="str">
        <f>predikcia!B119</f>
        <v>20:00:00</v>
      </c>
      <c r="E121" s="81">
        <f>predikcia!G119</f>
        <v>15049.5</v>
      </c>
      <c r="F121" s="70">
        <f>'DHS25'!C118</f>
        <v>16712</v>
      </c>
      <c r="G121" s="71">
        <f>'DHS25'!D118</f>
        <v>84</v>
      </c>
      <c r="H121" s="106">
        <v>5</v>
      </c>
      <c r="I121" s="72">
        <f>'DHS25'!E118/1000</f>
        <v>5.1950000000000003</v>
      </c>
      <c r="J121" s="109">
        <f>predikcia!R119</f>
        <v>140</v>
      </c>
      <c r="K121" s="92">
        <f t="shared" si="1"/>
        <v>710.15649999999994</v>
      </c>
      <c r="M121" s="112">
        <v>5</v>
      </c>
      <c r="N121" s="111">
        <v>5</v>
      </c>
    </row>
    <row r="122" spans="3:14" ht="13.5" thickBot="1">
      <c r="C122" s="79">
        <f>predikcia!A120</f>
        <v>45662</v>
      </c>
      <c r="D122" s="80" t="str">
        <f>predikcia!B120</f>
        <v>21:00:00</v>
      </c>
      <c r="E122" s="81">
        <f>predikcia!G120</f>
        <v>14314.5</v>
      </c>
      <c r="F122" s="70">
        <f>'DHS25'!C119</f>
        <v>16184</v>
      </c>
      <c r="G122" s="71">
        <f>'DHS25'!D119</f>
        <v>19</v>
      </c>
      <c r="H122" s="106">
        <v>5</v>
      </c>
      <c r="I122" s="72">
        <f>'DHS25'!E119/1000</f>
        <v>5.0060000000000002</v>
      </c>
      <c r="J122" s="109">
        <f>predikcia!R120</f>
        <v>125.46</v>
      </c>
      <c r="K122" s="92">
        <f t="shared" si="1"/>
        <v>612.26083240000003</v>
      </c>
      <c r="M122" s="112">
        <v>5</v>
      </c>
      <c r="N122" s="111">
        <v>5</v>
      </c>
    </row>
    <row r="123" spans="3:14" ht="13.5" thickBot="1">
      <c r="C123" s="79">
        <f>predikcia!A121</f>
        <v>45662</v>
      </c>
      <c r="D123" s="80" t="str">
        <f>predikcia!B121</f>
        <v>22:00:00</v>
      </c>
      <c r="E123" s="81">
        <f>predikcia!G121</f>
        <v>12544.5</v>
      </c>
      <c r="F123" s="70">
        <f>'DHS25'!C120</f>
        <v>16150</v>
      </c>
      <c r="G123" s="71">
        <f>'DHS25'!D120</f>
        <v>19</v>
      </c>
      <c r="H123" s="106">
        <v>5</v>
      </c>
      <c r="I123" s="72">
        <f>'DHS25'!E120/1000</f>
        <v>4.9909999999999997</v>
      </c>
      <c r="J123" s="109">
        <f>predikcia!R121</f>
        <v>107.14</v>
      </c>
      <c r="K123" s="92">
        <f t="shared" si="1"/>
        <v>519.90548259999991</v>
      </c>
      <c r="M123" s="112">
        <v>5</v>
      </c>
      <c r="N123" s="111">
        <v>5</v>
      </c>
    </row>
    <row r="124" spans="3:14" ht="13.5" thickBot="1">
      <c r="C124" s="79">
        <f>predikcia!A122</f>
        <v>45662</v>
      </c>
      <c r="D124" s="80" t="str">
        <f>predikcia!B122</f>
        <v>23:00:00</v>
      </c>
      <c r="E124" s="81">
        <f>predikcia!G122</f>
        <v>6637.25</v>
      </c>
      <c r="F124" s="70">
        <f>'DHS25'!C121</f>
        <v>8650</v>
      </c>
      <c r="G124" s="71">
        <f>'DHS25'!D121</f>
        <v>4768</v>
      </c>
      <c r="H124" s="106">
        <v>3</v>
      </c>
      <c r="I124" s="72">
        <f>'DHS25'!E121/1000</f>
        <v>3.5870000000000002</v>
      </c>
      <c r="J124" s="109">
        <f>predikcia!R122</f>
        <v>78.56</v>
      </c>
      <c r="K124" s="92">
        <f t="shared" si="1"/>
        <v>272.16147280000001</v>
      </c>
      <c r="M124" s="112">
        <v>3</v>
      </c>
      <c r="N124" s="111">
        <v>3</v>
      </c>
    </row>
    <row r="125" spans="3:14" ht="13.5" thickBot="1">
      <c r="C125" s="85">
        <f>predikcia!A123</f>
        <v>45663</v>
      </c>
      <c r="D125" s="86" t="str">
        <f>predikcia!B123</f>
        <v>00:00:00</v>
      </c>
      <c r="E125" s="78">
        <f>predikcia!G123</f>
        <v>5934.75</v>
      </c>
      <c r="F125" s="68">
        <f>'DHS25'!C122</f>
        <v>8631</v>
      </c>
      <c r="G125" s="63">
        <f>'DHS25'!D122</f>
        <v>3319</v>
      </c>
      <c r="H125" s="105">
        <v>3</v>
      </c>
      <c r="I125" s="69">
        <f>'DHS25'!E122/1000</f>
        <v>3.008</v>
      </c>
      <c r="J125" s="109">
        <f>predikcia!R123</f>
        <v>107.63</v>
      </c>
      <c r="K125" s="92">
        <f t="shared" si="1"/>
        <v>314.79832959999999</v>
      </c>
      <c r="M125" s="112">
        <v>3</v>
      </c>
      <c r="N125" s="111">
        <v>3</v>
      </c>
    </row>
    <row r="126" spans="3:14" ht="13.5" thickBot="1">
      <c r="C126" s="87">
        <f>predikcia!A124</f>
        <v>45663</v>
      </c>
      <c r="D126" s="88" t="str">
        <f>predikcia!B124</f>
        <v>01:00:00</v>
      </c>
      <c r="E126" s="81">
        <f>predikcia!G124</f>
        <v>6753.5</v>
      </c>
      <c r="F126" s="70">
        <f>'DHS25'!C123</f>
        <v>10663</v>
      </c>
      <c r="G126" s="71">
        <f>'DHS25'!D123</f>
        <v>179</v>
      </c>
      <c r="H126" s="106">
        <v>3</v>
      </c>
      <c r="I126" s="72">
        <f>'DHS25'!E123/1000</f>
        <v>2.9950000000000001</v>
      </c>
      <c r="J126" s="109">
        <f>predikcia!R124</f>
        <v>94.76</v>
      </c>
      <c r="K126" s="92">
        <f t="shared" si="1"/>
        <v>275.27763800000002</v>
      </c>
      <c r="M126" s="112">
        <v>3</v>
      </c>
      <c r="N126" s="111">
        <v>3</v>
      </c>
    </row>
    <row r="127" spans="3:14" ht="13.5" thickBot="1">
      <c r="C127" s="87">
        <f>predikcia!A125</f>
        <v>45663</v>
      </c>
      <c r="D127" s="88" t="str">
        <f>predikcia!B125</f>
        <v>02:00:00</v>
      </c>
      <c r="E127" s="81">
        <f>predikcia!G125</f>
        <v>7605.75</v>
      </c>
      <c r="F127" s="70">
        <f>'DHS25'!C124</f>
        <v>11959</v>
      </c>
      <c r="G127" s="71">
        <f>'DHS25'!D124</f>
        <v>103</v>
      </c>
      <c r="H127" s="106">
        <v>3</v>
      </c>
      <c r="I127" s="72">
        <f>'DHS25'!E124/1000</f>
        <v>2.9990000000000001</v>
      </c>
      <c r="J127" s="109">
        <f>predikcia!R125</f>
        <v>78.09</v>
      </c>
      <c r="K127" s="92">
        <f t="shared" si="1"/>
        <v>226.15189089999998</v>
      </c>
      <c r="M127" s="112">
        <v>3</v>
      </c>
      <c r="N127" s="111">
        <v>3</v>
      </c>
    </row>
    <row r="128" spans="3:14" ht="13.5" thickBot="1">
      <c r="C128" s="87">
        <f>predikcia!A126</f>
        <v>45663</v>
      </c>
      <c r="D128" s="88" t="str">
        <f>predikcia!B126</f>
        <v>03:00:00</v>
      </c>
      <c r="E128" s="81">
        <f>predikcia!G126</f>
        <v>8795.5</v>
      </c>
      <c r="F128" s="70">
        <f>'DHS25'!C125</f>
        <v>13335</v>
      </c>
      <c r="G128" s="71">
        <f>'DHS25'!D125</f>
        <v>62</v>
      </c>
      <c r="H128" s="106">
        <v>4</v>
      </c>
      <c r="I128" s="72">
        <f>'DHS25'!E125/1000</f>
        <v>3.5779999999999998</v>
      </c>
      <c r="J128" s="109">
        <f>predikcia!R126</f>
        <v>74.489999999999995</v>
      </c>
      <c r="K128" s="92">
        <f t="shared" si="1"/>
        <v>257.06176779999993</v>
      </c>
      <c r="M128" s="112">
        <v>4</v>
      </c>
      <c r="N128" s="111">
        <v>4</v>
      </c>
    </row>
    <row r="129" spans="3:14" ht="13.5" thickBot="1">
      <c r="C129" s="87">
        <f>predikcia!A127</f>
        <v>45663</v>
      </c>
      <c r="D129" s="88" t="str">
        <f>predikcia!B127</f>
        <v>04:00:00</v>
      </c>
      <c r="E129" s="81">
        <f>predikcia!G127</f>
        <v>16247</v>
      </c>
      <c r="F129" s="70">
        <f>'DHS25'!C126</f>
        <v>19287</v>
      </c>
      <c r="G129" s="71">
        <f>'DHS25'!D126</f>
        <v>173</v>
      </c>
      <c r="H129" s="106">
        <v>6</v>
      </c>
      <c r="I129" s="72">
        <f>'DHS25'!E126/1000</f>
        <v>5.758</v>
      </c>
      <c r="J129" s="109">
        <f>predikcia!R127</f>
        <v>75.47</v>
      </c>
      <c r="K129" s="92">
        <f t="shared" si="1"/>
        <v>419.27049739999995</v>
      </c>
      <c r="M129" s="112">
        <v>6</v>
      </c>
      <c r="N129" s="111">
        <v>6</v>
      </c>
    </row>
    <row r="130" spans="3:14" ht="13.5" thickBot="1">
      <c r="C130" s="87">
        <f>predikcia!A128</f>
        <v>45663</v>
      </c>
      <c r="D130" s="88" t="str">
        <f>predikcia!B128</f>
        <v>05:00:00</v>
      </c>
      <c r="E130" s="81">
        <f>predikcia!G128</f>
        <v>16819.25</v>
      </c>
      <c r="F130" s="70">
        <f>'DHS25'!C127</f>
        <v>11743</v>
      </c>
      <c r="G130" s="71">
        <f>'DHS25'!D127</f>
        <v>5584</v>
      </c>
      <c r="H130" s="106">
        <v>6</v>
      </c>
      <c r="I130" s="72">
        <f>'DHS25'!E127/1000</f>
        <v>5.9290000000000003</v>
      </c>
      <c r="J130" s="109">
        <f>predikcia!R128</f>
        <v>100.98</v>
      </c>
      <c r="K130" s="92">
        <f t="shared" si="1"/>
        <v>581.45821580000006</v>
      </c>
      <c r="M130" s="112">
        <v>6</v>
      </c>
      <c r="N130" s="111">
        <v>6</v>
      </c>
    </row>
    <row r="131" spans="3:14" ht="13.5" thickBot="1">
      <c r="C131" s="87">
        <f>predikcia!A129</f>
        <v>45663</v>
      </c>
      <c r="D131" s="88" t="str">
        <f>predikcia!B129</f>
        <v>06:00:00</v>
      </c>
      <c r="E131" s="81">
        <f>predikcia!G129</f>
        <v>17302.5</v>
      </c>
      <c r="F131" s="70">
        <f>'DHS25'!C128</f>
        <v>18873</v>
      </c>
      <c r="G131" s="71">
        <f>'DHS25'!D128</f>
        <v>1162</v>
      </c>
      <c r="H131" s="106">
        <v>6</v>
      </c>
      <c r="I131" s="72">
        <f>'DHS25'!E128/1000</f>
        <v>5.9859999999999998</v>
      </c>
      <c r="J131" s="109">
        <f>predikcia!R129</f>
        <v>101.31</v>
      </c>
      <c r="K131" s="92">
        <f t="shared" si="1"/>
        <v>589.00384339999994</v>
      </c>
      <c r="M131" s="112">
        <v>6</v>
      </c>
      <c r="N131" s="111">
        <v>6</v>
      </c>
    </row>
    <row r="132" spans="3:14" ht="13.5" thickBot="1">
      <c r="C132" s="87">
        <f>predikcia!A130</f>
        <v>45663</v>
      </c>
      <c r="D132" s="88" t="str">
        <f>predikcia!B130</f>
        <v>07:00:00</v>
      </c>
      <c r="E132" s="81">
        <f>predikcia!G130</f>
        <v>14009.75</v>
      </c>
      <c r="F132" s="70">
        <f>'DHS25'!C129</f>
        <v>13463</v>
      </c>
      <c r="G132" s="71">
        <f>'DHS25'!D129</f>
        <v>3752</v>
      </c>
      <c r="H132" s="106">
        <v>5</v>
      </c>
      <c r="I132" s="72">
        <f>'DHS25'!E129/1000</f>
        <v>5.2430000000000003</v>
      </c>
      <c r="J132" s="109">
        <f>predikcia!R130</f>
        <v>140.38</v>
      </c>
      <c r="K132" s="92">
        <f t="shared" si="1"/>
        <v>718.69051660000002</v>
      </c>
      <c r="M132" s="112">
        <v>5</v>
      </c>
      <c r="N132" s="111">
        <v>5</v>
      </c>
    </row>
    <row r="133" spans="3:14" ht="13.5" thickBot="1">
      <c r="C133" s="87">
        <f>predikcia!A131</f>
        <v>45663</v>
      </c>
      <c r="D133" s="88" t="str">
        <f>predikcia!B131</f>
        <v>08:00:00</v>
      </c>
      <c r="E133" s="81">
        <f>predikcia!G131</f>
        <v>14716.25</v>
      </c>
      <c r="F133" s="70">
        <f>'DHS25'!C130</f>
        <v>14997</v>
      </c>
      <c r="G133" s="71">
        <f>'DHS25'!D130</f>
        <v>1175</v>
      </c>
      <c r="H133" s="106">
        <v>5</v>
      </c>
      <c r="I133" s="72">
        <f>'DHS25'!E130/1000</f>
        <v>5.0129999999999999</v>
      </c>
      <c r="J133" s="109">
        <f>predikcia!R131</f>
        <v>147.16</v>
      </c>
      <c r="K133" s="92">
        <f t="shared" si="1"/>
        <v>720.81124920000002</v>
      </c>
      <c r="M133" s="112">
        <v>5</v>
      </c>
      <c r="N133" s="111">
        <v>5</v>
      </c>
    </row>
    <row r="134" spans="3:14" ht="13.5" thickBot="1">
      <c r="C134" s="87">
        <f>predikcia!A132</f>
        <v>45663</v>
      </c>
      <c r="D134" s="88" t="str">
        <f>predikcia!B132</f>
        <v>09:00:00</v>
      </c>
      <c r="E134" s="81">
        <f>predikcia!G132</f>
        <v>14948.5</v>
      </c>
      <c r="F134" s="70">
        <f>'DHS25'!C131</f>
        <v>16935</v>
      </c>
      <c r="G134" s="71">
        <f>'DHS25'!D131</f>
        <v>242</v>
      </c>
      <c r="H134" s="106">
        <v>5</v>
      </c>
      <c r="I134" s="72">
        <f>'DHS25'!E131/1000</f>
        <v>4.9969999999999999</v>
      </c>
      <c r="J134" s="109">
        <f>predikcia!R132</f>
        <v>125.92</v>
      </c>
      <c r="K134" s="92">
        <f t="shared" ref="K134:K197" si="2">(J134*0.99-1.9)*I134</f>
        <v>613.43571759999998</v>
      </c>
      <c r="M134" s="112">
        <v>5</v>
      </c>
      <c r="N134" s="111">
        <v>5</v>
      </c>
    </row>
    <row r="135" spans="3:14" ht="13.5" thickBot="1">
      <c r="C135" s="87">
        <f>predikcia!A133</f>
        <v>45663</v>
      </c>
      <c r="D135" s="88" t="str">
        <f>predikcia!B133</f>
        <v>10:00:00</v>
      </c>
      <c r="E135" s="81">
        <f>predikcia!G133</f>
        <v>15076</v>
      </c>
      <c r="F135" s="70">
        <f>'DHS25'!C132</f>
        <v>16506</v>
      </c>
      <c r="G135" s="71">
        <f>'DHS25'!D132</f>
        <v>257</v>
      </c>
      <c r="H135" s="106">
        <v>5</v>
      </c>
      <c r="I135" s="72">
        <f>'DHS25'!E132/1000</f>
        <v>4.9960000000000004</v>
      </c>
      <c r="J135" s="109">
        <f>predikcia!R133</f>
        <v>105.16</v>
      </c>
      <c r="K135" s="92">
        <f t="shared" si="2"/>
        <v>510.63316639999994</v>
      </c>
      <c r="M135" s="112">
        <v>5</v>
      </c>
      <c r="N135" s="111">
        <v>5</v>
      </c>
    </row>
    <row r="136" spans="3:14" ht="13.5" thickBot="1">
      <c r="C136" s="87">
        <f>predikcia!A134</f>
        <v>45663</v>
      </c>
      <c r="D136" s="88" t="str">
        <f>predikcia!B134</f>
        <v>11:00:00</v>
      </c>
      <c r="E136" s="81">
        <f>predikcia!G134</f>
        <v>14703.25</v>
      </c>
      <c r="F136" s="70">
        <f>'DHS25'!C133</f>
        <v>16495</v>
      </c>
      <c r="G136" s="71">
        <f>'DHS25'!D133</f>
        <v>24</v>
      </c>
      <c r="H136" s="106">
        <v>5</v>
      </c>
      <c r="I136" s="72">
        <f>'DHS25'!E133/1000</f>
        <v>4.9939999999999998</v>
      </c>
      <c r="J136" s="109">
        <f>predikcia!R134</f>
        <v>80.11</v>
      </c>
      <c r="K136" s="92">
        <f t="shared" si="2"/>
        <v>386.58004659999995</v>
      </c>
      <c r="M136" s="112">
        <v>5</v>
      </c>
      <c r="N136" s="111">
        <v>5</v>
      </c>
    </row>
    <row r="137" spans="3:14" ht="13.5" thickBot="1">
      <c r="C137" s="87">
        <f>predikcia!A135</f>
        <v>45663</v>
      </c>
      <c r="D137" s="88" t="str">
        <f>predikcia!B135</f>
        <v>12:00:00</v>
      </c>
      <c r="E137" s="81">
        <f>predikcia!G135</f>
        <v>14167.25</v>
      </c>
      <c r="F137" s="70">
        <f>'DHS25'!C134</f>
        <v>16104</v>
      </c>
      <c r="G137" s="71">
        <f>'DHS25'!D134</f>
        <v>21</v>
      </c>
      <c r="H137" s="106">
        <v>5</v>
      </c>
      <c r="I137" s="72">
        <f>'DHS25'!E134/1000</f>
        <v>4.9969999999999999</v>
      </c>
      <c r="J137" s="109">
        <f>predikcia!R135</f>
        <v>86.48</v>
      </c>
      <c r="K137" s="92">
        <f t="shared" si="2"/>
        <v>418.32485439999999</v>
      </c>
      <c r="M137" s="112">
        <v>5</v>
      </c>
      <c r="N137" s="111">
        <v>5</v>
      </c>
    </row>
    <row r="138" spans="3:14" ht="13.5" thickBot="1">
      <c r="C138" s="87">
        <f>predikcia!A136</f>
        <v>45663</v>
      </c>
      <c r="D138" s="88" t="str">
        <f>predikcia!B136</f>
        <v>13:00:00</v>
      </c>
      <c r="E138" s="81">
        <f>predikcia!G136</f>
        <v>13926.75</v>
      </c>
      <c r="F138" s="70">
        <f>'DHS25'!C135</f>
        <v>15942</v>
      </c>
      <c r="G138" s="71">
        <f>'DHS25'!D135</f>
        <v>25</v>
      </c>
      <c r="H138" s="106">
        <v>5</v>
      </c>
      <c r="I138" s="72">
        <f>'DHS25'!E135/1000</f>
        <v>4.9960000000000004</v>
      </c>
      <c r="J138" s="109">
        <f>predikcia!R136</f>
        <v>111.71</v>
      </c>
      <c r="K138" s="92">
        <f t="shared" si="2"/>
        <v>543.02972839999995</v>
      </c>
      <c r="M138" s="112">
        <v>5</v>
      </c>
      <c r="N138" s="111">
        <v>5</v>
      </c>
    </row>
    <row r="139" spans="3:14" ht="13.5" thickBot="1">
      <c r="C139" s="87">
        <f>predikcia!A137</f>
        <v>45663</v>
      </c>
      <c r="D139" s="88" t="str">
        <f>predikcia!B137</f>
        <v>14:00:00</v>
      </c>
      <c r="E139" s="81">
        <f>predikcia!G137</f>
        <v>14290.75</v>
      </c>
      <c r="F139" s="70">
        <f>'DHS25'!C136</f>
        <v>16076</v>
      </c>
      <c r="G139" s="71">
        <f>'DHS25'!D136</f>
        <v>26</v>
      </c>
      <c r="H139" s="106">
        <v>5</v>
      </c>
      <c r="I139" s="72">
        <f>'DHS25'!E136/1000</f>
        <v>4.9859999999999998</v>
      </c>
      <c r="J139" s="109">
        <f>predikcia!R137</f>
        <v>119.08</v>
      </c>
      <c r="K139" s="92">
        <f t="shared" si="2"/>
        <v>578.32215120000001</v>
      </c>
      <c r="M139" s="112">
        <v>5</v>
      </c>
      <c r="N139" s="111">
        <v>5</v>
      </c>
    </row>
    <row r="140" spans="3:14" ht="13.5" thickBot="1">
      <c r="C140" s="87">
        <f>predikcia!A138</f>
        <v>45663</v>
      </c>
      <c r="D140" s="88" t="str">
        <f>predikcia!B138</f>
        <v>15:00:00</v>
      </c>
      <c r="E140" s="81">
        <f>predikcia!G138</f>
        <v>14341.25</v>
      </c>
      <c r="F140" s="70">
        <f>'DHS25'!C137</f>
        <v>16575</v>
      </c>
      <c r="G140" s="71">
        <f>'DHS25'!D137</f>
        <v>80</v>
      </c>
      <c r="H140" s="106">
        <v>5</v>
      </c>
      <c r="I140" s="72">
        <f>'DHS25'!E137/1000</f>
        <v>5.0069999999999997</v>
      </c>
      <c r="J140" s="109">
        <f>predikcia!R138</f>
        <v>118</v>
      </c>
      <c r="K140" s="92">
        <f t="shared" si="2"/>
        <v>575.40443999999991</v>
      </c>
      <c r="M140" s="112">
        <v>5</v>
      </c>
      <c r="N140" s="111">
        <v>5</v>
      </c>
    </row>
    <row r="141" spans="3:14" ht="13.5" thickBot="1">
      <c r="C141" s="87">
        <f>predikcia!A139</f>
        <v>45663</v>
      </c>
      <c r="D141" s="88" t="str">
        <f>predikcia!B139</f>
        <v>16:00:00</v>
      </c>
      <c r="E141" s="81">
        <f>predikcia!G139</f>
        <v>14411.25</v>
      </c>
      <c r="F141" s="70">
        <f>'DHS25'!C138</f>
        <v>16641</v>
      </c>
      <c r="G141" s="71">
        <f>'DHS25'!D138</f>
        <v>165</v>
      </c>
      <c r="H141" s="106">
        <v>5</v>
      </c>
      <c r="I141" s="72">
        <f>'DHS25'!E138/1000</f>
        <v>5.0069999999999997</v>
      </c>
      <c r="J141" s="109">
        <f>predikcia!R139</f>
        <v>134.4</v>
      </c>
      <c r="K141" s="92">
        <f t="shared" si="2"/>
        <v>656.69809199999997</v>
      </c>
      <c r="M141" s="112">
        <v>5</v>
      </c>
      <c r="N141" s="111">
        <v>5</v>
      </c>
    </row>
    <row r="142" spans="3:14" ht="13.5" thickBot="1">
      <c r="C142" s="87">
        <f>predikcia!A140</f>
        <v>45663</v>
      </c>
      <c r="D142" s="88" t="str">
        <f>predikcia!B140</f>
        <v>17:00:00</v>
      </c>
      <c r="E142" s="81">
        <f>predikcia!G140</f>
        <v>15095.5</v>
      </c>
      <c r="F142" s="70">
        <f>'DHS25'!C139</f>
        <v>16323</v>
      </c>
      <c r="G142" s="71">
        <f>'DHS25'!D139</f>
        <v>78</v>
      </c>
      <c r="H142" s="106">
        <v>5</v>
      </c>
      <c r="I142" s="72">
        <f>'DHS25'!E139/1000</f>
        <v>4.9950000000000001</v>
      </c>
      <c r="J142" s="109">
        <f>predikcia!R140</f>
        <v>157.07</v>
      </c>
      <c r="K142" s="92">
        <f t="shared" si="2"/>
        <v>767.22850349999999</v>
      </c>
      <c r="M142" s="112">
        <v>5</v>
      </c>
      <c r="N142" s="111">
        <v>5</v>
      </c>
    </row>
    <row r="143" spans="3:14" ht="13.5" thickBot="1">
      <c r="C143" s="87">
        <f>predikcia!A141</f>
        <v>45663</v>
      </c>
      <c r="D143" s="88" t="str">
        <f>predikcia!B141</f>
        <v>18:00:00</v>
      </c>
      <c r="E143" s="81">
        <f>predikcia!G141</f>
        <v>15377.25</v>
      </c>
      <c r="F143" s="70">
        <f>'DHS25'!C140</f>
        <v>16086</v>
      </c>
      <c r="G143" s="71">
        <f>'DHS25'!D140</f>
        <v>196</v>
      </c>
      <c r="H143" s="106">
        <v>5</v>
      </c>
      <c r="I143" s="72">
        <f>'DHS25'!E140/1000</f>
        <v>5.0049999999999999</v>
      </c>
      <c r="J143" s="109">
        <f>predikcia!R141</f>
        <v>153.35</v>
      </c>
      <c r="K143" s="92">
        <f t="shared" si="2"/>
        <v>750.33208249999996</v>
      </c>
      <c r="M143" s="112">
        <v>5</v>
      </c>
      <c r="N143" s="111">
        <v>5</v>
      </c>
    </row>
    <row r="144" spans="3:14" ht="13.5" thickBot="1">
      <c r="C144" s="87">
        <f>predikcia!A142</f>
        <v>45663</v>
      </c>
      <c r="D144" s="88" t="str">
        <f>predikcia!B142</f>
        <v>19:00:00</v>
      </c>
      <c r="E144" s="81">
        <f>predikcia!G142</f>
        <v>15142.5</v>
      </c>
      <c r="F144" s="70">
        <f>'DHS25'!C141</f>
        <v>14308</v>
      </c>
      <c r="G144" s="71">
        <f>'DHS25'!D141</f>
        <v>2150</v>
      </c>
      <c r="H144" s="106">
        <v>5</v>
      </c>
      <c r="I144" s="72">
        <f>'DHS25'!E141/1000</f>
        <v>5.0010000000000003</v>
      </c>
      <c r="J144" s="109">
        <f>predikcia!R142</f>
        <v>161.34</v>
      </c>
      <c r="K144" s="92">
        <f t="shared" si="2"/>
        <v>789.29082659999995</v>
      </c>
      <c r="M144" s="112">
        <v>5</v>
      </c>
      <c r="N144" s="111">
        <v>5</v>
      </c>
    </row>
    <row r="145" spans="3:14" ht="13.5" thickBot="1">
      <c r="C145" s="87">
        <f>predikcia!A143</f>
        <v>45663</v>
      </c>
      <c r="D145" s="88" t="str">
        <f>predikcia!B143</f>
        <v>20:00:00</v>
      </c>
      <c r="E145" s="81">
        <f>predikcia!G143</f>
        <v>15571.5</v>
      </c>
      <c r="F145" s="70">
        <f>'DHS25'!C142</f>
        <v>15049</v>
      </c>
      <c r="G145" s="71">
        <f>'DHS25'!D142</f>
        <v>1162</v>
      </c>
      <c r="H145" s="106">
        <v>5</v>
      </c>
      <c r="I145" s="72">
        <f>'DHS25'!E142/1000</f>
        <v>5</v>
      </c>
      <c r="J145" s="109">
        <f>predikcia!R143</f>
        <v>155.22</v>
      </c>
      <c r="K145" s="92">
        <f t="shared" si="2"/>
        <v>758.83899999999994</v>
      </c>
      <c r="M145" s="112">
        <v>5</v>
      </c>
      <c r="N145" s="111">
        <v>5</v>
      </c>
    </row>
    <row r="146" spans="3:14" ht="13.5" thickBot="1">
      <c r="C146" s="87">
        <f>predikcia!A144</f>
        <v>45663</v>
      </c>
      <c r="D146" s="88" t="str">
        <f>predikcia!B144</f>
        <v>21:00:00</v>
      </c>
      <c r="E146" s="81">
        <f>predikcia!G144</f>
        <v>15797.25</v>
      </c>
      <c r="F146" s="70">
        <f>'DHS25'!C143</f>
        <v>15247</v>
      </c>
      <c r="G146" s="71">
        <f>'DHS25'!D143</f>
        <v>1066</v>
      </c>
      <c r="H146" s="106">
        <v>5</v>
      </c>
      <c r="I146" s="72">
        <f>'DHS25'!E143/1000</f>
        <v>4.9939999999999998</v>
      </c>
      <c r="J146" s="109">
        <f>predikcia!R144</f>
        <v>144.47</v>
      </c>
      <c r="K146" s="92">
        <f t="shared" si="2"/>
        <v>704.77974819999986</v>
      </c>
      <c r="M146" s="112">
        <v>5</v>
      </c>
      <c r="N146" s="111">
        <v>5</v>
      </c>
    </row>
    <row r="147" spans="3:14" ht="13.5" thickBot="1">
      <c r="C147" s="87">
        <f>predikcia!A145</f>
        <v>45663</v>
      </c>
      <c r="D147" s="88" t="str">
        <f>predikcia!B145</f>
        <v>22:00:00</v>
      </c>
      <c r="E147" s="81">
        <f>predikcia!G145</f>
        <v>13205.25</v>
      </c>
      <c r="F147" s="70">
        <f>'DHS25'!C144</f>
        <v>12182</v>
      </c>
      <c r="G147" s="71">
        <f>'DHS25'!D144</f>
        <v>2165</v>
      </c>
      <c r="H147" s="106">
        <v>5</v>
      </c>
      <c r="I147" s="72">
        <f>'DHS25'!E144/1000</f>
        <v>4.9589999999999996</v>
      </c>
      <c r="J147" s="109">
        <f>predikcia!R145</f>
        <v>138.81</v>
      </c>
      <c r="K147" s="92">
        <f t="shared" si="2"/>
        <v>672.05310209999993</v>
      </c>
      <c r="M147" s="112">
        <v>5</v>
      </c>
      <c r="N147" s="111">
        <v>5</v>
      </c>
    </row>
    <row r="148" spans="3:14" ht="13.5" thickBot="1">
      <c r="C148" s="89">
        <f>predikcia!A146</f>
        <v>45663</v>
      </c>
      <c r="D148" s="90" t="str">
        <f>predikcia!B146</f>
        <v>23:00:00</v>
      </c>
      <c r="E148" s="84">
        <f>predikcia!G146</f>
        <v>7267.5</v>
      </c>
      <c r="F148" s="73">
        <f>'DHS25'!C145</f>
        <v>6940</v>
      </c>
      <c r="G148" s="64">
        <f>'DHS25'!D145</f>
        <v>6905</v>
      </c>
      <c r="H148" s="107">
        <v>3</v>
      </c>
      <c r="I148" s="74">
        <f>'DHS25'!E145/1000</f>
        <v>3.875</v>
      </c>
      <c r="J148" s="109">
        <f>predikcia!R146</f>
        <v>91.93</v>
      </c>
      <c r="K148" s="92">
        <f t="shared" si="2"/>
        <v>345.30396249999995</v>
      </c>
      <c r="M148" s="112">
        <v>3</v>
      </c>
      <c r="N148" s="111">
        <v>3</v>
      </c>
    </row>
    <row r="149" spans="3:14" ht="13.5" thickBot="1">
      <c r="C149" s="76">
        <f>predikcia!A147</f>
        <v>45664</v>
      </c>
      <c r="D149" s="77" t="str">
        <f>predikcia!B147</f>
        <v>00:00:00</v>
      </c>
      <c r="E149" s="78">
        <f>predikcia!G147</f>
        <v>7507.5</v>
      </c>
      <c r="F149" s="68">
        <f>'DHS25'!C146</f>
        <v>6014</v>
      </c>
      <c r="G149" s="63">
        <f>'DHS25'!D146</f>
        <v>5451</v>
      </c>
      <c r="H149" s="105">
        <v>3</v>
      </c>
      <c r="I149" s="69">
        <f>'DHS25'!E146/1000</f>
        <v>3</v>
      </c>
      <c r="J149" s="109">
        <f>predikcia!R147</f>
        <v>36.369999999999997</v>
      </c>
      <c r="K149" s="92">
        <f t="shared" si="2"/>
        <v>102.31889999999999</v>
      </c>
      <c r="M149" s="112">
        <v>3</v>
      </c>
      <c r="N149" s="111">
        <v>3</v>
      </c>
    </row>
    <row r="150" spans="3:14" ht="13.5" thickBot="1">
      <c r="C150" s="79">
        <f>predikcia!A148</f>
        <v>45664</v>
      </c>
      <c r="D150" s="80" t="str">
        <f>predikcia!B148</f>
        <v>01:00:00</v>
      </c>
      <c r="E150" s="81">
        <f>predikcia!G148</f>
        <v>9406.25</v>
      </c>
      <c r="F150" s="70">
        <f>'DHS25'!C147</f>
        <v>6409</v>
      </c>
      <c r="G150" s="71">
        <f>'DHS25'!D147</f>
        <v>6085</v>
      </c>
      <c r="H150" s="106">
        <v>4</v>
      </c>
      <c r="I150" s="72">
        <f>'DHS25'!E147/1000</f>
        <v>3.9079999999999999</v>
      </c>
      <c r="J150" s="109">
        <f>predikcia!R148</f>
        <v>64.290000000000006</v>
      </c>
      <c r="K150" s="92">
        <f t="shared" si="2"/>
        <v>241.30766680000002</v>
      </c>
      <c r="M150" s="112">
        <v>4</v>
      </c>
      <c r="N150" s="111">
        <v>4</v>
      </c>
    </row>
    <row r="151" spans="3:14" ht="13.5" thickBot="1">
      <c r="C151" s="79">
        <f>predikcia!A149</f>
        <v>45664</v>
      </c>
      <c r="D151" s="80" t="str">
        <f>predikcia!B149</f>
        <v>02:00:00</v>
      </c>
      <c r="E151" s="81">
        <f>predikcia!G149</f>
        <v>9033.25</v>
      </c>
      <c r="F151" s="70">
        <f>'DHS25'!C148</f>
        <v>9393</v>
      </c>
      <c r="G151" s="71">
        <f>'DHS25'!D148</f>
        <v>3937</v>
      </c>
      <c r="H151" s="106">
        <v>4</v>
      </c>
      <c r="I151" s="72">
        <f>'DHS25'!E148/1000</f>
        <v>3.99</v>
      </c>
      <c r="J151" s="109">
        <f>predikcia!R149</f>
        <v>58.63</v>
      </c>
      <c r="K151" s="92">
        <f t="shared" si="2"/>
        <v>224.01336300000003</v>
      </c>
      <c r="M151" s="112">
        <v>4</v>
      </c>
      <c r="N151" s="111">
        <v>4</v>
      </c>
    </row>
    <row r="152" spans="3:14" ht="13.5" thickBot="1">
      <c r="C152" s="79">
        <f>predikcia!A150</f>
        <v>45664</v>
      </c>
      <c r="D152" s="80" t="str">
        <f>predikcia!B150</f>
        <v>03:00:00</v>
      </c>
      <c r="E152" s="81">
        <f>predikcia!G150</f>
        <v>10841.75</v>
      </c>
      <c r="F152" s="70">
        <f>'DHS25'!C149</f>
        <v>9986</v>
      </c>
      <c r="G152" s="71">
        <f>'DHS25'!D149</f>
        <v>4211</v>
      </c>
      <c r="H152" s="106">
        <v>4</v>
      </c>
      <c r="I152" s="72">
        <f>'DHS25'!E149/1000</f>
        <v>3.9940000000000002</v>
      </c>
      <c r="J152" s="109">
        <f>predikcia!R150</f>
        <v>14.38</v>
      </c>
      <c r="K152" s="92">
        <f t="shared" si="2"/>
        <v>49.270782799999999</v>
      </c>
      <c r="M152" s="112">
        <v>4</v>
      </c>
      <c r="N152" s="111">
        <v>4</v>
      </c>
    </row>
    <row r="153" spans="3:14" ht="13.5" thickBot="1">
      <c r="C153" s="79">
        <f>predikcia!A151</f>
        <v>45664</v>
      </c>
      <c r="D153" s="80" t="str">
        <f>predikcia!B151</f>
        <v>04:00:00</v>
      </c>
      <c r="E153" s="81">
        <f>predikcia!G151</f>
        <v>17115.25</v>
      </c>
      <c r="F153" s="70">
        <f>'DHS25'!C150</f>
        <v>15266</v>
      </c>
      <c r="G153" s="71">
        <f>'DHS25'!D150</f>
        <v>1529</v>
      </c>
      <c r="H153" s="106">
        <v>6</v>
      </c>
      <c r="I153" s="72">
        <f>'DHS25'!E150/1000</f>
        <v>5.43</v>
      </c>
      <c r="J153" s="109">
        <f>predikcia!R151</f>
        <v>73.900000000000006</v>
      </c>
      <c r="K153" s="92">
        <f t="shared" si="2"/>
        <v>386.94722999999993</v>
      </c>
      <c r="M153" s="112">
        <v>6</v>
      </c>
      <c r="N153" s="111">
        <v>6</v>
      </c>
    </row>
    <row r="154" spans="3:14" ht="13.5" thickBot="1">
      <c r="C154" s="79">
        <f>predikcia!A152</f>
        <v>45664</v>
      </c>
      <c r="D154" s="80" t="str">
        <f>predikcia!B152</f>
        <v>05:00:00</v>
      </c>
      <c r="E154" s="81">
        <f>predikcia!G152</f>
        <v>17358</v>
      </c>
      <c r="F154" s="70">
        <f>'DHS25'!C151</f>
        <v>16798</v>
      </c>
      <c r="G154" s="71">
        <f>'DHS25'!D151</f>
        <v>1906</v>
      </c>
      <c r="H154" s="106">
        <v>6</v>
      </c>
      <c r="I154" s="72">
        <f>'DHS25'!E151/1000</f>
        <v>5.9809999999999999</v>
      </c>
      <c r="J154" s="109">
        <f>predikcia!R152</f>
        <v>92.16</v>
      </c>
      <c r="K154" s="92">
        <f t="shared" si="2"/>
        <v>534.33297039999991</v>
      </c>
      <c r="M154" s="112">
        <v>6</v>
      </c>
      <c r="N154" s="111">
        <v>6</v>
      </c>
    </row>
    <row r="155" spans="3:14" ht="13.5" thickBot="1">
      <c r="C155" s="79">
        <f>predikcia!A153</f>
        <v>45664</v>
      </c>
      <c r="D155" s="80" t="str">
        <f>predikcia!B153</f>
        <v>06:00:00</v>
      </c>
      <c r="E155" s="81">
        <f>predikcia!G153</f>
        <v>17506.25</v>
      </c>
      <c r="F155" s="70">
        <f>'DHS25'!C152</f>
        <v>12461</v>
      </c>
      <c r="G155" s="71">
        <f>'DHS25'!D152</f>
        <v>5840</v>
      </c>
      <c r="H155" s="106">
        <v>6</v>
      </c>
      <c r="I155" s="72">
        <f>'DHS25'!E152/1000</f>
        <v>5.9930000000000003</v>
      </c>
      <c r="J155" s="109">
        <f>predikcia!R153</f>
        <v>150.47999999999999</v>
      </c>
      <c r="K155" s="92">
        <f t="shared" si="2"/>
        <v>881.42167360000008</v>
      </c>
      <c r="M155" s="112">
        <v>6</v>
      </c>
      <c r="N155" s="111">
        <v>6</v>
      </c>
    </row>
    <row r="156" spans="3:14" ht="13.5" thickBot="1">
      <c r="C156" s="79">
        <f>predikcia!A154</f>
        <v>45664</v>
      </c>
      <c r="D156" s="80" t="str">
        <f>predikcia!B154</f>
        <v>07:00:00</v>
      </c>
      <c r="E156" s="81">
        <f>predikcia!G154</f>
        <v>15957.25</v>
      </c>
      <c r="F156" s="70">
        <f>'DHS25'!C153</f>
        <v>13702</v>
      </c>
      <c r="G156" s="71">
        <f>'DHS25'!D153</f>
        <v>4350</v>
      </c>
      <c r="H156" s="106">
        <v>5</v>
      </c>
      <c r="I156" s="72">
        <f>'DHS25'!E153/1000</f>
        <v>5.343</v>
      </c>
      <c r="J156" s="109">
        <f>predikcia!R154</f>
        <v>160.29</v>
      </c>
      <c r="K156" s="92">
        <f t="shared" si="2"/>
        <v>837.71347529999991</v>
      </c>
      <c r="M156" s="112">
        <v>5</v>
      </c>
      <c r="N156" s="111">
        <v>5</v>
      </c>
    </row>
    <row r="157" spans="3:14" ht="13.5" thickBot="1">
      <c r="C157" s="79">
        <f>predikcia!A155</f>
        <v>45664</v>
      </c>
      <c r="D157" s="80" t="str">
        <f>predikcia!B155</f>
        <v>08:00:00</v>
      </c>
      <c r="E157" s="81">
        <f>predikcia!G155</f>
        <v>15701.25</v>
      </c>
      <c r="F157" s="70">
        <f>'DHS25'!C154</f>
        <v>14706</v>
      </c>
      <c r="G157" s="71">
        <f>'DHS25'!D154</f>
        <v>1400</v>
      </c>
      <c r="H157" s="106">
        <v>5</v>
      </c>
      <c r="I157" s="72">
        <f>'DHS25'!E154/1000</f>
        <v>4.9989999999999997</v>
      </c>
      <c r="J157" s="109">
        <f>predikcia!R155</f>
        <v>130</v>
      </c>
      <c r="K157" s="92">
        <f t="shared" si="2"/>
        <v>633.87319999999988</v>
      </c>
      <c r="M157" s="112">
        <v>5</v>
      </c>
      <c r="N157" s="111">
        <v>5</v>
      </c>
    </row>
    <row r="158" spans="3:14" ht="13.5" thickBot="1">
      <c r="C158" s="79">
        <f>predikcia!A156</f>
        <v>45664</v>
      </c>
      <c r="D158" s="80" t="str">
        <f>predikcia!B156</f>
        <v>09:00:00</v>
      </c>
      <c r="E158" s="81">
        <f>predikcia!G156</f>
        <v>16573.25</v>
      </c>
      <c r="F158" s="70">
        <f>'DHS25'!C155</f>
        <v>14366</v>
      </c>
      <c r="G158" s="71">
        <f>'DHS25'!D155</f>
        <v>6369</v>
      </c>
      <c r="H158" s="106">
        <v>6</v>
      </c>
      <c r="I158" s="72">
        <f>'DHS25'!E155/1000</f>
        <v>6.024</v>
      </c>
      <c r="J158" s="109">
        <f>predikcia!R156</f>
        <v>134.47</v>
      </c>
      <c r="K158" s="92">
        <f t="shared" si="2"/>
        <v>790.50120720000007</v>
      </c>
      <c r="M158" s="112">
        <v>6</v>
      </c>
      <c r="N158" s="111">
        <v>6</v>
      </c>
    </row>
    <row r="159" spans="3:14" ht="13.5" thickBot="1">
      <c r="C159" s="79">
        <f>predikcia!A157</f>
        <v>45664</v>
      </c>
      <c r="D159" s="80" t="str">
        <f>predikcia!B157</f>
        <v>10:00:00</v>
      </c>
      <c r="E159" s="81">
        <f>predikcia!G157</f>
        <v>16544.5</v>
      </c>
      <c r="F159" s="70">
        <f>'DHS25'!C156</f>
        <v>14725</v>
      </c>
      <c r="G159" s="71">
        <f>'DHS25'!D156</f>
        <v>4157</v>
      </c>
      <c r="H159" s="106">
        <v>6</v>
      </c>
      <c r="I159" s="72">
        <f>'DHS25'!E156/1000</f>
        <v>6.008</v>
      </c>
      <c r="J159" s="109">
        <f>predikcia!R157</f>
        <v>123.19</v>
      </c>
      <c r="K159" s="92">
        <f t="shared" si="2"/>
        <v>721.30906479999999</v>
      </c>
      <c r="M159" s="112">
        <v>6</v>
      </c>
      <c r="N159" s="111">
        <v>6</v>
      </c>
    </row>
    <row r="160" spans="3:14" ht="13.5" thickBot="1">
      <c r="C160" s="79">
        <f>predikcia!A158</f>
        <v>45664</v>
      </c>
      <c r="D160" s="80" t="str">
        <f>predikcia!B158</f>
        <v>11:00:00</v>
      </c>
      <c r="E160" s="81">
        <f>predikcia!G158</f>
        <v>15998.5</v>
      </c>
      <c r="F160" s="70">
        <f>'DHS25'!C157</f>
        <v>13246</v>
      </c>
      <c r="G160" s="71">
        <f>'DHS25'!D157</f>
        <v>1510</v>
      </c>
      <c r="H160" s="106">
        <v>5</v>
      </c>
      <c r="I160" s="72">
        <f>'DHS25'!E157/1000</f>
        <v>4.976</v>
      </c>
      <c r="J160" s="109">
        <f>predikcia!R158</f>
        <v>123.1</v>
      </c>
      <c r="K160" s="92">
        <f t="shared" si="2"/>
        <v>596.96574399999997</v>
      </c>
      <c r="M160" s="112">
        <v>5</v>
      </c>
      <c r="N160" s="111">
        <v>5</v>
      </c>
    </row>
    <row r="161" spans="3:14" ht="13.5" thickBot="1">
      <c r="C161" s="79">
        <f>predikcia!A159</f>
        <v>45664</v>
      </c>
      <c r="D161" s="80" t="str">
        <f>predikcia!B159</f>
        <v>12:00:00</v>
      </c>
      <c r="E161" s="81">
        <f>predikcia!G159</f>
        <v>16213.25</v>
      </c>
      <c r="F161" s="70">
        <f>'DHS25'!C158</f>
        <v>12582</v>
      </c>
      <c r="G161" s="71">
        <f>'DHS25'!D158</f>
        <v>7013</v>
      </c>
      <c r="H161" s="106">
        <v>6</v>
      </c>
      <c r="I161" s="72">
        <f>'DHS25'!E158/1000</f>
        <v>6.0149999999999997</v>
      </c>
      <c r="J161" s="109">
        <f>predikcia!R159</f>
        <v>124.95</v>
      </c>
      <c r="K161" s="92">
        <f t="shared" si="2"/>
        <v>732.63000749999992</v>
      </c>
      <c r="M161" s="112">
        <v>6</v>
      </c>
      <c r="N161" s="111">
        <v>6</v>
      </c>
    </row>
    <row r="162" spans="3:14" ht="13.5" thickBot="1">
      <c r="C162" s="79">
        <f>predikcia!A160</f>
        <v>45664</v>
      </c>
      <c r="D162" s="80" t="str">
        <f>predikcia!B160</f>
        <v>13:00:00</v>
      </c>
      <c r="E162" s="81">
        <f>predikcia!G160</f>
        <v>16700</v>
      </c>
      <c r="F162" s="70">
        <f>'DHS25'!C159</f>
        <v>11969</v>
      </c>
      <c r="G162" s="71">
        <f>'DHS25'!D159</f>
        <v>7020</v>
      </c>
      <c r="H162" s="106">
        <v>6</v>
      </c>
      <c r="I162" s="72">
        <f>'DHS25'!E159/1000</f>
        <v>6.0019999999999998</v>
      </c>
      <c r="J162" s="109">
        <f>predikcia!R160</f>
        <v>136.77000000000001</v>
      </c>
      <c r="K162" s="92">
        <f t="shared" si="2"/>
        <v>801.2808045999999</v>
      </c>
      <c r="M162" s="112">
        <v>6</v>
      </c>
      <c r="N162" s="111">
        <v>6</v>
      </c>
    </row>
    <row r="163" spans="3:14" ht="13.5" thickBot="1">
      <c r="C163" s="79">
        <f>predikcia!A161</f>
        <v>45664</v>
      </c>
      <c r="D163" s="80" t="str">
        <f>predikcia!B161</f>
        <v>14:00:00</v>
      </c>
      <c r="E163" s="81">
        <f>predikcia!G161</f>
        <v>16673.25</v>
      </c>
      <c r="F163" s="70">
        <f>'DHS25'!C160</f>
        <v>13010</v>
      </c>
      <c r="G163" s="71">
        <f>'DHS25'!D160</f>
        <v>5404</v>
      </c>
      <c r="H163" s="106">
        <v>6</v>
      </c>
      <c r="I163" s="72">
        <f>'DHS25'!E160/1000</f>
        <v>5.992</v>
      </c>
      <c r="J163" s="109">
        <f>predikcia!R161</f>
        <v>141.21</v>
      </c>
      <c r="K163" s="92">
        <f t="shared" si="2"/>
        <v>826.28421679999997</v>
      </c>
      <c r="M163" s="112">
        <v>6</v>
      </c>
      <c r="N163" s="111">
        <v>6</v>
      </c>
    </row>
    <row r="164" spans="3:14" ht="13.5" thickBot="1">
      <c r="C164" s="79">
        <f>predikcia!A162</f>
        <v>45664</v>
      </c>
      <c r="D164" s="80" t="str">
        <f>predikcia!B162</f>
        <v>15:00:00</v>
      </c>
      <c r="E164" s="81">
        <f>predikcia!G162</f>
        <v>16502.5</v>
      </c>
      <c r="F164" s="70">
        <f>'DHS25'!C161</f>
        <v>13472</v>
      </c>
      <c r="G164" s="71">
        <f>'DHS25'!D161</f>
        <v>4806</v>
      </c>
      <c r="H164" s="106">
        <v>6</v>
      </c>
      <c r="I164" s="72">
        <f>'DHS25'!E161/1000</f>
        <v>5.9960000000000004</v>
      </c>
      <c r="J164" s="109">
        <f>predikcia!R162</f>
        <v>142.29</v>
      </c>
      <c r="K164" s="92">
        <f t="shared" si="2"/>
        <v>833.24673159999998</v>
      </c>
      <c r="M164" s="112">
        <v>6</v>
      </c>
      <c r="N164" s="111">
        <v>6</v>
      </c>
    </row>
    <row r="165" spans="3:14" ht="13.5" thickBot="1">
      <c r="C165" s="79">
        <f>predikcia!A163</f>
        <v>45664</v>
      </c>
      <c r="D165" s="80" t="str">
        <f>predikcia!B163</f>
        <v>16:00:00</v>
      </c>
      <c r="E165" s="81">
        <f>predikcia!G163</f>
        <v>16758.75</v>
      </c>
      <c r="F165" s="70">
        <f>'DHS25'!C162</f>
        <v>13331</v>
      </c>
      <c r="G165" s="71">
        <f>'DHS25'!D162</f>
        <v>4782</v>
      </c>
      <c r="H165" s="106">
        <v>6</v>
      </c>
      <c r="I165" s="72">
        <f>'DHS25'!E162/1000</f>
        <v>6.0019999999999998</v>
      </c>
      <c r="J165" s="109">
        <f>predikcia!R163</f>
        <v>167.75</v>
      </c>
      <c r="K165" s="92">
        <f t="shared" si="2"/>
        <v>985.36334499999987</v>
      </c>
      <c r="M165" s="112">
        <v>6</v>
      </c>
      <c r="N165" s="111">
        <v>6</v>
      </c>
    </row>
    <row r="166" spans="3:14" ht="13.5" thickBot="1">
      <c r="C166" s="79">
        <f>predikcia!A164</f>
        <v>45664</v>
      </c>
      <c r="D166" s="80" t="str">
        <f>predikcia!B164</f>
        <v>17:00:00</v>
      </c>
      <c r="E166" s="81">
        <f>predikcia!G164</f>
        <v>16535.5</v>
      </c>
      <c r="F166" s="70">
        <f>'DHS25'!C163</f>
        <v>13779</v>
      </c>
      <c r="G166" s="71">
        <f>'DHS25'!D163</f>
        <v>4443</v>
      </c>
      <c r="H166" s="106">
        <v>6</v>
      </c>
      <c r="I166" s="72">
        <f>'DHS25'!E163/1000</f>
        <v>5.992</v>
      </c>
      <c r="J166" s="109">
        <f>predikcia!R164</f>
        <v>135</v>
      </c>
      <c r="K166" s="92">
        <f t="shared" si="2"/>
        <v>789.44600000000003</v>
      </c>
      <c r="M166" s="112">
        <v>6</v>
      </c>
      <c r="N166" s="111">
        <v>6</v>
      </c>
    </row>
    <row r="167" spans="3:14" ht="13.5" thickBot="1">
      <c r="C167" s="79">
        <f>predikcia!A165</f>
        <v>45664</v>
      </c>
      <c r="D167" s="80" t="str">
        <f>predikcia!B165</f>
        <v>18:00:00</v>
      </c>
      <c r="E167" s="81">
        <f>predikcia!G165</f>
        <v>17073.25</v>
      </c>
      <c r="F167" s="70">
        <f>'DHS25'!C164</f>
        <v>14163</v>
      </c>
      <c r="G167" s="71">
        <f>'DHS25'!D164</f>
        <v>4457</v>
      </c>
      <c r="H167" s="106">
        <v>6</v>
      </c>
      <c r="I167" s="72">
        <f>'DHS25'!E164/1000</f>
        <v>5.9950000000000001</v>
      </c>
      <c r="J167" s="109">
        <f>predikcia!R165</f>
        <v>140</v>
      </c>
      <c r="K167" s="92">
        <f t="shared" si="2"/>
        <v>819.51649999999995</v>
      </c>
      <c r="M167" s="112">
        <v>6</v>
      </c>
      <c r="N167" s="111">
        <v>6</v>
      </c>
    </row>
    <row r="168" spans="3:14" ht="13.5" thickBot="1">
      <c r="C168" s="79">
        <f>predikcia!A166</f>
        <v>45664</v>
      </c>
      <c r="D168" s="80" t="str">
        <f>predikcia!B166</f>
        <v>19:00:00</v>
      </c>
      <c r="E168" s="81">
        <f>predikcia!G166</f>
        <v>17066.5</v>
      </c>
      <c r="F168" s="70">
        <f>'DHS25'!C165</f>
        <v>13583</v>
      </c>
      <c r="G168" s="71">
        <f>'DHS25'!D165</f>
        <v>4278</v>
      </c>
      <c r="H168" s="106">
        <v>6</v>
      </c>
      <c r="I168" s="72">
        <f>'DHS25'!E165/1000</f>
        <v>5.9969999999999999</v>
      </c>
      <c r="J168" s="109">
        <f>predikcia!R166</f>
        <v>177.08</v>
      </c>
      <c r="K168" s="92">
        <f t="shared" si="2"/>
        <v>1039.9349723999999</v>
      </c>
      <c r="M168" s="112">
        <v>6</v>
      </c>
      <c r="N168" s="111">
        <v>6</v>
      </c>
    </row>
    <row r="169" spans="3:14" ht="13.5" thickBot="1">
      <c r="C169" s="79">
        <f>predikcia!A167</f>
        <v>45664</v>
      </c>
      <c r="D169" s="80" t="str">
        <f>predikcia!B167</f>
        <v>20:00:00</v>
      </c>
      <c r="E169" s="81">
        <f>predikcia!G167</f>
        <v>17683.5</v>
      </c>
      <c r="F169" s="70">
        <f>'DHS25'!C166</f>
        <v>14759</v>
      </c>
      <c r="G169" s="71">
        <f>'DHS25'!D166</f>
        <v>4179</v>
      </c>
      <c r="H169" s="106">
        <v>6</v>
      </c>
      <c r="I169" s="72">
        <f>'DHS25'!E166/1000</f>
        <v>5.99</v>
      </c>
      <c r="J169" s="109">
        <f>predikcia!R167</f>
        <v>170.61</v>
      </c>
      <c r="K169" s="92">
        <f t="shared" si="2"/>
        <v>1000.3533610000002</v>
      </c>
      <c r="M169" s="112">
        <v>6</v>
      </c>
      <c r="N169" s="111">
        <v>6</v>
      </c>
    </row>
    <row r="170" spans="3:14" ht="13.5" thickBot="1">
      <c r="C170" s="79">
        <f>predikcia!A168</f>
        <v>45664</v>
      </c>
      <c r="D170" s="80" t="str">
        <f>predikcia!B168</f>
        <v>21:00:00</v>
      </c>
      <c r="E170" s="81">
        <f>predikcia!G168</f>
        <v>18190</v>
      </c>
      <c r="F170" s="70">
        <f>'DHS25'!C167</f>
        <v>16750</v>
      </c>
      <c r="G170" s="71">
        <f>'DHS25'!D167</f>
        <v>2303</v>
      </c>
      <c r="H170" s="106">
        <v>6</v>
      </c>
      <c r="I170" s="72">
        <f>'DHS25'!E167/1000</f>
        <v>6.0110000000000001</v>
      </c>
      <c r="J170" s="109">
        <f>predikcia!R168</f>
        <v>154.11000000000001</v>
      </c>
      <c r="K170" s="92">
        <f t="shared" si="2"/>
        <v>905.67075790000001</v>
      </c>
      <c r="M170" s="112">
        <v>6</v>
      </c>
      <c r="N170" s="111">
        <v>6</v>
      </c>
    </row>
    <row r="171" spans="3:14" ht="13.5" thickBot="1">
      <c r="C171" s="79">
        <f>predikcia!A169</f>
        <v>45664</v>
      </c>
      <c r="D171" s="80" t="str">
        <f>predikcia!B169</f>
        <v>22:00:00</v>
      </c>
      <c r="E171" s="81">
        <f>predikcia!G169</f>
        <v>15379.5</v>
      </c>
      <c r="F171" s="70">
        <f>'DHS25'!C168</f>
        <v>14422</v>
      </c>
      <c r="G171" s="71">
        <f>'DHS25'!D168</f>
        <v>2430</v>
      </c>
      <c r="H171" s="106">
        <v>5</v>
      </c>
      <c r="I171" s="72">
        <f>'DHS25'!E168/1000</f>
        <v>5.1280000000000001</v>
      </c>
      <c r="J171" s="109">
        <f>predikcia!R169</f>
        <v>138.85</v>
      </c>
      <c r="K171" s="92">
        <f t="shared" si="2"/>
        <v>695.15937199999996</v>
      </c>
      <c r="M171" s="112">
        <v>5</v>
      </c>
      <c r="N171" s="111">
        <v>5</v>
      </c>
    </row>
    <row r="172" spans="3:14" ht="13.5" thickBot="1">
      <c r="C172" s="82">
        <f>predikcia!A170</f>
        <v>45664</v>
      </c>
      <c r="D172" s="83" t="str">
        <f>predikcia!B170</f>
        <v>23:00:00</v>
      </c>
      <c r="E172" s="84">
        <f>predikcia!G170</f>
        <v>8286.5</v>
      </c>
      <c r="F172" s="73">
        <f>'DHS25'!C169</f>
        <v>5624</v>
      </c>
      <c r="G172" s="64">
        <f>'DHS25'!D169</f>
        <v>5734</v>
      </c>
      <c r="H172" s="107">
        <v>4</v>
      </c>
      <c r="I172" s="74">
        <f>'DHS25'!E169/1000</f>
        <v>4.0369999999999999</v>
      </c>
      <c r="J172" s="109">
        <f>predikcia!R170</f>
        <v>99.83</v>
      </c>
      <c r="K172" s="92">
        <f t="shared" si="2"/>
        <v>391.31327289999996</v>
      </c>
      <c r="M172" s="112">
        <v>4</v>
      </c>
      <c r="N172" s="111">
        <v>4</v>
      </c>
    </row>
    <row r="173" spans="3:14" ht="13.5" thickBot="1">
      <c r="C173" s="85">
        <f>predikcia!A171</f>
        <v>45665</v>
      </c>
      <c r="D173" s="86" t="str">
        <f>predikcia!B171</f>
        <v>00:00:00</v>
      </c>
      <c r="E173" s="78">
        <f>predikcia!G171</f>
        <v>8015</v>
      </c>
      <c r="F173" s="68">
        <f>'DHS25'!C170</f>
        <v>6367</v>
      </c>
      <c r="G173" s="63">
        <f>'DHS25'!D170</f>
        <v>7010</v>
      </c>
      <c r="H173" s="105">
        <v>4</v>
      </c>
      <c r="I173" s="69">
        <f>'DHS25'!E170/1000</f>
        <v>4.0030000000000001</v>
      </c>
      <c r="J173" s="109">
        <f>predikcia!R171</f>
        <v>85.1</v>
      </c>
      <c r="K173" s="92">
        <f t="shared" si="2"/>
        <v>329.64304699999997</v>
      </c>
      <c r="M173" s="112">
        <v>4</v>
      </c>
      <c r="N173" s="111">
        <v>4</v>
      </c>
    </row>
    <row r="174" spans="3:14" ht="13.5" thickBot="1">
      <c r="C174" s="87">
        <f>predikcia!A172</f>
        <v>45665</v>
      </c>
      <c r="D174" s="88" t="str">
        <f>predikcia!B172</f>
        <v>01:00:00</v>
      </c>
      <c r="E174" s="81">
        <f>predikcia!G172</f>
        <v>10501</v>
      </c>
      <c r="F174" s="70">
        <f>'DHS25'!C171</f>
        <v>6657</v>
      </c>
      <c r="G174" s="71">
        <f>'DHS25'!D171</f>
        <v>4731</v>
      </c>
      <c r="H174" s="106">
        <v>4</v>
      </c>
      <c r="I174" s="72">
        <f>'DHS25'!E171/1000</f>
        <v>3.9569999999999999</v>
      </c>
      <c r="J174" s="109">
        <f>predikcia!R172</f>
        <v>74.81</v>
      </c>
      <c r="K174" s="92">
        <f t="shared" si="2"/>
        <v>285.54463829999997</v>
      </c>
      <c r="M174" s="112">
        <v>4</v>
      </c>
      <c r="N174" s="111">
        <v>4</v>
      </c>
    </row>
    <row r="175" spans="3:14" ht="13.5" thickBot="1">
      <c r="C175" s="87">
        <f>predikcia!A173</f>
        <v>45665</v>
      </c>
      <c r="D175" s="88" t="str">
        <f>predikcia!B173</f>
        <v>02:00:00</v>
      </c>
      <c r="E175" s="81">
        <f>predikcia!G173</f>
        <v>10860.75</v>
      </c>
      <c r="F175" s="70">
        <f>'DHS25'!C172</f>
        <v>9495</v>
      </c>
      <c r="G175" s="71">
        <f>'DHS25'!D172</f>
        <v>4234</v>
      </c>
      <c r="H175" s="106">
        <v>4</v>
      </c>
      <c r="I175" s="72">
        <f>'DHS25'!E172/1000</f>
        <v>3.9910000000000001</v>
      </c>
      <c r="J175" s="109">
        <f>predikcia!R173</f>
        <v>72.83</v>
      </c>
      <c r="K175" s="92">
        <f t="shared" si="2"/>
        <v>280.17498469999998</v>
      </c>
      <c r="M175" s="112">
        <v>4</v>
      </c>
      <c r="N175" s="111">
        <v>4</v>
      </c>
    </row>
    <row r="176" spans="3:14" ht="13.5" thickBot="1">
      <c r="C176" s="87">
        <f>predikcia!A174</f>
        <v>45665</v>
      </c>
      <c r="D176" s="88" t="str">
        <f>predikcia!B174</f>
        <v>03:00:00</v>
      </c>
      <c r="E176" s="81">
        <f>predikcia!G174</f>
        <v>11714.5</v>
      </c>
      <c r="F176" s="70">
        <f>'DHS25'!C173</f>
        <v>9808</v>
      </c>
      <c r="G176" s="71">
        <f>'DHS25'!D173</f>
        <v>4490</v>
      </c>
      <c r="H176" s="106">
        <v>4</v>
      </c>
      <c r="I176" s="72">
        <f>'DHS25'!E173/1000</f>
        <v>4.0149999999999997</v>
      </c>
      <c r="J176" s="109">
        <f>predikcia!R174</f>
        <v>70.87</v>
      </c>
      <c r="K176" s="92">
        <f t="shared" si="2"/>
        <v>274.06911949999994</v>
      </c>
      <c r="M176" s="112">
        <v>4</v>
      </c>
      <c r="N176" s="111">
        <v>4</v>
      </c>
    </row>
    <row r="177" spans="3:14" ht="13.5" thickBot="1">
      <c r="C177" s="87">
        <f>predikcia!A175</f>
        <v>45665</v>
      </c>
      <c r="D177" s="88" t="str">
        <f>predikcia!B175</f>
        <v>04:00:00</v>
      </c>
      <c r="E177" s="81">
        <f>predikcia!G175</f>
        <v>18481.75</v>
      </c>
      <c r="F177" s="70">
        <f>'DHS25'!C174</f>
        <v>18989</v>
      </c>
      <c r="G177" s="71">
        <f>'DHS25'!D174</f>
        <v>281</v>
      </c>
      <c r="H177" s="106">
        <v>6</v>
      </c>
      <c r="I177" s="72">
        <f>'DHS25'!E174/1000</f>
        <v>5.9749999999999996</v>
      </c>
      <c r="J177" s="109">
        <f>predikcia!R175</f>
        <v>83.18</v>
      </c>
      <c r="K177" s="92">
        <f t="shared" si="2"/>
        <v>480.67799499999995</v>
      </c>
      <c r="M177" s="112">
        <v>6</v>
      </c>
      <c r="N177" s="111">
        <v>6</v>
      </c>
    </row>
    <row r="178" spans="3:14" ht="13.5" thickBot="1">
      <c r="C178" s="87">
        <f>predikcia!A176</f>
        <v>45665</v>
      </c>
      <c r="D178" s="88" t="str">
        <f>predikcia!B176</f>
        <v>05:00:00</v>
      </c>
      <c r="E178" s="81">
        <f>predikcia!G176</f>
        <v>19873</v>
      </c>
      <c r="F178" s="70">
        <f>'DHS25'!C175</f>
        <v>18716</v>
      </c>
      <c r="G178" s="71">
        <f>'DHS25'!D175</f>
        <v>76</v>
      </c>
      <c r="H178" s="106">
        <v>6</v>
      </c>
      <c r="I178" s="72">
        <f>'DHS25'!E175/1000</f>
        <v>5.9939999999999998</v>
      </c>
      <c r="J178" s="109">
        <f>predikcia!R176</f>
        <v>120.17</v>
      </c>
      <c r="K178" s="92">
        <f t="shared" si="2"/>
        <v>701.70739019999996</v>
      </c>
      <c r="M178" s="112">
        <v>6</v>
      </c>
      <c r="N178" s="111">
        <v>6</v>
      </c>
    </row>
    <row r="179" spans="3:14" ht="13.5" thickBot="1">
      <c r="C179" s="87">
        <f>predikcia!A177</f>
        <v>45665</v>
      </c>
      <c r="D179" s="88" t="str">
        <f>predikcia!B177</f>
        <v>06:00:00</v>
      </c>
      <c r="E179" s="81">
        <f>predikcia!G177</f>
        <v>19137</v>
      </c>
      <c r="F179" s="70">
        <f>'DHS25'!C176</f>
        <v>21593</v>
      </c>
      <c r="G179" s="71">
        <f>'DHS25'!D176</f>
        <v>3172</v>
      </c>
      <c r="H179" s="108">
        <v>8</v>
      </c>
      <c r="I179" s="72">
        <f>'DHS25'!E176/1000</f>
        <v>7.6669999999999998</v>
      </c>
      <c r="J179" s="109">
        <f>predikcia!R177</f>
        <v>137.36000000000001</v>
      </c>
      <c r="K179" s="92">
        <f t="shared" si="2"/>
        <v>1028.0404288</v>
      </c>
      <c r="M179" s="112">
        <v>6</v>
      </c>
      <c r="N179" s="111">
        <v>8</v>
      </c>
    </row>
    <row r="180" spans="3:14" ht="13.5" thickBot="1">
      <c r="C180" s="87">
        <f>predikcia!A178</f>
        <v>45665</v>
      </c>
      <c r="D180" s="88" t="str">
        <f>predikcia!B178</f>
        <v>07:00:00</v>
      </c>
      <c r="E180" s="81">
        <f>predikcia!G178</f>
        <v>18006</v>
      </c>
      <c r="F180" s="70">
        <f>'DHS25'!C177</f>
        <v>18128</v>
      </c>
      <c r="G180" s="71">
        <f>'DHS25'!D177</f>
        <v>4810</v>
      </c>
      <c r="H180" s="108">
        <v>8</v>
      </c>
      <c r="I180" s="72">
        <f>'DHS25'!E177/1000</f>
        <v>7.3780000000000001</v>
      </c>
      <c r="J180" s="109">
        <f>predikcia!R178</f>
        <v>170.1</v>
      </c>
      <c r="K180" s="92">
        <f t="shared" si="2"/>
        <v>1228.4296219999999</v>
      </c>
      <c r="M180" s="112">
        <v>6</v>
      </c>
      <c r="N180" s="111">
        <v>8</v>
      </c>
    </row>
    <row r="181" spans="3:14" ht="13.5" thickBot="1">
      <c r="C181" s="87">
        <f>predikcia!A179</f>
        <v>45665</v>
      </c>
      <c r="D181" s="88" t="str">
        <f>predikcia!B179</f>
        <v>08:00:00</v>
      </c>
      <c r="E181" s="81">
        <f>predikcia!G179</f>
        <v>17072.75</v>
      </c>
      <c r="F181" s="70">
        <f>'DHS25'!C178</f>
        <v>16172</v>
      </c>
      <c r="G181" s="71">
        <f>'DHS25'!D178</f>
        <v>7498</v>
      </c>
      <c r="H181" s="108">
        <v>8</v>
      </c>
      <c r="I181" s="72">
        <f>'DHS25'!E178/1000</f>
        <v>8.0039999999999996</v>
      </c>
      <c r="J181" s="109">
        <f>predikcia!R179</f>
        <v>160</v>
      </c>
      <c r="K181" s="92">
        <f t="shared" si="2"/>
        <v>1252.626</v>
      </c>
      <c r="M181" s="112">
        <v>6</v>
      </c>
      <c r="N181" s="111">
        <v>8</v>
      </c>
    </row>
    <row r="182" spans="3:14" ht="13.5" thickBot="1">
      <c r="C182" s="87">
        <f>predikcia!A180</f>
        <v>45665</v>
      </c>
      <c r="D182" s="88" t="str">
        <f>predikcia!B180</f>
        <v>09:00:00</v>
      </c>
      <c r="E182" s="81">
        <f>predikcia!G180</f>
        <v>17960</v>
      </c>
      <c r="F182" s="70">
        <f>'DHS25'!C179</f>
        <v>18014</v>
      </c>
      <c r="G182" s="71">
        <f>'DHS25'!D179</f>
        <v>3330</v>
      </c>
      <c r="H182" s="106">
        <v>6</v>
      </c>
      <c r="I182" s="72">
        <f>'DHS25'!E179/1000</f>
        <v>6.96</v>
      </c>
      <c r="J182" s="109">
        <f>predikcia!R180</f>
        <v>125.56</v>
      </c>
      <c r="K182" s="92">
        <f t="shared" si="2"/>
        <v>851.93462399999999</v>
      </c>
      <c r="M182" s="112">
        <v>6</v>
      </c>
      <c r="N182" s="111">
        <v>6</v>
      </c>
    </row>
    <row r="183" spans="3:14" ht="13.5" thickBot="1">
      <c r="C183" s="87">
        <f>predikcia!A181</f>
        <v>45665</v>
      </c>
      <c r="D183" s="88" t="str">
        <f>predikcia!B181</f>
        <v>10:00:00</v>
      </c>
      <c r="E183" s="81">
        <f>predikcia!G181</f>
        <v>17455.5</v>
      </c>
      <c r="F183" s="70">
        <f>'DHS25'!C180</f>
        <v>16098</v>
      </c>
      <c r="G183" s="71">
        <f>'DHS25'!D180</f>
        <v>2873</v>
      </c>
      <c r="H183" s="106">
        <v>6</v>
      </c>
      <c r="I183" s="72">
        <f>'DHS25'!E180/1000</f>
        <v>6.0060000000000002</v>
      </c>
      <c r="J183" s="109">
        <f>predikcia!R181</f>
        <v>107.04</v>
      </c>
      <c r="K183" s="92">
        <f t="shared" si="2"/>
        <v>625.04201760000001</v>
      </c>
      <c r="M183" s="112">
        <v>6</v>
      </c>
      <c r="N183" s="111">
        <v>6</v>
      </c>
    </row>
    <row r="184" spans="3:14" ht="13.5" thickBot="1">
      <c r="C184" s="87">
        <f>predikcia!A182</f>
        <v>45665</v>
      </c>
      <c r="D184" s="88" t="str">
        <f>predikcia!B182</f>
        <v>11:00:00</v>
      </c>
      <c r="E184" s="81">
        <f>predikcia!G182</f>
        <v>17200.5</v>
      </c>
      <c r="F184" s="70">
        <f>'DHS25'!C181</f>
        <v>13711</v>
      </c>
      <c r="G184" s="71">
        <f>'DHS25'!D181</f>
        <v>5559</v>
      </c>
      <c r="H184" s="106">
        <v>6</v>
      </c>
      <c r="I184" s="72">
        <f>'DHS25'!E181/1000</f>
        <v>6.0149999999999997</v>
      </c>
      <c r="J184" s="109">
        <f>predikcia!R182</f>
        <v>102.11</v>
      </c>
      <c r="K184" s="92">
        <f t="shared" si="2"/>
        <v>596.6212334999999</v>
      </c>
      <c r="M184" s="112">
        <v>6</v>
      </c>
      <c r="N184" s="111">
        <v>6</v>
      </c>
    </row>
    <row r="185" spans="3:14" ht="13.5" thickBot="1">
      <c r="C185" s="87">
        <f>predikcia!A183</f>
        <v>45665</v>
      </c>
      <c r="D185" s="88" t="str">
        <f>predikcia!B183</f>
        <v>12:00:00</v>
      </c>
      <c r="E185" s="81">
        <f>predikcia!G183</f>
        <v>16495.25</v>
      </c>
      <c r="F185" s="70">
        <f>'DHS25'!C182</f>
        <v>13655</v>
      </c>
      <c r="G185" s="71">
        <f>'DHS25'!D182</f>
        <v>4780</v>
      </c>
      <c r="H185" s="106">
        <v>6</v>
      </c>
      <c r="I185" s="72">
        <f>'DHS25'!E182/1000</f>
        <v>6.0129999999999999</v>
      </c>
      <c r="J185" s="109">
        <f>predikcia!R183</f>
        <v>103.82</v>
      </c>
      <c r="K185" s="92">
        <f t="shared" si="2"/>
        <v>606.60226339999986</v>
      </c>
      <c r="M185" s="112">
        <v>6</v>
      </c>
      <c r="N185" s="111">
        <v>6</v>
      </c>
    </row>
    <row r="186" spans="3:14" ht="13.5" thickBot="1">
      <c r="C186" s="87">
        <f>predikcia!A184</f>
        <v>45665</v>
      </c>
      <c r="D186" s="88" t="str">
        <f>predikcia!B184</f>
        <v>13:00:00</v>
      </c>
      <c r="E186" s="81">
        <f>predikcia!G184</f>
        <v>16789.75</v>
      </c>
      <c r="F186" s="70">
        <f>'DHS25'!C183</f>
        <v>14479</v>
      </c>
      <c r="G186" s="71">
        <f>'DHS25'!D183</f>
        <v>4726</v>
      </c>
      <c r="H186" s="106">
        <v>6</v>
      </c>
      <c r="I186" s="72">
        <f>'DHS25'!E183/1000</f>
        <v>5.9950000000000001</v>
      </c>
      <c r="J186" s="109">
        <f>predikcia!R184</f>
        <v>113.88</v>
      </c>
      <c r="K186" s="92">
        <f t="shared" si="2"/>
        <v>664.49299399999995</v>
      </c>
      <c r="M186" s="112">
        <v>6</v>
      </c>
      <c r="N186" s="111">
        <v>6</v>
      </c>
    </row>
    <row r="187" spans="3:14" ht="13.5" thickBot="1">
      <c r="C187" s="87">
        <f>predikcia!A185</f>
        <v>45665</v>
      </c>
      <c r="D187" s="88" t="str">
        <f>predikcia!B185</f>
        <v>14:00:00</v>
      </c>
      <c r="E187" s="81">
        <f>predikcia!G185</f>
        <v>17223.25</v>
      </c>
      <c r="F187" s="70">
        <f>'DHS25'!C184</f>
        <v>13147</v>
      </c>
      <c r="G187" s="71">
        <f>'DHS25'!D184</f>
        <v>5476</v>
      </c>
      <c r="H187" s="106">
        <v>6</v>
      </c>
      <c r="I187" s="72">
        <f>'DHS25'!E184/1000</f>
        <v>6.0010000000000003</v>
      </c>
      <c r="J187" s="109">
        <f>predikcia!R185</f>
        <v>123.86</v>
      </c>
      <c r="K187" s="92">
        <f t="shared" si="2"/>
        <v>724.44912139999997</v>
      </c>
      <c r="M187" s="112">
        <v>6</v>
      </c>
      <c r="N187" s="111">
        <v>6</v>
      </c>
    </row>
    <row r="188" spans="3:14" ht="13.5" thickBot="1">
      <c r="C188" s="87">
        <f>predikcia!A186</f>
        <v>45665</v>
      </c>
      <c r="D188" s="88" t="str">
        <f>predikcia!B186</f>
        <v>15:00:00</v>
      </c>
      <c r="E188" s="81">
        <f>predikcia!G186</f>
        <v>16589.5</v>
      </c>
      <c r="F188" s="70">
        <f>'DHS25'!C185</f>
        <v>12974</v>
      </c>
      <c r="G188" s="71">
        <f>'DHS25'!D185</f>
        <v>8211</v>
      </c>
      <c r="H188" s="108">
        <v>8</v>
      </c>
      <c r="I188" s="72">
        <f>'DHS25'!E185/1000</f>
        <v>7.0039999999999996</v>
      </c>
      <c r="J188" s="109">
        <f>predikcia!R186</f>
        <v>140.54</v>
      </c>
      <c r="K188" s="92">
        <f t="shared" si="2"/>
        <v>961.19113839999977</v>
      </c>
      <c r="M188" s="112">
        <v>6</v>
      </c>
      <c r="N188" s="111">
        <v>8</v>
      </c>
    </row>
    <row r="189" spans="3:14" ht="13.5" thickBot="1">
      <c r="C189" s="87">
        <f>predikcia!A187</f>
        <v>45665</v>
      </c>
      <c r="D189" s="88" t="str">
        <f>predikcia!B187</f>
        <v>16:00:00</v>
      </c>
      <c r="E189" s="81">
        <f>predikcia!G187</f>
        <v>16734.75</v>
      </c>
      <c r="F189" s="70">
        <f>'DHS25'!C186</f>
        <v>15685</v>
      </c>
      <c r="G189" s="71">
        <f>'DHS25'!D186</f>
        <v>8470</v>
      </c>
      <c r="H189" s="108">
        <v>8</v>
      </c>
      <c r="I189" s="72">
        <f>'DHS25'!E186/1000</f>
        <v>8.0060000000000002</v>
      </c>
      <c r="J189" s="109">
        <f>predikcia!R187</f>
        <v>150.83000000000001</v>
      </c>
      <c r="K189" s="92">
        <f t="shared" si="2"/>
        <v>1180.2581302000001</v>
      </c>
      <c r="M189" s="112">
        <v>6</v>
      </c>
      <c r="N189" s="111">
        <v>8</v>
      </c>
    </row>
    <row r="190" spans="3:14" ht="13.5" thickBot="1">
      <c r="C190" s="87">
        <f>predikcia!A188</f>
        <v>45665</v>
      </c>
      <c r="D190" s="88" t="str">
        <f>predikcia!B188</f>
        <v>17:00:00</v>
      </c>
      <c r="E190" s="81">
        <f>predikcia!G188</f>
        <v>17429</v>
      </c>
      <c r="F190" s="70">
        <f>'DHS25'!C187</f>
        <v>15699</v>
      </c>
      <c r="G190" s="71">
        <f>'DHS25'!D187</f>
        <v>8916</v>
      </c>
      <c r="H190" s="108">
        <v>8</v>
      </c>
      <c r="I190" s="72">
        <f>'DHS25'!E187/1000</f>
        <v>7.9960000000000004</v>
      </c>
      <c r="J190" s="109">
        <f>predikcia!R188</f>
        <v>153.27000000000001</v>
      </c>
      <c r="K190" s="92">
        <f t="shared" si="2"/>
        <v>1198.0990508</v>
      </c>
      <c r="M190" s="112">
        <v>6</v>
      </c>
      <c r="N190" s="111">
        <v>8</v>
      </c>
    </row>
    <row r="191" spans="3:14" ht="13.5" thickBot="1">
      <c r="C191" s="87">
        <f>predikcia!A189</f>
        <v>45665</v>
      </c>
      <c r="D191" s="88" t="str">
        <f>predikcia!B189</f>
        <v>18:00:00</v>
      </c>
      <c r="E191" s="81">
        <f>predikcia!G189</f>
        <v>18320.25</v>
      </c>
      <c r="F191" s="70">
        <f>'DHS25'!C188</f>
        <v>14540</v>
      </c>
      <c r="G191" s="71">
        <f>'DHS25'!D188</f>
        <v>9622</v>
      </c>
      <c r="H191" s="108">
        <v>8</v>
      </c>
      <c r="I191" s="72">
        <f>'DHS25'!E188/1000</f>
        <v>7.984</v>
      </c>
      <c r="J191" s="109">
        <f>predikcia!R189</f>
        <v>147.87</v>
      </c>
      <c r="K191" s="92">
        <f t="shared" si="2"/>
        <v>1153.6185392</v>
      </c>
      <c r="M191" s="112">
        <v>6</v>
      </c>
      <c r="N191" s="111">
        <v>8</v>
      </c>
    </row>
    <row r="192" spans="3:14" ht="13.5" thickBot="1">
      <c r="C192" s="87">
        <f>predikcia!A190</f>
        <v>45665</v>
      </c>
      <c r="D192" s="88" t="str">
        <f>predikcia!B190</f>
        <v>19:00:00</v>
      </c>
      <c r="E192" s="81">
        <f>predikcia!G190</f>
        <v>18311.25</v>
      </c>
      <c r="F192" s="70">
        <f>'DHS25'!C189</f>
        <v>14342</v>
      </c>
      <c r="G192" s="71">
        <f>'DHS25'!D189</f>
        <v>9477</v>
      </c>
      <c r="H192" s="108">
        <v>8</v>
      </c>
      <c r="I192" s="72">
        <f>'DHS25'!E189/1000</f>
        <v>7.7859999999999996</v>
      </c>
      <c r="J192" s="109">
        <f>predikcia!R190</f>
        <v>149.19999999999999</v>
      </c>
      <c r="K192" s="92">
        <f t="shared" si="2"/>
        <v>1135.261088</v>
      </c>
      <c r="M192" s="112">
        <v>6</v>
      </c>
      <c r="N192" s="111">
        <v>8</v>
      </c>
    </row>
    <row r="193" spans="3:14" ht="13.5" thickBot="1">
      <c r="C193" s="87">
        <f>predikcia!A191</f>
        <v>45665</v>
      </c>
      <c r="D193" s="88" t="str">
        <f>predikcia!B191</f>
        <v>20:00:00</v>
      </c>
      <c r="E193" s="81">
        <f>predikcia!G191</f>
        <v>17735</v>
      </c>
      <c r="F193" s="70">
        <f>'DHS25'!C190</f>
        <v>14767</v>
      </c>
      <c r="G193" s="71">
        <f>'DHS25'!D190</f>
        <v>8860</v>
      </c>
      <c r="H193" s="108">
        <v>8</v>
      </c>
      <c r="I193" s="72">
        <f>'DHS25'!E190/1000</f>
        <v>8</v>
      </c>
      <c r="J193" s="109">
        <f>predikcia!R191</f>
        <v>135.75</v>
      </c>
      <c r="K193" s="92">
        <f t="shared" si="2"/>
        <v>1059.94</v>
      </c>
      <c r="M193" s="112">
        <v>6</v>
      </c>
      <c r="N193" s="111">
        <v>8</v>
      </c>
    </row>
    <row r="194" spans="3:14" ht="13.5" thickBot="1">
      <c r="C194" s="87">
        <f>predikcia!A192</f>
        <v>45665</v>
      </c>
      <c r="D194" s="88" t="str">
        <f>predikcia!B192</f>
        <v>21:00:00</v>
      </c>
      <c r="E194" s="81">
        <f>predikcia!G192</f>
        <v>18214.25</v>
      </c>
      <c r="F194" s="70">
        <f>'DHS25'!C191</f>
        <v>16668</v>
      </c>
      <c r="G194" s="71">
        <f>'DHS25'!D191</f>
        <v>1705</v>
      </c>
      <c r="H194" s="106">
        <v>6</v>
      </c>
      <c r="I194" s="72">
        <f>'DHS25'!E191/1000</f>
        <v>6.0540000000000003</v>
      </c>
      <c r="J194" s="109">
        <f>predikcia!R192</f>
        <v>126.64</v>
      </c>
      <c r="K194" s="92">
        <f t="shared" si="2"/>
        <v>747.50917440000001</v>
      </c>
      <c r="M194" s="112">
        <v>6</v>
      </c>
      <c r="N194" s="111">
        <v>6</v>
      </c>
    </row>
    <row r="195" spans="3:14" ht="13.5" thickBot="1">
      <c r="C195" s="87">
        <f>predikcia!A193</f>
        <v>45665</v>
      </c>
      <c r="D195" s="88" t="str">
        <f>predikcia!B193</f>
        <v>22:00:00</v>
      </c>
      <c r="E195" s="81">
        <f>predikcia!G193</f>
        <v>16132.75</v>
      </c>
      <c r="F195" s="70">
        <f>'DHS25'!C192</f>
        <v>14071</v>
      </c>
      <c r="G195" s="71">
        <f>'DHS25'!D192</f>
        <v>4721</v>
      </c>
      <c r="H195" s="106">
        <v>6</v>
      </c>
      <c r="I195" s="72">
        <f>'DHS25'!E192/1000</f>
        <v>6.0010000000000003</v>
      </c>
      <c r="J195" s="109">
        <f>predikcia!R193</f>
        <v>116.31</v>
      </c>
      <c r="K195" s="92">
        <f t="shared" si="2"/>
        <v>679.59464690000004</v>
      </c>
      <c r="M195" s="112">
        <v>6</v>
      </c>
      <c r="N195" s="111">
        <v>6</v>
      </c>
    </row>
    <row r="196" spans="3:14" ht="13.5" thickBot="1">
      <c r="C196" s="89">
        <f>predikcia!A194</f>
        <v>45665</v>
      </c>
      <c r="D196" s="90" t="str">
        <f>predikcia!B194</f>
        <v>23:00:00</v>
      </c>
      <c r="E196" s="84">
        <f>predikcia!G194</f>
        <v>9547.25</v>
      </c>
      <c r="F196" s="73">
        <f>'DHS25'!C193</f>
        <v>6902</v>
      </c>
      <c r="G196" s="64">
        <f>'DHS25'!D193</f>
        <v>4867</v>
      </c>
      <c r="H196" s="107">
        <v>4</v>
      </c>
      <c r="I196" s="74">
        <f>'DHS25'!E193/1000</f>
        <v>4.0730000000000004</v>
      </c>
      <c r="J196" s="109">
        <f>predikcia!R194</f>
        <v>105.61</v>
      </c>
      <c r="K196" s="92">
        <f t="shared" si="2"/>
        <v>418.10933470000003</v>
      </c>
      <c r="M196" s="112">
        <v>4</v>
      </c>
      <c r="N196" s="111">
        <v>4</v>
      </c>
    </row>
    <row r="197" spans="3:14" ht="13.5" thickBot="1">
      <c r="C197" s="76">
        <f>predikcia!A195</f>
        <v>45666</v>
      </c>
      <c r="D197" s="77" t="str">
        <f>predikcia!B195</f>
        <v>00:00:00</v>
      </c>
      <c r="E197" s="78">
        <f>predikcia!G195</f>
        <v>7739.5</v>
      </c>
      <c r="F197" s="68">
        <f>'DHS25'!C194</f>
        <v>6500</v>
      </c>
      <c r="G197" s="63">
        <f>'DHS25'!D194</f>
        <v>5883</v>
      </c>
      <c r="H197" s="105">
        <v>3</v>
      </c>
      <c r="I197" s="69">
        <f>'DHS25'!E194/1000</f>
        <v>3.6779999999999999</v>
      </c>
      <c r="J197" s="109">
        <f>predikcia!R195</f>
        <v>104.5</v>
      </c>
      <c r="K197" s="92">
        <f t="shared" si="2"/>
        <v>373.51928999999996</v>
      </c>
      <c r="M197" s="112">
        <v>3</v>
      </c>
      <c r="N197" s="111">
        <v>3</v>
      </c>
    </row>
    <row r="198" spans="3:14" ht="13.5" thickBot="1">
      <c r="C198" s="79">
        <f>predikcia!A196</f>
        <v>45666</v>
      </c>
      <c r="D198" s="80" t="str">
        <f>predikcia!B196</f>
        <v>01:00:00</v>
      </c>
      <c r="E198" s="81">
        <f>predikcia!G196</f>
        <v>9441.25</v>
      </c>
      <c r="F198" s="70">
        <f>'DHS25'!C195</f>
        <v>6930</v>
      </c>
      <c r="G198" s="71">
        <f>'DHS25'!D195</f>
        <v>6221</v>
      </c>
      <c r="H198" s="106">
        <v>4</v>
      </c>
      <c r="I198" s="72">
        <f>'DHS25'!E195/1000</f>
        <v>3.8759999999999999</v>
      </c>
      <c r="J198" s="109">
        <f>predikcia!R196</f>
        <v>103.91</v>
      </c>
      <c r="K198" s="92">
        <f t="shared" ref="K198:K261" si="3">(J198*0.99-1.9)*I198</f>
        <v>391.36320839999996</v>
      </c>
      <c r="M198" s="112">
        <v>4</v>
      </c>
      <c r="N198" s="111">
        <v>4</v>
      </c>
    </row>
    <row r="199" spans="3:14" ht="13.5" thickBot="1">
      <c r="C199" s="79">
        <f>predikcia!A197</f>
        <v>45666</v>
      </c>
      <c r="D199" s="80" t="str">
        <f>predikcia!B197</f>
        <v>02:00:00</v>
      </c>
      <c r="E199" s="81">
        <f>predikcia!G197</f>
        <v>10758.5</v>
      </c>
      <c r="F199" s="70">
        <f>'DHS25'!C196</f>
        <v>9569</v>
      </c>
      <c r="G199" s="71">
        <f>'DHS25'!D196</f>
        <v>4446</v>
      </c>
      <c r="H199" s="106">
        <v>4</v>
      </c>
      <c r="I199" s="72">
        <f>'DHS25'!E196/1000</f>
        <v>4.0019999999999998</v>
      </c>
      <c r="J199" s="109">
        <f>predikcia!R197</f>
        <v>101.87</v>
      </c>
      <c r="K199" s="92">
        <f t="shared" si="3"/>
        <v>396.00310259999998</v>
      </c>
      <c r="M199" s="112">
        <v>4</v>
      </c>
      <c r="N199" s="111">
        <v>4</v>
      </c>
    </row>
    <row r="200" spans="3:14" ht="13.5" thickBot="1">
      <c r="C200" s="79">
        <f>predikcia!A198</f>
        <v>45666</v>
      </c>
      <c r="D200" s="80" t="str">
        <f>predikcia!B198</f>
        <v>03:00:00</v>
      </c>
      <c r="E200" s="81">
        <f>predikcia!G198</f>
        <v>10836</v>
      </c>
      <c r="F200" s="70">
        <f>'DHS25'!C197</f>
        <v>10374</v>
      </c>
      <c r="G200" s="71">
        <f>'DHS25'!D197</f>
        <v>3055</v>
      </c>
      <c r="H200" s="106">
        <v>4</v>
      </c>
      <c r="I200" s="72">
        <f>'DHS25'!E197/1000</f>
        <v>3.9820000000000002</v>
      </c>
      <c r="J200" s="109">
        <f>predikcia!R198</f>
        <v>99.72</v>
      </c>
      <c r="K200" s="92">
        <f t="shared" si="3"/>
        <v>385.54838959999995</v>
      </c>
      <c r="M200" s="112">
        <v>4</v>
      </c>
      <c r="N200" s="111">
        <v>4</v>
      </c>
    </row>
    <row r="201" spans="3:14" ht="13.5" thickBot="1">
      <c r="C201" s="79">
        <f>predikcia!A199</f>
        <v>45666</v>
      </c>
      <c r="D201" s="80" t="str">
        <f>predikcia!B199</f>
        <v>04:00:00</v>
      </c>
      <c r="E201" s="81">
        <f>predikcia!G199</f>
        <v>18707.5</v>
      </c>
      <c r="F201" s="70">
        <f>'DHS25'!C198</f>
        <v>18408</v>
      </c>
      <c r="G201" s="71">
        <f>'DHS25'!D198</f>
        <v>639</v>
      </c>
      <c r="H201" s="106">
        <v>6</v>
      </c>
      <c r="I201" s="72">
        <f>'DHS25'!E198/1000</f>
        <v>6.0060000000000002</v>
      </c>
      <c r="J201" s="109">
        <f>predikcia!R199</f>
        <v>103.7</v>
      </c>
      <c r="K201" s="92">
        <f t="shared" si="3"/>
        <v>605.18257799999992</v>
      </c>
      <c r="M201" s="112">
        <v>6</v>
      </c>
      <c r="N201" s="111">
        <v>6</v>
      </c>
    </row>
    <row r="202" spans="3:14" ht="13.5" thickBot="1">
      <c r="C202" s="79">
        <f>predikcia!A200</f>
        <v>45666</v>
      </c>
      <c r="D202" s="80" t="str">
        <f>predikcia!B200</f>
        <v>05:00:00</v>
      </c>
      <c r="E202" s="81">
        <f>predikcia!G200</f>
        <v>20043.25</v>
      </c>
      <c r="F202" s="70">
        <f>'DHS25'!C199</f>
        <v>19503</v>
      </c>
      <c r="G202" s="71">
        <f>'DHS25'!D199</f>
        <v>1818</v>
      </c>
      <c r="H202" s="106">
        <v>7</v>
      </c>
      <c r="I202" s="72">
        <f>'DHS25'!E199/1000</f>
        <v>6.9790000000000001</v>
      </c>
      <c r="J202" s="109">
        <f>predikcia!R200</f>
        <v>107.19</v>
      </c>
      <c r="K202" s="92">
        <f t="shared" si="3"/>
        <v>727.33811989999992</v>
      </c>
      <c r="M202" s="112">
        <v>7</v>
      </c>
      <c r="N202" s="111">
        <v>7</v>
      </c>
    </row>
    <row r="203" spans="3:14" ht="13.5" thickBot="1">
      <c r="C203" s="79">
        <f>predikcia!A201</f>
        <v>45666</v>
      </c>
      <c r="D203" s="80" t="str">
        <f>predikcia!B201</f>
        <v>06:00:00</v>
      </c>
      <c r="E203" s="81">
        <f>predikcia!G201</f>
        <v>20371.25</v>
      </c>
      <c r="F203" s="70">
        <f>'DHS25'!C200</f>
        <v>19037</v>
      </c>
      <c r="G203" s="71">
        <f>'DHS25'!D200</f>
        <v>2767</v>
      </c>
      <c r="H203" s="106">
        <v>7</v>
      </c>
      <c r="I203" s="72">
        <f>'DHS25'!E200/1000</f>
        <v>7.008</v>
      </c>
      <c r="J203" s="109">
        <f>predikcia!R201</f>
        <v>127.43</v>
      </c>
      <c r="K203" s="92">
        <f t="shared" si="3"/>
        <v>870.78394560000004</v>
      </c>
      <c r="M203" s="112">
        <v>7</v>
      </c>
      <c r="N203" s="111">
        <v>7</v>
      </c>
    </row>
    <row r="204" spans="3:14" ht="13.5" thickBot="1">
      <c r="C204" s="79">
        <f>predikcia!A202</f>
        <v>45666</v>
      </c>
      <c r="D204" s="80" t="str">
        <f>predikcia!B202</f>
        <v>07:00:00</v>
      </c>
      <c r="E204" s="81">
        <f>predikcia!G202</f>
        <v>18624.75</v>
      </c>
      <c r="F204" s="70">
        <f>'DHS25'!C201</f>
        <v>14208</v>
      </c>
      <c r="G204" s="71">
        <f>'DHS25'!D201</f>
        <v>10434</v>
      </c>
      <c r="H204" s="108">
        <v>8</v>
      </c>
      <c r="I204" s="72">
        <f>'DHS25'!E201/1000</f>
        <v>7.9870000000000001</v>
      </c>
      <c r="J204" s="109">
        <f>predikcia!R202</f>
        <v>146.05000000000001</v>
      </c>
      <c r="K204" s="92">
        <f t="shared" si="3"/>
        <v>1139.6610365000001</v>
      </c>
      <c r="M204" s="112">
        <v>6</v>
      </c>
      <c r="N204" s="111">
        <v>8</v>
      </c>
    </row>
    <row r="205" spans="3:14" ht="13.5" thickBot="1">
      <c r="C205" s="79">
        <f>predikcia!A203</f>
        <v>45666</v>
      </c>
      <c r="D205" s="80" t="str">
        <f>predikcia!B203</f>
        <v>08:00:00</v>
      </c>
      <c r="E205" s="81">
        <f>predikcia!G203</f>
        <v>17863</v>
      </c>
      <c r="F205" s="70">
        <f>'DHS25'!C202</f>
        <v>14668</v>
      </c>
      <c r="G205" s="71">
        <f>'DHS25'!D202</f>
        <v>9264</v>
      </c>
      <c r="H205" s="108">
        <v>8</v>
      </c>
      <c r="I205" s="72">
        <f>'DHS25'!E202/1000</f>
        <v>7.9930000000000003</v>
      </c>
      <c r="J205" s="109">
        <f>predikcia!R203</f>
        <v>159.74</v>
      </c>
      <c r="K205" s="92">
        <f t="shared" si="3"/>
        <v>1248.8471018</v>
      </c>
      <c r="M205" s="112">
        <v>6</v>
      </c>
      <c r="N205" s="111">
        <v>8</v>
      </c>
    </row>
    <row r="206" spans="3:14" ht="13.5" thickBot="1">
      <c r="C206" s="79">
        <f>predikcia!A204</f>
        <v>45666</v>
      </c>
      <c r="D206" s="80" t="str">
        <f>predikcia!B204</f>
        <v>09:00:00</v>
      </c>
      <c r="E206" s="81">
        <f>predikcia!G204</f>
        <v>18984.5</v>
      </c>
      <c r="F206" s="70">
        <f>'DHS25'!C203</f>
        <v>14803</v>
      </c>
      <c r="G206" s="71">
        <f>'DHS25'!D203</f>
        <v>9247</v>
      </c>
      <c r="H206" s="108">
        <v>8</v>
      </c>
      <c r="I206" s="72">
        <f>'DHS25'!E203/1000</f>
        <v>7.9690000000000003</v>
      </c>
      <c r="J206" s="109">
        <f>predikcia!R204</f>
        <v>151.83000000000001</v>
      </c>
      <c r="K206" s="92">
        <f t="shared" si="3"/>
        <v>1182.6928373000001</v>
      </c>
      <c r="M206" s="112">
        <v>6</v>
      </c>
      <c r="N206" s="111">
        <v>8</v>
      </c>
    </row>
    <row r="207" spans="3:14" ht="13.5" thickBot="1">
      <c r="C207" s="79">
        <f>predikcia!A205</f>
        <v>45666</v>
      </c>
      <c r="D207" s="80" t="str">
        <f>predikcia!B205</f>
        <v>10:00:00</v>
      </c>
      <c r="E207" s="81">
        <f>predikcia!G205</f>
        <v>18496</v>
      </c>
      <c r="F207" s="70">
        <f>'DHS25'!C204</f>
        <v>14474</v>
      </c>
      <c r="G207" s="71">
        <f>'DHS25'!D204</f>
        <v>10292</v>
      </c>
      <c r="H207" s="108">
        <v>8</v>
      </c>
      <c r="I207" s="72">
        <f>'DHS25'!E204/1000</f>
        <v>8.0030000000000001</v>
      </c>
      <c r="J207" s="109">
        <f>predikcia!R205</f>
        <v>143.62</v>
      </c>
      <c r="K207" s="92">
        <f t="shared" si="3"/>
        <v>1122.6912513999998</v>
      </c>
      <c r="M207" s="112">
        <v>6</v>
      </c>
      <c r="N207" s="111">
        <v>8</v>
      </c>
    </row>
    <row r="208" spans="3:14" ht="13.5" thickBot="1">
      <c r="C208" s="79">
        <f>predikcia!A206</f>
        <v>45666</v>
      </c>
      <c r="D208" s="80" t="str">
        <f>predikcia!B206</f>
        <v>11:00:00</v>
      </c>
      <c r="E208" s="81">
        <f>predikcia!G206</f>
        <v>17490.25</v>
      </c>
      <c r="F208" s="70">
        <f>'DHS25'!C205</f>
        <v>13623</v>
      </c>
      <c r="G208" s="71">
        <f>'DHS25'!D205</f>
        <v>10196</v>
      </c>
      <c r="H208" s="108">
        <v>8</v>
      </c>
      <c r="I208" s="72">
        <f>'DHS25'!E205/1000</f>
        <v>7.98</v>
      </c>
      <c r="J208" s="109">
        <f>predikcia!R206</f>
        <v>136.22999999999999</v>
      </c>
      <c r="K208" s="92">
        <f t="shared" si="3"/>
        <v>1061.0822459999999</v>
      </c>
      <c r="M208" s="112">
        <v>6</v>
      </c>
      <c r="N208" s="111">
        <v>8</v>
      </c>
    </row>
    <row r="209" spans="3:14" ht="13.5" thickBot="1">
      <c r="C209" s="79">
        <f>predikcia!A207</f>
        <v>45666</v>
      </c>
      <c r="D209" s="80" t="str">
        <f>predikcia!B207</f>
        <v>12:00:00</v>
      </c>
      <c r="E209" s="81">
        <f>predikcia!G207</f>
        <v>16571.75</v>
      </c>
      <c r="F209" s="70">
        <f>'DHS25'!C206</f>
        <v>14236</v>
      </c>
      <c r="G209" s="71">
        <f>'DHS25'!D206</f>
        <v>9805</v>
      </c>
      <c r="H209" s="108">
        <v>8</v>
      </c>
      <c r="I209" s="72">
        <f>'DHS25'!E206/1000</f>
        <v>8.0030000000000001</v>
      </c>
      <c r="J209" s="109">
        <f>predikcia!R207</f>
        <v>125.51</v>
      </c>
      <c r="K209" s="92">
        <f t="shared" si="3"/>
        <v>979.20626470000002</v>
      </c>
      <c r="M209" s="112">
        <v>6</v>
      </c>
      <c r="N209" s="111">
        <v>6</v>
      </c>
    </row>
    <row r="210" spans="3:14" ht="13.5" thickBot="1">
      <c r="C210" s="79">
        <f>predikcia!A208</f>
        <v>45666</v>
      </c>
      <c r="D210" s="80" t="str">
        <f>predikcia!B208</f>
        <v>13:00:00</v>
      </c>
      <c r="E210" s="81">
        <f>predikcia!G208</f>
        <v>15872.75</v>
      </c>
      <c r="F210" s="70">
        <f>'DHS25'!C207</f>
        <v>13789</v>
      </c>
      <c r="G210" s="71">
        <f>'DHS25'!D207</f>
        <v>10869</v>
      </c>
      <c r="H210" s="108">
        <v>8</v>
      </c>
      <c r="I210" s="72">
        <f>'DHS25'!E207/1000</f>
        <v>8.0259999999999998</v>
      </c>
      <c r="J210" s="109">
        <f>predikcia!R208</f>
        <v>122.52</v>
      </c>
      <c r="K210" s="92">
        <f t="shared" si="3"/>
        <v>958.26266479999992</v>
      </c>
      <c r="M210" s="112">
        <v>5</v>
      </c>
      <c r="N210" s="111">
        <v>5</v>
      </c>
    </row>
    <row r="211" spans="3:14" ht="13.5" thickBot="1">
      <c r="C211" s="79">
        <f>predikcia!A209</f>
        <v>45666</v>
      </c>
      <c r="D211" s="80" t="str">
        <f>predikcia!B209</f>
        <v>14:00:00</v>
      </c>
      <c r="E211" s="81">
        <f>predikcia!G209</f>
        <v>15486.75</v>
      </c>
      <c r="F211" s="70">
        <f>'DHS25'!C208</f>
        <v>12292</v>
      </c>
      <c r="G211" s="71">
        <f>'DHS25'!D208</f>
        <v>12378</v>
      </c>
      <c r="H211" s="108">
        <v>8</v>
      </c>
      <c r="I211" s="72">
        <f>'DHS25'!E208/1000</f>
        <v>8.0020000000000007</v>
      </c>
      <c r="J211" s="109">
        <f>predikcia!R209</f>
        <v>127.43</v>
      </c>
      <c r="K211" s="92">
        <f t="shared" si="3"/>
        <v>994.29411140000013</v>
      </c>
      <c r="M211" s="112">
        <v>5</v>
      </c>
      <c r="N211" s="111">
        <v>5</v>
      </c>
    </row>
    <row r="212" spans="3:14" ht="13.5" thickBot="1">
      <c r="C212" s="79">
        <f>predikcia!A210</f>
        <v>45666</v>
      </c>
      <c r="D212" s="80" t="str">
        <f>predikcia!B210</f>
        <v>15:00:00</v>
      </c>
      <c r="E212" s="81">
        <f>predikcia!G210</f>
        <v>16035.75</v>
      </c>
      <c r="F212" s="70">
        <f>'DHS25'!C209</f>
        <v>13295</v>
      </c>
      <c r="G212" s="71">
        <f>'DHS25'!D209</f>
        <v>11479</v>
      </c>
      <c r="H212" s="108">
        <v>8</v>
      </c>
      <c r="I212" s="72">
        <f>'DHS25'!E209/1000</f>
        <v>7.9980000000000002</v>
      </c>
      <c r="J212" s="109">
        <f>predikcia!R210</f>
        <v>134.31</v>
      </c>
      <c r="K212" s="92">
        <f t="shared" si="3"/>
        <v>1048.2730662000001</v>
      </c>
      <c r="M212" s="112">
        <v>6</v>
      </c>
      <c r="N212" s="111">
        <v>8</v>
      </c>
    </row>
    <row r="213" spans="3:14" ht="13.5" thickBot="1">
      <c r="C213" s="79">
        <f>predikcia!A211</f>
        <v>45666</v>
      </c>
      <c r="D213" s="80" t="str">
        <f>predikcia!B211</f>
        <v>16:00:00</v>
      </c>
      <c r="E213" s="81">
        <f>predikcia!G211</f>
        <v>16327.25</v>
      </c>
      <c r="F213" s="70">
        <f>'DHS25'!C210</f>
        <v>14021</v>
      </c>
      <c r="G213" s="71">
        <f>'DHS25'!D210</f>
        <v>10082</v>
      </c>
      <c r="H213" s="108">
        <v>8</v>
      </c>
      <c r="I213" s="72">
        <f>'DHS25'!E210/1000</f>
        <v>7.9989999999999997</v>
      </c>
      <c r="J213" s="109">
        <f>predikcia!R211</f>
        <v>146.58000000000001</v>
      </c>
      <c r="K213" s="92">
        <f t="shared" si="3"/>
        <v>1145.5703857999999</v>
      </c>
      <c r="M213" s="112">
        <v>6</v>
      </c>
      <c r="N213" s="111">
        <v>8</v>
      </c>
    </row>
    <row r="214" spans="3:14" ht="13.5" thickBot="1">
      <c r="C214" s="79">
        <f>predikcia!A212</f>
        <v>45666</v>
      </c>
      <c r="D214" s="80" t="str">
        <f>predikcia!B212</f>
        <v>17:00:00</v>
      </c>
      <c r="E214" s="81">
        <f>predikcia!G212</f>
        <v>17088.25</v>
      </c>
      <c r="F214" s="70">
        <f>'DHS25'!C211</f>
        <v>13896</v>
      </c>
      <c r="G214" s="71">
        <f>'DHS25'!D211</f>
        <v>10375</v>
      </c>
      <c r="H214" s="108">
        <v>8</v>
      </c>
      <c r="I214" s="72">
        <f>'DHS25'!E211/1000</f>
        <v>7.9889999999999999</v>
      </c>
      <c r="J214" s="109">
        <f>predikcia!R212</f>
        <v>122.83</v>
      </c>
      <c r="K214" s="92">
        <f t="shared" si="3"/>
        <v>956.29688129999988</v>
      </c>
      <c r="M214" s="112">
        <v>6</v>
      </c>
      <c r="N214" s="111">
        <v>6</v>
      </c>
    </row>
    <row r="215" spans="3:14" ht="13.5" thickBot="1">
      <c r="C215" s="79">
        <f>predikcia!A213</f>
        <v>45666</v>
      </c>
      <c r="D215" s="80" t="str">
        <f>predikcia!B213</f>
        <v>18:00:00</v>
      </c>
      <c r="E215" s="81">
        <f>predikcia!G213</f>
        <v>16763.75</v>
      </c>
      <c r="F215" s="70">
        <f>'DHS25'!C212</f>
        <v>13218</v>
      </c>
      <c r="G215" s="71">
        <f>'DHS25'!D212</f>
        <v>11125</v>
      </c>
      <c r="H215" s="108">
        <v>8</v>
      </c>
      <c r="I215" s="72">
        <f>'DHS25'!E212/1000</f>
        <v>7.9950000000000001</v>
      </c>
      <c r="J215" s="109">
        <f>predikcia!R213</f>
        <v>126.64</v>
      </c>
      <c r="K215" s="92">
        <f t="shared" si="3"/>
        <v>987.17143199999998</v>
      </c>
      <c r="M215" s="112">
        <v>6</v>
      </c>
      <c r="N215" s="111">
        <v>6</v>
      </c>
    </row>
    <row r="216" spans="3:14" ht="13.5" thickBot="1">
      <c r="C216" s="79">
        <f>predikcia!A214</f>
        <v>45666</v>
      </c>
      <c r="D216" s="80" t="str">
        <f>predikcia!B214</f>
        <v>19:00:00</v>
      </c>
      <c r="E216" s="81">
        <f>predikcia!G214</f>
        <v>18056.5</v>
      </c>
      <c r="F216" s="70">
        <f>'DHS25'!C213</f>
        <v>13706</v>
      </c>
      <c r="G216" s="71">
        <f>'DHS25'!D213</f>
        <v>10577</v>
      </c>
      <c r="H216" s="108">
        <v>8</v>
      </c>
      <c r="I216" s="72">
        <f>'DHS25'!E213/1000</f>
        <v>7.9669999999999996</v>
      </c>
      <c r="J216" s="109">
        <f>predikcia!R214</f>
        <v>153.84</v>
      </c>
      <c r="K216" s="92">
        <f t="shared" si="3"/>
        <v>1198.2495472000001</v>
      </c>
      <c r="M216" s="112">
        <v>6</v>
      </c>
      <c r="N216" s="111">
        <v>8</v>
      </c>
    </row>
    <row r="217" spans="3:14" ht="13.5" thickBot="1">
      <c r="C217" s="79">
        <f>predikcia!A215</f>
        <v>45666</v>
      </c>
      <c r="D217" s="80" t="str">
        <f>predikcia!B215</f>
        <v>20:00:00</v>
      </c>
      <c r="E217" s="81">
        <f>predikcia!G215</f>
        <v>18059.5</v>
      </c>
      <c r="F217" s="70">
        <f>'DHS25'!C214</f>
        <v>13721</v>
      </c>
      <c r="G217" s="71">
        <f>'DHS25'!D214</f>
        <v>10657</v>
      </c>
      <c r="H217" s="108">
        <v>8</v>
      </c>
      <c r="I217" s="72">
        <f>'DHS25'!E214/1000</f>
        <v>8.0289999999999999</v>
      </c>
      <c r="J217" s="109">
        <f>predikcia!R215</f>
        <v>144.31</v>
      </c>
      <c r="K217" s="92">
        <f t="shared" si="3"/>
        <v>1131.8232400999998</v>
      </c>
      <c r="M217" s="112">
        <v>6</v>
      </c>
      <c r="N217" s="111">
        <v>8</v>
      </c>
    </row>
    <row r="218" spans="3:14" ht="13.5" thickBot="1">
      <c r="C218" s="79">
        <f>predikcia!A216</f>
        <v>45666</v>
      </c>
      <c r="D218" s="80" t="str">
        <f>predikcia!B216</f>
        <v>21:00:00</v>
      </c>
      <c r="E218" s="81">
        <f>predikcia!G216</f>
        <v>17866.75</v>
      </c>
      <c r="F218" s="70">
        <f>'DHS25'!C215</f>
        <v>13029</v>
      </c>
      <c r="G218" s="71">
        <f>'DHS25'!D215</f>
        <v>9847</v>
      </c>
      <c r="H218" s="106">
        <v>6.2</v>
      </c>
      <c r="I218" s="72">
        <f>'DHS25'!E215/1000</f>
        <v>7.5309999999999997</v>
      </c>
      <c r="J218" s="109">
        <f>predikcia!R216</f>
        <v>125.33</v>
      </c>
      <c r="K218" s="92">
        <f t="shared" si="3"/>
        <v>920.11272769999994</v>
      </c>
      <c r="M218" s="112">
        <v>6</v>
      </c>
      <c r="N218" s="111">
        <v>6</v>
      </c>
    </row>
    <row r="219" spans="3:14" ht="13.5" thickBot="1">
      <c r="C219" s="79">
        <f>predikcia!A217</f>
        <v>45666</v>
      </c>
      <c r="D219" s="80" t="str">
        <f>predikcia!B217</f>
        <v>22:00:00</v>
      </c>
      <c r="E219" s="81">
        <f>predikcia!G217</f>
        <v>16544.75</v>
      </c>
      <c r="F219" s="70">
        <f>'DHS25'!C216</f>
        <v>11449</v>
      </c>
      <c r="G219" s="71">
        <f>'DHS25'!D216</f>
        <v>8013</v>
      </c>
      <c r="H219" s="106">
        <v>6</v>
      </c>
      <c r="I219" s="72">
        <f>'DHS25'!E216/1000</f>
        <v>6.1219999999999999</v>
      </c>
      <c r="J219" s="109">
        <f>predikcia!R217</f>
        <v>105.54</v>
      </c>
      <c r="K219" s="92">
        <f t="shared" si="3"/>
        <v>628.02292119999993</v>
      </c>
      <c r="M219" s="112">
        <v>6</v>
      </c>
      <c r="N219" s="111">
        <v>6</v>
      </c>
    </row>
    <row r="220" spans="3:14" ht="13.5" thickBot="1">
      <c r="C220" s="82">
        <f>predikcia!A218</f>
        <v>45666</v>
      </c>
      <c r="D220" s="83" t="str">
        <f>predikcia!B218</f>
        <v>23:00:00</v>
      </c>
      <c r="E220" s="84">
        <f>predikcia!G218</f>
        <v>10779.5</v>
      </c>
      <c r="F220" s="73">
        <f>'DHS25'!C217</f>
        <v>5128</v>
      </c>
      <c r="G220" s="64">
        <f>'DHS25'!D217</f>
        <v>12292</v>
      </c>
      <c r="H220" s="107">
        <v>4</v>
      </c>
      <c r="I220" s="74">
        <f>'DHS25'!E217/1000</f>
        <v>5.516</v>
      </c>
      <c r="J220" s="109">
        <f>predikcia!R218</f>
        <v>89.22</v>
      </c>
      <c r="K220" s="92">
        <f t="shared" si="3"/>
        <v>476.73574479999996</v>
      </c>
      <c r="M220" s="112">
        <v>4</v>
      </c>
      <c r="N220" s="111">
        <v>4</v>
      </c>
    </row>
    <row r="221" spans="3:14" ht="13.5" thickBot="1">
      <c r="C221" s="85">
        <f>predikcia!A219</f>
        <v>45667</v>
      </c>
      <c r="D221" s="86" t="str">
        <f>predikcia!B219</f>
        <v>00:00:00</v>
      </c>
      <c r="E221" s="78">
        <f>predikcia!G219</f>
        <v>9054.5</v>
      </c>
      <c r="F221" s="68">
        <f>'DHS25'!C218</f>
        <v>3335</v>
      </c>
      <c r="G221" s="63">
        <f>'DHS25'!D218</f>
        <v>9840</v>
      </c>
      <c r="H221" s="105">
        <v>4</v>
      </c>
      <c r="I221" s="69">
        <f>'DHS25'!E218/1000</f>
        <v>3.9929999999999999</v>
      </c>
      <c r="J221" s="109">
        <f>predikcia!R219</f>
        <v>88.05</v>
      </c>
      <c r="K221" s="92">
        <f t="shared" si="3"/>
        <v>340.48111349999999</v>
      </c>
      <c r="M221" s="112">
        <v>4</v>
      </c>
      <c r="N221" s="111">
        <v>4</v>
      </c>
    </row>
    <row r="222" spans="3:14" ht="13.5" thickBot="1">
      <c r="C222" s="87">
        <f>predikcia!A220</f>
        <v>45667</v>
      </c>
      <c r="D222" s="88" t="str">
        <f>predikcia!B220</f>
        <v>01:00:00</v>
      </c>
      <c r="E222" s="81">
        <f>predikcia!G220</f>
        <v>9857.25</v>
      </c>
      <c r="F222" s="70">
        <f>'DHS25'!C219</f>
        <v>3653</v>
      </c>
      <c r="G222" s="71">
        <f>'DHS25'!D219</f>
        <v>9511</v>
      </c>
      <c r="H222" s="106">
        <v>4</v>
      </c>
      <c r="I222" s="72">
        <f>'DHS25'!E219/1000</f>
        <v>4.0039999999999996</v>
      </c>
      <c r="J222" s="109">
        <f>predikcia!R220</f>
        <v>80.44</v>
      </c>
      <c r="K222" s="92">
        <f t="shared" si="3"/>
        <v>311.25334239999995</v>
      </c>
      <c r="M222" s="112">
        <v>4</v>
      </c>
      <c r="N222" s="111">
        <v>4</v>
      </c>
    </row>
    <row r="223" spans="3:14" ht="13.5" thickBot="1">
      <c r="C223" s="87">
        <f>predikcia!A221</f>
        <v>45667</v>
      </c>
      <c r="D223" s="88" t="str">
        <f>predikcia!B221</f>
        <v>02:00:00</v>
      </c>
      <c r="E223" s="81">
        <f>predikcia!G221</f>
        <v>10343</v>
      </c>
      <c r="F223" s="70">
        <f>'DHS25'!C220</f>
        <v>3621</v>
      </c>
      <c r="G223" s="71">
        <f>'DHS25'!D220</f>
        <v>10093</v>
      </c>
      <c r="H223" s="106">
        <v>4</v>
      </c>
      <c r="I223" s="72">
        <f>'DHS25'!E220/1000</f>
        <v>4.0039999999999996</v>
      </c>
      <c r="J223" s="109">
        <f>predikcia!R221</f>
        <v>78.48</v>
      </c>
      <c r="K223" s="92">
        <f t="shared" si="3"/>
        <v>303.48398079999993</v>
      </c>
      <c r="M223" s="112">
        <v>4</v>
      </c>
      <c r="N223" s="111">
        <v>4</v>
      </c>
    </row>
    <row r="224" spans="3:14" ht="13.5" thickBot="1">
      <c r="C224" s="87">
        <f>predikcia!A222</f>
        <v>45667</v>
      </c>
      <c r="D224" s="88" t="str">
        <f>predikcia!B222</f>
        <v>03:00:00</v>
      </c>
      <c r="E224" s="81">
        <f>predikcia!G222</f>
        <v>11470</v>
      </c>
      <c r="F224" s="70">
        <f>'DHS25'!C221</f>
        <v>3694</v>
      </c>
      <c r="G224" s="71">
        <f>'DHS25'!D221</f>
        <v>9626</v>
      </c>
      <c r="H224" s="106">
        <v>4</v>
      </c>
      <c r="I224" s="72">
        <f>'DHS25'!E221/1000</f>
        <v>3.99</v>
      </c>
      <c r="J224" s="109">
        <f>predikcia!R222</f>
        <v>76.86</v>
      </c>
      <c r="K224" s="92">
        <f t="shared" si="3"/>
        <v>296.02368599999994</v>
      </c>
      <c r="M224" s="112">
        <v>4</v>
      </c>
      <c r="N224" s="111">
        <v>4</v>
      </c>
    </row>
    <row r="225" spans="3:14" ht="13.5" thickBot="1">
      <c r="C225" s="87">
        <f>predikcia!A223</f>
        <v>45667</v>
      </c>
      <c r="D225" s="88" t="str">
        <f>predikcia!B223</f>
        <v>04:00:00</v>
      </c>
      <c r="E225" s="81">
        <f>predikcia!G223</f>
        <v>17657.5</v>
      </c>
      <c r="F225" s="70">
        <f>'DHS25'!C222</f>
        <v>7022</v>
      </c>
      <c r="G225" s="71">
        <f>'DHS25'!D222</f>
        <v>10175</v>
      </c>
      <c r="H225" s="106">
        <v>6</v>
      </c>
      <c r="I225" s="72">
        <f>'DHS25'!E222/1000</f>
        <v>5.91</v>
      </c>
      <c r="J225" s="109">
        <f>predikcia!R223</f>
        <v>71.5</v>
      </c>
      <c r="K225" s="92">
        <f t="shared" si="3"/>
        <v>407.11034999999998</v>
      </c>
      <c r="M225" s="112">
        <v>6</v>
      </c>
      <c r="N225" s="111">
        <v>6</v>
      </c>
    </row>
    <row r="226" spans="3:14" ht="13.5" thickBot="1">
      <c r="C226" s="87">
        <f>predikcia!A224</f>
        <v>45667</v>
      </c>
      <c r="D226" s="88" t="str">
        <f>predikcia!B224</f>
        <v>05:00:00</v>
      </c>
      <c r="E226" s="81">
        <f>predikcia!G224</f>
        <v>19685.5</v>
      </c>
      <c r="F226" s="70">
        <f>'DHS25'!C223</f>
        <v>15181</v>
      </c>
      <c r="G226" s="71">
        <f>'DHS25'!D223</f>
        <v>3496</v>
      </c>
      <c r="H226" s="108">
        <v>7</v>
      </c>
      <c r="I226" s="72">
        <f>'DHS25'!E223/1000</f>
        <v>5.9930000000000003</v>
      </c>
      <c r="J226" s="109">
        <f>predikcia!R224</f>
        <v>109.41</v>
      </c>
      <c r="K226" s="92">
        <f t="shared" si="3"/>
        <v>637.75048870000001</v>
      </c>
      <c r="M226" s="112">
        <v>6</v>
      </c>
      <c r="N226" s="111">
        <v>6</v>
      </c>
    </row>
    <row r="227" spans="3:14" ht="13.5" thickBot="1">
      <c r="C227" s="87">
        <f>predikcia!A225</f>
        <v>45667</v>
      </c>
      <c r="D227" s="88" t="str">
        <f>predikcia!B225</f>
        <v>06:00:00</v>
      </c>
      <c r="E227" s="81">
        <f>predikcia!G225</f>
        <v>19718.25</v>
      </c>
      <c r="F227" s="70">
        <f>'DHS25'!C224</f>
        <v>18852</v>
      </c>
      <c r="G227" s="71">
        <f>'DHS25'!D224</f>
        <v>4842</v>
      </c>
      <c r="H227" s="108">
        <v>8</v>
      </c>
      <c r="I227" s="72">
        <f>'DHS25'!E224/1000</f>
        <v>7.883</v>
      </c>
      <c r="J227" s="109">
        <f>predikcia!R225</f>
        <v>151.83000000000001</v>
      </c>
      <c r="K227" s="92">
        <f t="shared" si="3"/>
        <v>1169.9294310999999</v>
      </c>
      <c r="M227" s="112">
        <v>6</v>
      </c>
      <c r="N227" s="111">
        <v>8</v>
      </c>
    </row>
    <row r="228" spans="3:14" ht="13.5" thickBot="1">
      <c r="C228" s="87">
        <f>predikcia!A226</f>
        <v>45667</v>
      </c>
      <c r="D228" s="88" t="str">
        <f>predikcia!B226</f>
        <v>07:00:00</v>
      </c>
      <c r="E228" s="81">
        <f>predikcia!G226</f>
        <v>18753.75</v>
      </c>
      <c r="F228" s="70">
        <f>'DHS25'!C225</f>
        <v>17672</v>
      </c>
      <c r="G228" s="71">
        <f>'DHS25'!D225</f>
        <v>6609</v>
      </c>
      <c r="H228" s="108">
        <v>8</v>
      </c>
      <c r="I228" s="72">
        <f>'DHS25'!E225/1000</f>
        <v>7.9359999999999999</v>
      </c>
      <c r="J228" s="109">
        <f>predikcia!R226</f>
        <v>147.94999999999999</v>
      </c>
      <c r="K228" s="92">
        <f t="shared" si="3"/>
        <v>1147.3114879999998</v>
      </c>
      <c r="M228" s="112">
        <v>6</v>
      </c>
      <c r="N228" s="111">
        <v>8</v>
      </c>
    </row>
    <row r="229" spans="3:14" ht="13.5" thickBot="1">
      <c r="C229" s="87">
        <f>predikcia!A227</f>
        <v>45667</v>
      </c>
      <c r="D229" s="88" t="str">
        <f>predikcia!B227</f>
        <v>08:00:00</v>
      </c>
      <c r="E229" s="81">
        <f>predikcia!G227</f>
        <v>18103.25</v>
      </c>
      <c r="F229" s="70">
        <f>'DHS25'!C226</f>
        <v>16996</v>
      </c>
      <c r="G229" s="71">
        <f>'DHS25'!D226</f>
        <v>7337</v>
      </c>
      <c r="H229" s="108">
        <v>8</v>
      </c>
      <c r="I229" s="72">
        <f>'DHS25'!E226/1000</f>
        <v>8.0060000000000002</v>
      </c>
      <c r="J229" s="109">
        <f>predikcia!R227</f>
        <v>135.51</v>
      </c>
      <c r="K229" s="92">
        <f t="shared" si="3"/>
        <v>1058.8327294000001</v>
      </c>
      <c r="M229" s="112">
        <v>6</v>
      </c>
      <c r="N229" s="111">
        <v>8</v>
      </c>
    </row>
    <row r="230" spans="3:14" ht="13.5" thickBot="1">
      <c r="C230" s="87">
        <f>predikcia!A228</f>
        <v>45667</v>
      </c>
      <c r="D230" s="88" t="str">
        <f>predikcia!B228</f>
        <v>09:00:00</v>
      </c>
      <c r="E230" s="81">
        <f>predikcia!G228</f>
        <v>19492</v>
      </c>
      <c r="F230" s="70">
        <f>'DHS25'!C227</f>
        <v>16894</v>
      </c>
      <c r="G230" s="71">
        <f>'DHS25'!D227</f>
        <v>7170</v>
      </c>
      <c r="H230" s="108">
        <v>8</v>
      </c>
      <c r="I230" s="72">
        <f>'DHS25'!E227/1000</f>
        <v>8.0030000000000001</v>
      </c>
      <c r="J230" s="109">
        <f>predikcia!R228</f>
        <v>143.4</v>
      </c>
      <c r="K230" s="92">
        <f t="shared" si="3"/>
        <v>1120.948198</v>
      </c>
      <c r="M230" s="112">
        <v>6</v>
      </c>
      <c r="N230" s="111">
        <v>8</v>
      </c>
    </row>
    <row r="231" spans="3:14" ht="13.5" thickBot="1">
      <c r="C231" s="87">
        <f>predikcia!A229</f>
        <v>45667</v>
      </c>
      <c r="D231" s="88" t="str">
        <f>predikcia!B229</f>
        <v>10:00:00</v>
      </c>
      <c r="E231" s="81">
        <f>predikcia!G229</f>
        <v>17751</v>
      </c>
      <c r="F231" s="70">
        <f>'DHS25'!C228</f>
        <v>17110</v>
      </c>
      <c r="G231" s="71">
        <f>'DHS25'!D228</f>
        <v>4835</v>
      </c>
      <c r="H231" s="106">
        <v>6</v>
      </c>
      <c r="I231" s="72">
        <f>'DHS25'!E228/1000</f>
        <v>7.4870000000000001</v>
      </c>
      <c r="J231" s="109">
        <f>predikcia!R229</f>
        <v>123.57</v>
      </c>
      <c r="K231" s="92">
        <f t="shared" si="3"/>
        <v>901.69160409999995</v>
      </c>
      <c r="M231" s="112">
        <v>6</v>
      </c>
      <c r="N231" s="111">
        <v>6</v>
      </c>
    </row>
    <row r="232" spans="3:14" ht="13.5" thickBot="1">
      <c r="C232" s="87">
        <f>predikcia!A230</f>
        <v>45667</v>
      </c>
      <c r="D232" s="88" t="str">
        <f>predikcia!B230</f>
        <v>11:00:00</v>
      </c>
      <c r="E232" s="81">
        <f>predikcia!G230</f>
        <v>17855</v>
      </c>
      <c r="F232" s="70">
        <f>'DHS25'!C229</f>
        <v>16662</v>
      </c>
      <c r="G232" s="71">
        <f>'DHS25'!D229</f>
        <v>1787</v>
      </c>
      <c r="H232" s="106">
        <v>6</v>
      </c>
      <c r="I232" s="72">
        <f>'DHS25'!E229/1000</f>
        <v>6.0010000000000003</v>
      </c>
      <c r="J232" s="109">
        <f>predikcia!R230</f>
        <v>113.59</v>
      </c>
      <c r="K232" s="92">
        <f t="shared" si="3"/>
        <v>663.43515409999998</v>
      </c>
      <c r="M232" s="112">
        <v>6</v>
      </c>
      <c r="N232" s="111">
        <v>6</v>
      </c>
    </row>
    <row r="233" spans="3:14" ht="13.5" thickBot="1">
      <c r="C233" s="87">
        <f>predikcia!A231</f>
        <v>45667</v>
      </c>
      <c r="D233" s="88" t="str">
        <f>predikcia!B231</f>
        <v>12:00:00</v>
      </c>
      <c r="E233" s="81">
        <f>predikcia!G231</f>
        <v>17030.25</v>
      </c>
      <c r="F233" s="70">
        <f>'DHS25'!C230</f>
        <v>16629</v>
      </c>
      <c r="G233" s="71">
        <f>'DHS25'!D230</f>
        <v>2273</v>
      </c>
      <c r="H233" s="106">
        <v>6</v>
      </c>
      <c r="I233" s="72">
        <f>'DHS25'!E230/1000</f>
        <v>6.03</v>
      </c>
      <c r="J233" s="109">
        <f>predikcia!R231</f>
        <v>107.43</v>
      </c>
      <c r="K233" s="92">
        <f t="shared" si="3"/>
        <v>629.86787100000004</v>
      </c>
      <c r="M233" s="112">
        <v>6</v>
      </c>
      <c r="N233" s="111">
        <v>6</v>
      </c>
    </row>
    <row r="234" spans="3:14" ht="13.5" thickBot="1">
      <c r="C234" s="87">
        <f>predikcia!A232</f>
        <v>45667</v>
      </c>
      <c r="D234" s="88" t="str">
        <f>predikcia!B232</f>
        <v>13:00:00</v>
      </c>
      <c r="E234" s="81">
        <f>predikcia!G232</f>
        <v>17094</v>
      </c>
      <c r="F234" s="70">
        <f>'DHS25'!C231</f>
        <v>16739</v>
      </c>
      <c r="G234" s="71">
        <f>'DHS25'!D231</f>
        <v>2309</v>
      </c>
      <c r="H234" s="106">
        <v>6</v>
      </c>
      <c r="I234" s="72">
        <f>'DHS25'!E231/1000</f>
        <v>5.9909999999999997</v>
      </c>
      <c r="J234" s="109">
        <f>predikcia!R232</f>
        <v>105.01</v>
      </c>
      <c r="K234" s="92">
        <f t="shared" si="3"/>
        <v>611.44086089999996</v>
      </c>
      <c r="M234" s="112">
        <v>6</v>
      </c>
      <c r="N234" s="111">
        <v>6</v>
      </c>
    </row>
    <row r="235" spans="3:14" ht="13.5" thickBot="1">
      <c r="C235" s="87">
        <f>predikcia!A233</f>
        <v>45667</v>
      </c>
      <c r="D235" s="88" t="str">
        <f>predikcia!B233</f>
        <v>14:00:00</v>
      </c>
      <c r="E235" s="81">
        <f>predikcia!G233</f>
        <v>16488</v>
      </c>
      <c r="F235" s="70">
        <f>'DHS25'!C232</f>
        <v>17136</v>
      </c>
      <c r="G235" s="71">
        <f>'DHS25'!D232</f>
        <v>2018</v>
      </c>
      <c r="H235" s="106">
        <v>6</v>
      </c>
      <c r="I235" s="72">
        <f>'DHS25'!E232/1000</f>
        <v>6.0039999999999996</v>
      </c>
      <c r="J235" s="109">
        <f>predikcia!R233</f>
        <v>110.01</v>
      </c>
      <c r="K235" s="92">
        <f t="shared" si="3"/>
        <v>642.48743960000002</v>
      </c>
      <c r="M235" s="112">
        <v>6</v>
      </c>
      <c r="N235" s="111">
        <v>6</v>
      </c>
    </row>
    <row r="236" spans="3:14" ht="13.5" thickBot="1">
      <c r="C236" s="87">
        <f>predikcia!A234</f>
        <v>45667</v>
      </c>
      <c r="D236" s="88" t="str">
        <f>predikcia!B234</f>
        <v>15:00:00</v>
      </c>
      <c r="E236" s="81">
        <f>predikcia!G234</f>
        <v>17033</v>
      </c>
      <c r="F236" s="70">
        <f>'DHS25'!C233</f>
        <v>15564</v>
      </c>
      <c r="G236" s="71">
        <f>'DHS25'!D233</f>
        <v>3408</v>
      </c>
      <c r="H236" s="106">
        <v>6</v>
      </c>
      <c r="I236" s="72">
        <f>'DHS25'!E233/1000</f>
        <v>6.0090000000000003</v>
      </c>
      <c r="J236" s="109">
        <f>predikcia!R234</f>
        <v>128.69</v>
      </c>
      <c r="K236" s="92">
        <f t="shared" si="3"/>
        <v>754.14812789999996</v>
      </c>
      <c r="M236" s="112">
        <v>6</v>
      </c>
      <c r="N236" s="111">
        <v>6</v>
      </c>
    </row>
    <row r="237" spans="3:14" ht="13.5" thickBot="1">
      <c r="C237" s="87">
        <f>predikcia!A235</f>
        <v>45667</v>
      </c>
      <c r="D237" s="88" t="str">
        <f>predikcia!B235</f>
        <v>16:00:00</v>
      </c>
      <c r="E237" s="81">
        <f>predikcia!G235</f>
        <v>17086.5</v>
      </c>
      <c r="F237" s="70">
        <f>'DHS25'!C234</f>
        <v>16382</v>
      </c>
      <c r="G237" s="71">
        <f>'DHS25'!D234</f>
        <v>8603</v>
      </c>
      <c r="H237" s="108">
        <v>8</v>
      </c>
      <c r="I237" s="72">
        <f>'DHS25'!E234/1000</f>
        <v>7.8079999999999998</v>
      </c>
      <c r="J237" s="109">
        <f>predikcia!R235</f>
        <v>126.3</v>
      </c>
      <c r="K237" s="92">
        <f t="shared" si="3"/>
        <v>961.45369599999992</v>
      </c>
      <c r="M237" s="112">
        <v>6</v>
      </c>
      <c r="N237" s="111">
        <v>6</v>
      </c>
    </row>
    <row r="238" spans="3:14" ht="13.5" thickBot="1">
      <c r="C238" s="87">
        <f>predikcia!A236</f>
        <v>45667</v>
      </c>
      <c r="D238" s="88" t="str">
        <f>predikcia!B236</f>
        <v>17:00:00</v>
      </c>
      <c r="E238" s="81">
        <f>predikcia!G236</f>
        <v>16863.5</v>
      </c>
      <c r="F238" s="70">
        <f>'DHS25'!C235</f>
        <v>16834</v>
      </c>
      <c r="G238" s="71">
        <f>'DHS25'!D235</f>
        <v>7420</v>
      </c>
      <c r="H238" s="108">
        <v>8</v>
      </c>
      <c r="I238" s="72">
        <f>'DHS25'!E235/1000</f>
        <v>7.9939999999999998</v>
      </c>
      <c r="J238" s="109">
        <f>predikcia!R236</f>
        <v>139.97</v>
      </c>
      <c r="K238" s="92">
        <f t="shared" si="3"/>
        <v>1092.5423782</v>
      </c>
      <c r="M238" s="112">
        <v>6</v>
      </c>
      <c r="N238" s="111">
        <v>8</v>
      </c>
    </row>
    <row r="239" spans="3:14" ht="13.5" thickBot="1">
      <c r="C239" s="87">
        <f>predikcia!A237</f>
        <v>45667</v>
      </c>
      <c r="D239" s="88" t="str">
        <f>predikcia!B237</f>
        <v>18:00:00</v>
      </c>
      <c r="E239" s="81">
        <f>predikcia!G237</f>
        <v>17860.25</v>
      </c>
      <c r="F239" s="70">
        <f>'DHS25'!C236</f>
        <v>16692</v>
      </c>
      <c r="G239" s="71">
        <f>'DHS25'!D236</f>
        <v>7925</v>
      </c>
      <c r="H239" s="108">
        <v>8</v>
      </c>
      <c r="I239" s="72">
        <f>'DHS25'!E236/1000</f>
        <v>7.9930000000000003</v>
      </c>
      <c r="J239" s="109">
        <f>predikcia!R237</f>
        <v>142.16</v>
      </c>
      <c r="K239" s="92">
        <f t="shared" si="3"/>
        <v>1109.7353311999998</v>
      </c>
      <c r="M239" s="112">
        <v>6</v>
      </c>
      <c r="N239" s="111">
        <v>8</v>
      </c>
    </row>
    <row r="240" spans="3:14" ht="13.5" thickBot="1">
      <c r="C240" s="87">
        <f>predikcia!A238</f>
        <v>45667</v>
      </c>
      <c r="D240" s="88" t="str">
        <f>predikcia!B238</f>
        <v>19:00:00</v>
      </c>
      <c r="E240" s="81">
        <f>predikcia!G238</f>
        <v>18000.75</v>
      </c>
      <c r="F240" s="70">
        <f>'DHS25'!C237</f>
        <v>16942</v>
      </c>
      <c r="G240" s="71">
        <f>'DHS25'!D237</f>
        <v>7586</v>
      </c>
      <c r="H240" s="108">
        <v>8</v>
      </c>
      <c r="I240" s="72">
        <f>'DHS25'!E237/1000</f>
        <v>7.9939999999999998</v>
      </c>
      <c r="J240" s="109">
        <f>predikcia!R238</f>
        <v>138.41</v>
      </c>
      <c r="K240" s="92">
        <f t="shared" si="3"/>
        <v>1080.1964445999999</v>
      </c>
      <c r="M240" s="112">
        <v>6</v>
      </c>
      <c r="N240" s="111">
        <v>8</v>
      </c>
    </row>
    <row r="241" spans="3:14" ht="13.5" thickBot="1">
      <c r="C241" s="87">
        <f>predikcia!A239</f>
        <v>45667</v>
      </c>
      <c r="D241" s="88" t="str">
        <f>predikcia!B239</f>
        <v>20:00:00</v>
      </c>
      <c r="E241" s="81">
        <f>predikcia!G239</f>
        <v>18111.75</v>
      </c>
      <c r="F241" s="70">
        <f>'DHS25'!C238</f>
        <v>16912</v>
      </c>
      <c r="G241" s="71">
        <f>'DHS25'!D238</f>
        <v>7708</v>
      </c>
      <c r="H241" s="108">
        <v>8</v>
      </c>
      <c r="I241" s="72">
        <f>'DHS25'!E238/1000</f>
        <v>7.9950000000000001</v>
      </c>
      <c r="J241" s="109">
        <f>predikcia!R239</f>
        <v>135.11000000000001</v>
      </c>
      <c r="K241" s="92">
        <f t="shared" si="3"/>
        <v>1054.2119055000001</v>
      </c>
      <c r="M241" s="112">
        <v>6</v>
      </c>
      <c r="N241" s="111">
        <v>8</v>
      </c>
    </row>
    <row r="242" spans="3:14" ht="13.5" thickBot="1">
      <c r="C242" s="87">
        <f>predikcia!A240</f>
        <v>45667</v>
      </c>
      <c r="D242" s="88" t="str">
        <f>predikcia!B240</f>
        <v>21:00:00</v>
      </c>
      <c r="E242" s="81">
        <f>predikcia!G240</f>
        <v>18519.75</v>
      </c>
      <c r="F242" s="70">
        <f>'DHS25'!C239</f>
        <v>18215</v>
      </c>
      <c r="G242" s="71">
        <f>'DHS25'!D239</f>
        <v>3843</v>
      </c>
      <c r="H242" s="106">
        <v>6</v>
      </c>
      <c r="I242" s="72">
        <f>'DHS25'!E239/1000</f>
        <v>7.157</v>
      </c>
      <c r="J242" s="109">
        <f>predikcia!R240</f>
        <v>122.51</v>
      </c>
      <c r="K242" s="92">
        <f t="shared" si="3"/>
        <v>854.4377293</v>
      </c>
      <c r="M242" s="112">
        <v>6</v>
      </c>
      <c r="N242" s="111">
        <v>6</v>
      </c>
    </row>
    <row r="243" spans="3:14" ht="13.5" thickBot="1">
      <c r="C243" s="87">
        <f>predikcia!A241</f>
        <v>45667</v>
      </c>
      <c r="D243" s="88" t="str">
        <f>predikcia!B241</f>
        <v>22:00:00</v>
      </c>
      <c r="E243" s="81">
        <f>predikcia!G241</f>
        <v>16167.75</v>
      </c>
      <c r="F243" s="70">
        <f>'DHS25'!C240</f>
        <v>15280</v>
      </c>
      <c r="G243" s="71">
        <f>'DHS25'!D240</f>
        <v>3257</v>
      </c>
      <c r="H243" s="106">
        <v>6</v>
      </c>
      <c r="I243" s="72">
        <f>'DHS25'!E240/1000</f>
        <v>5.9859999999999998</v>
      </c>
      <c r="J243" s="109">
        <f>predikcia!R241</f>
        <v>119.95</v>
      </c>
      <c r="K243" s="92">
        <f t="shared" si="3"/>
        <v>699.46709299999998</v>
      </c>
      <c r="M243" s="112">
        <v>6</v>
      </c>
      <c r="N243" s="111">
        <v>6</v>
      </c>
    </row>
    <row r="244" spans="3:14" ht="13.5" thickBot="1">
      <c r="C244" s="89">
        <f>predikcia!A242</f>
        <v>45667</v>
      </c>
      <c r="D244" s="90" t="str">
        <f>predikcia!B242</f>
        <v>23:00:00</v>
      </c>
      <c r="E244" s="84">
        <f>predikcia!G242</f>
        <v>9493.75</v>
      </c>
      <c r="F244" s="73">
        <f>'DHS25'!C241</f>
        <v>9401</v>
      </c>
      <c r="G244" s="64">
        <f>'DHS25'!D241</f>
        <v>4992</v>
      </c>
      <c r="H244" s="107">
        <v>4</v>
      </c>
      <c r="I244" s="74">
        <f>'DHS25'!E241/1000</f>
        <v>5.4290000000000003</v>
      </c>
      <c r="J244" s="109">
        <f>predikcia!R242</f>
        <v>114.2</v>
      </c>
      <c r="K244" s="92">
        <f t="shared" si="3"/>
        <v>603.47678200000007</v>
      </c>
      <c r="M244" s="112">
        <v>4</v>
      </c>
      <c r="N244" s="111">
        <v>4</v>
      </c>
    </row>
    <row r="245" spans="3:14" ht="13.5" thickBot="1">
      <c r="C245" s="76">
        <f>predikcia!A243</f>
        <v>45668</v>
      </c>
      <c r="D245" s="77" t="str">
        <f>predikcia!B243</f>
        <v>00:00:00</v>
      </c>
      <c r="E245" s="78">
        <f>predikcia!G243</f>
        <v>9051.5</v>
      </c>
      <c r="F245" s="68">
        <f>'DHS25'!C242</f>
        <v>10213</v>
      </c>
      <c r="G245" s="63">
        <f>'DHS25'!D242</f>
        <v>3880</v>
      </c>
      <c r="H245" s="105">
        <v>4</v>
      </c>
      <c r="I245" s="69">
        <f>'DHS25'!E242/1000</f>
        <v>3.992</v>
      </c>
      <c r="J245" s="109">
        <f>predikcia!R243</f>
        <v>108.67</v>
      </c>
      <c r="K245" s="92">
        <f t="shared" si="3"/>
        <v>421.88773359999993</v>
      </c>
      <c r="M245" s="112">
        <v>4</v>
      </c>
      <c r="N245" s="111">
        <v>4</v>
      </c>
    </row>
    <row r="246" spans="3:14" ht="13.5" thickBot="1">
      <c r="C246" s="79">
        <f>predikcia!A244</f>
        <v>45668</v>
      </c>
      <c r="D246" s="80" t="str">
        <f>predikcia!B244</f>
        <v>01:00:00</v>
      </c>
      <c r="E246" s="81">
        <f>predikcia!G244</f>
        <v>10130</v>
      </c>
      <c r="F246" s="70">
        <f>'DHS25'!C243</f>
        <v>10769</v>
      </c>
      <c r="G246" s="71">
        <f>'DHS25'!D243</f>
        <v>3030</v>
      </c>
      <c r="H246" s="106">
        <v>4</v>
      </c>
      <c r="I246" s="72">
        <f>'DHS25'!E243/1000</f>
        <v>4.0039999999999996</v>
      </c>
      <c r="J246" s="109">
        <f>predikcia!R244</f>
        <v>99.83</v>
      </c>
      <c r="K246" s="92">
        <f t="shared" si="3"/>
        <v>388.11452679999991</v>
      </c>
      <c r="M246" s="112">
        <v>4</v>
      </c>
      <c r="N246" s="111">
        <v>4</v>
      </c>
    </row>
    <row r="247" spans="3:14" ht="13.5" thickBot="1">
      <c r="C247" s="79">
        <f>predikcia!A245</f>
        <v>45668</v>
      </c>
      <c r="D247" s="80" t="str">
        <f>predikcia!B245</f>
        <v>02:00:00</v>
      </c>
      <c r="E247" s="81">
        <f>predikcia!G245</f>
        <v>10376.75</v>
      </c>
      <c r="F247" s="70">
        <f>'DHS25'!C244</f>
        <v>13047</v>
      </c>
      <c r="G247" s="71">
        <f>'DHS25'!D244</f>
        <v>1246</v>
      </c>
      <c r="H247" s="106">
        <v>4</v>
      </c>
      <c r="I247" s="72">
        <f>'DHS25'!E244/1000</f>
        <v>4.0030000000000001</v>
      </c>
      <c r="J247" s="109">
        <f>predikcia!R245</f>
        <v>96.21</v>
      </c>
      <c r="K247" s="92">
        <f t="shared" si="3"/>
        <v>373.67164369999995</v>
      </c>
      <c r="M247" s="112">
        <v>4</v>
      </c>
      <c r="N247" s="111">
        <v>4</v>
      </c>
    </row>
    <row r="248" spans="3:14" ht="13.5" thickBot="1">
      <c r="C248" s="79">
        <f>predikcia!A246</f>
        <v>45668</v>
      </c>
      <c r="D248" s="80" t="str">
        <f>predikcia!B246</f>
        <v>03:00:00</v>
      </c>
      <c r="E248" s="81">
        <f>predikcia!G246</f>
        <v>12515.5</v>
      </c>
      <c r="F248" s="70">
        <f>'DHS25'!C245</f>
        <v>12728</v>
      </c>
      <c r="G248" s="71">
        <f>'DHS25'!D245</f>
        <v>4187</v>
      </c>
      <c r="H248" s="106">
        <v>5</v>
      </c>
      <c r="I248" s="72">
        <f>'DHS25'!E245/1000</f>
        <v>4.9880000000000004</v>
      </c>
      <c r="J248" s="109">
        <f>predikcia!R246</f>
        <v>92.39</v>
      </c>
      <c r="K248" s="92">
        <f t="shared" si="3"/>
        <v>446.75570679999998</v>
      </c>
      <c r="M248" s="112">
        <v>5</v>
      </c>
      <c r="N248" s="111">
        <v>5</v>
      </c>
    </row>
    <row r="249" spans="3:14" ht="13.5" thickBot="1">
      <c r="C249" s="79">
        <f>predikcia!A247</f>
        <v>45668</v>
      </c>
      <c r="D249" s="80" t="str">
        <f>predikcia!B247</f>
        <v>04:00:00</v>
      </c>
      <c r="E249" s="81">
        <f>predikcia!G247</f>
        <v>19177</v>
      </c>
      <c r="F249" s="70">
        <f>'DHS25'!C246</f>
        <v>19534</v>
      </c>
      <c r="G249" s="71">
        <f>'DHS25'!D246</f>
        <v>222</v>
      </c>
      <c r="H249" s="106">
        <v>6</v>
      </c>
      <c r="I249" s="72">
        <f>'DHS25'!E246/1000</f>
        <v>6.008</v>
      </c>
      <c r="J249" s="109">
        <f>predikcia!R247</f>
        <v>91.63</v>
      </c>
      <c r="K249" s="92">
        <f t="shared" si="3"/>
        <v>533.59270959999992</v>
      </c>
      <c r="M249" s="112">
        <v>6</v>
      </c>
      <c r="N249" s="111">
        <v>6</v>
      </c>
    </row>
    <row r="250" spans="3:14" ht="13.5" thickBot="1">
      <c r="C250" s="79">
        <f>predikcia!A248</f>
        <v>45668</v>
      </c>
      <c r="D250" s="80" t="str">
        <f>predikcia!B248</f>
        <v>05:00:00</v>
      </c>
      <c r="E250" s="81">
        <f>predikcia!G248</f>
        <v>19567.5</v>
      </c>
      <c r="F250" s="70">
        <f>'DHS25'!C247</f>
        <v>19223</v>
      </c>
      <c r="G250" s="71">
        <f>'DHS25'!D247</f>
        <v>143</v>
      </c>
      <c r="H250" s="106">
        <v>6</v>
      </c>
      <c r="I250" s="72">
        <f>'DHS25'!E247/1000</f>
        <v>5.9989999999999997</v>
      </c>
      <c r="J250" s="109">
        <f>predikcia!R248</f>
        <v>93.15</v>
      </c>
      <c r="K250" s="92">
        <f t="shared" si="3"/>
        <v>541.82068149999998</v>
      </c>
      <c r="M250" s="112">
        <v>6</v>
      </c>
      <c r="N250" s="111">
        <v>6</v>
      </c>
    </row>
    <row r="251" spans="3:14" ht="13.5" thickBot="1">
      <c r="C251" s="79">
        <f>predikcia!A249</f>
        <v>45668</v>
      </c>
      <c r="D251" s="80" t="str">
        <f>predikcia!B249</f>
        <v>06:00:00</v>
      </c>
      <c r="E251" s="81">
        <f>predikcia!G249</f>
        <v>19851.75</v>
      </c>
      <c r="F251" s="70">
        <f>'DHS25'!C248</f>
        <v>19816</v>
      </c>
      <c r="G251" s="71">
        <f>'DHS25'!D248</f>
        <v>22</v>
      </c>
      <c r="H251" s="106">
        <v>6</v>
      </c>
      <c r="I251" s="72">
        <f>'DHS25'!E248/1000</f>
        <v>6.1890000000000001</v>
      </c>
      <c r="J251" s="109">
        <f>predikcia!R249</f>
        <v>94.88</v>
      </c>
      <c r="K251" s="92">
        <f t="shared" si="3"/>
        <v>569.58109679999995</v>
      </c>
      <c r="M251" s="112">
        <v>6</v>
      </c>
      <c r="N251" s="111">
        <v>6</v>
      </c>
    </row>
    <row r="252" spans="3:14" ht="13.5" thickBot="1">
      <c r="C252" s="79">
        <f>predikcia!A250</f>
        <v>45668</v>
      </c>
      <c r="D252" s="80" t="str">
        <f>predikcia!B250</f>
        <v>07:00:00</v>
      </c>
      <c r="E252" s="81">
        <f>predikcia!G250</f>
        <v>18289.25</v>
      </c>
      <c r="F252" s="70">
        <f>'DHS25'!C249</f>
        <v>19796</v>
      </c>
      <c r="G252" s="71">
        <f>'DHS25'!D249</f>
        <v>65</v>
      </c>
      <c r="H252" s="106">
        <v>6</v>
      </c>
      <c r="I252" s="72">
        <f>'DHS25'!E249/1000</f>
        <v>6.21</v>
      </c>
      <c r="J252" s="109">
        <f>predikcia!R250</f>
        <v>114.54</v>
      </c>
      <c r="K252" s="92">
        <f t="shared" si="3"/>
        <v>692.38146600000005</v>
      </c>
      <c r="M252" s="112">
        <v>6</v>
      </c>
      <c r="N252" s="111">
        <v>6</v>
      </c>
    </row>
    <row r="253" spans="3:14" ht="13.5" thickBot="1">
      <c r="C253" s="79">
        <f>predikcia!A251</f>
        <v>45668</v>
      </c>
      <c r="D253" s="80" t="str">
        <f>predikcia!B251</f>
        <v>08:00:00</v>
      </c>
      <c r="E253" s="81">
        <f>predikcia!G251</f>
        <v>18758</v>
      </c>
      <c r="F253" s="70">
        <f>'DHS25'!C250</f>
        <v>18657</v>
      </c>
      <c r="G253" s="71">
        <f>'DHS25'!D250</f>
        <v>21</v>
      </c>
      <c r="H253" s="106">
        <v>6</v>
      </c>
      <c r="I253" s="72">
        <f>'DHS25'!E250/1000</f>
        <v>5.9859999999999998</v>
      </c>
      <c r="J253" s="109">
        <f>predikcia!R251</f>
        <v>107.5</v>
      </c>
      <c r="K253" s="92">
        <f t="shared" si="3"/>
        <v>625.68664999999987</v>
      </c>
      <c r="M253" s="112">
        <v>6</v>
      </c>
      <c r="N253" s="111">
        <v>6</v>
      </c>
    </row>
    <row r="254" spans="3:14" ht="13.5" thickBot="1">
      <c r="C254" s="79">
        <f>predikcia!A252</f>
        <v>45668</v>
      </c>
      <c r="D254" s="80" t="str">
        <f>predikcia!B252</f>
        <v>09:00:00</v>
      </c>
      <c r="E254" s="81">
        <f>predikcia!G252</f>
        <v>18424</v>
      </c>
      <c r="F254" s="70">
        <f>'DHS25'!C251</f>
        <v>18208</v>
      </c>
      <c r="G254" s="71">
        <f>'DHS25'!D251</f>
        <v>1088</v>
      </c>
      <c r="H254" s="106">
        <v>6</v>
      </c>
      <c r="I254" s="72">
        <f>'DHS25'!E251/1000</f>
        <v>6.0110000000000001</v>
      </c>
      <c r="J254" s="109">
        <f>predikcia!R252</f>
        <v>106</v>
      </c>
      <c r="K254" s="92">
        <f t="shared" si="3"/>
        <v>619.37343999999996</v>
      </c>
      <c r="M254" s="112">
        <v>6</v>
      </c>
      <c r="N254" s="111">
        <v>6</v>
      </c>
    </row>
    <row r="255" spans="3:14" ht="13.5" thickBot="1">
      <c r="C255" s="79">
        <f>predikcia!A253</f>
        <v>45668</v>
      </c>
      <c r="D255" s="80" t="str">
        <f>predikcia!B253</f>
        <v>10:00:00</v>
      </c>
      <c r="E255" s="81">
        <f>predikcia!G253</f>
        <v>17869.75</v>
      </c>
      <c r="F255" s="70">
        <f>'DHS25'!C252</f>
        <v>16389</v>
      </c>
      <c r="G255" s="71">
        <f>'DHS25'!D252</f>
        <v>2894</v>
      </c>
      <c r="H255" s="106">
        <v>6</v>
      </c>
      <c r="I255" s="72">
        <f>'DHS25'!E252/1000</f>
        <v>6.0129999999999999</v>
      </c>
      <c r="J255" s="109">
        <f>predikcia!R253</f>
        <v>103.82</v>
      </c>
      <c r="K255" s="92">
        <f t="shared" si="3"/>
        <v>606.60226339999986</v>
      </c>
      <c r="M255" s="112">
        <v>6</v>
      </c>
      <c r="N255" s="111">
        <v>6</v>
      </c>
    </row>
    <row r="256" spans="3:14" ht="13.5" thickBot="1">
      <c r="C256" s="79">
        <f>predikcia!A254</f>
        <v>45668</v>
      </c>
      <c r="D256" s="80" t="str">
        <f>predikcia!B254</f>
        <v>11:00:00</v>
      </c>
      <c r="E256" s="81">
        <f>predikcia!G254</f>
        <v>14746.75</v>
      </c>
      <c r="F256" s="70">
        <f>'DHS25'!C253</f>
        <v>14839</v>
      </c>
      <c r="G256" s="71">
        <f>'DHS25'!D253</f>
        <v>1226</v>
      </c>
      <c r="H256" s="106">
        <v>5</v>
      </c>
      <c r="I256" s="72">
        <f>'DHS25'!E253/1000</f>
        <v>5.2060000000000004</v>
      </c>
      <c r="J256" s="109">
        <f>predikcia!R254</f>
        <v>99.76</v>
      </c>
      <c r="K256" s="92">
        <f t="shared" si="3"/>
        <v>504.26565440000002</v>
      </c>
      <c r="M256" s="112">
        <v>5</v>
      </c>
      <c r="N256" s="111">
        <v>5</v>
      </c>
    </row>
    <row r="257" spans="3:14" ht="13.5" thickBot="1">
      <c r="C257" s="79">
        <f>predikcia!A255</f>
        <v>45668</v>
      </c>
      <c r="D257" s="80" t="str">
        <f>predikcia!B255</f>
        <v>12:00:00</v>
      </c>
      <c r="E257" s="81">
        <f>predikcia!G255</f>
        <v>15995.5</v>
      </c>
      <c r="F257" s="70">
        <f>'DHS25'!C254</f>
        <v>16097</v>
      </c>
      <c r="G257" s="71">
        <f>'DHS25'!D254</f>
        <v>24</v>
      </c>
      <c r="H257" s="106">
        <v>5</v>
      </c>
      <c r="I257" s="72">
        <f>'DHS25'!E254/1000</f>
        <v>4.9939999999999998</v>
      </c>
      <c r="J257" s="109">
        <f>predikcia!R255</f>
        <v>96.82</v>
      </c>
      <c r="K257" s="92">
        <f t="shared" si="3"/>
        <v>469.19528919999993</v>
      </c>
      <c r="M257" s="112">
        <v>5</v>
      </c>
      <c r="N257" s="111">
        <v>5</v>
      </c>
    </row>
    <row r="258" spans="3:14" ht="13.5" thickBot="1">
      <c r="C258" s="79">
        <f>predikcia!A256</f>
        <v>45668</v>
      </c>
      <c r="D258" s="80" t="str">
        <f>predikcia!B256</f>
        <v>13:00:00</v>
      </c>
      <c r="E258" s="81">
        <f>predikcia!G256</f>
        <v>16597.75</v>
      </c>
      <c r="F258" s="70">
        <f>'DHS25'!C255</f>
        <v>14699</v>
      </c>
      <c r="G258" s="71">
        <f>'DHS25'!D255</f>
        <v>3465</v>
      </c>
      <c r="H258" s="106">
        <v>6</v>
      </c>
      <c r="I258" s="72">
        <f>'DHS25'!E255/1000</f>
        <v>6.0220000000000002</v>
      </c>
      <c r="J258" s="109">
        <f>predikcia!R256</f>
        <v>93.15</v>
      </c>
      <c r="K258" s="92">
        <f t="shared" si="3"/>
        <v>543.89800700000001</v>
      </c>
      <c r="M258" s="112">
        <v>6</v>
      </c>
      <c r="N258" s="111">
        <v>6</v>
      </c>
    </row>
    <row r="259" spans="3:14" ht="13.5" thickBot="1">
      <c r="C259" s="79">
        <f>predikcia!A257</f>
        <v>45668</v>
      </c>
      <c r="D259" s="80" t="str">
        <f>predikcia!B257</f>
        <v>14:00:00</v>
      </c>
      <c r="E259" s="81">
        <f>predikcia!G257</f>
        <v>16599</v>
      </c>
      <c r="F259" s="70">
        <f>'DHS25'!C256</f>
        <v>16099</v>
      </c>
      <c r="G259" s="71">
        <f>'DHS25'!D256</f>
        <v>3211</v>
      </c>
      <c r="H259" s="106">
        <v>6</v>
      </c>
      <c r="I259" s="72">
        <f>'DHS25'!E256/1000</f>
        <v>5.9969999999999999</v>
      </c>
      <c r="J259" s="109">
        <f>predikcia!R257</f>
        <v>98.45</v>
      </c>
      <c r="K259" s="92">
        <f t="shared" si="3"/>
        <v>573.10630349999997</v>
      </c>
      <c r="M259" s="112">
        <v>6</v>
      </c>
      <c r="N259" s="111">
        <v>6</v>
      </c>
    </row>
    <row r="260" spans="3:14" ht="13.5" thickBot="1">
      <c r="C260" s="79">
        <f>predikcia!A258</f>
        <v>45668</v>
      </c>
      <c r="D260" s="80" t="str">
        <f>predikcia!B258</f>
        <v>15:00:00</v>
      </c>
      <c r="E260" s="81">
        <f>predikcia!G258</f>
        <v>16943.25</v>
      </c>
      <c r="F260" s="70">
        <f>'DHS25'!C257</f>
        <v>16721</v>
      </c>
      <c r="G260" s="71">
        <f>'DHS25'!D257</f>
        <v>2077</v>
      </c>
      <c r="H260" s="106">
        <v>6</v>
      </c>
      <c r="I260" s="72">
        <f>'DHS25'!E257/1000</f>
        <v>6.01</v>
      </c>
      <c r="J260" s="109">
        <f>predikcia!R258</f>
        <v>104.56</v>
      </c>
      <c r="K260" s="92">
        <f t="shared" si="3"/>
        <v>610.70254399999988</v>
      </c>
      <c r="M260" s="112">
        <v>6</v>
      </c>
      <c r="N260" s="111">
        <v>6</v>
      </c>
    </row>
    <row r="261" spans="3:14" ht="13.5" thickBot="1">
      <c r="C261" s="79">
        <f>predikcia!A259</f>
        <v>45668</v>
      </c>
      <c r="D261" s="80" t="str">
        <f>predikcia!B259</f>
        <v>16:00:00</v>
      </c>
      <c r="E261" s="81">
        <f>predikcia!G259</f>
        <v>17072</v>
      </c>
      <c r="F261" s="70">
        <f>'DHS25'!C258</f>
        <v>17835</v>
      </c>
      <c r="G261" s="71">
        <f>'DHS25'!D258</f>
        <v>1927</v>
      </c>
      <c r="H261" s="106">
        <v>6</v>
      </c>
      <c r="I261" s="72">
        <f>'DHS25'!E258/1000</f>
        <v>5.99</v>
      </c>
      <c r="J261" s="109">
        <f>predikcia!R259</f>
        <v>100.03</v>
      </c>
      <c r="K261" s="92">
        <f t="shared" si="3"/>
        <v>581.80690300000003</v>
      </c>
      <c r="M261" s="112">
        <v>6</v>
      </c>
      <c r="N261" s="111">
        <v>6</v>
      </c>
    </row>
    <row r="262" spans="3:14" ht="13.5" thickBot="1">
      <c r="C262" s="79">
        <f>predikcia!A260</f>
        <v>45668</v>
      </c>
      <c r="D262" s="80" t="str">
        <f>predikcia!B260</f>
        <v>17:00:00</v>
      </c>
      <c r="E262" s="81">
        <f>predikcia!G260</f>
        <v>17509.25</v>
      </c>
      <c r="F262" s="70">
        <f>'DHS25'!C259</f>
        <v>17437</v>
      </c>
      <c r="G262" s="71">
        <f>'DHS25'!D259</f>
        <v>1636</v>
      </c>
      <c r="H262" s="106">
        <v>6</v>
      </c>
      <c r="I262" s="72">
        <f>'DHS25'!E259/1000</f>
        <v>6.0170000000000003</v>
      </c>
      <c r="J262" s="109">
        <f>predikcia!R260</f>
        <v>106.64</v>
      </c>
      <c r="K262" s="92">
        <f t="shared" ref="K262:K325" si="4">(J262*0.99-1.9)*I262</f>
        <v>623.8040512</v>
      </c>
      <c r="M262" s="112">
        <v>6</v>
      </c>
      <c r="N262" s="111">
        <v>6</v>
      </c>
    </row>
    <row r="263" spans="3:14" ht="13.5" thickBot="1">
      <c r="C263" s="79">
        <f>predikcia!A261</f>
        <v>45668</v>
      </c>
      <c r="D263" s="80" t="str">
        <f>predikcia!B261</f>
        <v>18:00:00</v>
      </c>
      <c r="E263" s="81">
        <f>predikcia!G261</f>
        <v>17504.5</v>
      </c>
      <c r="F263" s="70">
        <f>'DHS25'!C260</f>
        <v>17499</v>
      </c>
      <c r="G263" s="71">
        <f>'DHS25'!D260</f>
        <v>1379</v>
      </c>
      <c r="H263" s="106">
        <v>6</v>
      </c>
      <c r="I263" s="72">
        <f>'DHS25'!E260/1000</f>
        <v>6.0030000000000001</v>
      </c>
      <c r="J263" s="109">
        <f>predikcia!R261</f>
        <v>110.34</v>
      </c>
      <c r="K263" s="92">
        <f t="shared" si="4"/>
        <v>644.3416097999999</v>
      </c>
      <c r="M263" s="112">
        <v>6</v>
      </c>
      <c r="N263" s="111">
        <v>6</v>
      </c>
    </row>
    <row r="264" spans="3:14" ht="13.5" thickBot="1">
      <c r="C264" s="79">
        <f>predikcia!A262</f>
        <v>45668</v>
      </c>
      <c r="D264" s="80" t="str">
        <f>predikcia!B262</f>
        <v>19:00:00</v>
      </c>
      <c r="E264" s="81">
        <f>predikcia!G262</f>
        <v>18060.5</v>
      </c>
      <c r="F264" s="70">
        <f>'DHS25'!C261</f>
        <v>17452</v>
      </c>
      <c r="G264" s="71">
        <f>'DHS25'!D261</f>
        <v>1615</v>
      </c>
      <c r="H264" s="106">
        <v>6</v>
      </c>
      <c r="I264" s="72">
        <f>'DHS25'!E261/1000</f>
        <v>5.9960000000000004</v>
      </c>
      <c r="J264" s="109">
        <f>predikcia!R262</f>
        <v>105.45</v>
      </c>
      <c r="K264" s="92">
        <f t="shared" si="4"/>
        <v>614.56301800000006</v>
      </c>
      <c r="M264" s="112">
        <v>6</v>
      </c>
      <c r="N264" s="111">
        <v>6</v>
      </c>
    </row>
    <row r="265" spans="3:14" ht="13.5" thickBot="1">
      <c r="C265" s="79">
        <f>predikcia!A263</f>
        <v>45668</v>
      </c>
      <c r="D265" s="80" t="str">
        <f>predikcia!B263</f>
        <v>20:00:00</v>
      </c>
      <c r="E265" s="81">
        <f>predikcia!G263</f>
        <v>17901.5</v>
      </c>
      <c r="F265" s="70">
        <f>'DHS25'!C262</f>
        <v>17500</v>
      </c>
      <c r="G265" s="71">
        <f>'DHS25'!D262</f>
        <v>1300</v>
      </c>
      <c r="H265" s="106">
        <v>6</v>
      </c>
      <c r="I265" s="72">
        <f>'DHS25'!E262/1000</f>
        <v>5.9930000000000003</v>
      </c>
      <c r="J265" s="109">
        <f>predikcia!R263</f>
        <v>103.83</v>
      </c>
      <c r="K265" s="92">
        <f t="shared" si="4"/>
        <v>604.64395809999996</v>
      </c>
      <c r="M265" s="112">
        <v>6</v>
      </c>
      <c r="N265" s="111">
        <v>6</v>
      </c>
    </row>
    <row r="266" spans="3:14" ht="13.5" thickBot="1">
      <c r="C266" s="79">
        <f>predikcia!A264</f>
        <v>45668</v>
      </c>
      <c r="D266" s="80" t="str">
        <f>predikcia!B264</f>
        <v>21:00:00</v>
      </c>
      <c r="E266" s="81">
        <f>predikcia!G264</f>
        <v>18069.25</v>
      </c>
      <c r="F266" s="70">
        <f>'DHS25'!C263</f>
        <v>17628</v>
      </c>
      <c r="G266" s="71">
        <f>'DHS25'!D263</f>
        <v>1289</v>
      </c>
      <c r="H266" s="106">
        <v>6</v>
      </c>
      <c r="I266" s="72">
        <f>'DHS25'!E263/1000</f>
        <v>5.9989999999999997</v>
      </c>
      <c r="J266" s="109">
        <f>predikcia!R264</f>
        <v>102.15</v>
      </c>
      <c r="K266" s="92">
        <f t="shared" si="4"/>
        <v>595.2717715</v>
      </c>
      <c r="M266" s="112">
        <v>6</v>
      </c>
      <c r="N266" s="111">
        <v>6</v>
      </c>
    </row>
    <row r="267" spans="3:14" ht="13.5" thickBot="1">
      <c r="C267" s="79">
        <f>predikcia!A265</f>
        <v>45668</v>
      </c>
      <c r="D267" s="80" t="str">
        <f>predikcia!B265</f>
        <v>22:00:00</v>
      </c>
      <c r="E267" s="81">
        <f>predikcia!G265</f>
        <v>15864</v>
      </c>
      <c r="F267" s="70">
        <f>'DHS25'!C264</f>
        <v>15727</v>
      </c>
      <c r="G267" s="71">
        <f>'DHS25'!D264</f>
        <v>1408</v>
      </c>
      <c r="H267" s="106">
        <v>5</v>
      </c>
      <c r="I267" s="72">
        <f>'DHS25'!E264/1000</f>
        <v>5.056</v>
      </c>
      <c r="J267" s="109">
        <f>predikcia!R265</f>
        <v>103.75</v>
      </c>
      <c r="K267" s="92">
        <f t="shared" si="4"/>
        <v>509.70800000000003</v>
      </c>
      <c r="M267" s="112">
        <v>5</v>
      </c>
      <c r="N267" s="111">
        <v>5</v>
      </c>
    </row>
    <row r="268" spans="3:14" ht="13.5" thickBot="1">
      <c r="C268" s="82">
        <f>predikcia!A266</f>
        <v>45668</v>
      </c>
      <c r="D268" s="83" t="str">
        <f>predikcia!B266</f>
        <v>23:00:00</v>
      </c>
      <c r="E268" s="84">
        <f>predikcia!G266</f>
        <v>9996.25</v>
      </c>
      <c r="F268" s="73">
        <f>'DHS25'!C265</f>
        <v>9608</v>
      </c>
      <c r="G268" s="64">
        <f>'DHS25'!D265</f>
        <v>5069</v>
      </c>
      <c r="H268" s="107">
        <v>4</v>
      </c>
      <c r="I268" s="74">
        <f>'DHS25'!E265/1000</f>
        <v>4.1959999999999997</v>
      </c>
      <c r="J268" s="109">
        <f>predikcia!R266</f>
        <v>105.98</v>
      </c>
      <c r="K268" s="92">
        <f t="shared" si="4"/>
        <v>432.2727592</v>
      </c>
      <c r="M268" s="112">
        <v>4</v>
      </c>
      <c r="N268" s="111">
        <v>4</v>
      </c>
    </row>
    <row r="269" spans="3:14" ht="13.5" thickBot="1">
      <c r="C269" s="85">
        <f>predikcia!A267</f>
        <v>45669</v>
      </c>
      <c r="D269" s="86" t="str">
        <f>predikcia!B267</f>
        <v>00:00:00</v>
      </c>
      <c r="E269" s="78">
        <f>predikcia!G267</f>
        <v>9749.75</v>
      </c>
      <c r="F269" s="68">
        <f>'DHS25'!C266</f>
        <v>8848</v>
      </c>
      <c r="G269" s="63">
        <f>'DHS25'!D266</f>
        <v>3675</v>
      </c>
      <c r="H269" s="105">
        <v>4</v>
      </c>
      <c r="I269" s="69">
        <f>'DHS25'!E266/1000</f>
        <v>4.0060000000000002</v>
      </c>
      <c r="J269" s="109">
        <f>predikcia!R267</f>
        <v>87.22</v>
      </c>
      <c r="K269" s="92">
        <f t="shared" si="4"/>
        <v>338.29788679999996</v>
      </c>
      <c r="M269" s="112">
        <v>4</v>
      </c>
      <c r="N269" s="111">
        <v>4</v>
      </c>
    </row>
    <row r="270" spans="3:14" ht="13.5" thickBot="1">
      <c r="C270" s="87">
        <f>predikcia!A268</f>
        <v>45669</v>
      </c>
      <c r="D270" s="88" t="str">
        <f>predikcia!B268</f>
        <v>01:00:00</v>
      </c>
      <c r="E270" s="81">
        <f>predikcia!G268</f>
        <v>10487.25</v>
      </c>
      <c r="F270" s="70">
        <f>'DHS25'!C267</f>
        <v>10143</v>
      </c>
      <c r="G270" s="71">
        <f>'DHS25'!D267</f>
        <v>3448</v>
      </c>
      <c r="H270" s="106">
        <v>4</v>
      </c>
      <c r="I270" s="72">
        <f>'DHS25'!E267/1000</f>
        <v>4.0049999999999999</v>
      </c>
      <c r="J270" s="109">
        <f>predikcia!R268</f>
        <v>86.15</v>
      </c>
      <c r="K270" s="92">
        <f t="shared" si="4"/>
        <v>333.97094249999998</v>
      </c>
      <c r="M270" s="112">
        <v>4</v>
      </c>
      <c r="N270" s="111">
        <v>4</v>
      </c>
    </row>
    <row r="271" spans="3:14" ht="13.5" thickBot="1">
      <c r="C271" s="87">
        <f>predikcia!A269</f>
        <v>45669</v>
      </c>
      <c r="D271" s="88" t="str">
        <f>predikcia!B269</f>
        <v>02:00:00</v>
      </c>
      <c r="E271" s="81">
        <f>predikcia!G269</f>
        <v>11273.75</v>
      </c>
      <c r="F271" s="70">
        <f>'DHS25'!C268</f>
        <v>12484</v>
      </c>
      <c r="G271" s="71">
        <f>'DHS25'!D268</f>
        <v>2015</v>
      </c>
      <c r="H271" s="106">
        <v>4</v>
      </c>
      <c r="I271" s="72">
        <f>'DHS25'!E268/1000</f>
        <v>4.016</v>
      </c>
      <c r="J271" s="109">
        <f>predikcia!R269</f>
        <v>89.43</v>
      </c>
      <c r="K271" s="92">
        <f t="shared" si="4"/>
        <v>347.92897119999998</v>
      </c>
      <c r="M271" s="112">
        <v>4</v>
      </c>
      <c r="N271" s="111">
        <v>4</v>
      </c>
    </row>
    <row r="272" spans="3:14" ht="13.5" thickBot="1">
      <c r="C272" s="87">
        <f>predikcia!A270</f>
        <v>45669</v>
      </c>
      <c r="D272" s="88" t="str">
        <f>predikcia!B270</f>
        <v>03:00:00</v>
      </c>
      <c r="E272" s="81">
        <f>predikcia!G270</f>
        <v>12443.75</v>
      </c>
      <c r="F272" s="70">
        <f>'DHS25'!C269</f>
        <v>12558</v>
      </c>
      <c r="G272" s="71">
        <f>'DHS25'!D269</f>
        <v>4378</v>
      </c>
      <c r="H272" s="106">
        <v>5</v>
      </c>
      <c r="I272" s="72">
        <f>'DHS25'!E269/1000</f>
        <v>4.9859999999999998</v>
      </c>
      <c r="J272" s="109">
        <f>predikcia!R270</f>
        <v>85.35</v>
      </c>
      <c r="K272" s="92">
        <f t="shared" si="4"/>
        <v>411.82614899999993</v>
      </c>
      <c r="M272" s="112">
        <v>5</v>
      </c>
      <c r="N272" s="111">
        <v>5</v>
      </c>
    </row>
    <row r="273" spans="3:14" ht="13.5" thickBot="1">
      <c r="C273" s="87">
        <f>predikcia!A271</f>
        <v>45669</v>
      </c>
      <c r="D273" s="88" t="str">
        <f>predikcia!B271</f>
        <v>04:00:00</v>
      </c>
      <c r="E273" s="81">
        <f>predikcia!G271</f>
        <v>18179.75</v>
      </c>
      <c r="F273" s="70">
        <f>'DHS25'!C270</f>
        <v>18765</v>
      </c>
      <c r="G273" s="71">
        <f>'DHS25'!D270</f>
        <v>870</v>
      </c>
      <c r="H273" s="106">
        <v>6</v>
      </c>
      <c r="I273" s="72">
        <f>'DHS25'!E270/1000</f>
        <v>5.9560000000000004</v>
      </c>
      <c r="J273" s="109">
        <f>predikcia!R271</f>
        <v>85</v>
      </c>
      <c r="K273" s="92">
        <f t="shared" si="4"/>
        <v>489.88100000000003</v>
      </c>
      <c r="M273" s="112">
        <v>6</v>
      </c>
      <c r="N273" s="111">
        <v>6</v>
      </c>
    </row>
    <row r="274" spans="3:14" ht="13.5" thickBot="1">
      <c r="C274" s="87">
        <f>predikcia!A272</f>
        <v>45669</v>
      </c>
      <c r="D274" s="88" t="str">
        <f>predikcia!B272</f>
        <v>05:00:00</v>
      </c>
      <c r="E274" s="81">
        <f>predikcia!G272</f>
        <v>18254.75</v>
      </c>
      <c r="F274" s="70">
        <f>'DHS25'!C271</f>
        <v>18992</v>
      </c>
      <c r="G274" s="71">
        <f>'DHS25'!D271</f>
        <v>26</v>
      </c>
      <c r="H274" s="106">
        <v>6</v>
      </c>
      <c r="I274" s="72">
        <f>'DHS25'!E271/1000</f>
        <v>6.0039999999999996</v>
      </c>
      <c r="J274" s="109">
        <f>predikcia!R272</f>
        <v>85.23</v>
      </c>
      <c r="K274" s="92">
        <f t="shared" si="4"/>
        <v>495.19611079999993</v>
      </c>
      <c r="M274" s="112">
        <v>6</v>
      </c>
      <c r="N274" s="111">
        <v>6</v>
      </c>
    </row>
    <row r="275" spans="3:14" ht="13.5" thickBot="1">
      <c r="C275" s="87">
        <f>predikcia!A273</f>
        <v>45669</v>
      </c>
      <c r="D275" s="88" t="str">
        <f>predikcia!B273</f>
        <v>06:00:00</v>
      </c>
      <c r="E275" s="81">
        <f>predikcia!G273</f>
        <v>19767.75</v>
      </c>
      <c r="F275" s="70">
        <f>'DHS25'!C272</f>
        <v>19227</v>
      </c>
      <c r="G275" s="71">
        <f>'DHS25'!D272</f>
        <v>111</v>
      </c>
      <c r="H275" s="106">
        <v>6</v>
      </c>
      <c r="I275" s="72">
        <f>'DHS25'!E272/1000</f>
        <v>5.9980000000000002</v>
      </c>
      <c r="J275" s="109">
        <f>predikcia!R273</f>
        <v>87.46</v>
      </c>
      <c r="K275" s="92">
        <f t="shared" si="4"/>
        <v>507.94302919999996</v>
      </c>
      <c r="M275" s="112">
        <v>6</v>
      </c>
      <c r="N275" s="111">
        <v>6</v>
      </c>
    </row>
    <row r="276" spans="3:14" ht="13.5" thickBot="1">
      <c r="C276" s="87">
        <f>predikcia!A274</f>
        <v>45669</v>
      </c>
      <c r="D276" s="88" t="str">
        <f>predikcia!B274</f>
        <v>07:00:00</v>
      </c>
      <c r="E276" s="81">
        <f>predikcia!G274</f>
        <v>18780.5</v>
      </c>
      <c r="F276" s="70">
        <f>'DHS25'!C273</f>
        <v>16380</v>
      </c>
      <c r="G276" s="71">
        <f>'DHS25'!D273</f>
        <v>3113</v>
      </c>
      <c r="H276" s="106">
        <v>6</v>
      </c>
      <c r="I276" s="72">
        <f>'DHS25'!E273/1000</f>
        <v>6.016</v>
      </c>
      <c r="J276" s="109">
        <f>predikcia!R274</f>
        <v>101.75</v>
      </c>
      <c r="K276" s="92">
        <f t="shared" si="4"/>
        <v>594.57632000000001</v>
      </c>
      <c r="M276" s="112">
        <v>6</v>
      </c>
      <c r="N276" s="111">
        <v>6</v>
      </c>
    </row>
    <row r="277" spans="3:14" ht="13.5" thickBot="1">
      <c r="C277" s="87">
        <f>predikcia!A275</f>
        <v>45669</v>
      </c>
      <c r="D277" s="88" t="str">
        <f>predikcia!B275</f>
        <v>08:00:00</v>
      </c>
      <c r="E277" s="81">
        <f>predikcia!G275</f>
        <v>18535.75</v>
      </c>
      <c r="F277" s="70">
        <f>'DHS25'!C274</f>
        <v>15250</v>
      </c>
      <c r="G277" s="71">
        <f>'DHS25'!D274</f>
        <v>3470</v>
      </c>
      <c r="H277" s="106">
        <v>6</v>
      </c>
      <c r="I277" s="72">
        <f>'DHS25'!E274/1000</f>
        <v>5.9950000000000001</v>
      </c>
      <c r="J277" s="109">
        <f>predikcia!R275</f>
        <v>117.19</v>
      </c>
      <c r="K277" s="92">
        <f t="shared" si="4"/>
        <v>684.13800949999995</v>
      </c>
      <c r="M277" s="112">
        <v>6</v>
      </c>
      <c r="N277" s="111">
        <v>6</v>
      </c>
    </row>
    <row r="278" spans="3:14" ht="13.5" thickBot="1">
      <c r="C278" s="87">
        <f>predikcia!A276</f>
        <v>45669</v>
      </c>
      <c r="D278" s="88" t="str">
        <f>predikcia!B276</f>
        <v>09:00:00</v>
      </c>
      <c r="E278" s="81">
        <f>predikcia!G276</f>
        <v>19266.75</v>
      </c>
      <c r="F278" s="70">
        <f>'DHS25'!C275</f>
        <v>16818</v>
      </c>
      <c r="G278" s="71">
        <f>'DHS25'!D275</f>
        <v>2752</v>
      </c>
      <c r="H278" s="106">
        <v>6</v>
      </c>
      <c r="I278" s="72">
        <f>'DHS25'!E275/1000</f>
        <v>6.01</v>
      </c>
      <c r="J278" s="109">
        <f>predikcia!R276</f>
        <v>120.07</v>
      </c>
      <c r="K278" s="92">
        <f t="shared" si="4"/>
        <v>702.98549299999991</v>
      </c>
      <c r="M278" s="112">
        <v>6</v>
      </c>
      <c r="N278" s="111">
        <v>6</v>
      </c>
    </row>
    <row r="279" spans="3:14" ht="13.5" thickBot="1">
      <c r="C279" s="87">
        <f>predikcia!A277</f>
        <v>45669</v>
      </c>
      <c r="D279" s="88" t="str">
        <f>predikcia!B277</f>
        <v>10:00:00</v>
      </c>
      <c r="E279" s="81">
        <f>predikcia!G277</f>
        <v>17264.25</v>
      </c>
      <c r="F279" s="70">
        <f>'DHS25'!C276</f>
        <v>17008</v>
      </c>
      <c r="G279" s="71">
        <f>'DHS25'!D276</f>
        <v>1560</v>
      </c>
      <c r="H279" s="106">
        <v>6</v>
      </c>
      <c r="I279" s="72">
        <f>'DHS25'!E276/1000</f>
        <v>5.9939999999999998</v>
      </c>
      <c r="J279" s="109">
        <f>predikcia!R277</f>
        <v>117.77</v>
      </c>
      <c r="K279" s="92">
        <f t="shared" si="4"/>
        <v>687.46564619999992</v>
      </c>
      <c r="M279" s="112">
        <v>6</v>
      </c>
      <c r="N279" s="111">
        <v>6</v>
      </c>
    </row>
    <row r="280" spans="3:14" ht="13.5" thickBot="1">
      <c r="C280" s="87">
        <f>predikcia!A278</f>
        <v>45669</v>
      </c>
      <c r="D280" s="88" t="str">
        <f>predikcia!B278</f>
        <v>11:00:00</v>
      </c>
      <c r="E280" s="81">
        <f>predikcia!G278</f>
        <v>16323</v>
      </c>
      <c r="F280" s="70">
        <f>'DHS25'!C277</f>
        <v>16180</v>
      </c>
      <c r="G280" s="71">
        <f>'DHS25'!D277</f>
        <v>2726</v>
      </c>
      <c r="H280" s="106">
        <v>6</v>
      </c>
      <c r="I280" s="72">
        <f>'DHS25'!E277/1000</f>
        <v>5.9939999999999998</v>
      </c>
      <c r="J280" s="109">
        <f>predikcia!R278</f>
        <v>105.61</v>
      </c>
      <c r="K280" s="92">
        <f t="shared" si="4"/>
        <v>615.30747659999997</v>
      </c>
      <c r="M280" s="112">
        <v>6</v>
      </c>
      <c r="N280" s="111">
        <v>6</v>
      </c>
    </row>
    <row r="281" spans="3:14" ht="13.5" thickBot="1">
      <c r="C281" s="87">
        <f>predikcia!A279</f>
        <v>45669</v>
      </c>
      <c r="D281" s="88" t="str">
        <f>predikcia!B279</f>
        <v>12:00:00</v>
      </c>
      <c r="E281" s="81">
        <f>predikcia!G279</f>
        <v>16408.5</v>
      </c>
      <c r="F281" s="70">
        <f>'DHS25'!C278</f>
        <v>16944</v>
      </c>
      <c r="G281" s="71">
        <f>'DHS25'!D278</f>
        <v>1747</v>
      </c>
      <c r="H281" s="106">
        <v>6</v>
      </c>
      <c r="I281" s="72">
        <f>'DHS25'!E278/1000</f>
        <v>5.9969999999999999</v>
      </c>
      <c r="J281" s="109">
        <f>predikcia!R279</f>
        <v>102.99</v>
      </c>
      <c r="K281" s="92">
        <f t="shared" si="4"/>
        <v>600.0604196999999</v>
      </c>
      <c r="M281" s="112">
        <v>6</v>
      </c>
      <c r="N281" s="111">
        <v>6</v>
      </c>
    </row>
    <row r="282" spans="3:14" ht="13.5" thickBot="1">
      <c r="C282" s="87">
        <f>predikcia!A280</f>
        <v>45669</v>
      </c>
      <c r="D282" s="88" t="str">
        <f>predikcia!B280</f>
        <v>13:00:00</v>
      </c>
      <c r="E282" s="81">
        <f>predikcia!G280</f>
        <v>15300.75</v>
      </c>
      <c r="F282" s="70">
        <f>'DHS25'!C279</f>
        <v>15688</v>
      </c>
      <c r="G282" s="71">
        <f>'DHS25'!D279</f>
        <v>3063</v>
      </c>
      <c r="H282" s="106">
        <v>5</v>
      </c>
      <c r="I282" s="72">
        <f>'DHS25'!E279/1000</f>
        <v>5.9930000000000003</v>
      </c>
      <c r="J282" s="109">
        <f>predikcia!R280</f>
        <v>99.61</v>
      </c>
      <c r="K282" s="92">
        <f t="shared" si="4"/>
        <v>579.60640269999999</v>
      </c>
      <c r="M282" s="112">
        <v>5</v>
      </c>
      <c r="N282" s="111">
        <v>5</v>
      </c>
    </row>
    <row r="283" spans="3:14" ht="13.5" thickBot="1">
      <c r="C283" s="87">
        <f>predikcia!A281</f>
        <v>45669</v>
      </c>
      <c r="D283" s="88" t="str">
        <f>predikcia!B281</f>
        <v>14:00:00</v>
      </c>
      <c r="E283" s="81">
        <f>predikcia!G281</f>
        <v>16220.25</v>
      </c>
      <c r="F283" s="70">
        <f>'DHS25'!C280</f>
        <v>16676</v>
      </c>
      <c r="G283" s="71">
        <f>'DHS25'!D280</f>
        <v>3898</v>
      </c>
      <c r="H283" s="106">
        <v>6</v>
      </c>
      <c r="I283" s="72">
        <f>'DHS25'!E280/1000</f>
        <v>6.0149999999999997</v>
      </c>
      <c r="J283" s="109">
        <f>predikcia!R281</f>
        <v>105.2</v>
      </c>
      <c r="K283" s="92">
        <f t="shared" si="4"/>
        <v>615.02171999999996</v>
      </c>
      <c r="M283" s="112">
        <v>6</v>
      </c>
      <c r="N283" s="111">
        <v>6</v>
      </c>
    </row>
    <row r="284" spans="3:14" ht="13.5" thickBot="1">
      <c r="C284" s="87">
        <f>predikcia!A282</f>
        <v>45669</v>
      </c>
      <c r="D284" s="88" t="str">
        <f>predikcia!B282</f>
        <v>15:00:00</v>
      </c>
      <c r="E284" s="81">
        <f>predikcia!G282</f>
        <v>16531</v>
      </c>
      <c r="F284" s="70">
        <f>'DHS25'!C281</f>
        <v>16253</v>
      </c>
      <c r="G284" s="71">
        <f>'DHS25'!D281</f>
        <v>2475</v>
      </c>
      <c r="H284" s="106">
        <v>6</v>
      </c>
      <c r="I284" s="72">
        <f>'DHS25'!E281/1000</f>
        <v>6.0019999999999998</v>
      </c>
      <c r="J284" s="109">
        <f>predikcia!R282</f>
        <v>119.73</v>
      </c>
      <c r="K284" s="92">
        <f t="shared" si="4"/>
        <v>700.02946539999994</v>
      </c>
      <c r="M284" s="112">
        <v>6</v>
      </c>
      <c r="N284" s="111">
        <v>6</v>
      </c>
    </row>
    <row r="285" spans="3:14" ht="13.5" thickBot="1">
      <c r="C285" s="87">
        <f>predikcia!A283</f>
        <v>45669</v>
      </c>
      <c r="D285" s="88" t="str">
        <f>predikcia!B283</f>
        <v>16:00:00</v>
      </c>
      <c r="E285" s="81">
        <f>predikcia!G283</f>
        <v>16797.5</v>
      </c>
      <c r="F285" s="70">
        <f>'DHS25'!C282</f>
        <v>15783</v>
      </c>
      <c r="G285" s="71">
        <f>'DHS25'!D282</f>
        <v>8331</v>
      </c>
      <c r="H285" s="108">
        <v>8</v>
      </c>
      <c r="I285" s="72">
        <f>'DHS25'!E282/1000</f>
        <v>7.9459999999999997</v>
      </c>
      <c r="J285" s="109">
        <f>predikcia!R283</f>
        <v>134.6</v>
      </c>
      <c r="K285" s="92">
        <f t="shared" si="4"/>
        <v>1043.7388839999999</v>
      </c>
      <c r="M285" s="112">
        <v>6</v>
      </c>
      <c r="N285" s="111">
        <v>8</v>
      </c>
    </row>
    <row r="286" spans="3:14" ht="13.5" thickBot="1">
      <c r="C286" s="87">
        <f>predikcia!A284</f>
        <v>45669</v>
      </c>
      <c r="D286" s="88" t="str">
        <f>predikcia!B284</f>
        <v>17:00:00</v>
      </c>
      <c r="E286" s="81">
        <f>predikcia!G284</f>
        <v>16533.75</v>
      </c>
      <c r="F286" s="70">
        <f>'DHS25'!C283</f>
        <v>17087</v>
      </c>
      <c r="G286" s="71">
        <f>'DHS25'!D283</f>
        <v>6641</v>
      </c>
      <c r="H286" s="108">
        <v>8</v>
      </c>
      <c r="I286" s="72">
        <f>'DHS25'!E283/1000</f>
        <v>7.6239999999999997</v>
      </c>
      <c r="J286" s="109">
        <f>predikcia!R284</f>
        <v>142.13999999999999</v>
      </c>
      <c r="K286" s="92">
        <f t="shared" si="4"/>
        <v>1058.3530063999997</v>
      </c>
      <c r="M286" s="112">
        <v>6</v>
      </c>
      <c r="N286" s="111">
        <v>8</v>
      </c>
    </row>
    <row r="287" spans="3:14" ht="13.5" thickBot="1">
      <c r="C287" s="87">
        <f>predikcia!A285</f>
        <v>45669</v>
      </c>
      <c r="D287" s="88" t="str">
        <f>predikcia!B285</f>
        <v>18:00:00</v>
      </c>
      <c r="E287" s="81">
        <f>predikcia!G285</f>
        <v>17533.75</v>
      </c>
      <c r="F287" s="70">
        <f>'DHS25'!C284</f>
        <v>18009</v>
      </c>
      <c r="G287" s="71">
        <f>'DHS25'!D284</f>
        <v>6589</v>
      </c>
      <c r="H287" s="108">
        <v>8</v>
      </c>
      <c r="I287" s="72">
        <f>'DHS25'!E284/1000</f>
        <v>7.9980000000000002</v>
      </c>
      <c r="J287" s="109">
        <f>predikcia!R285</f>
        <v>146.66</v>
      </c>
      <c r="K287" s="92">
        <f t="shared" si="4"/>
        <v>1146.0606132</v>
      </c>
      <c r="M287" s="112">
        <v>6</v>
      </c>
      <c r="N287" s="111">
        <v>8</v>
      </c>
    </row>
    <row r="288" spans="3:14" ht="13.5" thickBot="1">
      <c r="C288" s="87">
        <f>predikcia!A286</f>
        <v>45669</v>
      </c>
      <c r="D288" s="88" t="str">
        <f>predikcia!B286</f>
        <v>19:00:00</v>
      </c>
      <c r="E288" s="81">
        <f>predikcia!G286</f>
        <v>17159.75</v>
      </c>
      <c r="F288" s="70">
        <f>'DHS25'!C285</f>
        <v>17534</v>
      </c>
      <c r="G288" s="71">
        <f>'DHS25'!D285</f>
        <v>6552</v>
      </c>
      <c r="H288" s="108">
        <v>8</v>
      </c>
      <c r="I288" s="72">
        <f>'DHS25'!E285/1000</f>
        <v>8.0079999999999991</v>
      </c>
      <c r="J288" s="109">
        <f>predikcia!R286</f>
        <v>144.03</v>
      </c>
      <c r="K288" s="92">
        <f t="shared" si="4"/>
        <v>1126.6431175999999</v>
      </c>
      <c r="M288" s="112">
        <v>6</v>
      </c>
      <c r="N288" s="111">
        <v>8</v>
      </c>
    </row>
    <row r="289" spans="3:14" ht="13.5" thickBot="1">
      <c r="C289" s="87">
        <f>predikcia!A287</f>
        <v>45669</v>
      </c>
      <c r="D289" s="88" t="str">
        <f>predikcia!B287</f>
        <v>20:00:00</v>
      </c>
      <c r="E289" s="81">
        <f>predikcia!G287</f>
        <v>17502.75</v>
      </c>
      <c r="F289" s="70">
        <f>'DHS25'!C286</f>
        <v>18147</v>
      </c>
      <c r="G289" s="71">
        <f>'DHS25'!D286</f>
        <v>5992</v>
      </c>
      <c r="H289" s="108">
        <v>8</v>
      </c>
      <c r="I289" s="72">
        <f>'DHS25'!E286/1000</f>
        <v>7.99</v>
      </c>
      <c r="J289" s="109">
        <f>predikcia!R287</f>
        <v>135.59</v>
      </c>
      <c r="K289" s="92">
        <f t="shared" si="4"/>
        <v>1057.349459</v>
      </c>
      <c r="M289" s="112">
        <v>6</v>
      </c>
      <c r="N289" s="111">
        <v>8</v>
      </c>
    </row>
    <row r="290" spans="3:14" ht="13.5" thickBot="1">
      <c r="C290" s="87">
        <f>predikcia!A288</f>
        <v>45669</v>
      </c>
      <c r="D290" s="88" t="str">
        <f>predikcia!B288</f>
        <v>21:00:00</v>
      </c>
      <c r="E290" s="81">
        <f>predikcia!G288</f>
        <v>17757</v>
      </c>
      <c r="F290" s="70">
        <f>'DHS25'!C287</f>
        <v>19055</v>
      </c>
      <c r="G290" s="71">
        <f>'DHS25'!D287</f>
        <v>1848</v>
      </c>
      <c r="H290" s="106">
        <v>6</v>
      </c>
      <c r="I290" s="72">
        <f>'DHS25'!E287/1000</f>
        <v>6.5170000000000003</v>
      </c>
      <c r="J290" s="109">
        <f>predikcia!R288</f>
        <v>127.68</v>
      </c>
      <c r="K290" s="92">
        <f t="shared" si="4"/>
        <v>811.38735440000005</v>
      </c>
      <c r="M290" s="112">
        <v>6</v>
      </c>
      <c r="N290" s="111">
        <v>6</v>
      </c>
    </row>
    <row r="291" spans="3:14" ht="13.5" thickBot="1">
      <c r="C291" s="87">
        <f>predikcia!A289</f>
        <v>45669</v>
      </c>
      <c r="D291" s="88" t="str">
        <f>predikcia!B289</f>
        <v>22:00:00</v>
      </c>
      <c r="E291" s="81">
        <f>predikcia!G289</f>
        <v>15273</v>
      </c>
      <c r="F291" s="70">
        <f>'DHS25'!C288</f>
        <v>12790</v>
      </c>
      <c r="G291" s="71">
        <f>'DHS25'!D288</f>
        <v>2397</v>
      </c>
      <c r="H291" s="106">
        <v>5</v>
      </c>
      <c r="I291" s="72">
        <f>'DHS25'!E288/1000</f>
        <v>5.0339999999999998</v>
      </c>
      <c r="J291" s="109">
        <f>predikcia!R289</f>
        <v>121.41</v>
      </c>
      <c r="K291" s="92">
        <f t="shared" si="4"/>
        <v>595.50156059999995</v>
      </c>
      <c r="M291" s="112">
        <v>5</v>
      </c>
      <c r="N291" s="111">
        <v>5</v>
      </c>
    </row>
    <row r="292" spans="3:14" ht="13.5" thickBot="1">
      <c r="C292" s="89">
        <f>predikcia!A290</f>
        <v>45669</v>
      </c>
      <c r="D292" s="90" t="str">
        <f>predikcia!B290</f>
        <v>23:00:00</v>
      </c>
      <c r="E292" s="84">
        <f>predikcia!G290</f>
        <v>8130.75</v>
      </c>
      <c r="F292" s="73">
        <f>'DHS25'!C289</f>
        <v>8232</v>
      </c>
      <c r="G292" s="64">
        <f>'DHS25'!D289</f>
        <v>7176</v>
      </c>
      <c r="H292" s="107">
        <v>4</v>
      </c>
      <c r="I292" s="74">
        <f>'DHS25'!E289/1000</f>
        <v>4.22</v>
      </c>
      <c r="J292" s="109">
        <f>predikcia!R290</f>
        <v>114.9</v>
      </c>
      <c r="K292" s="92">
        <f t="shared" si="4"/>
        <v>472.01121999999998</v>
      </c>
      <c r="M292" s="112">
        <v>4</v>
      </c>
      <c r="N292" s="111">
        <v>4</v>
      </c>
    </row>
    <row r="293" spans="3:14" ht="13.5" thickBot="1">
      <c r="C293" s="76">
        <f>predikcia!A291</f>
        <v>45670</v>
      </c>
      <c r="D293" s="77" t="str">
        <f>predikcia!B291</f>
        <v>00:00:00</v>
      </c>
      <c r="E293" s="78">
        <f>predikcia!G291</f>
        <v>8331.75</v>
      </c>
      <c r="F293" s="68">
        <f>'DHS25'!C290</f>
        <v>8156</v>
      </c>
      <c r="G293" s="63">
        <f>'DHS25'!D290</f>
        <v>5604</v>
      </c>
      <c r="H293" s="105">
        <v>4</v>
      </c>
      <c r="I293" s="69">
        <f>'DHS25'!E290/1000</f>
        <v>4.01</v>
      </c>
      <c r="J293" s="109">
        <f>predikcia!R291</f>
        <v>112.39</v>
      </c>
      <c r="K293" s="92">
        <f t="shared" si="4"/>
        <v>438.55806099999995</v>
      </c>
      <c r="M293" s="112">
        <v>4</v>
      </c>
      <c r="N293" s="111">
        <v>4</v>
      </c>
    </row>
    <row r="294" spans="3:14" ht="13.5" thickBot="1">
      <c r="C294" s="79">
        <f>predikcia!A292</f>
        <v>45670</v>
      </c>
      <c r="D294" s="80" t="str">
        <f>predikcia!B292</f>
        <v>01:00:00</v>
      </c>
      <c r="E294" s="81">
        <f>predikcia!G292</f>
        <v>9942</v>
      </c>
      <c r="F294" s="70">
        <f>'DHS25'!C291</f>
        <v>10066</v>
      </c>
      <c r="G294" s="71">
        <f>'DHS25'!D291</f>
        <v>4079</v>
      </c>
      <c r="H294" s="106">
        <v>4</v>
      </c>
      <c r="I294" s="72">
        <f>'DHS25'!E291/1000</f>
        <v>4.0129999999999999</v>
      </c>
      <c r="J294" s="109">
        <f>predikcia!R292</f>
        <v>105.07</v>
      </c>
      <c r="K294" s="92">
        <f t="shared" si="4"/>
        <v>409.80475089999993</v>
      </c>
      <c r="M294" s="112">
        <v>4</v>
      </c>
      <c r="N294" s="111">
        <v>4</v>
      </c>
    </row>
    <row r="295" spans="3:14" ht="13.5" thickBot="1">
      <c r="C295" s="79">
        <f>predikcia!A293</f>
        <v>45670</v>
      </c>
      <c r="D295" s="80" t="str">
        <f>predikcia!B293</f>
        <v>02:00:00</v>
      </c>
      <c r="E295" s="81">
        <f>predikcia!G293</f>
        <v>10325.25</v>
      </c>
      <c r="F295" s="70">
        <f>'DHS25'!C292</f>
        <v>9765</v>
      </c>
      <c r="G295" s="71">
        <f>'DHS25'!D292</f>
        <v>2483</v>
      </c>
      <c r="H295" s="106">
        <v>4</v>
      </c>
      <c r="I295" s="72">
        <f>'DHS25'!E292/1000</f>
        <v>3.9729999999999999</v>
      </c>
      <c r="J295" s="109">
        <f>predikcia!R293</f>
        <v>104.46</v>
      </c>
      <c r="K295" s="92">
        <f t="shared" si="4"/>
        <v>403.3206841999999</v>
      </c>
      <c r="M295" s="112">
        <v>4</v>
      </c>
      <c r="N295" s="111">
        <v>4</v>
      </c>
    </row>
    <row r="296" spans="3:14" ht="13.5" thickBot="1">
      <c r="C296" s="79">
        <f>predikcia!A294</f>
        <v>45670</v>
      </c>
      <c r="D296" s="80" t="str">
        <f>predikcia!B294</f>
        <v>03:00:00</v>
      </c>
      <c r="E296" s="81">
        <f>predikcia!G294</f>
        <v>11837.25</v>
      </c>
      <c r="F296" s="70">
        <f>'DHS25'!C293</f>
        <v>11390</v>
      </c>
      <c r="G296" s="71">
        <f>'DHS25'!D293</f>
        <v>2858</v>
      </c>
      <c r="H296" s="106">
        <v>4</v>
      </c>
      <c r="I296" s="72">
        <f>'DHS25'!E293/1000</f>
        <v>4.0250000000000004</v>
      </c>
      <c r="J296" s="109">
        <f>predikcia!R294</f>
        <v>100.37</v>
      </c>
      <c r="K296" s="92">
        <f t="shared" si="4"/>
        <v>392.30185750000004</v>
      </c>
      <c r="M296" s="112">
        <v>4</v>
      </c>
      <c r="N296" s="111">
        <v>4</v>
      </c>
    </row>
    <row r="297" spans="3:14" ht="13.5" thickBot="1">
      <c r="C297" s="79">
        <f>predikcia!A295</f>
        <v>45670</v>
      </c>
      <c r="D297" s="80" t="str">
        <f>predikcia!B295</f>
        <v>04:00:00</v>
      </c>
      <c r="E297" s="81">
        <f>predikcia!G295</f>
        <v>18250.5</v>
      </c>
      <c r="F297" s="70">
        <f>'DHS25'!C294</f>
        <v>17289</v>
      </c>
      <c r="G297" s="71">
        <f>'DHS25'!D294</f>
        <v>217</v>
      </c>
      <c r="H297" s="106">
        <v>6</v>
      </c>
      <c r="I297" s="72">
        <f>'DHS25'!E294/1000</f>
        <v>5.4880000000000004</v>
      </c>
      <c r="J297" s="109">
        <f>predikcia!R295</f>
        <v>100</v>
      </c>
      <c r="K297" s="92">
        <f t="shared" si="4"/>
        <v>532.88480000000004</v>
      </c>
      <c r="M297" s="112">
        <v>6</v>
      </c>
      <c r="N297" s="111">
        <v>6</v>
      </c>
    </row>
    <row r="298" spans="3:14" ht="13.5" thickBot="1">
      <c r="C298" s="79">
        <f>predikcia!A296</f>
        <v>45670</v>
      </c>
      <c r="D298" s="80" t="str">
        <f>predikcia!B296</f>
        <v>05:00:00</v>
      </c>
      <c r="E298" s="81">
        <f>predikcia!G296</f>
        <v>18263.5</v>
      </c>
      <c r="F298" s="70">
        <f>'DHS25'!C295</f>
        <v>19042</v>
      </c>
      <c r="G298" s="71">
        <f>'DHS25'!D295</f>
        <v>30</v>
      </c>
      <c r="H298" s="106">
        <v>6</v>
      </c>
      <c r="I298" s="72">
        <f>'DHS25'!E295/1000</f>
        <v>5.984</v>
      </c>
      <c r="J298" s="109">
        <f>predikcia!R296</f>
        <v>110.16</v>
      </c>
      <c r="K298" s="92">
        <f t="shared" si="4"/>
        <v>641.2358655999999</v>
      </c>
      <c r="M298" s="112">
        <v>6</v>
      </c>
      <c r="N298" s="111">
        <v>6</v>
      </c>
    </row>
    <row r="299" spans="3:14" ht="13.5" thickBot="1">
      <c r="C299" s="79">
        <f>predikcia!A297</f>
        <v>45670</v>
      </c>
      <c r="D299" s="80" t="str">
        <f>predikcia!B297</f>
        <v>06:00:00</v>
      </c>
      <c r="E299" s="81">
        <f>predikcia!G297</f>
        <v>18975</v>
      </c>
      <c r="F299" s="70">
        <f>'DHS25'!C296</f>
        <v>22462</v>
      </c>
      <c r="G299" s="71">
        <f>'DHS25'!D296</f>
        <v>1983</v>
      </c>
      <c r="H299" s="108">
        <v>8</v>
      </c>
      <c r="I299" s="72">
        <f>'DHS25'!E296/1000</f>
        <v>7.9690000000000003</v>
      </c>
      <c r="J299" s="109">
        <f>predikcia!R297</f>
        <v>140.19</v>
      </c>
      <c r="K299" s="92">
        <f t="shared" si="4"/>
        <v>1090.8612688999999</v>
      </c>
      <c r="M299" s="112">
        <v>6</v>
      </c>
      <c r="N299" s="111">
        <v>8</v>
      </c>
    </row>
    <row r="300" spans="3:14" ht="13.5" thickBot="1">
      <c r="C300" s="79">
        <f>predikcia!A298</f>
        <v>45670</v>
      </c>
      <c r="D300" s="80" t="str">
        <f>predikcia!B298</f>
        <v>07:00:00</v>
      </c>
      <c r="E300" s="81">
        <f>predikcia!G298</f>
        <v>17578.75</v>
      </c>
      <c r="F300" s="70">
        <f>'DHS25'!C297</f>
        <v>19015</v>
      </c>
      <c r="G300" s="71">
        <f>'DHS25'!D297</f>
        <v>4097</v>
      </c>
      <c r="H300" s="108">
        <v>8</v>
      </c>
      <c r="I300" s="72">
        <f>'DHS25'!E297/1000</f>
        <v>7.9770000000000003</v>
      </c>
      <c r="J300" s="109">
        <f>predikcia!R298</f>
        <v>180.31</v>
      </c>
      <c r="K300" s="92">
        <f t="shared" si="4"/>
        <v>1408.7932413000001</v>
      </c>
      <c r="M300" s="112">
        <v>6</v>
      </c>
      <c r="N300" s="111">
        <v>8</v>
      </c>
    </row>
    <row r="301" spans="3:14" ht="13.5" thickBot="1">
      <c r="C301" s="79">
        <f>predikcia!A299</f>
        <v>45670</v>
      </c>
      <c r="D301" s="80" t="str">
        <f>predikcia!B299</f>
        <v>08:00:00</v>
      </c>
      <c r="E301" s="81">
        <f>predikcia!G299</f>
        <v>17412</v>
      </c>
      <c r="F301" s="70">
        <f>'DHS25'!C298</f>
        <v>19095</v>
      </c>
      <c r="G301" s="71">
        <f>'DHS25'!D298</f>
        <v>5049</v>
      </c>
      <c r="H301" s="108">
        <v>8</v>
      </c>
      <c r="I301" s="72">
        <f>'DHS25'!E298/1000</f>
        <v>7.9850000000000003</v>
      </c>
      <c r="J301" s="109">
        <f>predikcia!R299</f>
        <v>220.91</v>
      </c>
      <c r="K301" s="92">
        <f t="shared" si="4"/>
        <v>1731.1551864999999</v>
      </c>
      <c r="M301" s="112">
        <v>6</v>
      </c>
      <c r="N301" s="111">
        <v>8</v>
      </c>
    </row>
    <row r="302" spans="3:14" ht="13.5" thickBot="1">
      <c r="C302" s="79">
        <f>predikcia!A300</f>
        <v>45670</v>
      </c>
      <c r="D302" s="80" t="str">
        <f>predikcia!B300</f>
        <v>09:00:00</v>
      </c>
      <c r="E302" s="81">
        <f>predikcia!G300</f>
        <v>17383.5</v>
      </c>
      <c r="F302" s="70">
        <f>'DHS25'!C299</f>
        <v>17765</v>
      </c>
      <c r="G302" s="71">
        <f>'DHS25'!D299</f>
        <v>6297</v>
      </c>
      <c r="H302" s="108">
        <v>8</v>
      </c>
      <c r="I302" s="72">
        <f>'DHS25'!E299/1000</f>
        <v>8.0129999999999999</v>
      </c>
      <c r="J302" s="109">
        <f>predikcia!R300</f>
        <v>173.53</v>
      </c>
      <c r="K302" s="92">
        <f t="shared" si="4"/>
        <v>1361.3662311</v>
      </c>
      <c r="M302" s="112">
        <v>6</v>
      </c>
      <c r="N302" s="111">
        <v>8</v>
      </c>
    </row>
    <row r="303" spans="3:14" ht="13.5" thickBot="1">
      <c r="C303" s="79">
        <f>predikcia!A301</f>
        <v>45670</v>
      </c>
      <c r="D303" s="80" t="str">
        <f>predikcia!B301</f>
        <v>10:00:00</v>
      </c>
      <c r="E303" s="81">
        <f>predikcia!G301</f>
        <v>16400.5</v>
      </c>
      <c r="F303" s="70">
        <f>'DHS25'!C300</f>
        <v>17653</v>
      </c>
      <c r="G303" s="71">
        <f>'DHS25'!D300</f>
        <v>7175</v>
      </c>
      <c r="H303" s="108">
        <v>8</v>
      </c>
      <c r="I303" s="72">
        <f>'DHS25'!E300/1000</f>
        <v>8.0139999999999993</v>
      </c>
      <c r="J303" s="109">
        <f>predikcia!R301</f>
        <v>141.37</v>
      </c>
      <c r="K303" s="92">
        <f t="shared" si="4"/>
        <v>1106.3831881999999</v>
      </c>
      <c r="M303" s="112">
        <v>6</v>
      </c>
      <c r="N303" s="111">
        <v>8</v>
      </c>
    </row>
    <row r="304" spans="3:14" ht="13.5" thickBot="1">
      <c r="C304" s="79">
        <f>predikcia!A302</f>
        <v>45670</v>
      </c>
      <c r="D304" s="80" t="str">
        <f>predikcia!B302</f>
        <v>11:00:00</v>
      </c>
      <c r="E304" s="81">
        <f>predikcia!G302</f>
        <v>16306</v>
      </c>
      <c r="F304" s="70">
        <f>'DHS25'!C301</f>
        <v>17006</v>
      </c>
      <c r="G304" s="71">
        <f>'DHS25'!D301</f>
        <v>6894</v>
      </c>
      <c r="H304" s="108">
        <v>8</v>
      </c>
      <c r="I304" s="72">
        <f>'DHS25'!E301/1000</f>
        <v>7.9790000000000001</v>
      </c>
      <c r="J304" s="109">
        <f>predikcia!R302</f>
        <v>123.48</v>
      </c>
      <c r="K304" s="92">
        <f t="shared" si="4"/>
        <v>960.2343507999999</v>
      </c>
      <c r="M304" s="112">
        <v>6</v>
      </c>
      <c r="N304" s="111">
        <v>6</v>
      </c>
    </row>
    <row r="305" spans="3:14" ht="13.5" thickBot="1">
      <c r="C305" s="79">
        <f>predikcia!A303</f>
        <v>45670</v>
      </c>
      <c r="D305" s="80" t="str">
        <f>predikcia!B303</f>
        <v>12:00:00</v>
      </c>
      <c r="E305" s="81">
        <f>predikcia!G303</f>
        <v>15817.5</v>
      </c>
      <c r="F305" s="70">
        <f>'DHS25'!C302</f>
        <v>17294</v>
      </c>
      <c r="G305" s="71">
        <f>'DHS25'!D302</f>
        <v>7218</v>
      </c>
      <c r="H305" s="108">
        <v>8</v>
      </c>
      <c r="I305" s="72">
        <f>'DHS25'!E302/1000</f>
        <v>8.0139999999999993</v>
      </c>
      <c r="J305" s="109">
        <f>predikcia!R303</f>
        <v>119.55</v>
      </c>
      <c r="K305" s="92">
        <f t="shared" si="4"/>
        <v>933.26636299999984</v>
      </c>
      <c r="M305" s="112">
        <v>5</v>
      </c>
      <c r="N305" s="111">
        <v>5</v>
      </c>
    </row>
    <row r="306" spans="3:14" ht="13.5" thickBot="1">
      <c r="C306" s="79">
        <f>predikcia!A304</f>
        <v>45670</v>
      </c>
      <c r="D306" s="80" t="str">
        <f>predikcia!B304</f>
        <v>13:00:00</v>
      </c>
      <c r="E306" s="81">
        <f>predikcia!G304</f>
        <v>16003.25</v>
      </c>
      <c r="F306" s="70">
        <f>'DHS25'!C303</f>
        <v>17530</v>
      </c>
      <c r="G306" s="71">
        <f>'DHS25'!D303</f>
        <v>6426</v>
      </c>
      <c r="H306" s="108">
        <v>8</v>
      </c>
      <c r="I306" s="72">
        <f>'DHS25'!E303/1000</f>
        <v>7.9989999999999997</v>
      </c>
      <c r="J306" s="109">
        <f>predikcia!R304</f>
        <v>126.18</v>
      </c>
      <c r="K306" s="92">
        <f t="shared" si="4"/>
        <v>984.0225817999999</v>
      </c>
      <c r="M306" s="112">
        <v>6</v>
      </c>
      <c r="N306" s="111">
        <v>6</v>
      </c>
    </row>
    <row r="307" spans="3:14" ht="13.5" thickBot="1">
      <c r="C307" s="79">
        <f>predikcia!A305</f>
        <v>45670</v>
      </c>
      <c r="D307" s="80" t="str">
        <f>predikcia!B305</f>
        <v>14:00:00</v>
      </c>
      <c r="E307" s="81">
        <f>predikcia!G305</f>
        <v>15825.75</v>
      </c>
      <c r="F307" s="70">
        <f>'DHS25'!C304</f>
        <v>18007</v>
      </c>
      <c r="G307" s="71">
        <f>'DHS25'!D304</f>
        <v>6492</v>
      </c>
      <c r="H307" s="108">
        <v>8</v>
      </c>
      <c r="I307" s="72">
        <f>'DHS25'!E304/1000</f>
        <v>8.0009999999999994</v>
      </c>
      <c r="J307" s="109">
        <f>predikcia!R305</f>
        <v>136.30000000000001</v>
      </c>
      <c r="K307" s="92">
        <f t="shared" si="4"/>
        <v>1064.4290369999999</v>
      </c>
      <c r="M307" s="112">
        <v>5</v>
      </c>
      <c r="N307" s="111">
        <v>8</v>
      </c>
    </row>
    <row r="308" spans="3:14" ht="13.5" thickBot="1">
      <c r="C308" s="79">
        <f>predikcia!A306</f>
        <v>45670</v>
      </c>
      <c r="D308" s="80" t="str">
        <f>predikcia!B306</f>
        <v>15:00:00</v>
      </c>
      <c r="E308" s="81">
        <f>predikcia!G306</f>
        <v>15831.75</v>
      </c>
      <c r="F308" s="70">
        <f>'DHS25'!C305</f>
        <v>17045</v>
      </c>
      <c r="G308" s="71">
        <f>'DHS25'!D305</f>
        <v>7251</v>
      </c>
      <c r="H308" s="108">
        <v>8</v>
      </c>
      <c r="I308" s="72">
        <f>'DHS25'!E305/1000</f>
        <v>8.0090000000000003</v>
      </c>
      <c r="J308" s="109">
        <f>predikcia!R306</f>
        <v>147.01</v>
      </c>
      <c r="K308" s="92">
        <f t="shared" si="4"/>
        <v>1150.4119590999999</v>
      </c>
      <c r="M308" s="112">
        <v>5</v>
      </c>
      <c r="N308" s="111">
        <v>8</v>
      </c>
    </row>
    <row r="309" spans="3:14" ht="13.5" thickBot="1">
      <c r="C309" s="79">
        <f>predikcia!A307</f>
        <v>45670</v>
      </c>
      <c r="D309" s="80" t="str">
        <f>predikcia!B307</f>
        <v>16:00:00</v>
      </c>
      <c r="E309" s="81">
        <f>predikcia!G307</f>
        <v>16467</v>
      </c>
      <c r="F309" s="70">
        <f>'DHS25'!C306</f>
        <v>18035</v>
      </c>
      <c r="G309" s="71">
        <f>'DHS25'!D306</f>
        <v>6154</v>
      </c>
      <c r="H309" s="108">
        <v>8</v>
      </c>
      <c r="I309" s="72">
        <f>'DHS25'!E306/1000</f>
        <v>8.0020000000000007</v>
      </c>
      <c r="J309" s="109">
        <f>predikcia!R307</f>
        <v>174.55</v>
      </c>
      <c r="K309" s="92">
        <f t="shared" si="4"/>
        <v>1367.5778090000001</v>
      </c>
      <c r="M309" s="112">
        <v>6</v>
      </c>
      <c r="N309" s="111">
        <v>8</v>
      </c>
    </row>
    <row r="310" spans="3:14" ht="13.5" thickBot="1">
      <c r="C310" s="79">
        <f>predikcia!A308</f>
        <v>45670</v>
      </c>
      <c r="D310" s="80" t="str">
        <f>predikcia!B308</f>
        <v>17:00:00</v>
      </c>
      <c r="E310" s="81">
        <f>predikcia!G308</f>
        <v>17026.25</v>
      </c>
      <c r="F310" s="70">
        <f>'DHS25'!C307</f>
        <v>17889</v>
      </c>
      <c r="G310" s="71">
        <f>'DHS25'!D307</f>
        <v>6469</v>
      </c>
      <c r="H310" s="108">
        <v>8</v>
      </c>
      <c r="I310" s="72">
        <f>'DHS25'!E307/1000</f>
        <v>8.0060000000000002</v>
      </c>
      <c r="J310" s="109">
        <f>predikcia!R308</f>
        <v>161.19999999999999</v>
      </c>
      <c r="K310" s="92">
        <f t="shared" si="4"/>
        <v>1262.4501279999999</v>
      </c>
      <c r="M310" s="112">
        <v>6</v>
      </c>
      <c r="N310" s="111">
        <v>8</v>
      </c>
    </row>
    <row r="311" spans="3:14" ht="13.5" thickBot="1">
      <c r="C311" s="79">
        <f>predikcia!A309</f>
        <v>45670</v>
      </c>
      <c r="D311" s="80" t="str">
        <f>predikcia!B309</f>
        <v>18:00:00</v>
      </c>
      <c r="E311" s="81">
        <f>predikcia!G309</f>
        <v>16508</v>
      </c>
      <c r="F311" s="70">
        <f>'DHS25'!C308</f>
        <v>17402</v>
      </c>
      <c r="G311" s="71">
        <f>'DHS25'!D308</f>
        <v>6738</v>
      </c>
      <c r="H311" s="108">
        <v>8</v>
      </c>
      <c r="I311" s="72">
        <f>'DHS25'!E308/1000</f>
        <v>7.9710000000000001</v>
      </c>
      <c r="J311" s="109">
        <f>predikcia!R309</f>
        <v>160.09</v>
      </c>
      <c r="K311" s="92">
        <f t="shared" si="4"/>
        <v>1248.1717161000001</v>
      </c>
      <c r="M311" s="112">
        <v>6</v>
      </c>
      <c r="N311" s="111">
        <v>7.8999999999999986</v>
      </c>
    </row>
    <row r="312" spans="3:14" ht="13.5" thickBot="1">
      <c r="C312" s="79">
        <f>predikcia!A310</f>
        <v>45670</v>
      </c>
      <c r="D312" s="80" t="str">
        <f>predikcia!B310</f>
        <v>19:00:00</v>
      </c>
      <c r="E312" s="81">
        <f>predikcia!G310</f>
        <v>16791.25</v>
      </c>
      <c r="F312" s="70">
        <f>'DHS25'!C309</f>
        <v>18464</v>
      </c>
      <c r="G312" s="71">
        <f>'DHS25'!D309</f>
        <v>5610</v>
      </c>
      <c r="H312" s="108">
        <v>8</v>
      </c>
      <c r="I312" s="72">
        <f>'DHS25'!E309/1000</f>
        <v>7.9980000000000002</v>
      </c>
      <c r="J312" s="109">
        <f>predikcia!R310</f>
        <v>158.94</v>
      </c>
      <c r="K312" s="92">
        <f t="shared" si="4"/>
        <v>1243.2938987999999</v>
      </c>
      <c r="M312" s="112">
        <v>6</v>
      </c>
      <c r="N312" s="111">
        <v>8</v>
      </c>
    </row>
    <row r="313" spans="3:14" ht="13.5" thickBot="1">
      <c r="C313" s="79">
        <f>predikcia!A311</f>
        <v>45670</v>
      </c>
      <c r="D313" s="80" t="str">
        <f>predikcia!B311</f>
        <v>20:00:00</v>
      </c>
      <c r="E313" s="81">
        <f>predikcia!G311</f>
        <v>16574.25</v>
      </c>
      <c r="F313" s="70">
        <f>'DHS25'!C310</f>
        <v>18265</v>
      </c>
      <c r="G313" s="71">
        <f>'DHS25'!D310</f>
        <v>5937</v>
      </c>
      <c r="H313" s="108">
        <v>8</v>
      </c>
      <c r="I313" s="72">
        <f>'DHS25'!E310/1000</f>
        <v>8.0009999999999994</v>
      </c>
      <c r="J313" s="109">
        <f>predikcia!R311</f>
        <v>152.37</v>
      </c>
      <c r="K313" s="92">
        <f t="shared" si="4"/>
        <v>1191.7193462999999</v>
      </c>
      <c r="M313" s="112">
        <v>6</v>
      </c>
      <c r="N313" s="111">
        <v>8</v>
      </c>
    </row>
    <row r="314" spans="3:14" ht="13.5" thickBot="1">
      <c r="C314" s="79">
        <f>predikcia!A312</f>
        <v>45670</v>
      </c>
      <c r="D314" s="80" t="str">
        <f>predikcia!B312</f>
        <v>21:00:00</v>
      </c>
      <c r="E314" s="81">
        <f>predikcia!G312</f>
        <v>17053.25</v>
      </c>
      <c r="F314" s="70">
        <f>'DHS25'!C311</f>
        <v>18831</v>
      </c>
      <c r="G314" s="71">
        <f>'DHS25'!D311</f>
        <v>5818</v>
      </c>
      <c r="H314" s="108">
        <v>8</v>
      </c>
      <c r="I314" s="72">
        <f>'DHS25'!E311/1000</f>
        <v>8.0090000000000003</v>
      </c>
      <c r="J314" s="109">
        <f>predikcia!R312</f>
        <v>133.99</v>
      </c>
      <c r="K314" s="92">
        <f t="shared" si="4"/>
        <v>1047.1775509000001</v>
      </c>
      <c r="M314" s="112">
        <v>6</v>
      </c>
      <c r="N314" s="111">
        <v>8</v>
      </c>
    </row>
    <row r="315" spans="3:14" ht="13.5" thickBot="1">
      <c r="C315" s="79">
        <f>predikcia!A313</f>
        <v>45670</v>
      </c>
      <c r="D315" s="80" t="str">
        <f>predikcia!B313</f>
        <v>22:00:00</v>
      </c>
      <c r="E315" s="81">
        <f>predikcia!G313</f>
        <v>15101.25</v>
      </c>
      <c r="F315" s="70">
        <f>'DHS25'!C312</f>
        <v>16301</v>
      </c>
      <c r="G315" s="71">
        <f>'DHS25'!D312</f>
        <v>6783</v>
      </c>
      <c r="H315" s="106">
        <v>8</v>
      </c>
      <c r="I315" s="72">
        <f>'DHS25'!E312/1000</f>
        <v>7.9989999999999997</v>
      </c>
      <c r="J315" s="109">
        <f>predikcia!R313</f>
        <v>119.34</v>
      </c>
      <c r="K315" s="92">
        <f t="shared" si="4"/>
        <v>929.85655339999994</v>
      </c>
      <c r="M315" s="112">
        <v>5</v>
      </c>
      <c r="N315" s="111">
        <v>5</v>
      </c>
    </row>
    <row r="316" spans="3:14" ht="13.5" thickBot="1">
      <c r="C316" s="82">
        <f>predikcia!A314</f>
        <v>45670</v>
      </c>
      <c r="D316" s="83" t="str">
        <f>predikcia!B314</f>
        <v>23:00:00</v>
      </c>
      <c r="E316" s="84">
        <f>predikcia!G314</f>
        <v>8129</v>
      </c>
      <c r="F316" s="73">
        <f>'DHS25'!C313</f>
        <v>10766</v>
      </c>
      <c r="G316" s="64">
        <f>'DHS25'!D313</f>
        <v>4622</v>
      </c>
      <c r="H316" s="107">
        <v>4</v>
      </c>
      <c r="I316" s="74">
        <f>'DHS25'!E313/1000</f>
        <v>4.0220000000000002</v>
      </c>
      <c r="J316" s="114">
        <f>predikcia!R314</f>
        <v>107.93</v>
      </c>
      <c r="K316" s="75">
        <f t="shared" si="4"/>
        <v>422.11171540000004</v>
      </c>
      <c r="M316" s="112">
        <v>4</v>
      </c>
      <c r="N316" s="111">
        <v>4</v>
      </c>
    </row>
    <row r="317" spans="3:14" ht="13.5" thickBot="1">
      <c r="C317" s="85">
        <f>predikcia!A315</f>
        <v>45671</v>
      </c>
      <c r="D317" s="86" t="str">
        <f>predikcia!B315</f>
        <v>00:00:00</v>
      </c>
      <c r="E317" s="78">
        <f>predikcia!G315</f>
        <v>8575.75</v>
      </c>
      <c r="F317" s="68">
        <f>'DHS25'!C314</f>
        <v>8609</v>
      </c>
      <c r="G317" s="63">
        <f>'DHS25'!D314</f>
        <v>4669</v>
      </c>
      <c r="H317" s="105">
        <v>4</v>
      </c>
      <c r="I317" s="69">
        <f>'DHS25'!E314/1000</f>
        <v>3.9950000000000001</v>
      </c>
      <c r="J317" s="109">
        <f>predikcia!R315</f>
        <v>108.87</v>
      </c>
      <c r="K317" s="92">
        <f t="shared" si="4"/>
        <v>422.99579349999999</v>
      </c>
      <c r="M317" s="112">
        <v>4</v>
      </c>
      <c r="N317" s="111">
        <v>4</v>
      </c>
    </row>
    <row r="318" spans="3:14" ht="13.5" thickBot="1">
      <c r="C318" s="87">
        <f>predikcia!A316</f>
        <v>45671</v>
      </c>
      <c r="D318" s="88" t="str">
        <f>predikcia!B316</f>
        <v>01:00:00</v>
      </c>
      <c r="E318" s="81">
        <f>predikcia!G316</f>
        <v>11196.5</v>
      </c>
      <c r="F318" s="70">
        <f>'DHS25'!C315</f>
        <v>10321</v>
      </c>
      <c r="G318" s="71">
        <f>'DHS25'!D315</f>
        <v>2503</v>
      </c>
      <c r="H318" s="106">
        <v>4</v>
      </c>
      <c r="I318" s="72">
        <f>'DHS25'!E315/1000</f>
        <v>3.9910000000000001</v>
      </c>
      <c r="J318" s="109">
        <f>predikcia!R316</f>
        <v>105.9</v>
      </c>
      <c r="K318" s="92">
        <f t="shared" si="4"/>
        <v>410.83753100000001</v>
      </c>
      <c r="M318" s="112">
        <v>4</v>
      </c>
      <c r="N318" s="111">
        <v>4</v>
      </c>
    </row>
    <row r="319" spans="3:14" ht="13.5" thickBot="1">
      <c r="C319" s="87">
        <f>predikcia!A317</f>
        <v>45671</v>
      </c>
      <c r="D319" s="88" t="str">
        <f>predikcia!B317</f>
        <v>02:00:00</v>
      </c>
      <c r="E319" s="81">
        <f>predikcia!G317</f>
        <v>11799.5</v>
      </c>
      <c r="F319" s="70">
        <f>'DHS25'!C316</f>
        <v>12339</v>
      </c>
      <c r="G319" s="71">
        <f>'DHS25'!D316</f>
        <v>1649</v>
      </c>
      <c r="H319" s="106">
        <v>4</v>
      </c>
      <c r="I319" s="72">
        <f>'DHS25'!E316/1000</f>
        <v>4.03</v>
      </c>
      <c r="J319" s="109">
        <f>predikcia!R317</f>
        <v>101.5</v>
      </c>
      <c r="K319" s="92">
        <f t="shared" si="4"/>
        <v>397.29755</v>
      </c>
      <c r="M319" s="112">
        <v>4</v>
      </c>
      <c r="N319" s="111">
        <v>4</v>
      </c>
    </row>
    <row r="320" spans="3:14" ht="13.5" thickBot="1">
      <c r="C320" s="87">
        <f>predikcia!A318</f>
        <v>45671</v>
      </c>
      <c r="D320" s="88" t="str">
        <f>predikcia!B318</f>
        <v>03:00:00</v>
      </c>
      <c r="E320" s="81">
        <f>predikcia!G318</f>
        <v>11971.25</v>
      </c>
      <c r="F320" s="70">
        <f>'DHS25'!C317</f>
        <v>13674</v>
      </c>
      <c r="G320" s="71">
        <f>'DHS25'!D317</f>
        <v>22</v>
      </c>
      <c r="H320" s="106">
        <v>4</v>
      </c>
      <c r="I320" s="72">
        <f>'DHS25'!E317/1000</f>
        <v>4.0049999999999999</v>
      </c>
      <c r="J320" s="109">
        <f>predikcia!R318</f>
        <v>100.22</v>
      </c>
      <c r="K320" s="92">
        <f t="shared" si="4"/>
        <v>389.75778899999995</v>
      </c>
      <c r="M320" s="112">
        <v>4</v>
      </c>
      <c r="N320" s="111">
        <v>4</v>
      </c>
    </row>
    <row r="321" spans="3:14" ht="13.5" thickBot="1">
      <c r="C321" s="87">
        <f>predikcia!A319</f>
        <v>45671</v>
      </c>
      <c r="D321" s="88" t="str">
        <f>predikcia!B319</f>
        <v>04:00:00</v>
      </c>
      <c r="E321" s="81">
        <f>predikcia!G319</f>
        <v>17050.75</v>
      </c>
      <c r="F321" s="70">
        <f>'DHS25'!C318</f>
        <v>20025</v>
      </c>
      <c r="G321" s="71">
        <f>'DHS25'!D318</f>
        <v>122</v>
      </c>
      <c r="H321" s="106">
        <v>6</v>
      </c>
      <c r="I321" s="72">
        <f>'DHS25'!E318/1000</f>
        <v>6.0359999999999996</v>
      </c>
      <c r="J321" s="109">
        <f>predikcia!R319</f>
        <v>103.5</v>
      </c>
      <c r="K321" s="92">
        <f t="shared" si="4"/>
        <v>607.01033999999993</v>
      </c>
      <c r="M321" s="112">
        <v>6</v>
      </c>
      <c r="N321" s="111">
        <v>6</v>
      </c>
    </row>
    <row r="322" spans="3:14" ht="13.5" thickBot="1">
      <c r="C322" s="87">
        <f>predikcia!A320</f>
        <v>45671</v>
      </c>
      <c r="D322" s="88" t="str">
        <f>predikcia!B320</f>
        <v>05:00:00</v>
      </c>
      <c r="E322" s="81">
        <f>predikcia!G320</f>
        <v>17009.75</v>
      </c>
      <c r="F322" s="70">
        <f>'DHS25'!C319</f>
        <v>20931</v>
      </c>
      <c r="G322" s="71">
        <f>'DHS25'!D319</f>
        <v>1641</v>
      </c>
      <c r="H322" s="106">
        <v>6</v>
      </c>
      <c r="I322" s="72">
        <f>'DHS25'!E319/1000</f>
        <v>6.0069999999999997</v>
      </c>
      <c r="J322" s="109">
        <f>predikcia!R320</f>
        <v>108.94</v>
      </c>
      <c r="K322" s="92">
        <f t="shared" si="4"/>
        <v>636.44525419999991</v>
      </c>
      <c r="M322" s="112">
        <v>6</v>
      </c>
      <c r="N322" s="111">
        <v>6</v>
      </c>
    </row>
    <row r="323" spans="3:14" ht="13.5" thickBot="1">
      <c r="C323" s="87">
        <f>predikcia!A321</f>
        <v>45671</v>
      </c>
      <c r="D323" s="88" t="str">
        <f>predikcia!B321</f>
        <v>06:00:00</v>
      </c>
      <c r="E323" s="81">
        <f>predikcia!G321</f>
        <v>17475</v>
      </c>
      <c r="F323" s="70">
        <f>'DHS25'!C320</f>
        <v>23570</v>
      </c>
      <c r="G323" s="71">
        <f>'DHS25'!D320</f>
        <v>120</v>
      </c>
      <c r="H323" s="106">
        <v>8</v>
      </c>
      <c r="I323" s="72">
        <f>'DHS25'!E320/1000</f>
        <v>7.9880000000000004</v>
      </c>
      <c r="J323" s="109">
        <f>predikcia!R321</f>
        <v>139.87</v>
      </c>
      <c r="K323" s="92">
        <f t="shared" si="4"/>
        <v>1090.9315444000001</v>
      </c>
      <c r="M323" s="112">
        <v>6</v>
      </c>
      <c r="N323" s="111">
        <v>8</v>
      </c>
    </row>
    <row r="324" spans="3:14" ht="13.5" thickBot="1">
      <c r="C324" s="87">
        <f>predikcia!A322</f>
        <v>45671</v>
      </c>
      <c r="D324" s="88" t="str">
        <f>predikcia!B322</f>
        <v>07:00:00</v>
      </c>
      <c r="E324" s="81">
        <f>predikcia!G322</f>
        <v>16265.75</v>
      </c>
      <c r="F324" s="70">
        <f>'DHS25'!C321</f>
        <v>23326</v>
      </c>
      <c r="G324" s="71">
        <f>'DHS25'!D321</f>
        <v>1745</v>
      </c>
      <c r="H324" s="106">
        <v>8</v>
      </c>
      <c r="I324" s="72">
        <f>'DHS25'!E321/1000</f>
        <v>8.0129999999999999</v>
      </c>
      <c r="J324" s="109">
        <f>predikcia!R322</f>
        <v>163.5</v>
      </c>
      <c r="K324" s="92">
        <f t="shared" si="4"/>
        <v>1281.7995450000001</v>
      </c>
      <c r="M324" s="112">
        <v>6</v>
      </c>
      <c r="N324" s="111">
        <v>8</v>
      </c>
    </row>
    <row r="325" spans="3:14" ht="13.5" thickBot="1">
      <c r="C325" s="87">
        <f>predikcia!A323</f>
        <v>45671</v>
      </c>
      <c r="D325" s="88" t="str">
        <f>predikcia!B323</f>
        <v>08:00:00</v>
      </c>
      <c r="E325" s="81">
        <f>predikcia!G323</f>
        <v>17058.5</v>
      </c>
      <c r="F325" s="70">
        <f>'DHS25'!C322</f>
        <v>23391</v>
      </c>
      <c r="G325" s="71">
        <f>'DHS25'!D322</f>
        <v>1783</v>
      </c>
      <c r="H325" s="106">
        <v>8</v>
      </c>
      <c r="I325" s="72">
        <f>'DHS25'!E322/1000</f>
        <v>7.9939999999999998</v>
      </c>
      <c r="J325" s="109">
        <f>predikcia!R323</f>
        <v>186</v>
      </c>
      <c r="K325" s="92">
        <f t="shared" si="4"/>
        <v>1456.8265599999997</v>
      </c>
      <c r="M325" s="112">
        <v>6</v>
      </c>
      <c r="N325" s="111">
        <v>8</v>
      </c>
    </row>
    <row r="326" spans="3:14" ht="13.5" thickBot="1">
      <c r="C326" s="87">
        <f>predikcia!A324</f>
        <v>45671</v>
      </c>
      <c r="D326" s="88" t="str">
        <f>predikcia!B324</f>
        <v>09:00:00</v>
      </c>
      <c r="E326" s="81">
        <f>predikcia!G324</f>
        <v>16718.75</v>
      </c>
      <c r="F326" s="70">
        <f>'DHS25'!C323</f>
        <v>19896</v>
      </c>
      <c r="G326" s="71">
        <f>'DHS25'!D323</f>
        <v>5133</v>
      </c>
      <c r="H326" s="106">
        <v>8</v>
      </c>
      <c r="I326" s="72">
        <f>'DHS25'!E323/1000</f>
        <v>7.9569999999999999</v>
      </c>
      <c r="J326" s="109">
        <f>predikcia!R324</f>
        <v>151.96</v>
      </c>
      <c r="K326" s="92">
        <f t="shared" ref="K326:K389" si="5">(J326*0.99-1.9)*I326</f>
        <v>1181.9359628</v>
      </c>
      <c r="M326" s="112">
        <v>6</v>
      </c>
      <c r="N326" s="111">
        <v>8</v>
      </c>
    </row>
    <row r="327" spans="3:14" ht="13.5" thickBot="1">
      <c r="C327" s="87">
        <f>predikcia!A325</f>
        <v>45671</v>
      </c>
      <c r="D327" s="88" t="str">
        <f>predikcia!B325</f>
        <v>10:00:00</v>
      </c>
      <c r="E327" s="81">
        <f>predikcia!G325</f>
        <v>16607</v>
      </c>
      <c r="F327" s="70">
        <f>'DHS25'!C324</f>
        <v>21165</v>
      </c>
      <c r="G327" s="71">
        <f>'DHS25'!D324</f>
        <v>3178</v>
      </c>
      <c r="H327" s="106">
        <v>8</v>
      </c>
      <c r="I327" s="72">
        <f>'DHS25'!E324/1000</f>
        <v>7.9960000000000004</v>
      </c>
      <c r="J327" s="109">
        <f>predikcia!R325</f>
        <v>130</v>
      </c>
      <c r="K327" s="92">
        <f t="shared" si="5"/>
        <v>1013.8928</v>
      </c>
      <c r="M327" s="112">
        <v>6</v>
      </c>
      <c r="N327" s="111">
        <v>8</v>
      </c>
    </row>
    <row r="328" spans="3:14" ht="13.5" thickBot="1">
      <c r="C328" s="87">
        <f>predikcia!A326</f>
        <v>45671</v>
      </c>
      <c r="D328" s="88" t="str">
        <f>predikcia!B326</f>
        <v>11:00:00</v>
      </c>
      <c r="E328" s="81">
        <f>predikcia!G326</f>
        <v>16317.75</v>
      </c>
      <c r="F328" s="70">
        <f>'DHS25'!C325</f>
        <v>17327</v>
      </c>
      <c r="G328" s="71">
        <f>'DHS25'!D325</f>
        <v>3948</v>
      </c>
      <c r="H328" s="106">
        <v>6</v>
      </c>
      <c r="I328" s="72">
        <f>'DHS25'!E325/1000</f>
        <v>6.8220000000000001</v>
      </c>
      <c r="J328" s="109">
        <f>predikcia!R326</f>
        <v>122.5</v>
      </c>
      <c r="K328" s="92">
        <f t="shared" si="5"/>
        <v>814.37625000000003</v>
      </c>
      <c r="M328" s="112">
        <v>6</v>
      </c>
      <c r="N328" s="111">
        <v>6</v>
      </c>
    </row>
    <row r="329" spans="3:14" ht="13.5" thickBot="1">
      <c r="C329" s="87">
        <f>predikcia!A327</f>
        <v>45671</v>
      </c>
      <c r="D329" s="88" t="str">
        <f>predikcia!B327</f>
        <v>12:00:00</v>
      </c>
      <c r="E329" s="81">
        <f>predikcia!G327</f>
        <v>15704</v>
      </c>
      <c r="F329" s="70">
        <f>'DHS25'!C326</f>
        <v>17508</v>
      </c>
      <c r="G329" s="71">
        <f>'DHS25'!D326</f>
        <v>965</v>
      </c>
      <c r="H329" s="106">
        <v>5</v>
      </c>
      <c r="I329" s="72">
        <f>'DHS25'!E326/1000</f>
        <v>5.2370000000000001</v>
      </c>
      <c r="J329" s="109">
        <f>predikcia!R327</f>
        <v>117.5</v>
      </c>
      <c r="K329" s="92">
        <f t="shared" si="5"/>
        <v>599.24372500000004</v>
      </c>
      <c r="M329" s="112">
        <v>5</v>
      </c>
      <c r="N329" s="111">
        <v>5</v>
      </c>
    </row>
    <row r="330" spans="3:14" ht="13.5" thickBot="1">
      <c r="C330" s="87">
        <f>predikcia!A328</f>
        <v>45671</v>
      </c>
      <c r="D330" s="88" t="str">
        <f>predikcia!B328</f>
        <v>13:00:00</v>
      </c>
      <c r="E330" s="81">
        <f>predikcia!G328</f>
        <v>15752.75</v>
      </c>
      <c r="F330" s="70">
        <f>'DHS25'!C327</f>
        <v>16209</v>
      </c>
      <c r="G330" s="71">
        <f>'DHS25'!D327</f>
        <v>97</v>
      </c>
      <c r="H330" s="106">
        <v>5</v>
      </c>
      <c r="I330" s="72">
        <f>'DHS25'!E327/1000</f>
        <v>5.0309999999999997</v>
      </c>
      <c r="J330" s="109">
        <f>predikcia!R328</f>
        <v>119.83</v>
      </c>
      <c r="K330" s="92">
        <f t="shared" si="5"/>
        <v>587.27718269999991</v>
      </c>
      <c r="M330" s="112">
        <v>5</v>
      </c>
      <c r="N330" s="111">
        <v>5</v>
      </c>
    </row>
    <row r="331" spans="3:14" ht="13.5" thickBot="1">
      <c r="C331" s="87">
        <f>predikcia!A329</f>
        <v>45671</v>
      </c>
      <c r="D331" s="88" t="str">
        <f>predikcia!B329</f>
        <v>14:00:00</v>
      </c>
      <c r="E331" s="81">
        <f>predikcia!G329</f>
        <v>15735.75</v>
      </c>
      <c r="F331" s="70">
        <f>'DHS25'!C328</f>
        <v>10778</v>
      </c>
      <c r="G331" s="71">
        <f>'DHS25'!D328</f>
        <v>9787</v>
      </c>
      <c r="H331" s="106">
        <v>8</v>
      </c>
      <c r="I331" s="72">
        <f>'DHS25'!E328/1000</f>
        <v>7.8890000000000002</v>
      </c>
      <c r="J331" s="109">
        <f>predikcia!R329</f>
        <v>142.30000000000001</v>
      </c>
      <c r="K331" s="92">
        <f t="shared" si="5"/>
        <v>1096.389553</v>
      </c>
      <c r="M331" s="112">
        <v>5</v>
      </c>
      <c r="N331" s="111">
        <v>8</v>
      </c>
    </row>
    <row r="332" spans="3:14" ht="13.5" thickBot="1">
      <c r="C332" s="87">
        <f>predikcia!A330</f>
        <v>45671</v>
      </c>
      <c r="D332" s="88" t="str">
        <f>predikcia!B330</f>
        <v>15:00:00</v>
      </c>
      <c r="E332" s="81">
        <f>predikcia!G330</f>
        <v>16187.25</v>
      </c>
      <c r="F332" s="70">
        <f>'DHS25'!C329</f>
        <v>16759</v>
      </c>
      <c r="G332" s="71">
        <f>'DHS25'!D329</f>
        <v>6658</v>
      </c>
      <c r="H332" s="106">
        <v>8</v>
      </c>
      <c r="I332" s="72">
        <f>'DHS25'!E329/1000</f>
        <v>7.992</v>
      </c>
      <c r="J332" s="109">
        <f>predikcia!R330</f>
        <v>198.37</v>
      </c>
      <c r="K332" s="92">
        <f t="shared" si="5"/>
        <v>1554.3345096</v>
      </c>
      <c r="M332" s="112">
        <v>6</v>
      </c>
      <c r="N332" s="111">
        <v>8</v>
      </c>
    </row>
    <row r="333" spans="3:14" ht="13.5" thickBot="1">
      <c r="C333" s="87">
        <f>predikcia!A331</f>
        <v>45671</v>
      </c>
      <c r="D333" s="88" t="str">
        <f>predikcia!B331</f>
        <v>16:00:00</v>
      </c>
      <c r="E333" s="81">
        <f>predikcia!G331</f>
        <v>16369.25</v>
      </c>
      <c r="F333" s="70">
        <f>'DHS25'!C330</f>
        <v>20495</v>
      </c>
      <c r="G333" s="71">
        <f>'DHS25'!D330</f>
        <v>4979</v>
      </c>
      <c r="H333" s="106">
        <v>8</v>
      </c>
      <c r="I333" s="72">
        <f>'DHS25'!E330/1000</f>
        <v>8.0449999999999999</v>
      </c>
      <c r="J333" s="109">
        <f>predikcia!R331</f>
        <v>219</v>
      </c>
      <c r="K333" s="92">
        <f t="shared" si="5"/>
        <v>1728.9509499999999</v>
      </c>
      <c r="M333" s="112">
        <v>6</v>
      </c>
      <c r="N333" s="111">
        <v>8</v>
      </c>
    </row>
    <row r="334" spans="3:14" ht="13.5" thickBot="1">
      <c r="C334" s="87">
        <f>predikcia!A332</f>
        <v>45671</v>
      </c>
      <c r="D334" s="88" t="str">
        <f>predikcia!B332</f>
        <v>17:00:00</v>
      </c>
      <c r="E334" s="81">
        <f>predikcia!G332</f>
        <v>15982.5</v>
      </c>
      <c r="F334" s="70">
        <f>'DHS25'!C331</f>
        <v>18278</v>
      </c>
      <c r="G334" s="71">
        <f>'DHS25'!D331</f>
        <v>6196</v>
      </c>
      <c r="H334" s="106">
        <v>8</v>
      </c>
      <c r="I334" s="72">
        <f>'DHS25'!E331/1000</f>
        <v>8.0779999999999994</v>
      </c>
      <c r="J334" s="109">
        <f>predikcia!R332</f>
        <v>192</v>
      </c>
      <c r="K334" s="92">
        <f t="shared" si="5"/>
        <v>1520.1180399999996</v>
      </c>
      <c r="M334" s="112">
        <v>5</v>
      </c>
      <c r="N334" s="111">
        <v>8</v>
      </c>
    </row>
    <row r="335" spans="3:14" ht="13.5" thickBot="1">
      <c r="C335" s="87">
        <f>predikcia!A333</f>
        <v>45671</v>
      </c>
      <c r="D335" s="88" t="str">
        <f>predikcia!B333</f>
        <v>18:00:00</v>
      </c>
      <c r="E335" s="81">
        <f>predikcia!G333</f>
        <v>16990</v>
      </c>
      <c r="F335" s="70">
        <f>'DHS25'!C332</f>
        <v>17498</v>
      </c>
      <c r="G335" s="71">
        <f>'DHS25'!D332</f>
        <v>6562</v>
      </c>
      <c r="H335" s="106">
        <v>8</v>
      </c>
      <c r="I335" s="72">
        <f>'DHS25'!E332/1000</f>
        <v>8.0489999999999995</v>
      </c>
      <c r="J335" s="109">
        <f>predikcia!R333</f>
        <v>192</v>
      </c>
      <c r="K335" s="92">
        <f t="shared" si="5"/>
        <v>1514.6608199999998</v>
      </c>
      <c r="M335" s="112">
        <v>6</v>
      </c>
      <c r="N335" s="111">
        <v>8</v>
      </c>
    </row>
    <row r="336" spans="3:14" ht="13.5" thickBot="1">
      <c r="C336" s="87">
        <f>predikcia!A334</f>
        <v>45671</v>
      </c>
      <c r="D336" s="88" t="str">
        <f>predikcia!B334</f>
        <v>19:00:00</v>
      </c>
      <c r="E336" s="81">
        <f>predikcia!G334</f>
        <v>16747.25</v>
      </c>
      <c r="F336" s="70">
        <f>'DHS25'!C333</f>
        <v>18595</v>
      </c>
      <c r="G336" s="71">
        <f>'DHS25'!D333</f>
        <v>6242</v>
      </c>
      <c r="H336" s="106">
        <v>8</v>
      </c>
      <c r="I336" s="72">
        <f>'DHS25'!E333/1000</f>
        <v>8.0519999999999996</v>
      </c>
      <c r="J336" s="109">
        <f>predikcia!R334</f>
        <v>218.79</v>
      </c>
      <c r="K336" s="92">
        <f t="shared" si="5"/>
        <v>1728.7813091999997</v>
      </c>
      <c r="M336" s="112">
        <v>6</v>
      </c>
      <c r="N336" s="111">
        <v>8</v>
      </c>
    </row>
    <row r="337" spans="3:14" ht="13.5" thickBot="1">
      <c r="C337" s="87">
        <f>predikcia!A335</f>
        <v>45671</v>
      </c>
      <c r="D337" s="88" t="str">
        <f>predikcia!B335</f>
        <v>20:00:00</v>
      </c>
      <c r="E337" s="81">
        <f>predikcia!G335</f>
        <v>17213.75</v>
      </c>
      <c r="F337" s="70">
        <f>'DHS25'!C334</f>
        <v>19269</v>
      </c>
      <c r="G337" s="71">
        <f>'DHS25'!D334</f>
        <v>5594</v>
      </c>
      <c r="H337" s="106">
        <v>8</v>
      </c>
      <c r="I337" s="72">
        <f>'DHS25'!E334/1000</f>
        <v>8.0649999999999995</v>
      </c>
      <c r="J337" s="109">
        <f>predikcia!R335</f>
        <v>206.81</v>
      </c>
      <c r="K337" s="92">
        <f t="shared" si="5"/>
        <v>1635.9199234999996</v>
      </c>
      <c r="M337" s="112">
        <v>6</v>
      </c>
      <c r="N337" s="111">
        <v>8</v>
      </c>
    </row>
    <row r="338" spans="3:14" ht="13.5" thickBot="1">
      <c r="C338" s="87">
        <f>predikcia!A336</f>
        <v>45671</v>
      </c>
      <c r="D338" s="88" t="str">
        <f>predikcia!B336</f>
        <v>21:00:00</v>
      </c>
      <c r="E338" s="81">
        <f>predikcia!G336</f>
        <v>16816.75</v>
      </c>
      <c r="F338" s="70">
        <f>'DHS25'!C335</f>
        <v>18693</v>
      </c>
      <c r="G338" s="71">
        <f>'DHS25'!D335</f>
        <v>5841</v>
      </c>
      <c r="H338" s="106">
        <v>8</v>
      </c>
      <c r="I338" s="72">
        <f>'DHS25'!E335/1000</f>
        <v>8.0250000000000004</v>
      </c>
      <c r="J338" s="109">
        <f>predikcia!R336</f>
        <v>202.76</v>
      </c>
      <c r="K338" s="92">
        <f t="shared" si="5"/>
        <v>1595.6300099999999</v>
      </c>
      <c r="M338" s="112">
        <v>6</v>
      </c>
      <c r="N338" s="111">
        <v>8</v>
      </c>
    </row>
    <row r="339" spans="3:14" ht="13.5" thickBot="1">
      <c r="C339" s="87">
        <f>predikcia!A337</f>
        <v>45671</v>
      </c>
      <c r="D339" s="88" t="str">
        <f>predikcia!B337</f>
        <v>22:00:00</v>
      </c>
      <c r="E339" s="81">
        <f>predikcia!G337</f>
        <v>15914</v>
      </c>
      <c r="F339" s="70">
        <f>'DHS25'!C336</f>
        <v>15719</v>
      </c>
      <c r="G339" s="71">
        <f>'DHS25'!D336</f>
        <v>8148</v>
      </c>
      <c r="H339" s="106">
        <v>8</v>
      </c>
      <c r="I339" s="72">
        <f>'DHS25'!E336/1000</f>
        <v>8.0129999999999999</v>
      </c>
      <c r="J339" s="109">
        <f>predikcia!R337</f>
        <v>174.15</v>
      </c>
      <c r="K339" s="92">
        <f t="shared" si="5"/>
        <v>1366.2846104999999</v>
      </c>
      <c r="M339" s="112">
        <v>5</v>
      </c>
      <c r="N339" s="111">
        <v>8</v>
      </c>
    </row>
    <row r="340" spans="3:14" ht="13.5" thickBot="1">
      <c r="C340" s="89">
        <f>predikcia!A338</f>
        <v>45671</v>
      </c>
      <c r="D340" s="90" t="str">
        <f>predikcia!B338</f>
        <v>23:00:00</v>
      </c>
      <c r="E340" s="84">
        <f>predikcia!G338</f>
        <v>9566.75</v>
      </c>
      <c r="F340" s="73">
        <f>'DHS25'!C337</f>
        <v>10153</v>
      </c>
      <c r="G340" s="64">
        <f>'DHS25'!D337</f>
        <v>10808</v>
      </c>
      <c r="H340" s="107">
        <v>4</v>
      </c>
      <c r="I340" s="74">
        <f>'DHS25'!E337/1000</f>
        <v>6.274</v>
      </c>
      <c r="J340" s="109">
        <f>predikcia!R338</f>
        <v>126.02</v>
      </c>
      <c r="K340" s="92">
        <f t="shared" si="5"/>
        <v>770.82238519999999</v>
      </c>
      <c r="M340" s="112">
        <v>4</v>
      </c>
      <c r="N340" s="111">
        <v>4</v>
      </c>
    </row>
    <row r="341" spans="3:14" ht="13.5" thickBot="1">
      <c r="C341" s="76">
        <f>predikcia!A339</f>
        <v>45672</v>
      </c>
      <c r="D341" s="77" t="str">
        <f>predikcia!B339</f>
        <v>00:00:00</v>
      </c>
      <c r="E341" s="78">
        <f>predikcia!G339</f>
        <v>8493</v>
      </c>
      <c r="F341" s="68">
        <f>'DHS25'!C338</f>
        <v>9866</v>
      </c>
      <c r="G341" s="63">
        <f>'DHS25'!D338</f>
        <v>4043</v>
      </c>
      <c r="H341" s="105">
        <v>4</v>
      </c>
      <c r="I341" s="69">
        <f>'DHS25'!E338/1000</f>
        <v>4.0410000000000004</v>
      </c>
      <c r="J341" s="109">
        <f>predikcia!R339</f>
        <v>125.4</v>
      </c>
      <c r="K341" s="92">
        <f t="shared" si="5"/>
        <v>493.99608600000005</v>
      </c>
      <c r="M341" s="112">
        <v>4</v>
      </c>
      <c r="N341" s="111">
        <v>4</v>
      </c>
    </row>
    <row r="342" spans="3:14" ht="13.5" thickBot="1">
      <c r="C342" s="79">
        <f>predikcia!A340</f>
        <v>45672</v>
      </c>
      <c r="D342" s="80" t="str">
        <f>predikcia!B340</f>
        <v>01:00:00</v>
      </c>
      <c r="E342" s="81">
        <f>predikcia!G340</f>
        <v>11042.5</v>
      </c>
      <c r="F342" s="70">
        <f>'DHS25'!C339</f>
        <v>11955</v>
      </c>
      <c r="G342" s="71">
        <f>'DHS25'!D339</f>
        <v>2078</v>
      </c>
      <c r="H342" s="106">
        <v>4</v>
      </c>
      <c r="I342" s="72">
        <f>'DHS25'!E339/1000</f>
        <v>4.0510000000000002</v>
      </c>
      <c r="J342" s="109">
        <f>predikcia!R340</f>
        <v>111.78</v>
      </c>
      <c r="K342" s="92">
        <f t="shared" si="5"/>
        <v>440.59567219999997</v>
      </c>
      <c r="M342" s="112">
        <v>4</v>
      </c>
      <c r="N342" s="111">
        <v>4</v>
      </c>
    </row>
    <row r="343" spans="3:14" ht="13.5" thickBot="1">
      <c r="C343" s="79">
        <f>predikcia!A341</f>
        <v>45672</v>
      </c>
      <c r="D343" s="80" t="str">
        <f>predikcia!B341</f>
        <v>02:00:00</v>
      </c>
      <c r="E343" s="81">
        <f>predikcia!G341</f>
        <v>11836.25</v>
      </c>
      <c r="F343" s="70">
        <f>'DHS25'!C340</f>
        <v>12951</v>
      </c>
      <c r="G343" s="71">
        <f>'DHS25'!D340</f>
        <v>1335</v>
      </c>
      <c r="H343" s="106">
        <v>4</v>
      </c>
      <c r="I343" s="72">
        <f>'DHS25'!E340/1000</f>
        <v>4.0419999999999998</v>
      </c>
      <c r="J343" s="109">
        <f>predikcia!R341</f>
        <v>110.61</v>
      </c>
      <c r="K343" s="92">
        <f t="shared" si="5"/>
        <v>434.93496379999999</v>
      </c>
      <c r="M343" s="112">
        <v>4</v>
      </c>
      <c r="N343" s="111">
        <v>4</v>
      </c>
    </row>
    <row r="344" spans="3:14" ht="13.5" thickBot="1">
      <c r="C344" s="79">
        <f>predikcia!A342</f>
        <v>45672</v>
      </c>
      <c r="D344" s="80" t="str">
        <f>predikcia!B342</f>
        <v>03:00:00</v>
      </c>
      <c r="E344" s="81">
        <f>predikcia!G342</f>
        <v>11864</v>
      </c>
      <c r="F344" s="70">
        <f>'DHS25'!C341</f>
        <v>13453</v>
      </c>
      <c r="G344" s="71">
        <f>'DHS25'!D341</f>
        <v>1237</v>
      </c>
      <c r="H344" s="106">
        <v>4</v>
      </c>
      <c r="I344" s="72">
        <f>'DHS25'!E341/1000</f>
        <v>4.0460000000000003</v>
      </c>
      <c r="J344" s="109">
        <f>predikcia!R342</f>
        <v>108.81</v>
      </c>
      <c r="K344" s="92">
        <f t="shared" si="5"/>
        <v>428.1554074</v>
      </c>
      <c r="M344" s="112">
        <v>4</v>
      </c>
      <c r="N344" s="111">
        <v>4</v>
      </c>
    </row>
    <row r="345" spans="3:14" ht="13.5" thickBot="1">
      <c r="C345" s="79">
        <f>predikcia!A343</f>
        <v>45672</v>
      </c>
      <c r="D345" s="80" t="str">
        <f>predikcia!B343</f>
        <v>04:00:00</v>
      </c>
      <c r="E345" s="81">
        <f>predikcia!G343</f>
        <v>17762.25</v>
      </c>
      <c r="F345" s="70">
        <f>'DHS25'!C342</f>
        <v>18822</v>
      </c>
      <c r="G345" s="71">
        <f>'DHS25'!D342</f>
        <v>51</v>
      </c>
      <c r="H345" s="106">
        <v>6</v>
      </c>
      <c r="I345" s="72">
        <f>'DHS25'!E342/1000</f>
        <v>5.9610000000000003</v>
      </c>
      <c r="J345" s="109">
        <f>predikcia!R343</f>
        <v>123.43</v>
      </c>
      <c r="K345" s="92">
        <f t="shared" si="5"/>
        <v>717.0826677</v>
      </c>
      <c r="M345" s="112">
        <v>6</v>
      </c>
      <c r="N345" s="111">
        <v>6</v>
      </c>
    </row>
    <row r="346" spans="3:14" ht="13.5" thickBot="1">
      <c r="C346" s="79">
        <f>predikcia!A344</f>
        <v>45672</v>
      </c>
      <c r="D346" s="80" t="str">
        <f>predikcia!B344</f>
        <v>05:00:00</v>
      </c>
      <c r="E346" s="81">
        <f>predikcia!G344</f>
        <v>17729.5</v>
      </c>
      <c r="F346" s="70">
        <f>'DHS25'!C343</f>
        <v>19032</v>
      </c>
      <c r="G346" s="71">
        <f>'DHS25'!D343</f>
        <v>3853</v>
      </c>
      <c r="H346" s="106">
        <v>8</v>
      </c>
      <c r="I346" s="72">
        <f>'DHS25'!E343/1000</f>
        <v>7.3529999999999998</v>
      </c>
      <c r="J346" s="109">
        <f>predikcia!R344</f>
        <v>143.11000000000001</v>
      </c>
      <c r="K346" s="92">
        <f t="shared" si="5"/>
        <v>1027.7942516999999</v>
      </c>
      <c r="M346" s="112">
        <v>6</v>
      </c>
      <c r="N346" s="111">
        <v>8</v>
      </c>
    </row>
    <row r="347" spans="3:14" ht="13.5" thickBot="1">
      <c r="C347" s="79">
        <f>predikcia!A345</f>
        <v>45672</v>
      </c>
      <c r="D347" s="80" t="str">
        <f>predikcia!B345</f>
        <v>06:00:00</v>
      </c>
      <c r="E347" s="81">
        <f>predikcia!G345</f>
        <v>18441.5</v>
      </c>
      <c r="F347" s="70">
        <f>'DHS25'!C344</f>
        <v>21056</v>
      </c>
      <c r="G347" s="71">
        <f>'DHS25'!D344</f>
        <v>3946</v>
      </c>
      <c r="H347" s="106">
        <v>8</v>
      </c>
      <c r="I347" s="72">
        <f>'DHS25'!E344/1000</f>
        <v>8.0129999999999999</v>
      </c>
      <c r="J347" s="109">
        <f>predikcia!R345</f>
        <v>163.4</v>
      </c>
      <c r="K347" s="92">
        <f t="shared" si="5"/>
        <v>1281.0062579999999</v>
      </c>
      <c r="M347" s="112">
        <v>6</v>
      </c>
      <c r="N347" s="111">
        <v>8</v>
      </c>
    </row>
    <row r="348" spans="3:14" ht="13.5" thickBot="1">
      <c r="C348" s="79">
        <f>predikcia!A346</f>
        <v>45672</v>
      </c>
      <c r="D348" s="80" t="str">
        <f>predikcia!B346</f>
        <v>07:00:00</v>
      </c>
      <c r="E348" s="81">
        <f>predikcia!G346</f>
        <v>16952.25</v>
      </c>
      <c r="F348" s="70">
        <f>'DHS25'!C345</f>
        <v>19422</v>
      </c>
      <c r="G348" s="71">
        <f>'DHS25'!D345</f>
        <v>5333</v>
      </c>
      <c r="H348" s="106">
        <v>8</v>
      </c>
      <c r="I348" s="72">
        <f>'DHS25'!E345/1000</f>
        <v>8.0090000000000003</v>
      </c>
      <c r="J348" s="109">
        <f>predikcia!R346</f>
        <v>200.84</v>
      </c>
      <c r="K348" s="92">
        <f t="shared" si="5"/>
        <v>1577.2251844</v>
      </c>
      <c r="M348" s="112">
        <v>6</v>
      </c>
      <c r="N348" s="111">
        <v>8</v>
      </c>
    </row>
    <row r="349" spans="3:14" ht="13.5" thickBot="1">
      <c r="C349" s="79">
        <f>predikcia!A347</f>
        <v>45672</v>
      </c>
      <c r="D349" s="80" t="str">
        <f>predikcia!B347</f>
        <v>08:00:00</v>
      </c>
      <c r="E349" s="81">
        <f>predikcia!G347</f>
        <v>17763.25</v>
      </c>
      <c r="F349" s="70">
        <f>'DHS25'!C346</f>
        <v>18032</v>
      </c>
      <c r="G349" s="71">
        <f>'DHS25'!D346</f>
        <v>6210</v>
      </c>
      <c r="H349" s="106">
        <v>8</v>
      </c>
      <c r="I349" s="72">
        <f>'DHS25'!E346/1000</f>
        <v>8.0310000000000006</v>
      </c>
      <c r="J349" s="109">
        <f>predikcia!R347</f>
        <v>323.48</v>
      </c>
      <c r="K349" s="92">
        <f t="shared" si="5"/>
        <v>2556.6303012000003</v>
      </c>
      <c r="M349" s="112">
        <v>6</v>
      </c>
      <c r="N349" s="111">
        <v>8</v>
      </c>
    </row>
    <row r="350" spans="3:14" ht="13.5" thickBot="1">
      <c r="C350" s="79">
        <f>predikcia!A348</f>
        <v>45672</v>
      </c>
      <c r="D350" s="80" t="str">
        <f>predikcia!B348</f>
        <v>09:00:00</v>
      </c>
      <c r="E350" s="81">
        <f>predikcia!G348</f>
        <v>18291</v>
      </c>
      <c r="F350" s="70">
        <f>'DHS25'!C347</f>
        <v>19312</v>
      </c>
      <c r="G350" s="71">
        <f>'DHS25'!D347</f>
        <v>5700</v>
      </c>
      <c r="H350" s="106">
        <v>8</v>
      </c>
      <c r="I350" s="72">
        <f>'DHS25'!E347/1000</f>
        <v>8.0259999999999998</v>
      </c>
      <c r="J350" s="109">
        <f>predikcia!R348</f>
        <v>322.58</v>
      </c>
      <c r="K350" s="92">
        <f t="shared" si="5"/>
        <v>2547.8874092000001</v>
      </c>
      <c r="M350" s="112">
        <v>6</v>
      </c>
      <c r="N350" s="111">
        <v>8</v>
      </c>
    </row>
    <row r="351" spans="3:14" ht="13.5" thickBot="1">
      <c r="C351" s="79">
        <f>predikcia!A349</f>
        <v>45672</v>
      </c>
      <c r="D351" s="80" t="str">
        <f>predikcia!B349</f>
        <v>10:00:00</v>
      </c>
      <c r="E351" s="81">
        <f>predikcia!G349</f>
        <v>17313.75</v>
      </c>
      <c r="F351" s="70">
        <f>'DHS25'!C348</f>
        <v>18634</v>
      </c>
      <c r="G351" s="71">
        <f>'DHS25'!D348</f>
        <v>6134</v>
      </c>
      <c r="H351" s="106">
        <v>8</v>
      </c>
      <c r="I351" s="72">
        <f>'DHS25'!E348/1000</f>
        <v>8.0540000000000003</v>
      </c>
      <c r="J351" s="109">
        <f>predikcia!R349</f>
        <v>315</v>
      </c>
      <c r="K351" s="92">
        <f t="shared" si="5"/>
        <v>2496.3373000000006</v>
      </c>
      <c r="M351" s="112">
        <v>6</v>
      </c>
      <c r="N351" s="111">
        <v>8</v>
      </c>
    </row>
    <row r="352" spans="3:14" ht="13.5" thickBot="1">
      <c r="C352" s="79">
        <f>predikcia!A350</f>
        <v>45672</v>
      </c>
      <c r="D352" s="80" t="str">
        <f>predikcia!B350</f>
        <v>11:00:00</v>
      </c>
      <c r="E352" s="81">
        <f>predikcia!G350</f>
        <v>15830.5</v>
      </c>
      <c r="F352" s="70">
        <f>'DHS25'!C349</f>
        <v>16661</v>
      </c>
      <c r="G352" s="71">
        <f>'DHS25'!D349</f>
        <v>6976</v>
      </c>
      <c r="H352" s="106">
        <v>8</v>
      </c>
      <c r="I352" s="72">
        <f>'DHS25'!E349/1000</f>
        <v>7.9980000000000002</v>
      </c>
      <c r="J352" s="109">
        <f>predikcia!R350</f>
        <v>316.17</v>
      </c>
      <c r="K352" s="92">
        <f t="shared" si="5"/>
        <v>2488.2441834000006</v>
      </c>
      <c r="M352" s="112">
        <v>5</v>
      </c>
      <c r="N352" s="111">
        <v>8</v>
      </c>
    </row>
    <row r="353" spans="3:14" ht="13.5" thickBot="1">
      <c r="C353" s="79">
        <f>predikcia!A351</f>
        <v>45672</v>
      </c>
      <c r="D353" s="80" t="str">
        <f>predikcia!B351</f>
        <v>12:00:00</v>
      </c>
      <c r="E353" s="81">
        <f>predikcia!G351</f>
        <v>16089</v>
      </c>
      <c r="F353" s="70">
        <f>'DHS25'!C350</f>
        <v>17201</v>
      </c>
      <c r="G353" s="71">
        <f>'DHS25'!D350</f>
        <v>6864</v>
      </c>
      <c r="H353" s="106">
        <v>8</v>
      </c>
      <c r="I353" s="72">
        <f>'DHS25'!E350/1000</f>
        <v>8.0220000000000002</v>
      </c>
      <c r="J353" s="109">
        <f>predikcia!R351</f>
        <v>299.39</v>
      </c>
      <c r="K353" s="92">
        <f t="shared" si="5"/>
        <v>2362.4477142000001</v>
      </c>
      <c r="M353" s="112">
        <v>6</v>
      </c>
      <c r="N353" s="111">
        <v>8</v>
      </c>
    </row>
    <row r="354" spans="3:14" ht="13.5" thickBot="1">
      <c r="C354" s="79">
        <f>predikcia!A352</f>
        <v>45672</v>
      </c>
      <c r="D354" s="80" t="str">
        <f>predikcia!B352</f>
        <v>13:00:00</v>
      </c>
      <c r="E354" s="81">
        <f>predikcia!G352</f>
        <v>16512.25</v>
      </c>
      <c r="F354" s="70">
        <f>'DHS25'!C351</f>
        <v>17894</v>
      </c>
      <c r="G354" s="71">
        <f>'DHS25'!D351</f>
        <v>6116</v>
      </c>
      <c r="H354" s="106">
        <v>8</v>
      </c>
      <c r="I354" s="72">
        <f>'DHS25'!E351/1000</f>
        <v>8.0229999999999997</v>
      </c>
      <c r="J354" s="109">
        <f>predikcia!R352</f>
        <v>296.95</v>
      </c>
      <c r="K354" s="92">
        <f t="shared" si="5"/>
        <v>2343.3618515000003</v>
      </c>
      <c r="M354" s="112">
        <v>6</v>
      </c>
      <c r="N354" s="111">
        <v>8</v>
      </c>
    </row>
    <row r="355" spans="3:14" ht="13.5" thickBot="1">
      <c r="C355" s="79">
        <f>predikcia!A353</f>
        <v>45672</v>
      </c>
      <c r="D355" s="80" t="str">
        <f>predikcia!B353</f>
        <v>14:00:00</v>
      </c>
      <c r="E355" s="81">
        <f>predikcia!G353</f>
        <v>16674.5</v>
      </c>
      <c r="F355" s="70">
        <f>'DHS25'!C352</f>
        <v>17500</v>
      </c>
      <c r="G355" s="71">
        <f>'DHS25'!D352</f>
        <v>6723</v>
      </c>
      <c r="H355" s="106">
        <v>8</v>
      </c>
      <c r="I355" s="72">
        <f>'DHS25'!E352/1000</f>
        <v>8.0210000000000008</v>
      </c>
      <c r="J355" s="109">
        <f>predikcia!R353</f>
        <v>293.33</v>
      </c>
      <c r="K355" s="92">
        <f t="shared" si="5"/>
        <v>2314.0320307000006</v>
      </c>
      <c r="M355" s="112">
        <v>6</v>
      </c>
      <c r="N355" s="111">
        <v>8</v>
      </c>
    </row>
    <row r="356" spans="3:14" ht="13.5" thickBot="1">
      <c r="C356" s="79">
        <f>predikcia!A354</f>
        <v>45672</v>
      </c>
      <c r="D356" s="80" t="str">
        <f>predikcia!B354</f>
        <v>15:00:00</v>
      </c>
      <c r="E356" s="81">
        <f>predikcia!G354</f>
        <v>16787</v>
      </c>
      <c r="F356" s="70">
        <f>'DHS25'!C353</f>
        <v>17951</v>
      </c>
      <c r="G356" s="71">
        <f>'DHS25'!D353</f>
        <v>6759</v>
      </c>
      <c r="H356" s="106">
        <v>8</v>
      </c>
      <c r="I356" s="72">
        <f>'DHS25'!E353/1000</f>
        <v>8.0269999999999992</v>
      </c>
      <c r="J356" s="109">
        <f>predikcia!R354</f>
        <v>345</v>
      </c>
      <c r="K356" s="92">
        <f t="shared" si="5"/>
        <v>2726.3705500000001</v>
      </c>
      <c r="M356" s="112">
        <v>6</v>
      </c>
      <c r="N356" s="111">
        <v>8</v>
      </c>
    </row>
    <row r="357" spans="3:14" ht="13.5" thickBot="1">
      <c r="C357" s="79">
        <f>predikcia!A355</f>
        <v>45672</v>
      </c>
      <c r="D357" s="80" t="str">
        <f>predikcia!B355</f>
        <v>16:00:00</v>
      </c>
      <c r="E357" s="81">
        <f>predikcia!G355</f>
        <v>17233.25</v>
      </c>
      <c r="F357" s="70">
        <f>'DHS25'!C354</f>
        <v>18993</v>
      </c>
      <c r="G357" s="71">
        <f>'DHS25'!D354</f>
        <v>5941</v>
      </c>
      <c r="H357" s="106">
        <v>8</v>
      </c>
      <c r="I357" s="72">
        <f>'DHS25'!E354/1000</f>
        <v>8.0169999999999995</v>
      </c>
      <c r="J357" s="109">
        <f>predikcia!R355</f>
        <v>332.85</v>
      </c>
      <c r="K357" s="92">
        <f t="shared" si="5"/>
        <v>2626.5415655000002</v>
      </c>
      <c r="M357" s="112">
        <v>6</v>
      </c>
      <c r="N357" s="111">
        <v>8</v>
      </c>
    </row>
    <row r="358" spans="3:14" ht="13.5" thickBot="1">
      <c r="C358" s="79">
        <f>predikcia!A356</f>
        <v>45672</v>
      </c>
      <c r="D358" s="80" t="str">
        <f>predikcia!B356</f>
        <v>17:00:00</v>
      </c>
      <c r="E358" s="81">
        <f>predikcia!G356</f>
        <v>16817.5</v>
      </c>
      <c r="F358" s="70">
        <f>'DHS25'!C355</f>
        <v>18290</v>
      </c>
      <c r="G358" s="71">
        <f>'DHS25'!D355</f>
        <v>6489</v>
      </c>
      <c r="H358" s="106">
        <v>8</v>
      </c>
      <c r="I358" s="72">
        <f>'DHS25'!E355/1000</f>
        <v>8.0640000000000001</v>
      </c>
      <c r="J358" s="109">
        <f>predikcia!R356</f>
        <v>368.41</v>
      </c>
      <c r="K358" s="92">
        <f t="shared" si="5"/>
        <v>2925.8280576000002</v>
      </c>
      <c r="M358" s="112">
        <v>6</v>
      </c>
      <c r="N358" s="111">
        <v>8</v>
      </c>
    </row>
    <row r="359" spans="3:14" ht="13.5" thickBot="1">
      <c r="C359" s="79">
        <f>predikcia!A357</f>
        <v>45672</v>
      </c>
      <c r="D359" s="80" t="str">
        <f>predikcia!B357</f>
        <v>18:00:00</v>
      </c>
      <c r="E359" s="81">
        <f>predikcia!G357</f>
        <v>17551</v>
      </c>
      <c r="F359" s="70">
        <f>'DHS25'!C356</f>
        <v>18372</v>
      </c>
      <c r="G359" s="71">
        <f>'DHS25'!D356</f>
        <v>6971</v>
      </c>
      <c r="H359" s="106">
        <v>8</v>
      </c>
      <c r="I359" s="72">
        <f>'DHS25'!E356/1000</f>
        <v>8.048</v>
      </c>
      <c r="J359" s="109">
        <f>predikcia!R357</f>
        <v>319.95999999999998</v>
      </c>
      <c r="K359" s="92">
        <f t="shared" si="5"/>
        <v>2533.9964992</v>
      </c>
      <c r="M359" s="112">
        <v>6</v>
      </c>
      <c r="N359" s="111">
        <v>8</v>
      </c>
    </row>
    <row r="360" spans="3:14" ht="13.5" thickBot="1">
      <c r="C360" s="79">
        <f>predikcia!A358</f>
        <v>45672</v>
      </c>
      <c r="D360" s="80" t="str">
        <f>predikcia!B358</f>
        <v>19:00:00</v>
      </c>
      <c r="E360" s="81">
        <f>predikcia!G358</f>
        <v>19220.75</v>
      </c>
      <c r="F360" s="70">
        <f>'DHS25'!C357</f>
        <v>18809</v>
      </c>
      <c r="G360" s="71">
        <f>'DHS25'!D357</f>
        <v>5653</v>
      </c>
      <c r="H360" s="106">
        <v>8</v>
      </c>
      <c r="I360" s="72">
        <f>'DHS25'!E357/1000</f>
        <v>8.0540000000000003</v>
      </c>
      <c r="J360" s="109">
        <f>predikcia!R358</f>
        <v>270.45999999999998</v>
      </c>
      <c r="K360" s="92">
        <f t="shared" si="5"/>
        <v>2141.1993915999997</v>
      </c>
      <c r="M360" s="112">
        <v>6</v>
      </c>
      <c r="N360" s="111">
        <v>8</v>
      </c>
    </row>
    <row r="361" spans="3:14" ht="13.5" thickBot="1">
      <c r="C361" s="79">
        <f>predikcia!A359</f>
        <v>45672</v>
      </c>
      <c r="D361" s="80" t="str">
        <f>predikcia!B359</f>
        <v>20:00:00</v>
      </c>
      <c r="E361" s="81">
        <f>predikcia!G359</f>
        <v>18806.5</v>
      </c>
      <c r="F361" s="70">
        <f>'DHS25'!C358</f>
        <v>18979</v>
      </c>
      <c r="G361" s="71">
        <f>'DHS25'!D358</f>
        <v>6296</v>
      </c>
      <c r="H361" s="106">
        <v>8</v>
      </c>
      <c r="I361" s="72">
        <f>'DHS25'!E358/1000</f>
        <v>8.0679999999999996</v>
      </c>
      <c r="J361" s="109">
        <f>predikcia!R359</f>
        <v>180.95</v>
      </c>
      <c r="K361" s="92">
        <f t="shared" si="5"/>
        <v>1429.9763539999997</v>
      </c>
      <c r="M361" s="112">
        <v>6</v>
      </c>
      <c r="N361" s="111">
        <v>8</v>
      </c>
    </row>
    <row r="362" spans="3:14" ht="13.5" thickBot="1">
      <c r="C362" s="79">
        <f>predikcia!A360</f>
        <v>45672</v>
      </c>
      <c r="D362" s="80" t="str">
        <f>predikcia!B360</f>
        <v>21:00:00</v>
      </c>
      <c r="E362" s="81">
        <f>predikcia!G360</f>
        <v>17717.25</v>
      </c>
      <c r="F362" s="70">
        <f>'DHS25'!C359</f>
        <v>19117</v>
      </c>
      <c r="G362" s="71">
        <f>'DHS25'!D359</f>
        <v>5840</v>
      </c>
      <c r="H362" s="106">
        <v>8</v>
      </c>
      <c r="I362" s="72">
        <f>'DHS25'!E359/1000</f>
        <v>8.0510000000000002</v>
      </c>
      <c r="J362" s="109">
        <f>predikcia!R360</f>
        <v>151.82</v>
      </c>
      <c r="K362" s="92">
        <f t="shared" si="5"/>
        <v>1194.7828917999998</v>
      </c>
      <c r="M362" s="112">
        <v>6</v>
      </c>
      <c r="N362" s="111">
        <v>8</v>
      </c>
    </row>
    <row r="363" spans="3:14" ht="13.5" thickBot="1">
      <c r="C363" s="79">
        <f>predikcia!A361</f>
        <v>45672</v>
      </c>
      <c r="D363" s="80" t="str">
        <f>predikcia!B361</f>
        <v>22:00:00</v>
      </c>
      <c r="E363" s="81">
        <f>predikcia!G361</f>
        <v>15390</v>
      </c>
      <c r="F363" s="70">
        <f>'DHS25'!C360</f>
        <v>15493</v>
      </c>
      <c r="G363" s="71">
        <f>'DHS25'!D360</f>
        <v>8242</v>
      </c>
      <c r="H363" s="106">
        <v>8</v>
      </c>
      <c r="I363" s="72">
        <f>'DHS25'!E360/1000</f>
        <v>8.0269999999999992</v>
      </c>
      <c r="J363" s="109">
        <f>predikcia!R361</f>
        <v>143.53</v>
      </c>
      <c r="K363" s="92">
        <f t="shared" si="5"/>
        <v>1125.3428568999998</v>
      </c>
      <c r="M363" s="112">
        <v>5</v>
      </c>
      <c r="N363" s="111">
        <v>8</v>
      </c>
    </row>
    <row r="364" spans="3:14" ht="13.5" thickBot="1">
      <c r="C364" s="82">
        <f>predikcia!A362</f>
        <v>45672</v>
      </c>
      <c r="D364" s="83" t="str">
        <f>predikcia!B362</f>
        <v>23:00:00</v>
      </c>
      <c r="E364" s="84">
        <f>predikcia!G362</f>
        <v>8915.5</v>
      </c>
      <c r="F364" s="73">
        <f>'DHS25'!C361</f>
        <v>9331</v>
      </c>
      <c r="G364" s="64">
        <f>'DHS25'!D361</f>
        <v>12280</v>
      </c>
      <c r="H364" s="107">
        <v>4</v>
      </c>
      <c r="I364" s="74">
        <f>'DHS25'!E361/1000</f>
        <v>7.0030000000000001</v>
      </c>
      <c r="J364" s="109">
        <f>predikcia!R362</f>
        <v>123.9</v>
      </c>
      <c r="K364" s="92">
        <f t="shared" si="5"/>
        <v>845.68928299999993</v>
      </c>
      <c r="M364" s="112">
        <v>4</v>
      </c>
      <c r="N364" s="111">
        <v>4</v>
      </c>
    </row>
    <row r="365" spans="3:14" ht="13.5" thickBot="1">
      <c r="C365" s="85">
        <f>predikcia!A363</f>
        <v>45673</v>
      </c>
      <c r="D365" s="86" t="str">
        <f>predikcia!B363</f>
        <v>00:00:00</v>
      </c>
      <c r="E365" s="78">
        <f>predikcia!G363</f>
        <v>8815</v>
      </c>
      <c r="F365" s="68">
        <f>'DHS25'!C362</f>
        <v>9214</v>
      </c>
      <c r="G365" s="63">
        <f>'DHS25'!D362</f>
        <v>3795</v>
      </c>
      <c r="H365" s="105">
        <v>4</v>
      </c>
      <c r="I365" s="69">
        <f>'DHS25'!E362/1000</f>
        <v>4.0250000000000004</v>
      </c>
      <c r="J365" s="109">
        <f>predikcia!R363</f>
        <v>126.54</v>
      </c>
      <c r="K365" s="92">
        <f t="shared" si="5"/>
        <v>496.58276500000005</v>
      </c>
      <c r="M365" s="112">
        <v>4</v>
      </c>
      <c r="N365" s="111">
        <v>4</v>
      </c>
    </row>
    <row r="366" spans="3:14" ht="13.5" thickBot="1">
      <c r="C366" s="87">
        <f>predikcia!A364</f>
        <v>45673</v>
      </c>
      <c r="D366" s="88" t="str">
        <f>predikcia!B364</f>
        <v>01:00:00</v>
      </c>
      <c r="E366" s="81">
        <f>predikcia!G364</f>
        <v>10743.75</v>
      </c>
      <c r="F366" s="70">
        <f>'DHS25'!C363</f>
        <v>10854</v>
      </c>
      <c r="G366" s="71">
        <f>'DHS25'!D363</f>
        <v>2819</v>
      </c>
      <c r="H366" s="106">
        <v>4</v>
      </c>
      <c r="I366" s="72">
        <f>'DHS25'!E363/1000</f>
        <v>4.085</v>
      </c>
      <c r="J366" s="109">
        <f>predikcia!R364</f>
        <v>125.11</v>
      </c>
      <c r="K366" s="92">
        <f t="shared" si="5"/>
        <v>498.20210649999996</v>
      </c>
      <c r="M366" s="112">
        <v>4</v>
      </c>
      <c r="N366" s="111">
        <v>4</v>
      </c>
    </row>
    <row r="367" spans="3:14" ht="13.5" thickBot="1">
      <c r="C367" s="87">
        <f>predikcia!A365</f>
        <v>45673</v>
      </c>
      <c r="D367" s="88" t="str">
        <f>predikcia!B365</f>
        <v>02:00:00</v>
      </c>
      <c r="E367" s="81">
        <f>predikcia!G365</f>
        <v>12041</v>
      </c>
      <c r="F367" s="70">
        <f>'DHS25'!C364</f>
        <v>16429</v>
      </c>
      <c r="G367" s="71">
        <f>'DHS25'!D364</f>
        <v>1708</v>
      </c>
      <c r="H367" s="106">
        <v>5</v>
      </c>
      <c r="I367" s="72">
        <f>'DHS25'!E364/1000</f>
        <v>5.0670000000000002</v>
      </c>
      <c r="J367" s="109">
        <f>predikcia!R365</f>
        <v>117.95</v>
      </c>
      <c r="K367" s="92">
        <f t="shared" si="5"/>
        <v>582.04882350000003</v>
      </c>
      <c r="M367" s="112">
        <v>5</v>
      </c>
      <c r="N367" s="111">
        <v>5</v>
      </c>
    </row>
    <row r="368" spans="3:14" ht="13.5" thickBot="1">
      <c r="C368" s="87">
        <f>predikcia!A366</f>
        <v>45673</v>
      </c>
      <c r="D368" s="88" t="str">
        <f>predikcia!B366</f>
        <v>03:00:00</v>
      </c>
      <c r="E368" s="81">
        <f>predikcia!G366</f>
        <v>12872.5</v>
      </c>
      <c r="F368" s="70">
        <f>'DHS25'!C365</f>
        <v>16660</v>
      </c>
      <c r="G368" s="71">
        <f>'DHS25'!D365</f>
        <v>743</v>
      </c>
      <c r="H368" s="106">
        <v>5</v>
      </c>
      <c r="I368" s="72">
        <f>'DHS25'!E365/1000</f>
        <v>5.0579999999999998</v>
      </c>
      <c r="J368" s="109">
        <f>predikcia!R366</f>
        <v>115.28</v>
      </c>
      <c r="K368" s="92">
        <f t="shared" si="5"/>
        <v>567.64517760000001</v>
      </c>
      <c r="M368" s="112">
        <v>5</v>
      </c>
      <c r="N368" s="111">
        <v>5</v>
      </c>
    </row>
    <row r="369" spans="3:14" ht="13.5" thickBot="1">
      <c r="C369" s="87">
        <f>predikcia!A367</f>
        <v>45673</v>
      </c>
      <c r="D369" s="88" t="str">
        <f>predikcia!B367</f>
        <v>04:00:00</v>
      </c>
      <c r="E369" s="81">
        <f>predikcia!G367</f>
        <v>19534.5</v>
      </c>
      <c r="F369" s="70">
        <f>'DHS25'!C366</f>
        <v>18940</v>
      </c>
      <c r="G369" s="71">
        <f>'DHS25'!D366</f>
        <v>1027</v>
      </c>
      <c r="H369" s="106">
        <v>6</v>
      </c>
      <c r="I369" s="72">
        <f>'DHS25'!E366/1000</f>
        <v>6.0609999999999999</v>
      </c>
      <c r="J369" s="109">
        <f>predikcia!R367</f>
        <v>120.31</v>
      </c>
      <c r="K369" s="92">
        <f t="shared" si="5"/>
        <v>710.39102089999994</v>
      </c>
      <c r="M369" s="112">
        <v>6</v>
      </c>
      <c r="N369" s="111">
        <v>6</v>
      </c>
    </row>
    <row r="370" spans="3:14" ht="13.5" thickBot="1">
      <c r="C370" s="87">
        <f>predikcia!A368</f>
        <v>45673</v>
      </c>
      <c r="D370" s="88" t="str">
        <f>predikcia!B368</f>
        <v>05:00:00</v>
      </c>
      <c r="E370" s="81">
        <f>predikcia!G368</f>
        <v>20761.25</v>
      </c>
      <c r="F370" s="70">
        <f>'DHS25'!C367</f>
        <v>19269</v>
      </c>
      <c r="G370" s="71">
        <f>'DHS25'!D367</f>
        <v>5438</v>
      </c>
      <c r="H370" s="106">
        <v>8</v>
      </c>
      <c r="I370" s="72">
        <f>'DHS25'!E367/1000</f>
        <v>8.0150000000000006</v>
      </c>
      <c r="J370" s="109">
        <f>predikcia!R368</f>
        <v>132.80000000000001</v>
      </c>
      <c r="K370" s="92">
        <f t="shared" si="5"/>
        <v>1038.5195800000001</v>
      </c>
      <c r="M370" s="112">
        <v>7</v>
      </c>
      <c r="N370" s="111">
        <v>8</v>
      </c>
    </row>
    <row r="371" spans="3:14" ht="13.5" thickBot="1">
      <c r="C371" s="87">
        <f>predikcia!A369</f>
        <v>45673</v>
      </c>
      <c r="D371" s="88" t="str">
        <f>predikcia!B369</f>
        <v>06:00:00</v>
      </c>
      <c r="E371" s="81">
        <f>predikcia!G369</f>
        <v>21513</v>
      </c>
      <c r="F371" s="70">
        <f>'DHS25'!C368</f>
        <v>19038</v>
      </c>
      <c r="G371" s="71">
        <f>'DHS25'!D368</f>
        <v>4957</v>
      </c>
      <c r="H371" s="106">
        <v>8</v>
      </c>
      <c r="I371" s="72">
        <f>'DHS25'!E368/1000</f>
        <v>8.0350000000000001</v>
      </c>
      <c r="J371" s="109">
        <f>predikcia!R369</f>
        <v>180.75</v>
      </c>
      <c r="K371" s="92">
        <f t="shared" si="5"/>
        <v>1422.5364875</v>
      </c>
      <c r="M371" s="112">
        <v>7</v>
      </c>
      <c r="N371" s="111">
        <v>8</v>
      </c>
    </row>
    <row r="372" spans="3:14" ht="13.5" thickBot="1">
      <c r="C372" s="87">
        <f>predikcia!A370</f>
        <v>45673</v>
      </c>
      <c r="D372" s="88" t="str">
        <f>predikcia!B370</f>
        <v>07:00:00</v>
      </c>
      <c r="E372" s="81">
        <f>predikcia!G370</f>
        <v>18526.5</v>
      </c>
      <c r="F372" s="70">
        <f>'DHS25'!C369</f>
        <v>19258</v>
      </c>
      <c r="G372" s="71">
        <f>'DHS25'!D369</f>
        <v>5285</v>
      </c>
      <c r="H372" s="106">
        <v>7.8999999999999986</v>
      </c>
      <c r="I372" s="72">
        <f>'DHS25'!E369/1000</f>
        <v>8.016</v>
      </c>
      <c r="J372" s="109">
        <f>predikcia!R370</f>
        <v>222.89</v>
      </c>
      <c r="K372" s="92">
        <f t="shared" si="5"/>
        <v>1753.5889775999997</v>
      </c>
      <c r="M372" s="112">
        <v>6</v>
      </c>
      <c r="N372" s="111">
        <v>7.8999999999999986</v>
      </c>
    </row>
    <row r="373" spans="3:14" ht="13.5" thickBot="1">
      <c r="C373" s="87">
        <f>predikcia!A371</f>
        <v>45673</v>
      </c>
      <c r="D373" s="88" t="str">
        <f>predikcia!B371</f>
        <v>08:00:00</v>
      </c>
      <c r="E373" s="81">
        <f>predikcia!G371</f>
        <v>18772</v>
      </c>
      <c r="F373" s="70">
        <f>'DHS25'!C370</f>
        <v>18183</v>
      </c>
      <c r="G373" s="71">
        <f>'DHS25'!D370</f>
        <v>6422</v>
      </c>
      <c r="H373" s="106">
        <v>8</v>
      </c>
      <c r="I373" s="72">
        <f>'DHS25'!E370/1000</f>
        <v>8.0210000000000008</v>
      </c>
      <c r="J373" s="109">
        <f>predikcia!R371</f>
        <v>210.01</v>
      </c>
      <c r="K373" s="92">
        <f t="shared" si="5"/>
        <v>1652.4054079</v>
      </c>
      <c r="M373" s="112">
        <v>6</v>
      </c>
      <c r="N373" s="111">
        <v>8</v>
      </c>
    </row>
    <row r="374" spans="3:14" ht="13.5" thickBot="1">
      <c r="C374" s="87">
        <f>predikcia!A372</f>
        <v>45673</v>
      </c>
      <c r="D374" s="88" t="str">
        <f>predikcia!B372</f>
        <v>09:00:00</v>
      </c>
      <c r="E374" s="81">
        <f>predikcia!G372</f>
        <v>18227.25</v>
      </c>
      <c r="F374" s="70">
        <f>'DHS25'!C371</f>
        <v>18284</v>
      </c>
      <c r="G374" s="71">
        <f>'DHS25'!D371</f>
        <v>5906</v>
      </c>
      <c r="H374" s="106">
        <v>8</v>
      </c>
      <c r="I374" s="72">
        <f>'DHS25'!E371/1000</f>
        <v>7.9740000000000002</v>
      </c>
      <c r="J374" s="109">
        <f>predikcia!R372</f>
        <v>175</v>
      </c>
      <c r="K374" s="92">
        <f t="shared" si="5"/>
        <v>1366.3449000000001</v>
      </c>
      <c r="M374" s="112">
        <v>6</v>
      </c>
      <c r="N374" s="111">
        <v>8</v>
      </c>
    </row>
    <row r="375" spans="3:14" ht="13.5" thickBot="1">
      <c r="C375" s="87">
        <f>predikcia!A373</f>
        <v>45673</v>
      </c>
      <c r="D375" s="88" t="str">
        <f>predikcia!B373</f>
        <v>10:00:00</v>
      </c>
      <c r="E375" s="81">
        <f>predikcia!G373</f>
        <v>17786</v>
      </c>
      <c r="F375" s="70">
        <f>'DHS25'!C372</f>
        <v>16638</v>
      </c>
      <c r="G375" s="71">
        <f>'DHS25'!D372</f>
        <v>8476</v>
      </c>
      <c r="H375" s="106">
        <v>8</v>
      </c>
      <c r="I375" s="72">
        <f>'DHS25'!E372/1000</f>
        <v>8.0530000000000008</v>
      </c>
      <c r="J375" s="109">
        <f>predikcia!R373</f>
        <v>151.9</v>
      </c>
      <c r="K375" s="92">
        <f t="shared" si="5"/>
        <v>1195.7174930000001</v>
      </c>
      <c r="M375" s="112">
        <v>6</v>
      </c>
      <c r="N375" s="111">
        <v>8</v>
      </c>
    </row>
    <row r="376" spans="3:14" ht="13.5" thickBot="1">
      <c r="C376" s="87">
        <f>predikcia!A374</f>
        <v>45673</v>
      </c>
      <c r="D376" s="88" t="str">
        <f>predikcia!B374</f>
        <v>11:00:00</v>
      </c>
      <c r="E376" s="81">
        <f>predikcia!G374</f>
        <v>16446.25</v>
      </c>
      <c r="F376" s="70">
        <f>'DHS25'!C373</f>
        <v>15859</v>
      </c>
      <c r="G376" s="71">
        <f>'DHS25'!D373</f>
        <v>8568</v>
      </c>
      <c r="H376" s="106">
        <v>8</v>
      </c>
      <c r="I376" s="72">
        <f>'DHS25'!E373/1000</f>
        <v>8.048</v>
      </c>
      <c r="J376" s="109">
        <f>predikcia!R374</f>
        <v>140.63999999999999</v>
      </c>
      <c r="K376" s="92">
        <f t="shared" si="5"/>
        <v>1105.2608127999999</v>
      </c>
      <c r="M376" s="112">
        <v>6</v>
      </c>
      <c r="N376" s="111">
        <v>8</v>
      </c>
    </row>
    <row r="377" spans="3:14" ht="13.5" thickBot="1">
      <c r="C377" s="87">
        <f>predikcia!A375</f>
        <v>45673</v>
      </c>
      <c r="D377" s="88" t="str">
        <f>predikcia!B375</f>
        <v>12:00:00</v>
      </c>
      <c r="E377" s="81">
        <f>predikcia!G375</f>
        <v>15914</v>
      </c>
      <c r="F377" s="70">
        <f>'DHS25'!C374</f>
        <v>15258</v>
      </c>
      <c r="G377" s="71">
        <f>'DHS25'!D374</f>
        <v>9188</v>
      </c>
      <c r="H377" s="106">
        <v>8</v>
      </c>
      <c r="I377" s="72">
        <f>'DHS25'!E374/1000</f>
        <v>8.0429999999999993</v>
      </c>
      <c r="J377" s="109">
        <f>predikcia!R375</f>
        <v>134.86000000000001</v>
      </c>
      <c r="K377" s="92">
        <f t="shared" si="5"/>
        <v>1058.5504902</v>
      </c>
      <c r="M377" s="112">
        <v>5</v>
      </c>
      <c r="N377" s="111">
        <v>8</v>
      </c>
    </row>
    <row r="378" spans="3:14" ht="13.5" thickBot="1">
      <c r="C378" s="87">
        <f>predikcia!A376</f>
        <v>45673</v>
      </c>
      <c r="D378" s="88" t="str">
        <f>predikcia!B376</f>
        <v>13:00:00</v>
      </c>
      <c r="E378" s="81">
        <f>predikcia!G376</f>
        <v>16039.5</v>
      </c>
      <c r="F378" s="70">
        <f>'DHS25'!C375</f>
        <v>15057</v>
      </c>
      <c r="G378" s="71">
        <f>'DHS25'!D375</f>
        <v>8882</v>
      </c>
      <c r="H378" s="106">
        <v>8</v>
      </c>
      <c r="I378" s="72">
        <f>'DHS25'!E375/1000</f>
        <v>8.0530000000000008</v>
      </c>
      <c r="J378" s="109">
        <f>predikcia!R376</f>
        <v>138.15</v>
      </c>
      <c r="K378" s="92">
        <f t="shared" si="5"/>
        <v>1086.0960305000001</v>
      </c>
      <c r="M378" s="112">
        <v>6</v>
      </c>
      <c r="N378" s="111">
        <v>8</v>
      </c>
    </row>
    <row r="379" spans="3:14" ht="13.5" thickBot="1">
      <c r="C379" s="87">
        <f>predikcia!A377</f>
        <v>45673</v>
      </c>
      <c r="D379" s="88" t="str">
        <f>predikcia!B377</f>
        <v>14:00:00</v>
      </c>
      <c r="E379" s="81">
        <f>predikcia!G377</f>
        <v>16311.5</v>
      </c>
      <c r="F379" s="70">
        <f>'DHS25'!C376</f>
        <v>15232</v>
      </c>
      <c r="G379" s="71">
        <f>'DHS25'!D376</f>
        <v>9061</v>
      </c>
      <c r="H379" s="106">
        <v>8</v>
      </c>
      <c r="I379" s="72">
        <f>'DHS25'!E376/1000</f>
        <v>8.0510000000000002</v>
      </c>
      <c r="J379" s="109">
        <f>predikcia!R377</f>
        <v>148.19</v>
      </c>
      <c r="K379" s="92">
        <f t="shared" si="5"/>
        <v>1165.8500131000001</v>
      </c>
      <c r="M379" s="112">
        <v>6</v>
      </c>
      <c r="N379" s="111">
        <v>8</v>
      </c>
    </row>
    <row r="380" spans="3:14" ht="13.5" thickBot="1">
      <c r="C380" s="87">
        <f>predikcia!A378</f>
        <v>45673</v>
      </c>
      <c r="D380" s="88" t="str">
        <f>predikcia!B378</f>
        <v>15:00:00</v>
      </c>
      <c r="E380" s="81">
        <f>predikcia!G378</f>
        <v>16442.25</v>
      </c>
      <c r="F380" s="70">
        <f>'DHS25'!C377</f>
        <v>16042</v>
      </c>
      <c r="G380" s="71">
        <f>'DHS25'!D377</f>
        <v>8744</v>
      </c>
      <c r="H380" s="106">
        <v>7.8999999999999986</v>
      </c>
      <c r="I380" s="72">
        <f>'DHS25'!E377/1000</f>
        <v>8.0039999999999996</v>
      </c>
      <c r="J380" s="109">
        <f>predikcia!R378</f>
        <v>180.87</v>
      </c>
      <c r="K380" s="92">
        <f t="shared" si="5"/>
        <v>1417.9990452</v>
      </c>
      <c r="M380" s="112">
        <v>6</v>
      </c>
      <c r="N380" s="111">
        <v>7.8999999999999986</v>
      </c>
    </row>
    <row r="381" spans="3:14" ht="13.5" thickBot="1">
      <c r="C381" s="87">
        <f>predikcia!A379</f>
        <v>45673</v>
      </c>
      <c r="D381" s="88" t="str">
        <f>predikcia!B379</f>
        <v>16:00:00</v>
      </c>
      <c r="E381" s="81">
        <f>predikcia!G379</f>
        <v>16958.75</v>
      </c>
      <c r="F381" s="70">
        <f>'DHS25'!C378</f>
        <v>17281</v>
      </c>
      <c r="G381" s="71">
        <f>'DHS25'!D378</f>
        <v>6219</v>
      </c>
      <c r="H381" s="106">
        <v>8</v>
      </c>
      <c r="I381" s="72">
        <f>'DHS25'!E378/1000</f>
        <v>7.9690000000000003</v>
      </c>
      <c r="J381" s="109">
        <f>predikcia!R379</f>
        <v>195.89</v>
      </c>
      <c r="K381" s="92">
        <f t="shared" si="5"/>
        <v>1530.2958358999999</v>
      </c>
      <c r="M381" s="112">
        <v>6</v>
      </c>
      <c r="N381" s="111">
        <v>8</v>
      </c>
    </row>
    <row r="382" spans="3:14" ht="13.5" thickBot="1">
      <c r="C382" s="87">
        <f>predikcia!A380</f>
        <v>45673</v>
      </c>
      <c r="D382" s="88" t="str">
        <f>predikcia!B380</f>
        <v>17:00:00</v>
      </c>
      <c r="E382" s="81">
        <f>predikcia!G380</f>
        <v>17285.5</v>
      </c>
      <c r="F382" s="70">
        <f>'DHS25'!C379</f>
        <v>16201</v>
      </c>
      <c r="G382" s="71">
        <f>'DHS25'!D379</f>
        <v>8549</v>
      </c>
      <c r="H382" s="106">
        <v>8</v>
      </c>
      <c r="I382" s="72">
        <f>'DHS25'!E379/1000</f>
        <v>8.0559999999999992</v>
      </c>
      <c r="J382" s="109">
        <f>predikcia!R380</f>
        <v>200.41</v>
      </c>
      <c r="K382" s="92">
        <f t="shared" si="5"/>
        <v>1583.0515303999998</v>
      </c>
      <c r="M382" s="112">
        <v>6</v>
      </c>
      <c r="N382" s="111">
        <v>8</v>
      </c>
    </row>
    <row r="383" spans="3:14" ht="13.5" thickBot="1">
      <c r="C383" s="87">
        <f>predikcia!A381</f>
        <v>45673</v>
      </c>
      <c r="D383" s="88" t="str">
        <f>predikcia!B381</f>
        <v>18:00:00</v>
      </c>
      <c r="E383" s="81">
        <f>predikcia!G381</f>
        <v>17868.75</v>
      </c>
      <c r="F383" s="70">
        <f>'DHS25'!C380</f>
        <v>16273</v>
      </c>
      <c r="G383" s="71">
        <f>'DHS25'!D380</f>
        <v>7755</v>
      </c>
      <c r="H383" s="106">
        <v>8</v>
      </c>
      <c r="I383" s="72">
        <f>'DHS25'!E380/1000</f>
        <v>8.0500000000000007</v>
      </c>
      <c r="J383" s="109">
        <f>predikcia!R381</f>
        <v>184.32</v>
      </c>
      <c r="K383" s="92">
        <f t="shared" si="5"/>
        <v>1453.6432400000001</v>
      </c>
      <c r="M383" s="112">
        <v>6</v>
      </c>
      <c r="N383" s="111">
        <v>8</v>
      </c>
    </row>
    <row r="384" spans="3:14" ht="13.5" thickBot="1">
      <c r="C384" s="87">
        <f>predikcia!A382</f>
        <v>45673</v>
      </c>
      <c r="D384" s="88" t="str">
        <f>predikcia!B382</f>
        <v>19:00:00</v>
      </c>
      <c r="E384" s="81">
        <f>predikcia!G382</f>
        <v>18069.25</v>
      </c>
      <c r="F384" s="70">
        <f>'DHS25'!C381</f>
        <v>16961</v>
      </c>
      <c r="G384" s="71">
        <f>'DHS25'!D381</f>
        <v>7286</v>
      </c>
      <c r="H384" s="106">
        <v>8</v>
      </c>
      <c r="I384" s="72">
        <f>'DHS25'!E381/1000</f>
        <v>8.0069999999999997</v>
      </c>
      <c r="J384" s="109">
        <f>predikcia!R382</f>
        <v>179.97</v>
      </c>
      <c r="K384" s="92">
        <f t="shared" si="5"/>
        <v>1411.3962921</v>
      </c>
      <c r="M384" s="112">
        <v>6</v>
      </c>
      <c r="N384" s="111">
        <v>8</v>
      </c>
    </row>
    <row r="385" spans="3:14" ht="13.5" thickBot="1">
      <c r="C385" s="87">
        <f>predikcia!A383</f>
        <v>45673</v>
      </c>
      <c r="D385" s="88" t="str">
        <f>predikcia!B383</f>
        <v>20:00:00</v>
      </c>
      <c r="E385" s="81">
        <f>predikcia!G383</f>
        <v>17497.75</v>
      </c>
      <c r="F385" s="70">
        <f>'DHS25'!C382</f>
        <v>17767</v>
      </c>
      <c r="G385" s="71">
        <f>'DHS25'!D382</f>
        <v>7879</v>
      </c>
      <c r="H385" s="106">
        <v>8</v>
      </c>
      <c r="I385" s="72">
        <f>'DHS25'!E382/1000</f>
        <v>8.0660000000000007</v>
      </c>
      <c r="J385" s="109">
        <f>predikcia!R383</f>
        <v>159.6</v>
      </c>
      <c r="K385" s="92">
        <f t="shared" si="5"/>
        <v>1259.1348639999999</v>
      </c>
      <c r="M385" s="112">
        <v>6</v>
      </c>
      <c r="N385" s="111">
        <v>8</v>
      </c>
    </row>
    <row r="386" spans="3:14" ht="13.5" thickBot="1">
      <c r="C386" s="87">
        <f>predikcia!A384</f>
        <v>45673</v>
      </c>
      <c r="D386" s="88" t="str">
        <f>predikcia!B384</f>
        <v>21:00:00</v>
      </c>
      <c r="E386" s="81">
        <f>predikcia!G384</f>
        <v>18159.5</v>
      </c>
      <c r="F386" s="70">
        <f>'DHS25'!C383</f>
        <v>18175</v>
      </c>
      <c r="G386" s="71">
        <f>'DHS25'!D383</f>
        <v>6995</v>
      </c>
      <c r="H386" s="106">
        <v>8</v>
      </c>
      <c r="I386" s="72">
        <f>'DHS25'!E383/1000</f>
        <v>8.0640000000000001</v>
      </c>
      <c r="J386" s="109">
        <f>predikcia!R384</f>
        <v>159.69</v>
      </c>
      <c r="K386" s="92">
        <f t="shared" si="5"/>
        <v>1259.5411583999999</v>
      </c>
      <c r="M386" s="112">
        <v>6</v>
      </c>
      <c r="N386" s="111">
        <v>8</v>
      </c>
    </row>
    <row r="387" spans="3:14" ht="13.5" thickBot="1">
      <c r="C387" s="87">
        <f>predikcia!A385</f>
        <v>45673</v>
      </c>
      <c r="D387" s="88" t="str">
        <f>predikcia!B385</f>
        <v>22:00:00</v>
      </c>
      <c r="E387" s="81">
        <f>predikcia!G385</f>
        <v>16835.25</v>
      </c>
      <c r="F387" s="70">
        <f>'DHS25'!C384</f>
        <v>13948</v>
      </c>
      <c r="G387" s="71">
        <f>'DHS25'!D384</f>
        <v>10582</v>
      </c>
      <c r="H387" s="106">
        <v>8</v>
      </c>
      <c r="I387" s="72">
        <f>'DHS25'!E384/1000</f>
        <v>8.0559999999999992</v>
      </c>
      <c r="J387" s="109">
        <f>predikcia!R385</f>
        <v>144.07</v>
      </c>
      <c r="K387" s="92">
        <f t="shared" si="5"/>
        <v>1133.7152407999999</v>
      </c>
      <c r="M387" s="112">
        <v>6</v>
      </c>
      <c r="N387" s="111">
        <v>8</v>
      </c>
    </row>
    <row r="388" spans="3:14" ht="13.5" thickBot="1">
      <c r="C388" s="89">
        <f>predikcia!A386</f>
        <v>45673</v>
      </c>
      <c r="D388" s="90" t="str">
        <f>predikcia!B386</f>
        <v>23:00:00</v>
      </c>
      <c r="E388" s="84">
        <f>predikcia!G386</f>
        <v>9218.25</v>
      </c>
      <c r="F388" s="73">
        <f>'DHS25'!C385</f>
        <v>8926</v>
      </c>
      <c r="G388" s="64">
        <f>'DHS25'!D385</f>
        <v>11074</v>
      </c>
      <c r="H388" s="107">
        <v>4</v>
      </c>
      <c r="I388" s="74">
        <f>'DHS25'!E385/1000</f>
        <v>6.6369999999999996</v>
      </c>
      <c r="J388" s="109">
        <f>predikcia!R386</f>
        <v>133.75</v>
      </c>
      <c r="K388" s="92">
        <f t="shared" si="5"/>
        <v>866.21146249999981</v>
      </c>
      <c r="M388" s="112">
        <v>4</v>
      </c>
      <c r="N388" s="111">
        <v>4</v>
      </c>
    </row>
    <row r="389" spans="3:14" ht="13.5" thickBot="1">
      <c r="C389" s="76">
        <f>predikcia!A387</f>
        <v>45674</v>
      </c>
      <c r="D389" s="77" t="str">
        <f>predikcia!B387</f>
        <v>00:00:00</v>
      </c>
      <c r="E389" s="78">
        <f>predikcia!G387</f>
        <v>9650.5</v>
      </c>
      <c r="F389" s="68">
        <f>'DHS25'!C386</f>
        <v>8198</v>
      </c>
      <c r="G389" s="63">
        <f>'DHS25'!D386</f>
        <v>4986</v>
      </c>
      <c r="H389" s="105">
        <v>4</v>
      </c>
      <c r="I389" s="69">
        <f>'DHS25'!E386/1000</f>
        <v>4.0529999999999999</v>
      </c>
      <c r="J389" s="109">
        <f>predikcia!R387</f>
        <v>121.68</v>
      </c>
      <c r="K389" s="92">
        <f t="shared" si="5"/>
        <v>480.53664959999998</v>
      </c>
      <c r="M389" s="112">
        <v>4</v>
      </c>
      <c r="N389" s="111">
        <v>4</v>
      </c>
    </row>
    <row r="390" spans="3:14" ht="13.5" thickBot="1">
      <c r="C390" s="79">
        <f>predikcia!A388</f>
        <v>45674</v>
      </c>
      <c r="D390" s="80" t="str">
        <f>predikcia!B388</f>
        <v>01:00:00</v>
      </c>
      <c r="E390" s="81">
        <f>predikcia!G388</f>
        <v>11609.25</v>
      </c>
      <c r="F390" s="70">
        <f>'DHS25'!C387</f>
        <v>9222</v>
      </c>
      <c r="G390" s="71">
        <f>'DHS25'!D387</f>
        <v>4961</v>
      </c>
      <c r="H390" s="106">
        <v>4</v>
      </c>
      <c r="I390" s="72">
        <f>'DHS25'!E387/1000</f>
        <v>4.05</v>
      </c>
      <c r="J390" s="109">
        <f>predikcia!R388</f>
        <v>121.71</v>
      </c>
      <c r="K390" s="92">
        <f t="shared" ref="K390:K453" si="6">(J390*0.99-1.9)*I390</f>
        <v>480.30124499999994</v>
      </c>
      <c r="M390" s="112">
        <v>4</v>
      </c>
      <c r="N390" s="111">
        <v>4</v>
      </c>
    </row>
    <row r="391" spans="3:14" ht="13.5" thickBot="1">
      <c r="C391" s="79">
        <f>predikcia!A389</f>
        <v>45674</v>
      </c>
      <c r="D391" s="80" t="str">
        <f>predikcia!B389</f>
        <v>02:00:00</v>
      </c>
      <c r="E391" s="81">
        <f>predikcia!G389</f>
        <v>11651.25</v>
      </c>
      <c r="F391" s="70">
        <f>'DHS25'!C388</f>
        <v>10974</v>
      </c>
      <c r="G391" s="71">
        <f>'DHS25'!D388</f>
        <v>3218</v>
      </c>
      <c r="H391" s="106">
        <v>4</v>
      </c>
      <c r="I391" s="72">
        <f>'DHS25'!E388/1000</f>
        <v>4.0510000000000002</v>
      </c>
      <c r="J391" s="109">
        <f>predikcia!R389</f>
        <v>118.53</v>
      </c>
      <c r="K391" s="92">
        <f t="shared" si="6"/>
        <v>467.66647970000002</v>
      </c>
      <c r="M391" s="112">
        <v>4</v>
      </c>
      <c r="N391" s="111">
        <v>4</v>
      </c>
    </row>
    <row r="392" spans="3:14" ht="13.5" thickBot="1">
      <c r="C392" s="79">
        <f>predikcia!A390</f>
        <v>45674</v>
      </c>
      <c r="D392" s="80" t="str">
        <f>predikcia!B390</f>
        <v>03:00:00</v>
      </c>
      <c r="E392" s="81">
        <f>predikcia!G390</f>
        <v>12878</v>
      </c>
      <c r="F392" s="70">
        <f>'DHS25'!C389</f>
        <v>13512</v>
      </c>
      <c r="G392" s="71">
        <f>'DHS25'!D389</f>
        <v>4330</v>
      </c>
      <c r="H392" s="106">
        <v>5</v>
      </c>
      <c r="I392" s="72">
        <f>'DHS25'!E389/1000</f>
        <v>5.0570000000000004</v>
      </c>
      <c r="J392" s="109">
        <f>predikcia!R390</f>
        <v>116.12</v>
      </c>
      <c r="K392" s="92">
        <f t="shared" si="6"/>
        <v>571.73835159999999</v>
      </c>
      <c r="M392" s="112">
        <v>5</v>
      </c>
      <c r="N392" s="111">
        <v>5</v>
      </c>
    </row>
    <row r="393" spans="3:14" ht="13.5" thickBot="1">
      <c r="C393" s="79">
        <f>predikcia!A391</f>
        <v>45674</v>
      </c>
      <c r="D393" s="80" t="str">
        <f>predikcia!B391</f>
        <v>04:00:00</v>
      </c>
      <c r="E393" s="81">
        <f>predikcia!G391</f>
        <v>19114.25</v>
      </c>
      <c r="F393" s="70">
        <f>'DHS25'!C390</f>
        <v>19797</v>
      </c>
      <c r="G393" s="71">
        <f>'DHS25'!D390</f>
        <v>123</v>
      </c>
      <c r="H393" s="106">
        <v>6</v>
      </c>
      <c r="I393" s="72">
        <f>'DHS25'!E390/1000</f>
        <v>6.0570000000000004</v>
      </c>
      <c r="J393" s="109">
        <f>predikcia!R391</f>
        <v>116.39</v>
      </c>
      <c r="K393" s="92">
        <f t="shared" si="6"/>
        <v>686.41618770000002</v>
      </c>
      <c r="M393" s="112">
        <v>6</v>
      </c>
      <c r="N393" s="111">
        <v>6</v>
      </c>
    </row>
    <row r="394" spans="3:14" ht="13.5" thickBot="1">
      <c r="C394" s="79">
        <f>predikcia!A392</f>
        <v>45674</v>
      </c>
      <c r="D394" s="80" t="str">
        <f>predikcia!B392</f>
        <v>05:00:00</v>
      </c>
      <c r="E394" s="81">
        <f>predikcia!G392</f>
        <v>19482.75</v>
      </c>
      <c r="F394" s="70">
        <f>'DHS25'!C391</f>
        <v>18400</v>
      </c>
      <c r="G394" s="71">
        <f>'DHS25'!D391</f>
        <v>713</v>
      </c>
      <c r="H394" s="106">
        <v>6</v>
      </c>
      <c r="I394" s="72">
        <f>'DHS25'!E391/1000</f>
        <v>6.0490000000000004</v>
      </c>
      <c r="J394" s="109">
        <f>predikcia!R392</f>
        <v>122.74</v>
      </c>
      <c r="K394" s="92">
        <f t="shared" si="6"/>
        <v>723.53661739999995</v>
      </c>
      <c r="M394" s="112">
        <v>6</v>
      </c>
      <c r="N394" s="111">
        <v>6</v>
      </c>
    </row>
    <row r="395" spans="3:14" ht="13.5" thickBot="1">
      <c r="C395" s="79">
        <f>predikcia!A393</f>
        <v>45674</v>
      </c>
      <c r="D395" s="80" t="str">
        <f>predikcia!B393</f>
        <v>06:00:00</v>
      </c>
      <c r="E395" s="81">
        <f>predikcia!G393</f>
        <v>21190.75</v>
      </c>
      <c r="F395" s="70">
        <f>'DHS25'!C392</f>
        <v>20030</v>
      </c>
      <c r="G395" s="71">
        <f>'DHS25'!D392</f>
        <v>5509</v>
      </c>
      <c r="H395" s="106">
        <v>8</v>
      </c>
      <c r="I395" s="72">
        <f>'DHS25'!E392/1000</f>
        <v>8.0180000000000007</v>
      </c>
      <c r="J395" s="109">
        <f>predikcia!R393</f>
        <v>140.80000000000001</v>
      </c>
      <c r="K395" s="92">
        <f t="shared" si="6"/>
        <v>1102.410856</v>
      </c>
      <c r="M395" s="112">
        <v>7</v>
      </c>
      <c r="N395" s="111">
        <v>8</v>
      </c>
    </row>
    <row r="396" spans="3:14" ht="13.5" thickBot="1">
      <c r="C396" s="79">
        <f>predikcia!A394</f>
        <v>45674</v>
      </c>
      <c r="D396" s="80" t="str">
        <f>predikcia!B394</f>
        <v>07:00:00</v>
      </c>
      <c r="E396" s="81">
        <f>predikcia!G394</f>
        <v>18664.75</v>
      </c>
      <c r="F396" s="70">
        <f>'DHS25'!C393</f>
        <v>18710</v>
      </c>
      <c r="G396" s="71">
        <f>'DHS25'!D393</f>
        <v>5014</v>
      </c>
      <c r="H396" s="106">
        <v>8</v>
      </c>
      <c r="I396" s="72">
        <f>'DHS25'!E393/1000</f>
        <v>8.0050000000000008</v>
      </c>
      <c r="J396" s="109">
        <f>predikcia!R394</f>
        <v>175.01</v>
      </c>
      <c r="K396" s="92">
        <f t="shared" si="6"/>
        <v>1371.7359994999999</v>
      </c>
      <c r="M396" s="112">
        <v>6</v>
      </c>
      <c r="N396" s="111">
        <v>8</v>
      </c>
    </row>
    <row r="397" spans="3:14" ht="13.5" thickBot="1">
      <c r="C397" s="79">
        <f>predikcia!A395</f>
        <v>45674</v>
      </c>
      <c r="D397" s="80" t="str">
        <f>predikcia!B395</f>
        <v>08:00:00</v>
      </c>
      <c r="E397" s="81">
        <f>predikcia!G395</f>
        <v>18820.5</v>
      </c>
      <c r="F397" s="70">
        <f>'DHS25'!C394</f>
        <v>17912</v>
      </c>
      <c r="G397" s="71">
        <f>'DHS25'!D394</f>
        <v>6654</v>
      </c>
      <c r="H397" s="106">
        <v>8</v>
      </c>
      <c r="I397" s="72">
        <f>'DHS25'!E394/1000</f>
        <v>8.0280000000000005</v>
      </c>
      <c r="J397" s="109">
        <f>predikcia!R395</f>
        <v>208.13</v>
      </c>
      <c r="K397" s="92">
        <f t="shared" si="6"/>
        <v>1638.9057636</v>
      </c>
      <c r="M397" s="112">
        <v>6</v>
      </c>
      <c r="N397" s="111">
        <v>8</v>
      </c>
    </row>
    <row r="398" spans="3:14" ht="13.5" thickBot="1">
      <c r="C398" s="79">
        <f>predikcia!A396</f>
        <v>45674</v>
      </c>
      <c r="D398" s="80" t="str">
        <f>predikcia!B396</f>
        <v>09:00:00</v>
      </c>
      <c r="E398" s="81">
        <f>predikcia!G396</f>
        <v>19501.5</v>
      </c>
      <c r="F398" s="70">
        <f>'DHS25'!C395</f>
        <v>17694</v>
      </c>
      <c r="G398" s="71">
        <f>'DHS25'!D395</f>
        <v>6821</v>
      </c>
      <c r="H398" s="106">
        <v>8</v>
      </c>
      <c r="I398" s="72">
        <f>'DHS25'!E395/1000</f>
        <v>8.0389999999999997</v>
      </c>
      <c r="J398" s="109">
        <f>predikcia!R396</f>
        <v>175.34</v>
      </c>
      <c r="K398" s="92">
        <f t="shared" si="6"/>
        <v>1380.1885774</v>
      </c>
      <c r="M398" s="112">
        <v>6</v>
      </c>
      <c r="N398" s="111">
        <v>8</v>
      </c>
    </row>
    <row r="399" spans="3:14" ht="13.5" thickBot="1">
      <c r="C399" s="79">
        <f>predikcia!A397</f>
        <v>45674</v>
      </c>
      <c r="D399" s="80" t="str">
        <f>predikcia!B397</f>
        <v>10:00:00</v>
      </c>
      <c r="E399" s="81">
        <f>predikcia!G397</f>
        <v>18060.25</v>
      </c>
      <c r="F399" s="70">
        <f>'DHS25'!C396</f>
        <v>16853</v>
      </c>
      <c r="G399" s="71">
        <f>'DHS25'!D396</f>
        <v>7879</v>
      </c>
      <c r="H399" s="106">
        <v>8</v>
      </c>
      <c r="I399" s="72">
        <f>'DHS25'!E396/1000</f>
        <v>8.0459999999999994</v>
      </c>
      <c r="J399" s="109">
        <f>predikcia!R397</f>
        <v>158</v>
      </c>
      <c r="K399" s="92">
        <f t="shared" si="6"/>
        <v>1243.2679199999998</v>
      </c>
      <c r="M399" s="112">
        <v>6</v>
      </c>
      <c r="N399" s="111">
        <v>8</v>
      </c>
    </row>
    <row r="400" spans="3:14" ht="13.5" thickBot="1">
      <c r="C400" s="79">
        <f>predikcia!A398</f>
        <v>45674</v>
      </c>
      <c r="D400" s="80" t="str">
        <f>predikcia!B398</f>
        <v>11:00:00</v>
      </c>
      <c r="E400" s="81">
        <f>predikcia!G398</f>
        <v>16296.5</v>
      </c>
      <c r="F400" s="70">
        <f>'DHS25'!C397</f>
        <v>17368</v>
      </c>
      <c r="G400" s="71">
        <f>'DHS25'!D397</f>
        <v>7304</v>
      </c>
      <c r="H400" s="106">
        <v>8</v>
      </c>
      <c r="I400" s="72">
        <f>'DHS25'!E397/1000</f>
        <v>8.0419999999999998</v>
      </c>
      <c r="J400" s="109">
        <f>predikcia!R398</f>
        <v>140.72</v>
      </c>
      <c r="K400" s="92">
        <f t="shared" si="6"/>
        <v>1105.0737376</v>
      </c>
      <c r="M400" s="112">
        <v>6</v>
      </c>
      <c r="N400" s="111">
        <v>7.8999999999999986</v>
      </c>
    </row>
    <row r="401" spans="3:14" ht="13.5" thickBot="1">
      <c r="C401" s="79">
        <f>predikcia!A399</f>
        <v>45674</v>
      </c>
      <c r="D401" s="80" t="str">
        <f>predikcia!B399</f>
        <v>12:00:00</v>
      </c>
      <c r="E401" s="81">
        <f>predikcia!G399</f>
        <v>16325.25</v>
      </c>
      <c r="F401" s="70">
        <f>'DHS25'!C398</f>
        <v>17097</v>
      </c>
      <c r="G401" s="71">
        <f>'DHS25'!D398</f>
        <v>7488</v>
      </c>
      <c r="H401" s="106">
        <v>8</v>
      </c>
      <c r="I401" s="72">
        <f>'DHS25'!E398/1000</f>
        <v>8.0310000000000006</v>
      </c>
      <c r="J401" s="109">
        <f>predikcia!R399</f>
        <v>126.44</v>
      </c>
      <c r="K401" s="92">
        <f t="shared" si="6"/>
        <v>990.02634360000002</v>
      </c>
      <c r="M401" s="112">
        <v>6</v>
      </c>
      <c r="N401" s="111">
        <v>6</v>
      </c>
    </row>
    <row r="402" spans="3:14" ht="13.5" thickBot="1">
      <c r="C402" s="79">
        <f>predikcia!A400</f>
        <v>45674</v>
      </c>
      <c r="D402" s="80" t="str">
        <f>predikcia!B400</f>
        <v>13:00:00</v>
      </c>
      <c r="E402" s="81">
        <f>predikcia!G400</f>
        <v>16882.75</v>
      </c>
      <c r="F402" s="70">
        <f>'DHS25'!C399</f>
        <v>16683</v>
      </c>
      <c r="G402" s="71">
        <f>'DHS25'!D399</f>
        <v>8118</v>
      </c>
      <c r="H402" s="106">
        <v>8</v>
      </c>
      <c r="I402" s="72">
        <f>'DHS25'!E399/1000</f>
        <v>8.0579999999999998</v>
      </c>
      <c r="J402" s="109">
        <f>predikcia!R400</f>
        <v>124.03</v>
      </c>
      <c r="K402" s="92">
        <f t="shared" si="6"/>
        <v>974.12920259999987</v>
      </c>
      <c r="M402" s="112">
        <v>6</v>
      </c>
      <c r="N402" s="111">
        <v>6</v>
      </c>
    </row>
    <row r="403" spans="3:14" ht="13.5" thickBot="1">
      <c r="C403" s="79">
        <f>predikcia!A401</f>
        <v>45674</v>
      </c>
      <c r="D403" s="80" t="str">
        <f>predikcia!B401</f>
        <v>14:00:00</v>
      </c>
      <c r="E403" s="81">
        <f>predikcia!G401</f>
        <v>17253</v>
      </c>
      <c r="F403" s="70">
        <f>'DHS25'!C400</f>
        <v>17063</v>
      </c>
      <c r="G403" s="71">
        <f>'DHS25'!D400</f>
        <v>6750</v>
      </c>
      <c r="H403" s="106">
        <v>8</v>
      </c>
      <c r="I403" s="72">
        <f>'DHS25'!E400/1000</f>
        <v>8.0630000000000006</v>
      </c>
      <c r="J403" s="109">
        <f>predikcia!R401</f>
        <v>133.72999999999999</v>
      </c>
      <c r="K403" s="92">
        <f t="shared" si="6"/>
        <v>1052.1626400999999</v>
      </c>
      <c r="M403" s="112">
        <v>6</v>
      </c>
      <c r="N403" s="111">
        <v>8</v>
      </c>
    </row>
    <row r="404" spans="3:14" ht="13.5" thickBot="1">
      <c r="C404" s="79">
        <f>predikcia!A402</f>
        <v>45674</v>
      </c>
      <c r="D404" s="80" t="str">
        <f>predikcia!B402</f>
        <v>15:00:00</v>
      </c>
      <c r="E404" s="81">
        <f>predikcia!G402</f>
        <v>16995.75</v>
      </c>
      <c r="F404" s="70">
        <f>'DHS25'!C401</f>
        <v>16816</v>
      </c>
      <c r="G404" s="71">
        <f>'DHS25'!D401</f>
        <v>7117</v>
      </c>
      <c r="H404" s="106">
        <v>8</v>
      </c>
      <c r="I404" s="72">
        <f>'DHS25'!E401/1000</f>
        <v>8.0510000000000002</v>
      </c>
      <c r="J404" s="109">
        <f>predikcia!R402</f>
        <v>152.41999999999999</v>
      </c>
      <c r="K404" s="92">
        <f t="shared" si="6"/>
        <v>1199.5651857999999</v>
      </c>
      <c r="M404" s="112">
        <v>6</v>
      </c>
      <c r="N404" s="111">
        <v>8</v>
      </c>
    </row>
    <row r="405" spans="3:14" ht="13.5" thickBot="1">
      <c r="C405" s="79">
        <f>predikcia!A403</f>
        <v>45674</v>
      </c>
      <c r="D405" s="80" t="str">
        <f>predikcia!B403</f>
        <v>16:00:00</v>
      </c>
      <c r="E405" s="81">
        <f>predikcia!G403</f>
        <v>17660</v>
      </c>
      <c r="F405" s="70">
        <f>'DHS25'!C402</f>
        <v>16520</v>
      </c>
      <c r="G405" s="71">
        <f>'DHS25'!D402</f>
        <v>7102</v>
      </c>
      <c r="H405" s="106">
        <v>8</v>
      </c>
      <c r="I405" s="72">
        <f>'DHS25'!E402/1000</f>
        <v>8.0310000000000006</v>
      </c>
      <c r="J405" s="109">
        <f>predikcia!R403</f>
        <v>174.81</v>
      </c>
      <c r="K405" s="92">
        <f t="shared" si="6"/>
        <v>1374.6012189</v>
      </c>
      <c r="M405" s="112">
        <v>6</v>
      </c>
      <c r="N405" s="111">
        <v>8</v>
      </c>
    </row>
    <row r="406" spans="3:14" ht="13.5" thickBot="1">
      <c r="C406" s="79">
        <f>predikcia!A404</f>
        <v>45674</v>
      </c>
      <c r="D406" s="80" t="str">
        <f>predikcia!B404</f>
        <v>17:00:00</v>
      </c>
      <c r="E406" s="81">
        <f>predikcia!G404</f>
        <v>17726.25</v>
      </c>
      <c r="F406" s="70">
        <f>'DHS25'!C403</f>
        <v>16827</v>
      </c>
      <c r="G406" s="71">
        <f>'DHS25'!D403</f>
        <v>7604</v>
      </c>
      <c r="H406" s="106">
        <v>8</v>
      </c>
      <c r="I406" s="72">
        <f>'DHS25'!E403/1000</f>
        <v>8.048</v>
      </c>
      <c r="J406" s="109">
        <f>predikcia!R404</f>
        <v>179.59</v>
      </c>
      <c r="K406" s="92">
        <f t="shared" si="6"/>
        <v>1415.5957168</v>
      </c>
      <c r="M406" s="112">
        <v>6</v>
      </c>
      <c r="N406" s="111">
        <v>8</v>
      </c>
    </row>
    <row r="407" spans="3:14" ht="13.5" thickBot="1">
      <c r="C407" s="79">
        <f>predikcia!A405</f>
        <v>45674</v>
      </c>
      <c r="D407" s="80" t="str">
        <f>predikcia!B405</f>
        <v>18:00:00</v>
      </c>
      <c r="E407" s="81">
        <f>predikcia!G405</f>
        <v>17635.75</v>
      </c>
      <c r="F407" s="70">
        <f>'DHS25'!C404</f>
        <v>17206</v>
      </c>
      <c r="G407" s="71">
        <f>'DHS25'!D404</f>
        <v>6903</v>
      </c>
      <c r="H407" s="106">
        <v>8</v>
      </c>
      <c r="I407" s="72">
        <f>'DHS25'!E404/1000</f>
        <v>8.0299999999999994</v>
      </c>
      <c r="J407" s="109">
        <f>predikcia!R405</f>
        <v>179.92</v>
      </c>
      <c r="K407" s="92">
        <f t="shared" si="6"/>
        <v>1415.0530239999996</v>
      </c>
      <c r="M407" s="112">
        <v>6</v>
      </c>
      <c r="N407" s="111">
        <v>8</v>
      </c>
    </row>
    <row r="408" spans="3:14" ht="13.5" thickBot="1">
      <c r="C408" s="79">
        <f>predikcia!A406</f>
        <v>45674</v>
      </c>
      <c r="D408" s="80" t="str">
        <f>predikcia!B406</f>
        <v>19:00:00</v>
      </c>
      <c r="E408" s="81">
        <f>predikcia!G406</f>
        <v>17799.75</v>
      </c>
      <c r="F408" s="70">
        <f>'DHS25'!C405</f>
        <v>17338</v>
      </c>
      <c r="G408" s="71">
        <f>'DHS25'!D405</f>
        <v>6695</v>
      </c>
      <c r="H408" s="106">
        <v>8</v>
      </c>
      <c r="I408" s="72">
        <f>'DHS25'!E405/1000</f>
        <v>8.0540000000000003</v>
      </c>
      <c r="J408" s="109">
        <f>predikcia!R406</f>
        <v>174.22</v>
      </c>
      <c r="K408" s="92">
        <f t="shared" si="6"/>
        <v>1373.8336012</v>
      </c>
      <c r="M408" s="112">
        <v>6</v>
      </c>
      <c r="N408" s="111">
        <v>8</v>
      </c>
    </row>
    <row r="409" spans="3:14" ht="13.5" thickBot="1">
      <c r="C409" s="79">
        <f>predikcia!A407</f>
        <v>45674</v>
      </c>
      <c r="D409" s="80" t="str">
        <f>predikcia!B407</f>
        <v>20:00:00</v>
      </c>
      <c r="E409" s="81">
        <f>predikcia!G407</f>
        <v>17945</v>
      </c>
      <c r="F409" s="70">
        <f>'DHS25'!C406</f>
        <v>18158</v>
      </c>
      <c r="G409" s="71">
        <f>'DHS25'!D406</f>
        <v>6129</v>
      </c>
      <c r="H409" s="106">
        <v>8</v>
      </c>
      <c r="I409" s="72">
        <f>'DHS25'!E406/1000</f>
        <v>8.0830000000000002</v>
      </c>
      <c r="J409" s="109">
        <f>predikcia!R407</f>
        <v>157.91</v>
      </c>
      <c r="K409" s="92">
        <f t="shared" si="6"/>
        <v>1248.2649646999998</v>
      </c>
      <c r="M409" s="112">
        <v>6</v>
      </c>
      <c r="N409" s="111">
        <v>8</v>
      </c>
    </row>
    <row r="410" spans="3:14" ht="13.5" thickBot="1">
      <c r="C410" s="79">
        <f>predikcia!A408</f>
        <v>45674</v>
      </c>
      <c r="D410" s="80" t="str">
        <f>predikcia!B408</f>
        <v>21:00:00</v>
      </c>
      <c r="E410" s="81">
        <f>predikcia!G408</f>
        <v>18017.25</v>
      </c>
      <c r="F410" s="70">
        <f>'DHS25'!C407</f>
        <v>17812</v>
      </c>
      <c r="G410" s="71">
        <f>'DHS25'!D407</f>
        <v>6516</v>
      </c>
      <c r="H410" s="106">
        <v>8</v>
      </c>
      <c r="I410" s="72">
        <f>'DHS25'!E407/1000</f>
        <v>8.07</v>
      </c>
      <c r="J410" s="109">
        <f>predikcia!R408</f>
        <v>145</v>
      </c>
      <c r="K410" s="92">
        <f t="shared" si="6"/>
        <v>1143.1155000000001</v>
      </c>
      <c r="M410" s="112">
        <v>6</v>
      </c>
      <c r="N410" s="111">
        <v>8</v>
      </c>
    </row>
    <row r="411" spans="3:14" ht="13.5" thickBot="1">
      <c r="C411" s="79">
        <f>predikcia!A409</f>
        <v>45674</v>
      </c>
      <c r="D411" s="80" t="str">
        <f>predikcia!B409</f>
        <v>22:00:00</v>
      </c>
      <c r="E411" s="81">
        <f>predikcia!G409</f>
        <v>16033.5</v>
      </c>
      <c r="F411" s="70">
        <f>'DHS25'!C408</f>
        <v>14403</v>
      </c>
      <c r="G411" s="71">
        <f>'DHS25'!D408</f>
        <v>9909</v>
      </c>
      <c r="H411" s="106">
        <v>8</v>
      </c>
      <c r="I411" s="72">
        <f>'DHS25'!E408/1000</f>
        <v>8.0250000000000004</v>
      </c>
      <c r="J411" s="109">
        <f>predikcia!R409</f>
        <v>139.97</v>
      </c>
      <c r="K411" s="92">
        <f t="shared" si="6"/>
        <v>1096.7791575000001</v>
      </c>
      <c r="M411" s="112">
        <v>6</v>
      </c>
      <c r="N411" s="111">
        <v>8</v>
      </c>
    </row>
    <row r="412" spans="3:14" ht="13.5" thickBot="1">
      <c r="C412" s="82">
        <f>predikcia!A410</f>
        <v>45674</v>
      </c>
      <c r="D412" s="83" t="str">
        <f>predikcia!B410</f>
        <v>23:00:00</v>
      </c>
      <c r="E412" s="84">
        <f>predikcia!G410</f>
        <v>9470.25</v>
      </c>
      <c r="F412" s="73">
        <f>'DHS25'!C409</f>
        <v>8715</v>
      </c>
      <c r="G412" s="64">
        <f>'DHS25'!D409</f>
        <v>10340</v>
      </c>
      <c r="H412" s="107">
        <v>4</v>
      </c>
      <c r="I412" s="74">
        <f>'DHS25'!E409/1000</f>
        <v>5.6689999999999996</v>
      </c>
      <c r="J412" s="109">
        <f>predikcia!R410</f>
        <v>128.6</v>
      </c>
      <c r="K412" s="92">
        <f t="shared" si="6"/>
        <v>710.97196599999984</v>
      </c>
      <c r="M412" s="112">
        <v>4</v>
      </c>
      <c r="N412" s="111">
        <v>4</v>
      </c>
    </row>
    <row r="413" spans="3:14" ht="13.5" thickBot="1">
      <c r="C413" s="85">
        <f>predikcia!A411</f>
        <v>45675</v>
      </c>
      <c r="D413" s="86" t="str">
        <f>predikcia!B411</f>
        <v>00:00:00</v>
      </c>
      <c r="E413" s="78">
        <f>predikcia!G411</f>
        <v>10139.5</v>
      </c>
      <c r="F413" s="68">
        <f>'DHS25'!C410</f>
        <v>8245</v>
      </c>
      <c r="G413" s="63">
        <f>'DHS25'!D410</f>
        <v>5040</v>
      </c>
      <c r="H413" s="105">
        <v>4</v>
      </c>
      <c r="I413" s="69">
        <f>'DHS25'!E410/1000</f>
        <v>4.0659999999999998</v>
      </c>
      <c r="J413" s="109">
        <f>predikcia!R411</f>
        <v>126.55</v>
      </c>
      <c r="K413" s="92">
        <f t="shared" si="6"/>
        <v>501.68137699999994</v>
      </c>
      <c r="M413" s="112">
        <v>4</v>
      </c>
      <c r="N413" s="111">
        <v>4</v>
      </c>
    </row>
    <row r="414" spans="3:14" ht="13.5" thickBot="1">
      <c r="C414" s="87">
        <f>predikcia!A412</f>
        <v>45675</v>
      </c>
      <c r="D414" s="88" t="str">
        <f>predikcia!B412</f>
        <v>01:00:00</v>
      </c>
      <c r="E414" s="81">
        <f>predikcia!G412</f>
        <v>11130.25</v>
      </c>
      <c r="F414" s="70">
        <f>'DHS25'!C411</f>
        <v>9661</v>
      </c>
      <c r="G414" s="71">
        <f>'DHS25'!D411</f>
        <v>4066</v>
      </c>
      <c r="H414" s="106">
        <v>4</v>
      </c>
      <c r="I414" s="72">
        <f>'DHS25'!E411/1000</f>
        <v>4.0609999999999999</v>
      </c>
      <c r="J414" s="109">
        <f>predikcia!R412</f>
        <v>121.29</v>
      </c>
      <c r="K414" s="92">
        <f t="shared" si="6"/>
        <v>479.91720309999999</v>
      </c>
      <c r="M414" s="112">
        <v>4</v>
      </c>
      <c r="N414" s="111">
        <v>4</v>
      </c>
    </row>
    <row r="415" spans="3:14" ht="13.5" thickBot="1">
      <c r="C415" s="87">
        <f>predikcia!A413</f>
        <v>45675</v>
      </c>
      <c r="D415" s="88" t="str">
        <f>predikcia!B413</f>
        <v>02:00:00</v>
      </c>
      <c r="E415" s="81">
        <f>predikcia!G413</f>
        <v>12087.25</v>
      </c>
      <c r="F415" s="70">
        <f>'DHS25'!C412</f>
        <v>10260</v>
      </c>
      <c r="G415" s="71">
        <f>'DHS25'!D412</f>
        <v>6721</v>
      </c>
      <c r="H415" s="106">
        <v>5</v>
      </c>
      <c r="I415" s="72">
        <f>'DHS25'!E412/1000</f>
        <v>5.0819999999999999</v>
      </c>
      <c r="J415" s="109">
        <f>predikcia!R413</f>
        <v>121.59</v>
      </c>
      <c r="K415" s="92">
        <f t="shared" si="6"/>
        <v>602.08537619999993</v>
      </c>
      <c r="M415" s="112">
        <v>5</v>
      </c>
      <c r="N415" s="111">
        <v>5</v>
      </c>
    </row>
    <row r="416" spans="3:14" ht="13.5" thickBot="1">
      <c r="C416" s="87">
        <f>predikcia!A414</f>
        <v>45675</v>
      </c>
      <c r="D416" s="88" t="str">
        <f>predikcia!B414</f>
        <v>03:00:00</v>
      </c>
      <c r="E416" s="81">
        <f>predikcia!G414</f>
        <v>13091.5</v>
      </c>
      <c r="F416" s="70">
        <f>'DHS25'!C413</f>
        <v>11517</v>
      </c>
      <c r="G416" s="71">
        <f>'DHS25'!D413</f>
        <v>5048</v>
      </c>
      <c r="H416" s="106">
        <v>5</v>
      </c>
      <c r="I416" s="72">
        <f>'DHS25'!E413/1000</f>
        <v>5.0609999999999999</v>
      </c>
      <c r="J416" s="109">
        <f>predikcia!R414</f>
        <v>118.92</v>
      </c>
      <c r="K416" s="92">
        <f t="shared" si="6"/>
        <v>586.2196788</v>
      </c>
      <c r="M416" s="112">
        <v>5</v>
      </c>
      <c r="N416" s="111">
        <v>5</v>
      </c>
    </row>
    <row r="417" spans="3:14" ht="13.5" thickBot="1">
      <c r="C417" s="87">
        <f>predikcia!A415</f>
        <v>45675</v>
      </c>
      <c r="D417" s="88" t="str">
        <f>predikcia!B415</f>
        <v>04:00:00</v>
      </c>
      <c r="E417" s="81">
        <f>predikcia!G415</f>
        <v>18433</v>
      </c>
      <c r="F417" s="70">
        <f>'DHS25'!C414</f>
        <v>17527</v>
      </c>
      <c r="G417" s="71">
        <f>'DHS25'!D414</f>
        <v>97</v>
      </c>
      <c r="H417" s="106">
        <v>6</v>
      </c>
      <c r="I417" s="72">
        <f>'DHS25'!E414/1000</f>
        <v>5.9770000000000003</v>
      </c>
      <c r="J417" s="109">
        <f>predikcia!R415</f>
        <v>117.21</v>
      </c>
      <c r="K417" s="92">
        <f t="shared" si="6"/>
        <v>682.2022283</v>
      </c>
      <c r="M417" s="112">
        <v>6</v>
      </c>
      <c r="N417" s="111">
        <v>6</v>
      </c>
    </row>
    <row r="418" spans="3:14" ht="13.5" thickBot="1">
      <c r="C418" s="87">
        <f>predikcia!A416</f>
        <v>45675</v>
      </c>
      <c r="D418" s="88" t="str">
        <f>predikcia!B416</f>
        <v>05:00:00</v>
      </c>
      <c r="E418" s="81">
        <f>predikcia!G416</f>
        <v>18688.75</v>
      </c>
      <c r="F418" s="70">
        <f>'DHS25'!C415</f>
        <v>19040</v>
      </c>
      <c r="G418" s="71">
        <f>'DHS25'!D415</f>
        <v>25</v>
      </c>
      <c r="H418" s="106">
        <v>6</v>
      </c>
      <c r="I418" s="72">
        <f>'DHS25'!E415/1000</f>
        <v>6.0620000000000003</v>
      </c>
      <c r="J418" s="109">
        <f>predikcia!R416</f>
        <v>119.85</v>
      </c>
      <c r="K418" s="92">
        <f t="shared" si="6"/>
        <v>707.74759299999994</v>
      </c>
      <c r="M418" s="112">
        <v>6</v>
      </c>
      <c r="N418" s="111">
        <v>6</v>
      </c>
    </row>
    <row r="419" spans="3:14" ht="13.5" thickBot="1">
      <c r="C419" s="87">
        <f>predikcia!A417</f>
        <v>45675</v>
      </c>
      <c r="D419" s="88" t="str">
        <f>predikcia!B417</f>
        <v>06:00:00</v>
      </c>
      <c r="E419" s="81">
        <f>predikcia!G417</f>
        <v>19605.75</v>
      </c>
      <c r="F419" s="70">
        <f>'DHS25'!C416</f>
        <v>21439</v>
      </c>
      <c r="G419" s="71">
        <f>'DHS25'!D416</f>
        <v>966</v>
      </c>
      <c r="H419" s="106">
        <v>8</v>
      </c>
      <c r="I419" s="72">
        <f>'DHS25'!E416/1000</f>
        <v>7.0270000000000001</v>
      </c>
      <c r="J419" s="109">
        <f>predikcia!R417</f>
        <v>125.96</v>
      </c>
      <c r="K419" s="92">
        <f t="shared" si="6"/>
        <v>862.91841079999995</v>
      </c>
      <c r="M419" s="112">
        <v>6</v>
      </c>
      <c r="N419" s="111">
        <v>6</v>
      </c>
    </row>
    <row r="420" spans="3:14" ht="13.5" thickBot="1">
      <c r="C420" s="87">
        <f>predikcia!A418</f>
        <v>45675</v>
      </c>
      <c r="D420" s="88" t="str">
        <f>predikcia!B418</f>
        <v>07:00:00</v>
      </c>
      <c r="E420" s="81">
        <f>predikcia!G418</f>
        <v>17148.75</v>
      </c>
      <c r="F420" s="70">
        <f>'DHS25'!C417</f>
        <v>17163</v>
      </c>
      <c r="G420" s="71">
        <f>'DHS25'!D417</f>
        <v>8141</v>
      </c>
      <c r="H420" s="106">
        <v>8</v>
      </c>
      <c r="I420" s="72">
        <f>'DHS25'!E417/1000</f>
        <v>8.0719999999999992</v>
      </c>
      <c r="J420" s="109">
        <f>predikcia!R418</f>
        <v>136.4</v>
      </c>
      <c r="K420" s="92">
        <f t="shared" si="6"/>
        <v>1074.6737919999998</v>
      </c>
      <c r="M420" s="112">
        <v>6</v>
      </c>
      <c r="N420" s="111">
        <v>7.8999999999999986</v>
      </c>
    </row>
    <row r="421" spans="3:14" ht="13.5" thickBot="1">
      <c r="C421" s="87">
        <f>predikcia!A419</f>
        <v>45675</v>
      </c>
      <c r="D421" s="88" t="str">
        <f>predikcia!B419</f>
        <v>08:00:00</v>
      </c>
      <c r="E421" s="81">
        <f>predikcia!G419</f>
        <v>17892</v>
      </c>
      <c r="F421" s="70">
        <f>'DHS25'!C418</f>
        <v>15309</v>
      </c>
      <c r="G421" s="71">
        <f>'DHS25'!D418</f>
        <v>8783</v>
      </c>
      <c r="H421" s="106">
        <v>8</v>
      </c>
      <c r="I421" s="72">
        <f>'DHS25'!E418/1000</f>
        <v>8.0510000000000002</v>
      </c>
      <c r="J421" s="109">
        <f>predikcia!R419</f>
        <v>146.05000000000001</v>
      </c>
      <c r="K421" s="92">
        <f t="shared" si="6"/>
        <v>1148.7931645000001</v>
      </c>
      <c r="M421" s="112">
        <v>6</v>
      </c>
      <c r="N421" s="111">
        <v>8</v>
      </c>
    </row>
    <row r="422" spans="3:14" ht="13.5" thickBot="1">
      <c r="C422" s="87">
        <f>predikcia!A420</f>
        <v>45675</v>
      </c>
      <c r="D422" s="88" t="str">
        <f>predikcia!B420</f>
        <v>09:00:00</v>
      </c>
      <c r="E422" s="81">
        <f>predikcia!G420</f>
        <v>18146.5</v>
      </c>
      <c r="F422" s="70">
        <f>'DHS25'!C419</f>
        <v>18320</v>
      </c>
      <c r="G422" s="71">
        <f>'DHS25'!D419</f>
        <v>7054</v>
      </c>
      <c r="H422" s="106">
        <v>8</v>
      </c>
      <c r="I422" s="72">
        <f>'DHS25'!E419/1000</f>
        <v>8.0749999999999993</v>
      </c>
      <c r="J422" s="109">
        <f>predikcia!R420</f>
        <v>144.1</v>
      </c>
      <c r="K422" s="92">
        <f t="shared" si="6"/>
        <v>1136.6289249999998</v>
      </c>
      <c r="M422" s="112">
        <v>6</v>
      </c>
      <c r="N422" s="111">
        <v>8</v>
      </c>
    </row>
    <row r="423" spans="3:14" ht="13.5" thickBot="1">
      <c r="C423" s="87">
        <f>predikcia!A421</f>
        <v>45675</v>
      </c>
      <c r="D423" s="88" t="str">
        <f>predikcia!B421</f>
        <v>10:00:00</v>
      </c>
      <c r="E423" s="81">
        <f>predikcia!G421</f>
        <v>17487.25</v>
      </c>
      <c r="F423" s="70">
        <f>'DHS25'!C420</f>
        <v>17660</v>
      </c>
      <c r="G423" s="71">
        <f>'DHS25'!D420</f>
        <v>6817</v>
      </c>
      <c r="H423" s="106">
        <v>8</v>
      </c>
      <c r="I423" s="72">
        <f>'DHS25'!E420/1000</f>
        <v>8.0540000000000003</v>
      </c>
      <c r="J423" s="109">
        <f>predikcia!R421</f>
        <v>134.69999999999999</v>
      </c>
      <c r="K423" s="92">
        <f t="shared" si="6"/>
        <v>1058.7224619999997</v>
      </c>
      <c r="M423" s="112">
        <v>6</v>
      </c>
      <c r="N423" s="111">
        <v>8</v>
      </c>
    </row>
    <row r="424" spans="3:14" ht="13.5" thickBot="1">
      <c r="C424" s="87">
        <f>predikcia!A422</f>
        <v>45675</v>
      </c>
      <c r="D424" s="88" t="str">
        <f>predikcia!B422</f>
        <v>11:00:00</v>
      </c>
      <c r="E424" s="81">
        <f>predikcia!G422</f>
        <v>16773</v>
      </c>
      <c r="F424" s="70">
        <f>'DHS25'!C421</f>
        <v>16713</v>
      </c>
      <c r="G424" s="71">
        <f>'DHS25'!D421</f>
        <v>7937</v>
      </c>
      <c r="H424" s="106">
        <v>8</v>
      </c>
      <c r="I424" s="72">
        <f>'DHS25'!E421/1000</f>
        <v>8.0709999999999997</v>
      </c>
      <c r="J424" s="109">
        <f>predikcia!R422</f>
        <v>121.86</v>
      </c>
      <c r="K424" s="92">
        <f t="shared" si="6"/>
        <v>958.36183940000001</v>
      </c>
      <c r="M424" s="112">
        <v>6</v>
      </c>
      <c r="N424" s="111">
        <v>6</v>
      </c>
    </row>
    <row r="425" spans="3:14" ht="13.5" thickBot="1">
      <c r="C425" s="87">
        <f>predikcia!A423</f>
        <v>45675</v>
      </c>
      <c r="D425" s="88" t="str">
        <f>predikcia!B423</f>
        <v>12:00:00</v>
      </c>
      <c r="E425" s="81">
        <f>predikcia!G423</f>
        <v>16099</v>
      </c>
      <c r="F425" s="70">
        <f>'DHS25'!C422</f>
        <v>16701</v>
      </c>
      <c r="G425" s="71">
        <f>'DHS25'!D422</f>
        <v>7244</v>
      </c>
      <c r="H425" s="106">
        <v>8</v>
      </c>
      <c r="I425" s="72">
        <f>'DHS25'!E422/1000</f>
        <v>8.0709999999999997</v>
      </c>
      <c r="J425" s="109">
        <f>predikcia!R423</f>
        <v>118.87</v>
      </c>
      <c r="K425" s="92">
        <f t="shared" si="6"/>
        <v>934.4708723</v>
      </c>
      <c r="M425" s="112">
        <v>6</v>
      </c>
      <c r="N425" s="111">
        <v>6</v>
      </c>
    </row>
    <row r="426" spans="3:14" ht="13.5" thickBot="1">
      <c r="C426" s="87">
        <f>predikcia!A424</f>
        <v>45675</v>
      </c>
      <c r="D426" s="88" t="str">
        <f>predikcia!B424</f>
        <v>13:00:00</v>
      </c>
      <c r="E426" s="81">
        <f>predikcia!G424</f>
        <v>15780</v>
      </c>
      <c r="F426" s="70">
        <f>'DHS25'!C423</f>
        <v>17490</v>
      </c>
      <c r="G426" s="71">
        <f>'DHS25'!D423</f>
        <v>7765</v>
      </c>
      <c r="H426" s="106">
        <v>8</v>
      </c>
      <c r="I426" s="72">
        <f>'DHS25'!E423/1000</f>
        <v>8.0679999999999996</v>
      </c>
      <c r="J426" s="109">
        <f>predikcia!R424</f>
        <v>115.01</v>
      </c>
      <c r="K426" s="92">
        <f t="shared" si="6"/>
        <v>903.29247320000002</v>
      </c>
      <c r="M426" s="112">
        <v>5</v>
      </c>
      <c r="N426" s="111">
        <v>5</v>
      </c>
    </row>
    <row r="427" spans="3:14" ht="13.5" thickBot="1">
      <c r="C427" s="87">
        <f>predikcia!A425</f>
        <v>45675</v>
      </c>
      <c r="D427" s="88" t="str">
        <f>predikcia!B425</f>
        <v>14:00:00</v>
      </c>
      <c r="E427" s="81">
        <f>predikcia!G425</f>
        <v>15862.25</v>
      </c>
      <c r="F427" s="70">
        <f>'DHS25'!C424</f>
        <v>16748</v>
      </c>
      <c r="G427" s="71">
        <f>'DHS25'!D424</f>
        <v>7216</v>
      </c>
      <c r="H427" s="106">
        <v>8</v>
      </c>
      <c r="I427" s="72">
        <f>'DHS25'!E424/1000</f>
        <v>8.0709999999999997</v>
      </c>
      <c r="J427" s="109">
        <f>predikcia!R425</f>
        <v>119.62</v>
      </c>
      <c r="K427" s="92">
        <f t="shared" si="6"/>
        <v>940.46358979999991</v>
      </c>
      <c r="M427" s="112">
        <v>5</v>
      </c>
      <c r="N427" s="111">
        <v>5</v>
      </c>
    </row>
    <row r="428" spans="3:14" ht="13.5" thickBot="1">
      <c r="C428" s="87">
        <f>predikcia!A426</f>
        <v>45675</v>
      </c>
      <c r="D428" s="88" t="str">
        <f>predikcia!B426</f>
        <v>15:00:00</v>
      </c>
      <c r="E428" s="81">
        <f>predikcia!G426</f>
        <v>16224</v>
      </c>
      <c r="F428" s="70">
        <f>'DHS25'!C425</f>
        <v>16602</v>
      </c>
      <c r="G428" s="71">
        <f>'DHS25'!D425</f>
        <v>8035</v>
      </c>
      <c r="H428" s="106">
        <v>8</v>
      </c>
      <c r="I428" s="72">
        <f>'DHS25'!E425/1000</f>
        <v>8.1029999999999998</v>
      </c>
      <c r="J428" s="109">
        <f>predikcia!R426</f>
        <v>140.33000000000001</v>
      </c>
      <c r="K428" s="92">
        <f t="shared" si="6"/>
        <v>1110.3273501000001</v>
      </c>
      <c r="M428" s="112">
        <v>6</v>
      </c>
      <c r="N428" s="111">
        <v>8</v>
      </c>
    </row>
    <row r="429" spans="3:14" ht="13.5" thickBot="1">
      <c r="C429" s="87">
        <f>predikcia!A427</f>
        <v>45675</v>
      </c>
      <c r="D429" s="88" t="str">
        <f>predikcia!B427</f>
        <v>16:00:00</v>
      </c>
      <c r="E429" s="81">
        <f>predikcia!G427</f>
        <v>17144.5</v>
      </c>
      <c r="F429" s="70">
        <f>'DHS25'!C426</f>
        <v>17311</v>
      </c>
      <c r="G429" s="71">
        <f>'DHS25'!D426</f>
        <v>7602</v>
      </c>
      <c r="H429" s="106">
        <v>8</v>
      </c>
      <c r="I429" s="72">
        <f>'DHS25'!E426/1000</f>
        <v>8.0749999999999993</v>
      </c>
      <c r="J429" s="109">
        <f>predikcia!R427</f>
        <v>182.1</v>
      </c>
      <c r="K429" s="92">
        <f t="shared" si="6"/>
        <v>1440.4104249999998</v>
      </c>
      <c r="M429" s="112">
        <v>6</v>
      </c>
      <c r="N429" s="111">
        <v>8</v>
      </c>
    </row>
    <row r="430" spans="3:14" ht="13.5" thickBot="1">
      <c r="C430" s="87">
        <f>predikcia!A428</f>
        <v>45675</v>
      </c>
      <c r="D430" s="88" t="str">
        <f>predikcia!B428</f>
        <v>17:00:00</v>
      </c>
      <c r="E430" s="81">
        <f>predikcia!G428</f>
        <v>17821.5</v>
      </c>
      <c r="F430" s="70">
        <f>'DHS25'!C427</f>
        <v>17353</v>
      </c>
      <c r="G430" s="71">
        <f>'DHS25'!D427</f>
        <v>7307</v>
      </c>
      <c r="H430" s="106">
        <v>8</v>
      </c>
      <c r="I430" s="72">
        <f>'DHS25'!E427/1000</f>
        <v>8.0589999999999993</v>
      </c>
      <c r="J430" s="109">
        <f>predikcia!R428</f>
        <v>177.78</v>
      </c>
      <c r="K430" s="92">
        <f t="shared" si="6"/>
        <v>1403.0896297999998</v>
      </c>
      <c r="M430" s="112">
        <v>6</v>
      </c>
      <c r="N430" s="111">
        <v>8</v>
      </c>
    </row>
    <row r="431" spans="3:14" ht="13.5" thickBot="1">
      <c r="C431" s="87">
        <f>predikcia!A429</f>
        <v>45675</v>
      </c>
      <c r="D431" s="88" t="str">
        <f>predikcia!B429</f>
        <v>18:00:00</v>
      </c>
      <c r="E431" s="81">
        <f>predikcia!G429</f>
        <v>18107</v>
      </c>
      <c r="F431" s="70">
        <f>'DHS25'!C428</f>
        <v>17604</v>
      </c>
      <c r="G431" s="71">
        <f>'DHS25'!D428</f>
        <v>7321</v>
      </c>
      <c r="H431" s="106">
        <v>8</v>
      </c>
      <c r="I431" s="72">
        <f>'DHS25'!E428/1000</f>
        <v>8.0850000000000009</v>
      </c>
      <c r="J431" s="109">
        <f>predikcia!R429</f>
        <v>167.57</v>
      </c>
      <c r="K431" s="92">
        <f t="shared" si="6"/>
        <v>1325.8939155</v>
      </c>
      <c r="M431" s="112">
        <v>6</v>
      </c>
      <c r="N431" s="111">
        <v>8</v>
      </c>
    </row>
    <row r="432" spans="3:14" ht="13.5" thickBot="1">
      <c r="C432" s="87">
        <f>predikcia!A430</f>
        <v>45675</v>
      </c>
      <c r="D432" s="88" t="str">
        <f>predikcia!B430</f>
        <v>19:00:00</v>
      </c>
      <c r="E432" s="81">
        <f>predikcia!G430</f>
        <v>18617</v>
      </c>
      <c r="F432" s="70">
        <f>'DHS25'!C429</f>
        <v>17478</v>
      </c>
      <c r="G432" s="71">
        <f>'DHS25'!D429</f>
        <v>6972</v>
      </c>
      <c r="H432" s="106">
        <v>8</v>
      </c>
      <c r="I432" s="72">
        <f>'DHS25'!E429/1000</f>
        <v>8.0779999999999994</v>
      </c>
      <c r="J432" s="109">
        <f>predikcia!R430</f>
        <v>167.85</v>
      </c>
      <c r="K432" s="92">
        <f t="shared" si="6"/>
        <v>1326.9851769999998</v>
      </c>
      <c r="M432" s="112">
        <v>6</v>
      </c>
      <c r="N432" s="111">
        <v>8</v>
      </c>
    </row>
    <row r="433" spans="3:14" ht="13.5" thickBot="1">
      <c r="C433" s="87">
        <f>predikcia!A431</f>
        <v>45675</v>
      </c>
      <c r="D433" s="88" t="str">
        <f>predikcia!B431</f>
        <v>20:00:00</v>
      </c>
      <c r="E433" s="81">
        <f>predikcia!G431</f>
        <v>18133</v>
      </c>
      <c r="F433" s="70">
        <f>'DHS25'!C430</f>
        <v>17869</v>
      </c>
      <c r="G433" s="71">
        <f>'DHS25'!D430</f>
        <v>7258</v>
      </c>
      <c r="H433" s="106">
        <v>8</v>
      </c>
      <c r="I433" s="72">
        <f>'DHS25'!E430/1000</f>
        <v>8.0709999999999997</v>
      </c>
      <c r="J433" s="109">
        <f>predikcia!R431</f>
        <v>156.12</v>
      </c>
      <c r="K433" s="92">
        <f t="shared" si="6"/>
        <v>1232.1091747999999</v>
      </c>
      <c r="M433" s="112">
        <v>6</v>
      </c>
      <c r="N433" s="111">
        <v>8</v>
      </c>
    </row>
    <row r="434" spans="3:14" ht="13.5" thickBot="1">
      <c r="C434" s="87">
        <f>predikcia!A432</f>
        <v>45675</v>
      </c>
      <c r="D434" s="88" t="str">
        <f>predikcia!B432</f>
        <v>21:00:00</v>
      </c>
      <c r="E434" s="81">
        <f>predikcia!G432</f>
        <v>18598</v>
      </c>
      <c r="F434" s="70">
        <f>'DHS25'!C431</f>
        <v>17785</v>
      </c>
      <c r="G434" s="71">
        <f>'DHS25'!D431</f>
        <v>6883</v>
      </c>
      <c r="H434" s="106">
        <v>8</v>
      </c>
      <c r="I434" s="72">
        <f>'DHS25'!E431/1000</f>
        <v>8.0649999999999995</v>
      </c>
      <c r="J434" s="109">
        <f>predikcia!R432</f>
        <v>143.41999999999999</v>
      </c>
      <c r="K434" s="92">
        <f t="shared" si="6"/>
        <v>1129.7919769999999</v>
      </c>
      <c r="M434" s="112">
        <v>6</v>
      </c>
      <c r="N434" s="111">
        <v>8</v>
      </c>
    </row>
    <row r="435" spans="3:14" ht="13.5" thickBot="1">
      <c r="C435" s="87">
        <f>predikcia!A433</f>
        <v>45675</v>
      </c>
      <c r="D435" s="88" t="str">
        <f>predikcia!B433</f>
        <v>22:00:00</v>
      </c>
      <c r="E435" s="81">
        <f>predikcia!G433</f>
        <v>16165.5</v>
      </c>
      <c r="F435" s="70">
        <f>'DHS25'!C432</f>
        <v>14854</v>
      </c>
      <c r="G435" s="71">
        <f>'DHS25'!D432</f>
        <v>8801</v>
      </c>
      <c r="H435" s="106">
        <v>8</v>
      </c>
      <c r="I435" s="72">
        <f>'DHS25'!E432/1000</f>
        <v>8.0239999999999991</v>
      </c>
      <c r="J435" s="109">
        <f>predikcia!R433</f>
        <v>136.4</v>
      </c>
      <c r="K435" s="92">
        <f t="shared" si="6"/>
        <v>1068.2832639999999</v>
      </c>
      <c r="M435" s="112">
        <v>6</v>
      </c>
      <c r="N435" s="111">
        <v>8</v>
      </c>
    </row>
    <row r="436" spans="3:14" ht="13.5" thickBot="1">
      <c r="C436" s="89">
        <f>predikcia!A434</f>
        <v>45675</v>
      </c>
      <c r="D436" s="90" t="str">
        <f>predikcia!B434</f>
        <v>23:00:00</v>
      </c>
      <c r="E436" s="84">
        <f>predikcia!G434</f>
        <v>9626.25</v>
      </c>
      <c r="F436" s="73">
        <f>'DHS25'!C433</f>
        <v>9503</v>
      </c>
      <c r="G436" s="64">
        <f>'DHS25'!D433</f>
        <v>9324</v>
      </c>
      <c r="H436" s="107">
        <v>4</v>
      </c>
      <c r="I436" s="74">
        <f>'DHS25'!E433/1000</f>
        <v>5.9640000000000004</v>
      </c>
      <c r="J436" s="109">
        <f>predikcia!R434</f>
        <v>129.36000000000001</v>
      </c>
      <c r="K436" s="92">
        <f t="shared" si="6"/>
        <v>752.45640960000014</v>
      </c>
      <c r="M436" s="112">
        <v>4</v>
      </c>
      <c r="N436" s="111">
        <v>4</v>
      </c>
    </row>
    <row r="437" spans="3:14" ht="13.5" thickBot="1">
      <c r="C437" s="76">
        <f>predikcia!A435</f>
        <v>45676</v>
      </c>
      <c r="D437" s="77" t="str">
        <f>predikcia!B435</f>
        <v>00:00:00</v>
      </c>
      <c r="E437" s="78">
        <f>predikcia!G435</f>
        <v>9786.25</v>
      </c>
      <c r="F437" s="68">
        <f>'DHS25'!C434</f>
        <v>10344</v>
      </c>
      <c r="G437" s="63">
        <f>'DHS25'!D434</f>
        <v>3486</v>
      </c>
      <c r="H437" s="105">
        <v>4</v>
      </c>
      <c r="I437" s="69">
        <f>'DHS25'!E434/1000</f>
        <v>4.0890000000000004</v>
      </c>
      <c r="J437" s="109">
        <f>predikcia!R435</f>
        <v>129.96</v>
      </c>
      <c r="K437" s="92">
        <f t="shared" si="6"/>
        <v>518.3232756000001</v>
      </c>
      <c r="M437" s="112">
        <v>4</v>
      </c>
      <c r="N437" s="111">
        <v>4</v>
      </c>
    </row>
    <row r="438" spans="3:14" ht="13.5" thickBot="1">
      <c r="C438" s="79">
        <f>predikcia!A436</f>
        <v>45676</v>
      </c>
      <c r="D438" s="80" t="str">
        <f>predikcia!B436</f>
        <v>01:00:00</v>
      </c>
      <c r="E438" s="81">
        <f>predikcia!G436</f>
        <v>11235.5</v>
      </c>
      <c r="F438" s="70">
        <f>'DHS25'!C435</f>
        <v>9598</v>
      </c>
      <c r="G438" s="71">
        <f>'DHS25'!D435</f>
        <v>4881</v>
      </c>
      <c r="H438" s="106">
        <v>4</v>
      </c>
      <c r="I438" s="72">
        <f>'DHS25'!E435/1000</f>
        <v>4.085</v>
      </c>
      <c r="J438" s="109">
        <f>predikcia!R436</f>
        <v>125.25</v>
      </c>
      <c r="K438" s="92">
        <f t="shared" si="6"/>
        <v>498.76828749999999</v>
      </c>
      <c r="M438" s="112">
        <v>4</v>
      </c>
      <c r="N438" s="111">
        <v>4</v>
      </c>
    </row>
    <row r="439" spans="3:14" ht="13.5" thickBot="1">
      <c r="C439" s="79">
        <f>predikcia!A437</f>
        <v>45676</v>
      </c>
      <c r="D439" s="80" t="str">
        <f>predikcia!B437</f>
        <v>02:00:00</v>
      </c>
      <c r="E439" s="81">
        <f>predikcia!G437</f>
        <v>12342</v>
      </c>
      <c r="F439" s="70">
        <f>'DHS25'!C436</f>
        <v>11284</v>
      </c>
      <c r="G439" s="71">
        <f>'DHS25'!D436</f>
        <v>5961</v>
      </c>
      <c r="H439" s="106">
        <v>5</v>
      </c>
      <c r="I439" s="72">
        <f>'DHS25'!E436/1000</f>
        <v>5.0659999999999998</v>
      </c>
      <c r="J439" s="109">
        <f>predikcia!R437</f>
        <v>123.93</v>
      </c>
      <c r="K439" s="92">
        <f t="shared" si="6"/>
        <v>611.92568619999997</v>
      </c>
      <c r="M439" s="112">
        <v>5</v>
      </c>
      <c r="N439" s="111">
        <v>5</v>
      </c>
    </row>
    <row r="440" spans="3:14" ht="13.5" thickBot="1">
      <c r="C440" s="79">
        <f>predikcia!A438</f>
        <v>45676</v>
      </c>
      <c r="D440" s="80" t="str">
        <f>predikcia!B438</f>
        <v>03:00:00</v>
      </c>
      <c r="E440" s="81">
        <f>predikcia!G438</f>
        <v>13510.25</v>
      </c>
      <c r="F440" s="70">
        <f>'DHS25'!C437</f>
        <v>11912</v>
      </c>
      <c r="G440" s="71">
        <f>'DHS25'!D437</f>
        <v>5240</v>
      </c>
      <c r="H440" s="106">
        <v>5</v>
      </c>
      <c r="I440" s="72">
        <f>'DHS25'!E437/1000</f>
        <v>5.0670000000000002</v>
      </c>
      <c r="J440" s="109">
        <f>predikcia!R438</f>
        <v>121.24</v>
      </c>
      <c r="K440" s="92">
        <f t="shared" si="6"/>
        <v>598.55254919999993</v>
      </c>
      <c r="M440" s="112">
        <v>5</v>
      </c>
      <c r="N440" s="111">
        <v>5</v>
      </c>
    </row>
    <row r="441" spans="3:14" ht="13.5" thickBot="1">
      <c r="C441" s="79">
        <f>predikcia!A439</f>
        <v>45676</v>
      </c>
      <c r="D441" s="80" t="str">
        <f>predikcia!B439</f>
        <v>04:00:00</v>
      </c>
      <c r="E441" s="81">
        <f>predikcia!G439</f>
        <v>18450.75</v>
      </c>
      <c r="F441" s="70">
        <f>'DHS25'!C438</f>
        <v>18916</v>
      </c>
      <c r="G441" s="71">
        <f>'DHS25'!D438</f>
        <v>230</v>
      </c>
      <c r="H441" s="106">
        <v>6</v>
      </c>
      <c r="I441" s="72">
        <f>'DHS25'!E438/1000</f>
        <v>6.0250000000000004</v>
      </c>
      <c r="J441" s="109">
        <f>predikcia!R439</f>
        <v>120.18</v>
      </c>
      <c r="K441" s="92">
        <f t="shared" si="6"/>
        <v>705.39615500000002</v>
      </c>
      <c r="M441" s="112">
        <v>6</v>
      </c>
      <c r="N441" s="111">
        <v>6</v>
      </c>
    </row>
    <row r="442" spans="3:14" ht="13.5" thickBot="1">
      <c r="C442" s="79">
        <f>predikcia!A440</f>
        <v>45676</v>
      </c>
      <c r="D442" s="80" t="str">
        <f>predikcia!B440</f>
        <v>05:00:00</v>
      </c>
      <c r="E442" s="81">
        <f>predikcia!G440</f>
        <v>18875.5</v>
      </c>
      <c r="F442" s="70">
        <f>'DHS25'!C439</f>
        <v>19750</v>
      </c>
      <c r="G442" s="71">
        <f>'DHS25'!D439</f>
        <v>162</v>
      </c>
      <c r="H442" s="106">
        <v>6</v>
      </c>
      <c r="I442" s="72">
        <f>'DHS25'!E439/1000</f>
        <v>6.069</v>
      </c>
      <c r="J442" s="109">
        <f>predikcia!R440</f>
        <v>120</v>
      </c>
      <c r="K442" s="92">
        <f t="shared" si="6"/>
        <v>709.46609999999998</v>
      </c>
      <c r="M442" s="112">
        <v>6</v>
      </c>
      <c r="N442" s="111">
        <v>6</v>
      </c>
    </row>
    <row r="443" spans="3:14" ht="13.5" thickBot="1">
      <c r="C443" s="79">
        <f>predikcia!A441</f>
        <v>45676</v>
      </c>
      <c r="D443" s="80" t="str">
        <f>predikcia!B441</f>
        <v>06:00:00</v>
      </c>
      <c r="E443" s="81">
        <f>predikcia!G441</f>
        <v>19933</v>
      </c>
      <c r="F443" s="70">
        <f>'DHS25'!C440</f>
        <v>19236</v>
      </c>
      <c r="G443" s="71">
        <f>'DHS25'!D440</f>
        <v>26</v>
      </c>
      <c r="H443" s="106">
        <v>6</v>
      </c>
      <c r="I443" s="72">
        <f>'DHS25'!E440/1000</f>
        <v>6.0730000000000004</v>
      </c>
      <c r="J443" s="109">
        <f>predikcia!R441</f>
        <v>121.73</v>
      </c>
      <c r="K443" s="92">
        <f t="shared" si="6"/>
        <v>720.33492710000007</v>
      </c>
      <c r="M443" s="112">
        <v>6</v>
      </c>
      <c r="N443" s="111">
        <v>6</v>
      </c>
    </row>
    <row r="444" spans="3:14" ht="13.5" thickBot="1">
      <c r="C444" s="79">
        <f>predikcia!A442</f>
        <v>45676</v>
      </c>
      <c r="D444" s="80" t="str">
        <f>predikcia!B442</f>
        <v>07:00:00</v>
      </c>
      <c r="E444" s="81">
        <f>predikcia!G442</f>
        <v>17699.75</v>
      </c>
      <c r="F444" s="70">
        <f>'DHS25'!C441</f>
        <v>17065</v>
      </c>
      <c r="G444" s="71">
        <f>'DHS25'!D441</f>
        <v>2172</v>
      </c>
      <c r="H444" s="106">
        <v>6</v>
      </c>
      <c r="I444" s="72">
        <f>'DHS25'!E441/1000</f>
        <v>6.08</v>
      </c>
      <c r="J444" s="109">
        <f>predikcia!R442</f>
        <v>124.34</v>
      </c>
      <c r="K444" s="92">
        <f t="shared" si="6"/>
        <v>736.87532800000008</v>
      </c>
      <c r="M444" s="112">
        <v>6</v>
      </c>
      <c r="N444" s="111">
        <v>6</v>
      </c>
    </row>
    <row r="445" spans="3:14" ht="13.5" thickBot="1">
      <c r="C445" s="79">
        <f>predikcia!A443</f>
        <v>45676</v>
      </c>
      <c r="D445" s="80" t="str">
        <f>predikcia!B443</f>
        <v>08:00:00</v>
      </c>
      <c r="E445" s="81">
        <f>predikcia!G443</f>
        <v>18250.5</v>
      </c>
      <c r="F445" s="70">
        <f>'DHS25'!C442</f>
        <v>17953</v>
      </c>
      <c r="G445" s="71">
        <f>'DHS25'!D442</f>
        <v>3216</v>
      </c>
      <c r="H445" s="106">
        <v>8</v>
      </c>
      <c r="I445" s="72">
        <f>'DHS25'!E442/1000</f>
        <v>6.8710000000000004</v>
      </c>
      <c r="J445" s="109">
        <f>predikcia!R443</f>
        <v>123.7</v>
      </c>
      <c r="K445" s="92">
        <f t="shared" si="6"/>
        <v>828.38837300000012</v>
      </c>
      <c r="M445" s="112">
        <v>6</v>
      </c>
      <c r="N445" s="111">
        <v>6</v>
      </c>
    </row>
    <row r="446" spans="3:14" ht="13.5" thickBot="1">
      <c r="C446" s="79">
        <f>predikcia!A444</f>
        <v>45676</v>
      </c>
      <c r="D446" s="80" t="str">
        <f>predikcia!B444</f>
        <v>09:00:00</v>
      </c>
      <c r="E446" s="81">
        <f>predikcia!G444</f>
        <v>15186.5</v>
      </c>
      <c r="F446" s="70">
        <f>'DHS25'!C443</f>
        <v>19461</v>
      </c>
      <c r="G446" s="71">
        <f>'DHS25'!D443</f>
        <v>5270</v>
      </c>
      <c r="H446" s="106">
        <v>8</v>
      </c>
      <c r="I446" s="72">
        <f>'DHS25'!E443/1000</f>
        <v>8.0380000000000003</v>
      </c>
      <c r="J446" s="109">
        <f>predikcia!R444</f>
        <v>126.41</v>
      </c>
      <c r="K446" s="92">
        <f t="shared" si="6"/>
        <v>990.65054420000001</v>
      </c>
      <c r="M446" s="112">
        <v>5</v>
      </c>
      <c r="N446" s="111">
        <v>5</v>
      </c>
    </row>
    <row r="447" spans="3:14" ht="13.5" thickBot="1">
      <c r="C447" s="79">
        <f>predikcia!A445</f>
        <v>45676</v>
      </c>
      <c r="D447" s="80" t="str">
        <f>predikcia!B445</f>
        <v>10:00:00</v>
      </c>
      <c r="E447" s="81">
        <f>predikcia!G445</f>
        <v>18176.75</v>
      </c>
      <c r="F447" s="70">
        <f>'DHS25'!C444</f>
        <v>18619</v>
      </c>
      <c r="G447" s="71">
        <f>'DHS25'!D444</f>
        <v>5488</v>
      </c>
      <c r="H447" s="106">
        <v>8</v>
      </c>
      <c r="I447" s="72">
        <f>'DHS25'!E444/1000</f>
        <v>8.0519999999999996</v>
      </c>
      <c r="J447" s="109">
        <f>predikcia!R445</f>
        <v>126.98</v>
      </c>
      <c r="K447" s="92">
        <f t="shared" si="6"/>
        <v>996.91973039999993</v>
      </c>
      <c r="M447" s="112">
        <v>6</v>
      </c>
      <c r="N447" s="111">
        <v>6</v>
      </c>
    </row>
    <row r="448" spans="3:14" ht="13.5" thickBot="1">
      <c r="C448" s="79">
        <f>predikcia!A446</f>
        <v>45676</v>
      </c>
      <c r="D448" s="80" t="str">
        <f>predikcia!B446</f>
        <v>11:00:00</v>
      </c>
      <c r="E448" s="81">
        <f>predikcia!G446</f>
        <v>17044</v>
      </c>
      <c r="F448" s="70">
        <f>'DHS25'!C445</f>
        <v>16564</v>
      </c>
      <c r="G448" s="71">
        <f>'DHS25'!D445</f>
        <v>8190</v>
      </c>
      <c r="H448" s="106">
        <v>8</v>
      </c>
      <c r="I448" s="72">
        <f>'DHS25'!E445/1000</f>
        <v>8.0609999999999999</v>
      </c>
      <c r="J448" s="109">
        <f>predikcia!R446</f>
        <v>125.09</v>
      </c>
      <c r="K448" s="92">
        <f t="shared" si="6"/>
        <v>982.9510851</v>
      </c>
      <c r="M448" s="112">
        <v>6</v>
      </c>
      <c r="N448" s="111">
        <v>6</v>
      </c>
    </row>
    <row r="449" spans="3:14" ht="13.5" thickBot="1">
      <c r="C449" s="79">
        <f>predikcia!A447</f>
        <v>45676</v>
      </c>
      <c r="D449" s="80" t="str">
        <f>predikcia!B447</f>
        <v>12:00:00</v>
      </c>
      <c r="E449" s="81">
        <f>predikcia!G447</f>
        <v>17237.75</v>
      </c>
      <c r="F449" s="70">
        <f>'DHS25'!C446</f>
        <v>17766</v>
      </c>
      <c r="G449" s="71">
        <f>'DHS25'!D446</f>
        <v>6808</v>
      </c>
      <c r="H449" s="106">
        <v>8</v>
      </c>
      <c r="I449" s="72">
        <f>'DHS25'!E446/1000</f>
        <v>8.0690000000000008</v>
      </c>
      <c r="J449" s="109">
        <f>predikcia!R447</f>
        <v>112.25</v>
      </c>
      <c r="K449" s="92">
        <f t="shared" si="6"/>
        <v>881.3566975</v>
      </c>
      <c r="M449" s="112">
        <v>6</v>
      </c>
      <c r="N449" s="111">
        <v>6</v>
      </c>
    </row>
    <row r="450" spans="3:14" ht="13.5" thickBot="1">
      <c r="C450" s="79">
        <f>predikcia!A448</f>
        <v>45676</v>
      </c>
      <c r="D450" s="80" t="str">
        <f>predikcia!B448</f>
        <v>13:00:00</v>
      </c>
      <c r="E450" s="81">
        <f>predikcia!G448</f>
        <v>17271</v>
      </c>
      <c r="F450" s="70">
        <f>'DHS25'!C447</f>
        <v>16704</v>
      </c>
      <c r="G450" s="71">
        <f>'DHS25'!D447</f>
        <v>7285</v>
      </c>
      <c r="H450" s="106">
        <v>8</v>
      </c>
      <c r="I450" s="72">
        <f>'DHS25'!E447/1000</f>
        <v>8.0519999999999996</v>
      </c>
      <c r="J450" s="109">
        <f>predikcia!R448</f>
        <v>107.51</v>
      </c>
      <c r="K450" s="92">
        <f t="shared" si="6"/>
        <v>841.71501479999995</v>
      </c>
      <c r="M450" s="112">
        <v>6</v>
      </c>
      <c r="N450" s="111">
        <v>6</v>
      </c>
    </row>
    <row r="451" spans="3:14" ht="13.5" thickBot="1">
      <c r="C451" s="79">
        <f>predikcia!A449</f>
        <v>45676</v>
      </c>
      <c r="D451" s="80" t="str">
        <f>predikcia!B449</f>
        <v>14:00:00</v>
      </c>
      <c r="E451" s="81">
        <f>predikcia!G449</f>
        <v>17409.75</v>
      </c>
      <c r="F451" s="70">
        <f>'DHS25'!C448</f>
        <v>16721</v>
      </c>
      <c r="G451" s="71">
        <f>'DHS25'!D448</f>
        <v>8147</v>
      </c>
      <c r="H451" s="106">
        <v>8</v>
      </c>
      <c r="I451" s="72">
        <f>'DHS25'!E448/1000</f>
        <v>8.0619999999999994</v>
      </c>
      <c r="J451" s="109">
        <f>predikcia!R449</f>
        <v>116.81</v>
      </c>
      <c r="K451" s="92">
        <f t="shared" si="6"/>
        <v>916.98719779999999</v>
      </c>
      <c r="M451" s="112">
        <v>6</v>
      </c>
      <c r="N451" s="111">
        <v>6</v>
      </c>
    </row>
    <row r="452" spans="3:14" ht="13.5" thickBot="1">
      <c r="C452" s="79">
        <f>predikcia!A450</f>
        <v>45676</v>
      </c>
      <c r="D452" s="80" t="str">
        <f>predikcia!B450</f>
        <v>15:00:00</v>
      </c>
      <c r="E452" s="81">
        <f>predikcia!G450</f>
        <v>17499.5</v>
      </c>
      <c r="F452" s="70">
        <f>'DHS25'!C449</f>
        <v>16942</v>
      </c>
      <c r="G452" s="71">
        <f>'DHS25'!D449</f>
        <v>7373</v>
      </c>
      <c r="H452" s="106">
        <v>8</v>
      </c>
      <c r="I452" s="72">
        <f>'DHS25'!E449/1000</f>
        <v>8.0640000000000001</v>
      </c>
      <c r="J452" s="109">
        <f>predikcia!R450</f>
        <v>127.09</v>
      </c>
      <c r="K452" s="92">
        <f t="shared" si="6"/>
        <v>999.28362240000001</v>
      </c>
      <c r="M452" s="112">
        <v>6</v>
      </c>
      <c r="N452" s="111">
        <v>6</v>
      </c>
    </row>
    <row r="453" spans="3:14" ht="13.5" thickBot="1">
      <c r="C453" s="79">
        <f>predikcia!A451</f>
        <v>45676</v>
      </c>
      <c r="D453" s="80" t="str">
        <f>predikcia!B451</f>
        <v>16:00:00</v>
      </c>
      <c r="E453" s="81">
        <f>predikcia!G451</f>
        <v>17295.25</v>
      </c>
      <c r="F453" s="70">
        <f>'DHS25'!C450</f>
        <v>17063</v>
      </c>
      <c r="G453" s="71">
        <f>'DHS25'!D450</f>
        <v>7952</v>
      </c>
      <c r="H453" s="106">
        <v>8</v>
      </c>
      <c r="I453" s="72">
        <f>'DHS25'!E450/1000</f>
        <v>8.0809999999999995</v>
      </c>
      <c r="J453" s="109">
        <f>predikcia!R451</f>
        <v>158.58000000000001</v>
      </c>
      <c r="K453" s="92">
        <f t="shared" si="6"/>
        <v>1253.3162301999998</v>
      </c>
      <c r="M453" s="112">
        <v>6</v>
      </c>
      <c r="N453" s="111">
        <v>8</v>
      </c>
    </row>
    <row r="454" spans="3:14" ht="13.5" thickBot="1">
      <c r="C454" s="79">
        <f>predikcia!A452</f>
        <v>45676</v>
      </c>
      <c r="D454" s="80" t="str">
        <f>predikcia!B452</f>
        <v>17:00:00</v>
      </c>
      <c r="E454" s="81">
        <f>predikcia!G452</f>
        <v>17178.25</v>
      </c>
      <c r="F454" s="70">
        <f>'DHS25'!C451</f>
        <v>18586</v>
      </c>
      <c r="G454" s="71">
        <f>'DHS25'!D451</f>
        <v>6930</v>
      </c>
      <c r="H454" s="106">
        <v>8</v>
      </c>
      <c r="I454" s="72">
        <f>'DHS25'!E451/1000</f>
        <v>8.0850000000000009</v>
      </c>
      <c r="J454" s="109">
        <f>predikcia!R452</f>
        <v>170</v>
      </c>
      <c r="K454" s="92">
        <f t="shared" ref="K454:K517" si="7">(J454*0.99-1.9)*I454</f>
        <v>1345.3440000000003</v>
      </c>
      <c r="M454" s="112">
        <v>6</v>
      </c>
      <c r="N454" s="111">
        <v>8</v>
      </c>
    </row>
    <row r="455" spans="3:14" ht="13.5" thickBot="1">
      <c r="C455" s="79">
        <f>predikcia!A453</f>
        <v>45676</v>
      </c>
      <c r="D455" s="80" t="str">
        <f>predikcia!B453</f>
        <v>18:00:00</v>
      </c>
      <c r="E455" s="81">
        <f>predikcia!G453</f>
        <v>17618</v>
      </c>
      <c r="F455" s="70">
        <f>'DHS25'!C452</f>
        <v>18220</v>
      </c>
      <c r="G455" s="71">
        <f>'DHS25'!D452</f>
        <v>6805</v>
      </c>
      <c r="H455" s="106">
        <v>8</v>
      </c>
      <c r="I455" s="72">
        <f>'DHS25'!E452/1000</f>
        <v>8.0609999999999999</v>
      </c>
      <c r="J455" s="109">
        <f>predikcia!R453</f>
        <v>174.04</v>
      </c>
      <c r="K455" s="92">
        <f t="shared" si="7"/>
        <v>1373.5911756</v>
      </c>
      <c r="M455" s="112">
        <v>6</v>
      </c>
      <c r="N455" s="111">
        <v>8</v>
      </c>
    </row>
    <row r="456" spans="3:14" ht="13.5" thickBot="1">
      <c r="C456" s="79">
        <f>predikcia!A454</f>
        <v>45676</v>
      </c>
      <c r="D456" s="80" t="str">
        <f>predikcia!B454</f>
        <v>19:00:00</v>
      </c>
      <c r="E456" s="81">
        <f>predikcia!G454</f>
        <v>17957.25</v>
      </c>
      <c r="F456" s="70">
        <f>'DHS25'!C453</f>
        <v>17717</v>
      </c>
      <c r="G456" s="71">
        <f>'DHS25'!D453</f>
        <v>6277</v>
      </c>
      <c r="H456" s="106">
        <v>8</v>
      </c>
      <c r="I456" s="72">
        <f>'DHS25'!E453/1000</f>
        <v>8.0660000000000007</v>
      </c>
      <c r="J456" s="109">
        <f>predikcia!R454</f>
        <v>171.39</v>
      </c>
      <c r="K456" s="92">
        <f>(J456*0.99-1.9)*I456</f>
        <v>1353.2820225999999</v>
      </c>
      <c r="M456" s="112">
        <v>6</v>
      </c>
      <c r="N456" s="111">
        <v>8</v>
      </c>
    </row>
    <row r="457" spans="3:14" ht="13.5" thickBot="1">
      <c r="C457" s="79">
        <f>predikcia!A455</f>
        <v>45676</v>
      </c>
      <c r="D457" s="80" t="str">
        <f>predikcia!B455</f>
        <v>20:00:00</v>
      </c>
      <c r="E457" s="81">
        <f>predikcia!G455</f>
        <v>17986.25</v>
      </c>
      <c r="F457" s="70">
        <f>'DHS25'!C454</f>
        <v>18954</v>
      </c>
      <c r="G457" s="71">
        <f>'DHS25'!D454</f>
        <v>6278</v>
      </c>
      <c r="H457" s="106">
        <v>8</v>
      </c>
      <c r="I457" s="72">
        <f>'DHS25'!E454/1000</f>
        <v>8.0869999999999997</v>
      </c>
      <c r="J457" s="109">
        <f>predikcia!R455</f>
        <v>173.51</v>
      </c>
      <c r="K457" s="92">
        <f t="shared" si="7"/>
        <v>1373.7783162999999</v>
      </c>
      <c r="M457" s="112">
        <v>6</v>
      </c>
      <c r="N457" s="111">
        <v>8</v>
      </c>
    </row>
    <row r="458" spans="3:14" ht="13.5" thickBot="1">
      <c r="C458" s="79">
        <f>predikcia!A456</f>
        <v>45676</v>
      </c>
      <c r="D458" s="80" t="str">
        <f>predikcia!B456</f>
        <v>21:00:00</v>
      </c>
      <c r="E458" s="81">
        <f>predikcia!G456</f>
        <v>18164.25</v>
      </c>
      <c r="F458" s="70">
        <f>'DHS25'!C455</f>
        <v>18619</v>
      </c>
      <c r="G458" s="71">
        <f>'DHS25'!D455</f>
        <v>5583</v>
      </c>
      <c r="H458" s="106">
        <v>8</v>
      </c>
      <c r="I458" s="72">
        <f>'DHS25'!E455/1000</f>
        <v>8.0690000000000008</v>
      </c>
      <c r="J458" s="109">
        <f>predikcia!R456</f>
        <v>166.49</v>
      </c>
      <c r="K458" s="92">
        <f t="shared" si="7"/>
        <v>1314.6426319000002</v>
      </c>
      <c r="M458" s="112">
        <v>6</v>
      </c>
      <c r="N458" s="111">
        <v>8</v>
      </c>
    </row>
    <row r="459" spans="3:14" ht="13.5" thickBot="1">
      <c r="C459" s="79">
        <f>predikcia!A457</f>
        <v>45676</v>
      </c>
      <c r="D459" s="80" t="str">
        <f>predikcia!B457</f>
        <v>22:00:00</v>
      </c>
      <c r="E459" s="81">
        <f>predikcia!G457</f>
        <v>15586.75</v>
      </c>
      <c r="F459" s="70">
        <f>'DHS25'!C456</f>
        <v>15594</v>
      </c>
      <c r="G459" s="71">
        <f>'DHS25'!D456</f>
        <v>8719</v>
      </c>
      <c r="H459" s="106">
        <v>8</v>
      </c>
      <c r="I459" s="72">
        <f>'DHS25'!E456/1000</f>
        <v>8.0909999999999993</v>
      </c>
      <c r="J459" s="109">
        <f>predikcia!R457</f>
        <v>135.51</v>
      </c>
      <c r="K459" s="92">
        <f t="shared" si="7"/>
        <v>1070.0743958999999</v>
      </c>
      <c r="M459" s="112">
        <v>5</v>
      </c>
      <c r="N459" s="111">
        <v>8</v>
      </c>
    </row>
    <row r="460" spans="3:14" ht="13.5" thickBot="1">
      <c r="C460" s="82">
        <f>predikcia!A458</f>
        <v>45676</v>
      </c>
      <c r="D460" s="83" t="str">
        <f>predikcia!B458</f>
        <v>23:00:00</v>
      </c>
      <c r="E460" s="84">
        <f>predikcia!G458</f>
        <v>9152</v>
      </c>
      <c r="F460" s="73">
        <f>'DHS25'!C457</f>
        <v>9280</v>
      </c>
      <c r="G460" s="64">
        <f>'DHS25'!D457</f>
        <v>11127</v>
      </c>
      <c r="H460" s="107">
        <v>4</v>
      </c>
      <c r="I460" s="74">
        <f>'DHS25'!E457/1000</f>
        <v>6.5570000000000004</v>
      </c>
      <c r="J460" s="109">
        <f>predikcia!R458</f>
        <v>124.32</v>
      </c>
      <c r="K460" s="92">
        <f t="shared" si="7"/>
        <v>794.55627759999993</v>
      </c>
      <c r="M460" s="112">
        <v>4</v>
      </c>
      <c r="N460" s="111">
        <v>4</v>
      </c>
    </row>
    <row r="461" spans="3:14" ht="13.5" thickBot="1">
      <c r="C461" s="85">
        <f>predikcia!A459</f>
        <v>45677</v>
      </c>
      <c r="D461" s="86" t="str">
        <f>predikcia!B459</f>
        <v>00:00:00</v>
      </c>
      <c r="E461" s="78">
        <f>predikcia!G459</f>
        <v>8559.25</v>
      </c>
      <c r="F461" s="68">
        <f>'DHS25'!C458</f>
        <v>9205</v>
      </c>
      <c r="G461" s="63">
        <f>'DHS25'!D458</f>
        <v>5233</v>
      </c>
      <c r="H461" s="105">
        <v>4</v>
      </c>
      <c r="I461" s="69">
        <f>'DHS25'!E458/1000</f>
        <v>4.0890000000000004</v>
      </c>
      <c r="J461" s="109">
        <f>predikcia!R459</f>
        <v>122.54</v>
      </c>
      <c r="K461" s="92">
        <f t="shared" si="7"/>
        <v>488.28629940000002</v>
      </c>
      <c r="M461" s="112">
        <v>4</v>
      </c>
      <c r="N461" s="111">
        <v>4</v>
      </c>
    </row>
    <row r="462" spans="3:14" ht="13.5" thickBot="1">
      <c r="C462" s="87">
        <f>predikcia!A460</f>
        <v>45677</v>
      </c>
      <c r="D462" s="88" t="str">
        <f>predikcia!B460</f>
        <v>01:00:00</v>
      </c>
      <c r="E462" s="81">
        <f>predikcia!G460</f>
        <v>9589.25</v>
      </c>
      <c r="F462" s="70">
        <f>'DHS25'!C459</f>
        <v>10713</v>
      </c>
      <c r="G462" s="71">
        <f>'DHS25'!D459</f>
        <v>2787</v>
      </c>
      <c r="H462" s="106">
        <v>4</v>
      </c>
      <c r="I462" s="72">
        <f>'DHS25'!E459/1000</f>
        <v>4.056</v>
      </c>
      <c r="J462" s="109">
        <f>predikcia!R460</f>
        <v>119.96</v>
      </c>
      <c r="K462" s="92">
        <f t="shared" si="7"/>
        <v>473.98578239999995</v>
      </c>
      <c r="M462" s="112">
        <v>4</v>
      </c>
      <c r="N462" s="111">
        <v>4</v>
      </c>
    </row>
    <row r="463" spans="3:14" ht="13.5" thickBot="1">
      <c r="C463" s="87">
        <f>predikcia!A461</f>
        <v>45677</v>
      </c>
      <c r="D463" s="88" t="str">
        <f>predikcia!B461</f>
        <v>02:00:00</v>
      </c>
      <c r="E463" s="81">
        <f>predikcia!G461</f>
        <v>10611</v>
      </c>
      <c r="F463" s="70">
        <f>'DHS25'!C460</f>
        <v>13045</v>
      </c>
      <c r="G463" s="71">
        <f>'DHS25'!D460</f>
        <v>1617</v>
      </c>
      <c r="H463" s="106">
        <v>4</v>
      </c>
      <c r="I463" s="72">
        <f>'DHS25'!E460/1000</f>
        <v>4.0670000000000002</v>
      </c>
      <c r="J463" s="109">
        <f>predikcia!R461</f>
        <v>116.62</v>
      </c>
      <c r="K463" s="92">
        <f t="shared" si="7"/>
        <v>461.82330460000003</v>
      </c>
      <c r="M463" s="112">
        <v>4</v>
      </c>
      <c r="N463" s="111">
        <v>4</v>
      </c>
    </row>
    <row r="464" spans="3:14" ht="13.5" thickBot="1">
      <c r="C464" s="87">
        <f>predikcia!A462</f>
        <v>45677</v>
      </c>
      <c r="D464" s="88" t="str">
        <f>predikcia!B462</f>
        <v>03:00:00</v>
      </c>
      <c r="E464" s="81">
        <f>predikcia!G462</f>
        <v>11810</v>
      </c>
      <c r="F464" s="70">
        <f>'DHS25'!C461</f>
        <v>14138</v>
      </c>
      <c r="G464" s="71">
        <f>'DHS25'!D461</f>
        <v>644</v>
      </c>
      <c r="H464" s="106">
        <v>4</v>
      </c>
      <c r="I464" s="72">
        <f>'DHS25'!E461/1000</f>
        <v>4.0650000000000004</v>
      </c>
      <c r="J464" s="109">
        <f>predikcia!R462</f>
        <v>114.41</v>
      </c>
      <c r="K464" s="92">
        <f t="shared" si="7"/>
        <v>452.70238350000005</v>
      </c>
      <c r="M464" s="112">
        <v>4</v>
      </c>
      <c r="N464" s="111">
        <v>4</v>
      </c>
    </row>
    <row r="465" spans="3:14" ht="13.5" thickBot="1">
      <c r="C465" s="87">
        <f>predikcia!A463</f>
        <v>45677</v>
      </c>
      <c r="D465" s="88" t="str">
        <f>predikcia!B463</f>
        <v>04:00:00</v>
      </c>
      <c r="E465" s="81">
        <f>predikcia!G463</f>
        <v>19343.25</v>
      </c>
      <c r="F465" s="70">
        <f>'DHS25'!C462</f>
        <v>17099</v>
      </c>
      <c r="G465" s="71">
        <f>'DHS25'!D462</f>
        <v>117</v>
      </c>
      <c r="H465" s="106">
        <v>6</v>
      </c>
      <c r="I465" s="72">
        <f>'DHS25'!E462/1000</f>
        <v>5.0229999999999997</v>
      </c>
      <c r="J465" s="109">
        <f>predikcia!R463</f>
        <v>115.45</v>
      </c>
      <c r="K465" s="92">
        <f t="shared" si="7"/>
        <v>564.56259649999993</v>
      </c>
      <c r="M465" s="112">
        <v>6</v>
      </c>
      <c r="N465" s="111">
        <v>6</v>
      </c>
    </row>
    <row r="466" spans="3:14" ht="13.5" thickBot="1">
      <c r="C466" s="87">
        <f>predikcia!A464</f>
        <v>45677</v>
      </c>
      <c r="D466" s="88" t="str">
        <f>predikcia!B464</f>
        <v>05:00:00</v>
      </c>
      <c r="E466" s="81">
        <f>predikcia!G464</f>
        <v>19369.25</v>
      </c>
      <c r="F466" s="70">
        <f>'DHS25'!C463</f>
        <v>21183</v>
      </c>
      <c r="G466" s="71">
        <f>'DHS25'!D463</f>
        <v>83</v>
      </c>
      <c r="H466" s="106">
        <v>8</v>
      </c>
      <c r="I466" s="72">
        <f>'DHS25'!E463/1000</f>
        <v>6.9240000000000004</v>
      </c>
      <c r="J466" s="109">
        <f>predikcia!R464</f>
        <v>130.13</v>
      </c>
      <c r="K466" s="92">
        <f t="shared" si="7"/>
        <v>878.85431879999999</v>
      </c>
      <c r="M466" s="112">
        <v>6</v>
      </c>
      <c r="N466" s="111">
        <v>8</v>
      </c>
    </row>
    <row r="467" spans="3:14" ht="13.5" thickBot="1">
      <c r="C467" s="87">
        <f>predikcia!A465</f>
        <v>45677</v>
      </c>
      <c r="D467" s="88" t="str">
        <f>predikcia!B465</f>
        <v>06:00:00</v>
      </c>
      <c r="E467" s="81">
        <f>predikcia!G465</f>
        <v>19840.25</v>
      </c>
      <c r="F467" s="70">
        <f>'DHS25'!C464</f>
        <v>21743</v>
      </c>
      <c r="G467" s="71">
        <f>'DHS25'!D464</f>
        <v>3013</v>
      </c>
      <c r="H467" s="106">
        <v>8</v>
      </c>
      <c r="I467" s="72">
        <f>'DHS25'!E464/1000</f>
        <v>8.0779999999999994</v>
      </c>
      <c r="J467" s="109">
        <f>predikcia!R465</f>
        <v>171.15</v>
      </c>
      <c r="K467" s="92">
        <f t="shared" si="7"/>
        <v>1353.3760029999999</v>
      </c>
      <c r="M467" s="112">
        <v>6</v>
      </c>
      <c r="N467" s="111">
        <v>8</v>
      </c>
    </row>
    <row r="468" spans="3:14" ht="13.5" thickBot="1">
      <c r="C468" s="87">
        <f>predikcia!A466</f>
        <v>45677</v>
      </c>
      <c r="D468" s="88" t="str">
        <f>predikcia!B466</f>
        <v>07:00:00</v>
      </c>
      <c r="E468" s="81">
        <f>predikcia!G466</f>
        <v>16753</v>
      </c>
      <c r="F468" s="70">
        <f>'DHS25'!C465</f>
        <v>19778</v>
      </c>
      <c r="G468" s="71">
        <f>'DHS25'!D465</f>
        <v>5676</v>
      </c>
      <c r="H468" s="106">
        <v>8</v>
      </c>
      <c r="I468" s="72">
        <f>'DHS25'!E465/1000</f>
        <v>8.0860000000000003</v>
      </c>
      <c r="J468" s="109">
        <f>predikcia!R466</f>
        <v>300.99</v>
      </c>
      <c r="K468" s="92">
        <f t="shared" si="7"/>
        <v>2394.1036886000002</v>
      </c>
      <c r="M468" s="112">
        <v>6</v>
      </c>
      <c r="N468" s="111">
        <v>8</v>
      </c>
    </row>
    <row r="469" spans="3:14" ht="13.5" thickBot="1">
      <c r="C469" s="87">
        <f>predikcia!A467</f>
        <v>45677</v>
      </c>
      <c r="D469" s="88" t="str">
        <f>predikcia!B467</f>
        <v>08:00:00</v>
      </c>
      <c r="E469" s="81">
        <f>predikcia!G467</f>
        <v>17868.25</v>
      </c>
      <c r="F469" s="70">
        <f>'DHS25'!C466</f>
        <v>18206</v>
      </c>
      <c r="G469" s="71">
        <f>'DHS25'!D466</f>
        <v>5987</v>
      </c>
      <c r="H469" s="106">
        <v>8</v>
      </c>
      <c r="I469" s="72">
        <f>'DHS25'!E466/1000</f>
        <v>8.0489999999999995</v>
      </c>
      <c r="J469" s="109">
        <f>predikcia!R467</f>
        <v>450</v>
      </c>
      <c r="K469" s="92">
        <f t="shared" si="7"/>
        <v>3570.5364</v>
      </c>
      <c r="M469" s="112">
        <v>6</v>
      </c>
      <c r="N469" s="111">
        <v>8</v>
      </c>
    </row>
    <row r="470" spans="3:14" ht="13.5" thickBot="1">
      <c r="C470" s="87">
        <f>predikcia!A468</f>
        <v>45677</v>
      </c>
      <c r="D470" s="88" t="str">
        <f>predikcia!B468</f>
        <v>09:00:00</v>
      </c>
      <c r="E470" s="81">
        <f>predikcia!G468</f>
        <v>18669.5</v>
      </c>
      <c r="F470" s="70">
        <f>'DHS25'!C467</f>
        <v>18089</v>
      </c>
      <c r="G470" s="71">
        <f>'DHS25'!D467</f>
        <v>5847</v>
      </c>
      <c r="H470" s="106">
        <v>8</v>
      </c>
      <c r="I470" s="72">
        <f>'DHS25'!E467/1000</f>
        <v>8.0589999999999993</v>
      </c>
      <c r="J470" s="109">
        <f>predikcia!R468</f>
        <v>291.89999999999998</v>
      </c>
      <c r="K470" s="92">
        <f t="shared" si="7"/>
        <v>2313.585779</v>
      </c>
      <c r="M470" s="112">
        <v>6</v>
      </c>
      <c r="N470" s="111">
        <v>8</v>
      </c>
    </row>
    <row r="471" spans="3:14" ht="13.5" thickBot="1">
      <c r="C471" s="87">
        <f>predikcia!A469</f>
        <v>45677</v>
      </c>
      <c r="D471" s="88" t="str">
        <f>predikcia!B469</f>
        <v>10:00:00</v>
      </c>
      <c r="E471" s="81">
        <f>predikcia!G469</f>
        <v>17605.5</v>
      </c>
      <c r="F471" s="70">
        <f>'DHS25'!C468</f>
        <v>18872</v>
      </c>
      <c r="G471" s="71">
        <f>'DHS25'!D468</f>
        <v>5826</v>
      </c>
      <c r="H471" s="106">
        <v>8</v>
      </c>
      <c r="I471" s="72">
        <f>'DHS25'!E468/1000</f>
        <v>7.9139999999999997</v>
      </c>
      <c r="J471" s="109">
        <f>predikcia!R469</f>
        <v>236.29</v>
      </c>
      <c r="K471" s="92">
        <f t="shared" si="7"/>
        <v>1836.2624693999999</v>
      </c>
      <c r="M471" s="112">
        <v>6</v>
      </c>
      <c r="N471" s="111">
        <v>8</v>
      </c>
    </row>
    <row r="472" spans="3:14" ht="13.5" thickBot="1">
      <c r="C472" s="87">
        <f>predikcia!A470</f>
        <v>45677</v>
      </c>
      <c r="D472" s="88" t="str">
        <f>predikcia!B470</f>
        <v>11:00:00</v>
      </c>
      <c r="E472" s="81">
        <f>predikcia!G470</f>
        <v>16352.75</v>
      </c>
      <c r="F472" s="70">
        <f>'DHS25'!C469</f>
        <v>18287</v>
      </c>
      <c r="G472" s="71">
        <f>'DHS25'!D469</f>
        <v>5919</v>
      </c>
      <c r="H472" s="106">
        <v>8</v>
      </c>
      <c r="I472" s="72">
        <f>'DHS25'!E469/1000</f>
        <v>8.0869999999999997</v>
      </c>
      <c r="J472" s="109">
        <f>predikcia!R470</f>
        <v>193.9</v>
      </c>
      <c r="K472" s="92">
        <f t="shared" si="7"/>
        <v>1537.0233069999999</v>
      </c>
      <c r="M472" s="112">
        <v>6</v>
      </c>
      <c r="N472" s="111">
        <v>8</v>
      </c>
    </row>
    <row r="473" spans="3:14" ht="13.5" thickBot="1">
      <c r="C473" s="87">
        <f>predikcia!A471</f>
        <v>45677</v>
      </c>
      <c r="D473" s="88" t="str">
        <f>predikcia!B471</f>
        <v>12:00:00</v>
      </c>
      <c r="E473" s="81">
        <f>predikcia!G471</f>
        <v>16206.25</v>
      </c>
      <c r="F473" s="70">
        <f>'DHS25'!C470</f>
        <v>18207</v>
      </c>
      <c r="G473" s="71">
        <f>'DHS25'!D470</f>
        <v>6629</v>
      </c>
      <c r="H473" s="106">
        <v>8</v>
      </c>
      <c r="I473" s="72">
        <f>'DHS25'!E470/1000</f>
        <v>8.0719999999999992</v>
      </c>
      <c r="J473" s="109">
        <f>predikcia!R471</f>
        <v>179.94</v>
      </c>
      <c r="K473" s="92">
        <f t="shared" si="7"/>
        <v>1422.6141231999998</v>
      </c>
      <c r="M473" s="112">
        <v>6</v>
      </c>
      <c r="N473" s="111">
        <v>8</v>
      </c>
    </row>
    <row r="474" spans="3:14" ht="13.5" thickBot="1">
      <c r="C474" s="87">
        <f>predikcia!A472</f>
        <v>45677</v>
      </c>
      <c r="D474" s="88" t="str">
        <f>predikcia!B472</f>
        <v>13:00:00</v>
      </c>
      <c r="E474" s="81">
        <f>predikcia!G472</f>
        <v>16107.25</v>
      </c>
      <c r="F474" s="70">
        <f>'DHS25'!C471</f>
        <v>17394</v>
      </c>
      <c r="G474" s="71">
        <f>'DHS25'!D471</f>
        <v>6881</v>
      </c>
      <c r="H474" s="106">
        <v>8</v>
      </c>
      <c r="I474" s="72">
        <f>'DHS25'!E471/1000</f>
        <v>8.0559999999999992</v>
      </c>
      <c r="J474" s="109">
        <f>predikcia!R472</f>
        <v>171.39</v>
      </c>
      <c r="K474" s="92">
        <f t="shared" si="7"/>
        <v>1351.6042615999997</v>
      </c>
      <c r="M474" s="112">
        <v>6</v>
      </c>
      <c r="N474" s="111">
        <v>8</v>
      </c>
    </row>
    <row r="475" spans="3:14" ht="13.5" thickBot="1">
      <c r="C475" s="87">
        <f>predikcia!A473</f>
        <v>45677</v>
      </c>
      <c r="D475" s="88" t="str">
        <f>predikcia!B473</f>
        <v>14:00:00</v>
      </c>
      <c r="E475" s="81">
        <f>predikcia!G473</f>
        <v>16253.5</v>
      </c>
      <c r="F475" s="70">
        <f>'DHS25'!C472</f>
        <v>17192</v>
      </c>
      <c r="G475" s="71">
        <f>'DHS25'!D472</f>
        <v>8012</v>
      </c>
      <c r="H475" s="106">
        <v>8</v>
      </c>
      <c r="I475" s="72">
        <f>'DHS25'!E472/1000</f>
        <v>8.0869999999999997</v>
      </c>
      <c r="J475" s="109">
        <f>predikcia!R473</f>
        <v>191.86</v>
      </c>
      <c r="K475" s="92">
        <f t="shared" si="7"/>
        <v>1520.6908018000001</v>
      </c>
      <c r="M475" s="112">
        <v>6</v>
      </c>
      <c r="N475" s="111">
        <v>8</v>
      </c>
    </row>
    <row r="476" spans="3:14" ht="13.5" thickBot="1">
      <c r="C476" s="87">
        <f>predikcia!A474</f>
        <v>45677</v>
      </c>
      <c r="D476" s="88" t="str">
        <f>predikcia!B474</f>
        <v>15:00:00</v>
      </c>
      <c r="E476" s="81">
        <f>predikcia!G474</f>
        <v>16218.5</v>
      </c>
      <c r="F476" s="70">
        <f>'DHS25'!C473</f>
        <v>18229</v>
      </c>
      <c r="G476" s="71">
        <f>'DHS25'!D473</f>
        <v>6684</v>
      </c>
      <c r="H476" s="106">
        <v>8</v>
      </c>
      <c r="I476" s="72">
        <f>'DHS25'!E473/1000</f>
        <v>8.0459999999999994</v>
      </c>
      <c r="J476" s="109">
        <f>predikcia!R474</f>
        <v>277.05</v>
      </c>
      <c r="K476" s="92">
        <f t="shared" si="7"/>
        <v>2191.5654569999997</v>
      </c>
      <c r="M476" s="112">
        <v>6</v>
      </c>
      <c r="N476" s="111">
        <v>8</v>
      </c>
    </row>
    <row r="477" spans="3:14" ht="13.5" thickBot="1">
      <c r="C477" s="87">
        <f>predikcia!A475</f>
        <v>45677</v>
      </c>
      <c r="D477" s="88" t="str">
        <f>predikcia!B475</f>
        <v>16:00:00</v>
      </c>
      <c r="E477" s="81">
        <f>predikcia!G475</f>
        <v>16272</v>
      </c>
      <c r="F477" s="70">
        <f>'DHS25'!C474</f>
        <v>18682</v>
      </c>
      <c r="G477" s="71">
        <f>'DHS25'!D474</f>
        <v>5903</v>
      </c>
      <c r="H477" s="106">
        <v>8</v>
      </c>
      <c r="I477" s="72">
        <f>'DHS25'!E474/1000</f>
        <v>8.0679999999999996</v>
      </c>
      <c r="J477" s="109">
        <f>predikcia!R475</f>
        <v>389.02</v>
      </c>
      <c r="K477" s="92">
        <f t="shared" si="7"/>
        <v>3091.8980264000002</v>
      </c>
      <c r="M477" s="112">
        <v>6</v>
      </c>
      <c r="N477" s="111">
        <v>8</v>
      </c>
    </row>
    <row r="478" spans="3:14" ht="13.5" thickBot="1">
      <c r="C478" s="87">
        <f>predikcia!A476</f>
        <v>45677</v>
      </c>
      <c r="D478" s="88" t="str">
        <f>predikcia!B476</f>
        <v>17:00:00</v>
      </c>
      <c r="E478" s="81">
        <f>predikcia!G476</f>
        <v>16957.5</v>
      </c>
      <c r="F478" s="70">
        <f>'DHS25'!C475</f>
        <v>17787</v>
      </c>
      <c r="G478" s="71">
        <f>'DHS25'!D475</f>
        <v>6941</v>
      </c>
      <c r="H478" s="106">
        <v>8</v>
      </c>
      <c r="I478" s="72">
        <f>'DHS25'!E475/1000</f>
        <v>8.0690000000000008</v>
      </c>
      <c r="J478" s="109">
        <f>predikcia!R476</f>
        <v>563.13</v>
      </c>
      <c r="K478" s="92">
        <f t="shared" si="7"/>
        <v>4483.1259103000002</v>
      </c>
      <c r="M478" s="112">
        <v>6</v>
      </c>
      <c r="N478" s="111">
        <v>8</v>
      </c>
    </row>
    <row r="479" spans="3:14" ht="13.5" thickBot="1">
      <c r="C479" s="87">
        <f>predikcia!A477</f>
        <v>45677</v>
      </c>
      <c r="D479" s="88" t="str">
        <f>predikcia!B477</f>
        <v>18:00:00</v>
      </c>
      <c r="E479" s="81">
        <f>predikcia!G477</f>
        <v>16770.75</v>
      </c>
      <c r="F479" s="70">
        <f>'DHS25'!C476</f>
        <v>18072</v>
      </c>
      <c r="G479" s="71">
        <f>'DHS25'!D476</f>
        <v>6398</v>
      </c>
      <c r="H479" s="106">
        <v>8</v>
      </c>
      <c r="I479" s="72">
        <f>'DHS25'!E476/1000</f>
        <v>8.0709999999999997</v>
      </c>
      <c r="J479" s="109">
        <f>predikcia!R477</f>
        <v>473.28</v>
      </c>
      <c r="K479" s="92">
        <f t="shared" si="7"/>
        <v>3766.3095512</v>
      </c>
      <c r="M479" s="112">
        <v>6</v>
      </c>
      <c r="N479" s="111">
        <v>8</v>
      </c>
    </row>
    <row r="480" spans="3:14" ht="13.5" thickBot="1">
      <c r="C480" s="87">
        <f>predikcia!A478</f>
        <v>45677</v>
      </c>
      <c r="D480" s="88" t="str">
        <f>predikcia!B478</f>
        <v>19:00:00</v>
      </c>
      <c r="E480" s="81">
        <f>predikcia!G478</f>
        <v>17115.25</v>
      </c>
      <c r="F480" s="70">
        <f>'DHS25'!C477</f>
        <v>18748</v>
      </c>
      <c r="G480" s="71">
        <f>'DHS25'!D477</f>
        <v>6216</v>
      </c>
      <c r="H480" s="106">
        <v>8</v>
      </c>
      <c r="I480" s="72">
        <f>'DHS25'!E477/1000</f>
        <v>8.0449999999999999</v>
      </c>
      <c r="J480" s="109">
        <f>predikcia!R478</f>
        <v>295.57</v>
      </c>
      <c r="K480" s="92">
        <f t="shared" si="7"/>
        <v>2338.7965435000001</v>
      </c>
      <c r="M480" s="112">
        <v>6</v>
      </c>
      <c r="N480" s="111">
        <v>8</v>
      </c>
    </row>
    <row r="481" spans="3:14" ht="13.5" thickBot="1">
      <c r="C481" s="87">
        <f>predikcia!A479</f>
        <v>45677</v>
      </c>
      <c r="D481" s="88" t="str">
        <f>predikcia!B479</f>
        <v>20:00:00</v>
      </c>
      <c r="E481" s="81">
        <f>predikcia!G479</f>
        <v>17338.5</v>
      </c>
      <c r="F481" s="70">
        <f>'DHS25'!C478</f>
        <v>19362</v>
      </c>
      <c r="G481" s="71">
        <f>'DHS25'!D478</f>
        <v>5255</v>
      </c>
      <c r="H481" s="106">
        <v>8</v>
      </c>
      <c r="I481" s="72">
        <f>'DHS25'!E478/1000</f>
        <v>8.0449999999999999</v>
      </c>
      <c r="J481" s="109">
        <f>predikcia!R479</f>
        <v>220</v>
      </c>
      <c r="K481" s="92">
        <f t="shared" si="7"/>
        <v>1736.9155000000001</v>
      </c>
      <c r="M481" s="112">
        <v>6</v>
      </c>
      <c r="N481" s="111">
        <v>8</v>
      </c>
    </row>
    <row r="482" spans="3:14" ht="13.5" thickBot="1">
      <c r="C482" s="87">
        <f>predikcia!A480</f>
        <v>45677</v>
      </c>
      <c r="D482" s="88" t="str">
        <f>predikcia!B480</f>
        <v>21:00:00</v>
      </c>
      <c r="E482" s="81">
        <f>predikcia!G480</f>
        <v>17743</v>
      </c>
      <c r="F482" s="70">
        <f>'DHS25'!C479</f>
        <v>18781</v>
      </c>
      <c r="G482" s="71">
        <f>'DHS25'!D479</f>
        <v>6011</v>
      </c>
      <c r="H482" s="106">
        <v>8</v>
      </c>
      <c r="I482" s="72">
        <f>'DHS25'!E479/1000</f>
        <v>8.0609999999999999</v>
      </c>
      <c r="J482" s="109">
        <f>predikcia!R480</f>
        <v>170</v>
      </c>
      <c r="K482" s="92">
        <f t="shared" si="7"/>
        <v>1341.3504</v>
      </c>
      <c r="M482" s="112">
        <v>6</v>
      </c>
      <c r="N482" s="111">
        <v>8</v>
      </c>
    </row>
    <row r="483" spans="3:14" ht="13.5" thickBot="1">
      <c r="C483" s="87">
        <f>predikcia!A481</f>
        <v>45677</v>
      </c>
      <c r="D483" s="88" t="str">
        <f>predikcia!B481</f>
        <v>22:00:00</v>
      </c>
      <c r="E483" s="81">
        <f>predikcia!G481</f>
        <v>15445.5</v>
      </c>
      <c r="F483" s="70">
        <f>'DHS25'!C480</f>
        <v>15454</v>
      </c>
      <c r="G483" s="71">
        <f>'DHS25'!D480</f>
        <v>8424</v>
      </c>
      <c r="H483" s="106">
        <v>8</v>
      </c>
      <c r="I483" s="72">
        <f>'DHS25'!E480/1000</f>
        <v>8.0660000000000007</v>
      </c>
      <c r="J483" s="109">
        <f>predikcia!R481</f>
        <v>161.63999999999999</v>
      </c>
      <c r="K483" s="92">
        <f t="shared" si="7"/>
        <v>1275.4249576</v>
      </c>
      <c r="M483" s="112">
        <v>5</v>
      </c>
      <c r="N483" s="111">
        <v>8</v>
      </c>
    </row>
    <row r="484" spans="3:14" ht="13.5" thickBot="1">
      <c r="C484" s="89">
        <f>predikcia!A482</f>
        <v>45677</v>
      </c>
      <c r="D484" s="90" t="str">
        <f>predikcia!B482</f>
        <v>23:00:00</v>
      </c>
      <c r="E484" s="84">
        <f>predikcia!G482</f>
        <v>8897.75</v>
      </c>
      <c r="F484" s="73">
        <f>'DHS25'!C481</f>
        <v>10665</v>
      </c>
      <c r="G484" s="64">
        <f>'DHS25'!D481</f>
        <v>8459</v>
      </c>
      <c r="H484" s="107">
        <v>4</v>
      </c>
      <c r="I484" s="74">
        <f>'DHS25'!E481/1000</f>
        <v>5.8470000000000004</v>
      </c>
      <c r="J484" s="109">
        <f>predikcia!R482</f>
        <v>144.33000000000001</v>
      </c>
      <c r="K484" s="92">
        <f t="shared" si="7"/>
        <v>824.34923490000017</v>
      </c>
      <c r="M484" s="112">
        <v>4</v>
      </c>
      <c r="N484" s="111">
        <v>4</v>
      </c>
    </row>
    <row r="485" spans="3:14" ht="13.5" thickBot="1">
      <c r="C485" s="76">
        <f>predikcia!A483</f>
        <v>45678</v>
      </c>
      <c r="D485" s="77" t="str">
        <f>predikcia!B483</f>
        <v>00:00:00</v>
      </c>
      <c r="E485" s="78">
        <f>predikcia!G483</f>
        <v>8653</v>
      </c>
      <c r="F485" s="68">
        <f>'DHS25'!C482</f>
        <v>9909</v>
      </c>
      <c r="G485" s="63">
        <f>'DHS25'!D482</f>
        <v>3995</v>
      </c>
      <c r="H485" s="105">
        <v>4</v>
      </c>
      <c r="I485" s="69">
        <f>'DHS25'!E482/1000</f>
        <v>4.0890000000000004</v>
      </c>
      <c r="J485" s="109">
        <f>predikcia!R483</f>
        <v>143.06</v>
      </c>
      <c r="K485" s="92">
        <f t="shared" si="7"/>
        <v>571.35351660000003</v>
      </c>
      <c r="M485" s="112">
        <v>4</v>
      </c>
      <c r="N485" s="111">
        <v>4</v>
      </c>
    </row>
    <row r="486" spans="3:14" ht="13.5" thickBot="1">
      <c r="C486" s="79">
        <f>predikcia!A484</f>
        <v>45678</v>
      </c>
      <c r="D486" s="80" t="str">
        <f>predikcia!B484</f>
        <v>01:00:00</v>
      </c>
      <c r="E486" s="81">
        <f>predikcia!G484</f>
        <v>9728.25</v>
      </c>
      <c r="F486" s="70">
        <f>'DHS25'!C483</f>
        <v>10926</v>
      </c>
      <c r="G486" s="71">
        <f>'DHS25'!D483</f>
        <v>3133</v>
      </c>
      <c r="H486" s="106">
        <v>4</v>
      </c>
      <c r="I486" s="72">
        <f>'DHS25'!E483/1000</f>
        <v>4.0919999999999996</v>
      </c>
      <c r="J486" s="109">
        <f>predikcia!R484</f>
        <v>136.88</v>
      </c>
      <c r="K486" s="92">
        <f t="shared" si="7"/>
        <v>546.73703039999998</v>
      </c>
      <c r="M486" s="112">
        <v>4</v>
      </c>
      <c r="N486" s="111">
        <v>4</v>
      </c>
    </row>
    <row r="487" spans="3:14" ht="13.5" thickBot="1">
      <c r="C487" s="79">
        <f>predikcia!A485</f>
        <v>45678</v>
      </c>
      <c r="D487" s="80" t="str">
        <f>predikcia!B485</f>
        <v>02:00:00</v>
      </c>
      <c r="E487" s="81">
        <f>predikcia!G485</f>
        <v>11145</v>
      </c>
      <c r="F487" s="70">
        <f>'DHS25'!C484</f>
        <v>11919</v>
      </c>
      <c r="G487" s="71">
        <f>'DHS25'!D484</f>
        <v>2853</v>
      </c>
      <c r="H487" s="106">
        <v>4</v>
      </c>
      <c r="I487" s="72">
        <f>'DHS25'!E484/1000</f>
        <v>4.0590000000000002</v>
      </c>
      <c r="J487" s="109">
        <f>predikcia!R485</f>
        <v>130.12</v>
      </c>
      <c r="K487" s="92">
        <f t="shared" si="7"/>
        <v>515.16340920000005</v>
      </c>
      <c r="M487" s="112">
        <v>4</v>
      </c>
      <c r="N487" s="111">
        <v>4</v>
      </c>
    </row>
    <row r="488" spans="3:14" ht="13.5" thickBot="1">
      <c r="C488" s="79">
        <f>predikcia!A486</f>
        <v>45678</v>
      </c>
      <c r="D488" s="80" t="str">
        <f>predikcia!B486</f>
        <v>03:00:00</v>
      </c>
      <c r="E488" s="81">
        <f>predikcia!G486</f>
        <v>11723</v>
      </c>
      <c r="F488" s="70">
        <f>'DHS25'!C485</f>
        <v>13039</v>
      </c>
      <c r="G488" s="71">
        <f>'DHS25'!D485</f>
        <v>1186</v>
      </c>
      <c r="H488" s="106">
        <v>4</v>
      </c>
      <c r="I488" s="72">
        <f>'DHS25'!E485/1000</f>
        <v>4.0759999999999996</v>
      </c>
      <c r="J488" s="109">
        <f>predikcia!R486</f>
        <v>136.35</v>
      </c>
      <c r="K488" s="92">
        <f t="shared" si="7"/>
        <v>542.46057399999995</v>
      </c>
      <c r="M488" s="112">
        <v>4</v>
      </c>
      <c r="N488" s="111">
        <v>4</v>
      </c>
    </row>
    <row r="489" spans="3:14" ht="13.5" thickBot="1">
      <c r="C489" s="79">
        <f>predikcia!A487</f>
        <v>45678</v>
      </c>
      <c r="D489" s="80" t="str">
        <f>predikcia!B487</f>
        <v>04:00:00</v>
      </c>
      <c r="E489" s="81">
        <f>predikcia!G487</f>
        <v>18671.25</v>
      </c>
      <c r="F489" s="70">
        <f>'DHS25'!C486</f>
        <v>20896</v>
      </c>
      <c r="G489" s="71">
        <f>'DHS25'!D486</f>
        <v>1081</v>
      </c>
      <c r="H489" s="106">
        <v>8</v>
      </c>
      <c r="I489" s="72">
        <f>'DHS25'!E486/1000</f>
        <v>7.1749999999999998</v>
      </c>
      <c r="J489" s="109">
        <f>predikcia!R487</f>
        <v>152.80000000000001</v>
      </c>
      <c r="K489" s="92">
        <f t="shared" si="7"/>
        <v>1071.7441000000001</v>
      </c>
      <c r="M489" s="112">
        <v>6</v>
      </c>
      <c r="N489" s="111">
        <v>8</v>
      </c>
    </row>
    <row r="490" spans="3:14" ht="13.5" thickBot="1">
      <c r="C490" s="79">
        <f>predikcia!A488</f>
        <v>45678</v>
      </c>
      <c r="D490" s="80" t="str">
        <f>predikcia!B488</f>
        <v>05:00:00</v>
      </c>
      <c r="E490" s="81">
        <f>predikcia!G488</f>
        <v>17930.25</v>
      </c>
      <c r="F490" s="70">
        <f>'DHS25'!C487</f>
        <v>21623</v>
      </c>
      <c r="G490" s="71">
        <f>'DHS25'!D487</f>
        <v>3083</v>
      </c>
      <c r="H490" s="106">
        <v>8</v>
      </c>
      <c r="I490" s="72">
        <f>'DHS25'!E487/1000</f>
        <v>8.0079999999999991</v>
      </c>
      <c r="J490" s="109">
        <f>predikcia!R488</f>
        <v>184.32</v>
      </c>
      <c r="K490" s="92">
        <f t="shared" si="7"/>
        <v>1446.0590143999998</v>
      </c>
      <c r="M490" s="112">
        <v>6</v>
      </c>
      <c r="N490" s="111">
        <v>8</v>
      </c>
    </row>
    <row r="491" spans="3:14" ht="13.5" thickBot="1">
      <c r="C491" s="79">
        <f>predikcia!A489</f>
        <v>45678</v>
      </c>
      <c r="D491" s="80" t="str">
        <f>predikcia!B489</f>
        <v>06:00:00</v>
      </c>
      <c r="E491" s="81">
        <f>predikcia!G489</f>
        <v>18463.5</v>
      </c>
      <c r="F491" s="70">
        <f>'DHS25'!C488</f>
        <v>21801</v>
      </c>
      <c r="G491" s="71">
        <f>'DHS25'!D488</f>
        <v>3408</v>
      </c>
      <c r="H491" s="106">
        <v>8</v>
      </c>
      <c r="I491" s="72">
        <f>'DHS25'!E488/1000</f>
        <v>8.048</v>
      </c>
      <c r="J491" s="109">
        <f>predikcia!R489</f>
        <v>243.13</v>
      </c>
      <c r="K491" s="92">
        <f t="shared" si="7"/>
        <v>1921.8519375999999</v>
      </c>
      <c r="M491" s="112">
        <v>6</v>
      </c>
      <c r="N491" s="111">
        <v>8</v>
      </c>
    </row>
    <row r="492" spans="3:14" ht="13.5" thickBot="1">
      <c r="C492" s="79">
        <f>predikcia!A490</f>
        <v>45678</v>
      </c>
      <c r="D492" s="80" t="str">
        <f>predikcia!B490</f>
        <v>07:00:00</v>
      </c>
      <c r="E492" s="81">
        <f>predikcia!G490</f>
        <v>17877.25</v>
      </c>
      <c r="F492" s="70">
        <f>'DHS25'!C489</f>
        <v>16811</v>
      </c>
      <c r="G492" s="71">
        <f>'DHS25'!D489</f>
        <v>6239</v>
      </c>
      <c r="H492" s="106">
        <v>8</v>
      </c>
      <c r="I492" s="72">
        <f>'DHS25'!E489/1000</f>
        <v>8.0749999999999993</v>
      </c>
      <c r="J492" s="109">
        <f>predikcia!R490</f>
        <v>393.4</v>
      </c>
      <c r="K492" s="92">
        <f t="shared" si="7"/>
        <v>3129.5954499999993</v>
      </c>
      <c r="M492" s="112">
        <v>6</v>
      </c>
      <c r="N492" s="111">
        <v>8</v>
      </c>
    </row>
    <row r="493" spans="3:14" ht="13.5" thickBot="1">
      <c r="C493" s="79">
        <f>predikcia!A491</f>
        <v>45678</v>
      </c>
      <c r="D493" s="80" t="str">
        <f>predikcia!B491</f>
        <v>08:00:00</v>
      </c>
      <c r="E493" s="81">
        <f>predikcia!G491</f>
        <v>18240.75</v>
      </c>
      <c r="F493" s="70">
        <f>'DHS25'!C490</f>
        <v>18721</v>
      </c>
      <c r="G493" s="71">
        <f>'DHS25'!D490</f>
        <v>6030</v>
      </c>
      <c r="H493" s="106">
        <v>8</v>
      </c>
      <c r="I493" s="72">
        <f>'DHS25'!E490/1000</f>
        <v>8.0969999999999995</v>
      </c>
      <c r="J493" s="109">
        <f>predikcia!R491</f>
        <v>517.52</v>
      </c>
      <c r="K493" s="92">
        <f t="shared" si="7"/>
        <v>4133.0715455999998</v>
      </c>
      <c r="M493" s="112">
        <v>6</v>
      </c>
      <c r="N493" s="111">
        <v>8</v>
      </c>
    </row>
    <row r="494" spans="3:14" ht="13.5" thickBot="1">
      <c r="C494" s="79">
        <f>predikcia!A492</f>
        <v>45678</v>
      </c>
      <c r="D494" s="80" t="str">
        <f>predikcia!B492</f>
        <v>09:00:00</v>
      </c>
      <c r="E494" s="81">
        <f>predikcia!G492</f>
        <v>17320.5</v>
      </c>
      <c r="F494" s="70">
        <f>'DHS25'!C491</f>
        <v>19367</v>
      </c>
      <c r="G494" s="71">
        <f>'DHS25'!D491</f>
        <v>5881</v>
      </c>
      <c r="H494" s="106">
        <v>8</v>
      </c>
      <c r="I494" s="72">
        <f>'DHS25'!E491/1000</f>
        <v>8.0679999999999996</v>
      </c>
      <c r="J494" s="109">
        <f>predikcia!R492</f>
        <v>317.64999999999998</v>
      </c>
      <c r="K494" s="92">
        <f t="shared" si="7"/>
        <v>2521.8429980000001</v>
      </c>
      <c r="M494" s="112">
        <v>6</v>
      </c>
      <c r="N494" s="111">
        <v>8</v>
      </c>
    </row>
    <row r="495" spans="3:14" ht="13.5" thickBot="1">
      <c r="C495" s="79">
        <f>predikcia!A493</f>
        <v>45678</v>
      </c>
      <c r="D495" s="80" t="str">
        <f>predikcia!B493</f>
        <v>10:00:00</v>
      </c>
      <c r="E495" s="81">
        <f>predikcia!G493</f>
        <v>16710.5</v>
      </c>
      <c r="F495" s="70">
        <f>'DHS25'!C492</f>
        <v>17358</v>
      </c>
      <c r="G495" s="71">
        <f>'DHS25'!D492</f>
        <v>7723</v>
      </c>
      <c r="H495" s="106">
        <v>8</v>
      </c>
      <c r="I495" s="72">
        <f>'DHS25'!E492/1000</f>
        <v>8.0470000000000006</v>
      </c>
      <c r="J495" s="109">
        <f>predikcia!R493</f>
        <v>271.32</v>
      </c>
      <c r="K495" s="92">
        <f t="shared" si="7"/>
        <v>2146.1896196000002</v>
      </c>
      <c r="M495" s="112">
        <v>6</v>
      </c>
      <c r="N495" s="111">
        <v>8</v>
      </c>
    </row>
    <row r="496" spans="3:14" ht="13.5" thickBot="1">
      <c r="C496" s="79">
        <f>predikcia!A494</f>
        <v>45678</v>
      </c>
      <c r="D496" s="80" t="str">
        <f>predikcia!B494</f>
        <v>11:00:00</v>
      </c>
      <c r="E496" s="81">
        <f>predikcia!G494</f>
        <v>16090</v>
      </c>
      <c r="F496" s="70">
        <f>'DHS25'!C493</f>
        <v>16768</v>
      </c>
      <c r="G496" s="71">
        <f>'DHS25'!D493</f>
        <v>7486</v>
      </c>
      <c r="H496" s="106">
        <v>8</v>
      </c>
      <c r="I496" s="72">
        <f>'DHS25'!E493/1000</f>
        <v>8.08</v>
      </c>
      <c r="J496" s="109">
        <f>predikcia!R494</f>
        <v>240.89</v>
      </c>
      <c r="K496" s="92">
        <f t="shared" si="7"/>
        <v>1911.575288</v>
      </c>
      <c r="M496" s="112">
        <v>6</v>
      </c>
      <c r="N496" s="111">
        <v>8</v>
      </c>
    </row>
    <row r="497" spans="3:14" ht="13.5" thickBot="1">
      <c r="C497" s="79">
        <f>predikcia!A495</f>
        <v>45678</v>
      </c>
      <c r="D497" s="80" t="str">
        <f>predikcia!B495</f>
        <v>12:00:00</v>
      </c>
      <c r="E497" s="81">
        <f>predikcia!G495</f>
        <v>15901.5</v>
      </c>
      <c r="F497" s="70">
        <f>'DHS25'!C494</f>
        <v>17406</v>
      </c>
      <c r="G497" s="71">
        <f>'DHS25'!D494</f>
        <v>7347</v>
      </c>
      <c r="H497" s="106">
        <v>8</v>
      </c>
      <c r="I497" s="72">
        <f>'DHS25'!E494/1000</f>
        <v>8.0779999999999994</v>
      </c>
      <c r="J497" s="109">
        <f>predikcia!R495</f>
        <v>245.5</v>
      </c>
      <c r="K497" s="92">
        <f t="shared" si="7"/>
        <v>1947.9693099999997</v>
      </c>
      <c r="M497" s="112">
        <v>5</v>
      </c>
      <c r="N497" s="111">
        <v>8</v>
      </c>
    </row>
    <row r="498" spans="3:14" ht="13.5" thickBot="1">
      <c r="C498" s="79">
        <f>predikcia!A496</f>
        <v>45678</v>
      </c>
      <c r="D498" s="80" t="str">
        <f>predikcia!B496</f>
        <v>13:00:00</v>
      </c>
      <c r="E498" s="81">
        <f>predikcia!G496</f>
        <v>15148.25</v>
      </c>
      <c r="F498" s="70">
        <f>'DHS25'!C495</f>
        <v>16369</v>
      </c>
      <c r="G498" s="71">
        <f>'DHS25'!D495</f>
        <v>7909</v>
      </c>
      <c r="H498" s="106">
        <v>8</v>
      </c>
      <c r="I498" s="72">
        <f>'DHS25'!E495/1000</f>
        <v>8.0809999999999995</v>
      </c>
      <c r="J498" s="109">
        <f>predikcia!R496</f>
        <v>217</v>
      </c>
      <c r="K498" s="92">
        <f t="shared" si="7"/>
        <v>1720.6873299999997</v>
      </c>
      <c r="M498" s="112">
        <v>5</v>
      </c>
      <c r="N498" s="111">
        <v>8</v>
      </c>
    </row>
    <row r="499" spans="3:14" ht="13.5" thickBot="1">
      <c r="C499" s="79">
        <f>predikcia!A497</f>
        <v>45678</v>
      </c>
      <c r="D499" s="80" t="str">
        <f>predikcia!B497</f>
        <v>14:00:00</v>
      </c>
      <c r="E499" s="81">
        <f>predikcia!G497</f>
        <v>14938.5</v>
      </c>
      <c r="F499" s="70">
        <f>'DHS25'!C496</f>
        <v>16756</v>
      </c>
      <c r="G499" s="71">
        <f>'DHS25'!D496</f>
        <v>7570</v>
      </c>
      <c r="H499" s="106">
        <v>8</v>
      </c>
      <c r="I499" s="72">
        <f>'DHS25'!E496/1000</f>
        <v>8.0690000000000008</v>
      </c>
      <c r="J499" s="109">
        <f>predikcia!R497</f>
        <v>253.33</v>
      </c>
      <c r="K499" s="92">
        <f t="shared" si="7"/>
        <v>2008.3474723000004</v>
      </c>
      <c r="M499" s="112">
        <v>5</v>
      </c>
      <c r="N499" s="111">
        <v>8</v>
      </c>
    </row>
    <row r="500" spans="3:14" ht="13.5" thickBot="1">
      <c r="C500" s="79">
        <f>predikcia!A498</f>
        <v>45678</v>
      </c>
      <c r="D500" s="80" t="str">
        <f>predikcia!B498</f>
        <v>15:00:00</v>
      </c>
      <c r="E500" s="81">
        <f>predikcia!G498</f>
        <v>15910.25</v>
      </c>
      <c r="F500" s="70">
        <f>'DHS25'!C497</f>
        <v>16122</v>
      </c>
      <c r="G500" s="71">
        <f>'DHS25'!D497</f>
        <v>8889</v>
      </c>
      <c r="H500" s="106">
        <v>8</v>
      </c>
      <c r="I500" s="72">
        <f>'DHS25'!E497/1000</f>
        <v>8.1479999999999997</v>
      </c>
      <c r="J500" s="109">
        <f>predikcia!R498</f>
        <v>337.59</v>
      </c>
      <c r="K500" s="92">
        <f t="shared" si="7"/>
        <v>2707.6952867999998</v>
      </c>
      <c r="M500" s="112">
        <v>5</v>
      </c>
      <c r="N500" s="111">
        <v>8</v>
      </c>
    </row>
    <row r="501" spans="3:14" ht="13.5" thickBot="1">
      <c r="C501" s="79">
        <f>predikcia!A499</f>
        <v>45678</v>
      </c>
      <c r="D501" s="80" t="str">
        <f>predikcia!B499</f>
        <v>16:00:00</v>
      </c>
      <c r="E501" s="81">
        <f>predikcia!G499</f>
        <v>16556</v>
      </c>
      <c r="F501" s="70">
        <f>'DHS25'!C498</f>
        <v>18367</v>
      </c>
      <c r="G501" s="71">
        <f>'DHS25'!D498</f>
        <v>6947</v>
      </c>
      <c r="H501" s="106">
        <v>8</v>
      </c>
      <c r="I501" s="72">
        <f>'DHS25'!E498/1000</f>
        <v>8.0920000000000005</v>
      </c>
      <c r="J501" s="109">
        <f>predikcia!R499</f>
        <v>251.64</v>
      </c>
      <c r="K501" s="92">
        <f t="shared" si="7"/>
        <v>2000.5333711999999</v>
      </c>
      <c r="M501" s="112">
        <v>6</v>
      </c>
      <c r="N501" s="111">
        <v>8</v>
      </c>
    </row>
    <row r="502" spans="3:14" ht="13.5" thickBot="1">
      <c r="C502" s="79">
        <f>predikcia!A500</f>
        <v>45678</v>
      </c>
      <c r="D502" s="80" t="str">
        <f>predikcia!B500</f>
        <v>17:00:00</v>
      </c>
      <c r="E502" s="81">
        <f>predikcia!G500</f>
        <v>16500.25</v>
      </c>
      <c r="F502" s="70">
        <f>'DHS25'!C499</f>
        <v>17070</v>
      </c>
      <c r="G502" s="71">
        <f>'DHS25'!D499</f>
        <v>7446</v>
      </c>
      <c r="H502" s="106">
        <v>8</v>
      </c>
      <c r="I502" s="72">
        <f>'DHS25'!E499/1000</f>
        <v>8.0830000000000002</v>
      </c>
      <c r="J502" s="109">
        <f>predikcia!R500</f>
        <v>346.67</v>
      </c>
      <c r="K502" s="92">
        <f t="shared" si="7"/>
        <v>2758.7545739000002</v>
      </c>
      <c r="M502" s="112">
        <v>6</v>
      </c>
      <c r="N502" s="111">
        <v>8</v>
      </c>
    </row>
    <row r="503" spans="3:14" ht="13.5" thickBot="1">
      <c r="C503" s="79">
        <f>predikcia!A501</f>
        <v>45678</v>
      </c>
      <c r="D503" s="80" t="str">
        <f>predikcia!B501</f>
        <v>18:00:00</v>
      </c>
      <c r="E503" s="81">
        <f>predikcia!G501</f>
        <v>17122.75</v>
      </c>
      <c r="F503" s="70">
        <f>'DHS25'!C500</f>
        <v>16981</v>
      </c>
      <c r="G503" s="71">
        <f>'DHS25'!D500</f>
        <v>6951</v>
      </c>
      <c r="H503" s="106">
        <v>8</v>
      </c>
      <c r="I503" s="72">
        <f>'DHS25'!E500/1000</f>
        <v>8.0640000000000001</v>
      </c>
      <c r="J503" s="109">
        <f>predikcia!R501</f>
        <v>271.54000000000002</v>
      </c>
      <c r="K503" s="92">
        <f t="shared" si="7"/>
        <v>2152.4799744000006</v>
      </c>
      <c r="M503" s="112">
        <v>6</v>
      </c>
      <c r="N503" s="111">
        <v>8</v>
      </c>
    </row>
    <row r="504" spans="3:14" ht="13.5" thickBot="1">
      <c r="C504" s="79">
        <f>predikcia!A502</f>
        <v>45678</v>
      </c>
      <c r="D504" s="80" t="str">
        <f>predikcia!B502</f>
        <v>19:00:00</v>
      </c>
      <c r="E504" s="81">
        <f>predikcia!G502</f>
        <v>17099</v>
      </c>
      <c r="F504" s="70">
        <f>'DHS25'!C501</f>
        <v>17038</v>
      </c>
      <c r="G504" s="71">
        <f>'DHS25'!D501</f>
        <v>7612</v>
      </c>
      <c r="H504" s="106">
        <v>8</v>
      </c>
      <c r="I504" s="72">
        <f>'DHS25'!E501/1000</f>
        <v>8.0310000000000006</v>
      </c>
      <c r="J504" s="109">
        <f>predikcia!R502</f>
        <v>209.07</v>
      </c>
      <c r="K504" s="92">
        <f t="shared" si="7"/>
        <v>1646.9918583000001</v>
      </c>
      <c r="M504" s="112">
        <v>6</v>
      </c>
      <c r="N504" s="111">
        <v>8</v>
      </c>
    </row>
    <row r="505" spans="3:14" ht="13.5" thickBot="1">
      <c r="C505" s="79">
        <f>predikcia!A503</f>
        <v>45678</v>
      </c>
      <c r="D505" s="80" t="str">
        <f>predikcia!B503</f>
        <v>20:00:00</v>
      </c>
      <c r="E505" s="81">
        <f>predikcia!G503</f>
        <v>17355.25</v>
      </c>
      <c r="F505" s="70">
        <f>'DHS25'!C502</f>
        <v>17833</v>
      </c>
      <c r="G505" s="71">
        <f>'DHS25'!D502</f>
        <v>6936</v>
      </c>
      <c r="H505" s="106">
        <v>8</v>
      </c>
      <c r="I505" s="72">
        <f>'DHS25'!E502/1000</f>
        <v>8.0730000000000004</v>
      </c>
      <c r="J505" s="109">
        <f>predikcia!R503</f>
        <v>181.33</v>
      </c>
      <c r="K505" s="92">
        <f t="shared" si="7"/>
        <v>1433.8996191000001</v>
      </c>
      <c r="M505" s="112">
        <v>6</v>
      </c>
      <c r="N505" s="111">
        <v>8</v>
      </c>
    </row>
    <row r="506" spans="3:14" ht="13.5" thickBot="1">
      <c r="C506" s="79">
        <f>predikcia!A504</f>
        <v>45678</v>
      </c>
      <c r="D506" s="80" t="str">
        <f>predikcia!B504</f>
        <v>21:00:00</v>
      </c>
      <c r="E506" s="81">
        <f>predikcia!G504</f>
        <v>17568.75</v>
      </c>
      <c r="F506" s="70">
        <f>'DHS25'!C503</f>
        <v>17773</v>
      </c>
      <c r="G506" s="71">
        <f>'DHS25'!D503</f>
        <v>6178</v>
      </c>
      <c r="H506" s="106">
        <v>8</v>
      </c>
      <c r="I506" s="72">
        <f>'DHS25'!E503/1000</f>
        <v>8.0609999999999999</v>
      </c>
      <c r="J506" s="109">
        <f>predikcia!R504</f>
        <v>159.03</v>
      </c>
      <c r="K506" s="92">
        <f t="shared" si="7"/>
        <v>1253.8055216999999</v>
      </c>
      <c r="M506" s="112">
        <v>6</v>
      </c>
      <c r="N506" s="111">
        <v>8</v>
      </c>
    </row>
    <row r="507" spans="3:14" ht="13.5" thickBot="1">
      <c r="C507" s="79">
        <f>predikcia!A505</f>
        <v>45678</v>
      </c>
      <c r="D507" s="80" t="str">
        <f>predikcia!B505</f>
        <v>22:00:00</v>
      </c>
      <c r="E507" s="81">
        <f>predikcia!G505</f>
        <v>15395.25</v>
      </c>
      <c r="F507" s="70">
        <f>'DHS25'!C504</f>
        <v>14630</v>
      </c>
      <c r="G507" s="71">
        <f>'DHS25'!D504</f>
        <v>9805</v>
      </c>
      <c r="H507" s="106">
        <v>8</v>
      </c>
      <c r="I507" s="72">
        <f>'DHS25'!E504/1000</f>
        <v>8.0589999999999993</v>
      </c>
      <c r="J507" s="109">
        <f>predikcia!R505</f>
        <v>146.63</v>
      </c>
      <c r="K507" s="92">
        <f t="shared" si="7"/>
        <v>1154.5621583</v>
      </c>
      <c r="M507" s="112">
        <v>5</v>
      </c>
      <c r="N507" s="111">
        <v>8</v>
      </c>
    </row>
    <row r="508" spans="3:14" ht="13.5" thickBot="1">
      <c r="C508" s="82">
        <f>predikcia!A506</f>
        <v>45678</v>
      </c>
      <c r="D508" s="83" t="str">
        <f>predikcia!B506</f>
        <v>23:00:00</v>
      </c>
      <c r="E508" s="84">
        <f>predikcia!G506</f>
        <v>8048</v>
      </c>
      <c r="F508" s="73">
        <f>'DHS25'!C505</f>
        <v>9071</v>
      </c>
      <c r="G508" s="64">
        <f>'DHS25'!D505</f>
        <v>10757</v>
      </c>
      <c r="H508" s="107">
        <v>4</v>
      </c>
      <c r="I508" s="74">
        <f>'DHS25'!E505/1000</f>
        <v>6.1609999999999996</v>
      </c>
      <c r="J508" s="109">
        <f>predikcia!R506</f>
        <v>142.44999999999999</v>
      </c>
      <c r="K508" s="92">
        <f t="shared" si="7"/>
        <v>857.15220549999992</v>
      </c>
      <c r="M508" s="112">
        <v>4</v>
      </c>
      <c r="N508" s="111">
        <v>4</v>
      </c>
    </row>
    <row r="509" spans="3:14" ht="13.5" thickBot="1">
      <c r="C509" s="85">
        <f>predikcia!A507</f>
        <v>45679</v>
      </c>
      <c r="D509" s="86" t="str">
        <f>predikcia!B507</f>
        <v>00:00:00</v>
      </c>
      <c r="E509" s="78">
        <f>predikcia!G507</f>
        <v>8558.25</v>
      </c>
      <c r="F509" s="68">
        <f>'DHS25'!C506</f>
        <v>8021</v>
      </c>
      <c r="G509" s="63">
        <f>'DHS25'!D506</f>
        <v>6916</v>
      </c>
      <c r="H509" s="105">
        <v>4</v>
      </c>
      <c r="I509" s="69">
        <f>'DHS25'!E506/1000</f>
        <v>4.0970000000000004</v>
      </c>
      <c r="J509" s="109">
        <f>predikcia!R507</f>
        <v>131.47999999999999</v>
      </c>
      <c r="K509" s="92">
        <f t="shared" si="7"/>
        <v>525.50252439999997</v>
      </c>
      <c r="M509" s="112">
        <v>4</v>
      </c>
      <c r="N509" s="111">
        <v>4</v>
      </c>
    </row>
    <row r="510" spans="3:14" ht="13.5" thickBot="1">
      <c r="C510" s="87">
        <f>predikcia!A508</f>
        <v>45679</v>
      </c>
      <c r="D510" s="88" t="str">
        <f>predikcia!B508</f>
        <v>01:00:00</v>
      </c>
      <c r="E510" s="81">
        <f>predikcia!G508</f>
        <v>9769</v>
      </c>
      <c r="F510" s="70">
        <f>'DHS25'!C507</f>
        <v>9596</v>
      </c>
      <c r="G510" s="71">
        <f>'DHS25'!D507</f>
        <v>4978</v>
      </c>
      <c r="H510" s="106">
        <v>4</v>
      </c>
      <c r="I510" s="72">
        <f>'DHS25'!E507/1000</f>
        <v>4.1059999999999999</v>
      </c>
      <c r="J510" s="109">
        <f>predikcia!R508</f>
        <v>125.61</v>
      </c>
      <c r="K510" s="92">
        <f t="shared" si="7"/>
        <v>502.79571339999995</v>
      </c>
      <c r="M510" s="112">
        <v>4</v>
      </c>
      <c r="N510" s="111">
        <v>4</v>
      </c>
    </row>
    <row r="511" spans="3:14" ht="13.5" thickBot="1">
      <c r="C511" s="87">
        <f>predikcia!A509</f>
        <v>45679</v>
      </c>
      <c r="D511" s="88" t="str">
        <f>predikcia!B509</f>
        <v>02:00:00</v>
      </c>
      <c r="E511" s="81">
        <f>predikcia!G509</f>
        <v>10574.75</v>
      </c>
      <c r="F511" s="70">
        <f>'DHS25'!C508</f>
        <v>10853</v>
      </c>
      <c r="G511" s="71">
        <f>'DHS25'!D508</f>
        <v>3554</v>
      </c>
      <c r="H511" s="106">
        <v>4</v>
      </c>
      <c r="I511" s="72">
        <f>'DHS25'!E508/1000</f>
        <v>4.0739999999999998</v>
      </c>
      <c r="J511" s="109">
        <f>predikcia!R509</f>
        <v>123.42</v>
      </c>
      <c r="K511" s="92">
        <f t="shared" si="7"/>
        <v>490.04434919999994</v>
      </c>
      <c r="M511" s="112">
        <v>4</v>
      </c>
      <c r="N511" s="111">
        <v>4</v>
      </c>
    </row>
    <row r="512" spans="3:14" ht="13.5" thickBot="1">
      <c r="C512" s="87">
        <f>predikcia!A510</f>
        <v>45679</v>
      </c>
      <c r="D512" s="88" t="str">
        <f>predikcia!B510</f>
        <v>03:00:00</v>
      </c>
      <c r="E512" s="81">
        <f>predikcia!G510</f>
        <v>11880.75</v>
      </c>
      <c r="F512" s="70">
        <f>'DHS25'!C509</f>
        <v>9652</v>
      </c>
      <c r="G512" s="71">
        <f>'DHS25'!D509</f>
        <v>7317</v>
      </c>
      <c r="H512" s="106">
        <v>6</v>
      </c>
      <c r="I512" s="72">
        <f>'DHS25'!E509/1000</f>
        <v>5.0410000000000004</v>
      </c>
      <c r="J512" s="109">
        <f>predikcia!R510</f>
        <v>123.21</v>
      </c>
      <c r="K512" s="92">
        <f t="shared" si="7"/>
        <v>605.3126939</v>
      </c>
      <c r="M512" s="112">
        <v>4</v>
      </c>
      <c r="N512" s="111">
        <v>4</v>
      </c>
    </row>
    <row r="513" spans="3:14" ht="13.5" thickBot="1">
      <c r="C513" s="87">
        <f>predikcia!A511</f>
        <v>45679</v>
      </c>
      <c r="D513" s="88" t="str">
        <f>predikcia!B511</f>
        <v>04:00:00</v>
      </c>
      <c r="E513" s="81">
        <f>predikcia!G511</f>
        <v>17741.5</v>
      </c>
      <c r="F513" s="70">
        <f>'DHS25'!C510</f>
        <v>19656</v>
      </c>
      <c r="G513" s="71">
        <f>'DHS25'!D510</f>
        <v>2595</v>
      </c>
      <c r="H513" s="106">
        <v>8</v>
      </c>
      <c r="I513" s="72">
        <f>'DHS25'!E510/1000</f>
        <v>7.44</v>
      </c>
      <c r="J513" s="109">
        <f>predikcia!R511</f>
        <v>124.93</v>
      </c>
      <c r="K513" s="92">
        <f t="shared" si="7"/>
        <v>906.04840799999999</v>
      </c>
      <c r="M513" s="112">
        <v>6</v>
      </c>
      <c r="N513" s="111">
        <v>6</v>
      </c>
    </row>
    <row r="514" spans="3:14" ht="13.5" thickBot="1">
      <c r="C514" s="87">
        <f>predikcia!A512</f>
        <v>45679</v>
      </c>
      <c r="D514" s="88" t="str">
        <f>predikcia!B512</f>
        <v>05:00:00</v>
      </c>
      <c r="E514" s="81">
        <f>predikcia!G512</f>
        <v>18256.75</v>
      </c>
      <c r="F514" s="70">
        <f>'DHS25'!C511</f>
        <v>20640</v>
      </c>
      <c r="G514" s="71">
        <f>'DHS25'!D511</f>
        <v>3829</v>
      </c>
      <c r="H514" s="106">
        <v>8</v>
      </c>
      <c r="I514" s="72">
        <f>'DHS25'!E511/1000</f>
        <v>8.0649999999999995</v>
      </c>
      <c r="J514" s="109">
        <f>predikcia!R512</f>
        <v>148.44</v>
      </c>
      <c r="K514" s="92">
        <f t="shared" si="7"/>
        <v>1169.8734139999999</v>
      </c>
      <c r="M514" s="112">
        <v>6</v>
      </c>
      <c r="N514" s="111">
        <v>8</v>
      </c>
    </row>
    <row r="515" spans="3:14" ht="13.5" thickBot="1">
      <c r="C515" s="87">
        <f>predikcia!A513</f>
        <v>45679</v>
      </c>
      <c r="D515" s="88" t="str">
        <f>predikcia!B513</f>
        <v>06:00:00</v>
      </c>
      <c r="E515" s="81">
        <f>predikcia!G513</f>
        <v>19425.75</v>
      </c>
      <c r="F515" s="70">
        <f>'DHS25'!C512</f>
        <v>20370</v>
      </c>
      <c r="G515" s="71">
        <f>'DHS25'!D512</f>
        <v>4536</v>
      </c>
      <c r="H515" s="106">
        <v>8</v>
      </c>
      <c r="I515" s="72">
        <f>'DHS25'!E512/1000</f>
        <v>8.0619999999999994</v>
      </c>
      <c r="J515" s="109">
        <f>predikcia!R513</f>
        <v>234.75</v>
      </c>
      <c r="K515" s="92">
        <f t="shared" si="7"/>
        <v>1858.3111549999999</v>
      </c>
      <c r="M515" s="112">
        <v>6</v>
      </c>
      <c r="N515" s="111">
        <v>8</v>
      </c>
    </row>
    <row r="516" spans="3:14" ht="13.5" thickBot="1">
      <c r="C516" s="87">
        <f>predikcia!A514</f>
        <v>45679</v>
      </c>
      <c r="D516" s="88" t="str">
        <f>predikcia!B514</f>
        <v>07:00:00</v>
      </c>
      <c r="E516" s="81">
        <f>predikcia!G514</f>
        <v>18264.75</v>
      </c>
      <c r="F516" s="70">
        <f>'DHS25'!C513</f>
        <v>17239</v>
      </c>
      <c r="G516" s="71">
        <f>'DHS25'!D513</f>
        <v>7688</v>
      </c>
      <c r="H516" s="106">
        <v>8</v>
      </c>
      <c r="I516" s="72">
        <f>'DHS25'!E513/1000</f>
        <v>8.0820000000000007</v>
      </c>
      <c r="J516" s="109">
        <f>predikcia!R514</f>
        <v>400</v>
      </c>
      <c r="K516" s="92">
        <f t="shared" si="7"/>
        <v>3185.1162000000004</v>
      </c>
      <c r="M516" s="112">
        <v>6</v>
      </c>
      <c r="N516" s="111">
        <v>8</v>
      </c>
    </row>
    <row r="517" spans="3:14" ht="13.5" thickBot="1">
      <c r="C517" s="87">
        <f>predikcia!A515</f>
        <v>45679</v>
      </c>
      <c r="D517" s="88" t="str">
        <f>predikcia!B515</f>
        <v>08:00:00</v>
      </c>
      <c r="E517" s="81">
        <f>predikcia!G515</f>
        <v>17724.25</v>
      </c>
      <c r="F517" s="70">
        <f>'DHS25'!C514</f>
        <v>17619</v>
      </c>
      <c r="G517" s="71">
        <f>'DHS25'!D514</f>
        <v>6652</v>
      </c>
      <c r="H517" s="106">
        <v>8</v>
      </c>
      <c r="I517" s="72">
        <f>'DHS25'!E514/1000</f>
        <v>8.0630000000000006</v>
      </c>
      <c r="J517" s="109">
        <f>predikcia!R515</f>
        <v>264.12</v>
      </c>
      <c r="K517" s="92">
        <f t="shared" si="7"/>
        <v>2092.9838644000001</v>
      </c>
      <c r="M517" s="112">
        <v>6</v>
      </c>
      <c r="N517" s="111">
        <v>8</v>
      </c>
    </row>
    <row r="518" spans="3:14" ht="13.5" thickBot="1">
      <c r="C518" s="87">
        <f>predikcia!A516</f>
        <v>45679</v>
      </c>
      <c r="D518" s="88" t="str">
        <f>predikcia!B516</f>
        <v>09:00:00</v>
      </c>
      <c r="E518" s="81">
        <f>predikcia!G516</f>
        <v>17084.25</v>
      </c>
      <c r="F518" s="70">
        <f>'DHS25'!C515</f>
        <v>17713</v>
      </c>
      <c r="G518" s="71">
        <f>'DHS25'!D515</f>
        <v>6254</v>
      </c>
      <c r="H518" s="106">
        <v>8</v>
      </c>
      <c r="I518" s="72">
        <f>'DHS25'!E515/1000</f>
        <v>8.0739999999999998</v>
      </c>
      <c r="J518" s="109">
        <f>predikcia!R516</f>
        <v>199.41</v>
      </c>
      <c r="K518" s="92">
        <f t="shared" ref="K518:K581" si="8">(J518*0.99-1.9)*I518</f>
        <v>1578.5953765999998</v>
      </c>
      <c r="M518" s="112">
        <v>6</v>
      </c>
      <c r="N518" s="111">
        <v>8</v>
      </c>
    </row>
    <row r="519" spans="3:14" ht="13.5" thickBot="1">
      <c r="C519" s="87">
        <f>predikcia!A517</f>
        <v>45679</v>
      </c>
      <c r="D519" s="88" t="str">
        <f>predikcia!B517</f>
        <v>10:00:00</v>
      </c>
      <c r="E519" s="81">
        <f>predikcia!G517</f>
        <v>17470</v>
      </c>
      <c r="F519" s="70">
        <f>'DHS25'!C516</f>
        <v>17951</v>
      </c>
      <c r="G519" s="71">
        <f>'DHS25'!D516</f>
        <v>6739</v>
      </c>
      <c r="H519" s="106">
        <v>8</v>
      </c>
      <c r="I519" s="72">
        <f>'DHS25'!E516/1000</f>
        <v>8.0690000000000008</v>
      </c>
      <c r="J519" s="109">
        <f>predikcia!R517</f>
        <v>179.06</v>
      </c>
      <c r="K519" s="92">
        <f t="shared" si="8"/>
        <v>1415.0556885999999</v>
      </c>
      <c r="M519" s="112">
        <v>6</v>
      </c>
      <c r="N519" s="111">
        <v>8</v>
      </c>
    </row>
    <row r="520" spans="3:14" ht="13.5" thickBot="1">
      <c r="C520" s="87">
        <f>predikcia!A518</f>
        <v>45679</v>
      </c>
      <c r="D520" s="88" t="str">
        <f>predikcia!B518</f>
        <v>11:00:00</v>
      </c>
      <c r="E520" s="81">
        <f>predikcia!G518</f>
        <v>16713.5</v>
      </c>
      <c r="F520" s="70">
        <f>'DHS25'!C517</f>
        <v>16699</v>
      </c>
      <c r="G520" s="71">
        <f>'DHS25'!D517</f>
        <v>7618</v>
      </c>
      <c r="H520" s="106">
        <v>8</v>
      </c>
      <c r="I520" s="72">
        <f>'DHS25'!E517/1000</f>
        <v>8.0559999999999992</v>
      </c>
      <c r="J520" s="109">
        <f>predikcia!R518</f>
        <v>172.94</v>
      </c>
      <c r="K520" s="92">
        <f t="shared" si="8"/>
        <v>1363.9661935999998</v>
      </c>
      <c r="M520" s="112">
        <v>6</v>
      </c>
      <c r="N520" s="111">
        <v>8</v>
      </c>
    </row>
    <row r="521" spans="3:14" ht="13.5" thickBot="1">
      <c r="C521" s="87">
        <f>predikcia!A519</f>
        <v>45679</v>
      </c>
      <c r="D521" s="88" t="str">
        <f>predikcia!B519</f>
        <v>12:00:00</v>
      </c>
      <c r="E521" s="81">
        <f>predikcia!G519</f>
        <v>16246.75</v>
      </c>
      <c r="F521" s="70">
        <f>'DHS25'!C518</f>
        <v>16429</v>
      </c>
      <c r="G521" s="71">
        <f>'DHS25'!D518</f>
        <v>7562</v>
      </c>
      <c r="H521" s="106">
        <v>8</v>
      </c>
      <c r="I521" s="72">
        <f>'DHS25'!E518/1000</f>
        <v>8.08</v>
      </c>
      <c r="J521" s="109">
        <f>predikcia!R519</f>
        <v>165</v>
      </c>
      <c r="K521" s="92">
        <f t="shared" si="8"/>
        <v>1304.5159999999998</v>
      </c>
      <c r="M521" s="112">
        <v>6</v>
      </c>
      <c r="N521" s="111">
        <v>8</v>
      </c>
    </row>
    <row r="522" spans="3:14" ht="13.5" thickBot="1">
      <c r="C522" s="87">
        <f>predikcia!A520</f>
        <v>45679</v>
      </c>
      <c r="D522" s="88" t="str">
        <f>predikcia!B520</f>
        <v>13:00:00</v>
      </c>
      <c r="E522" s="81">
        <f>predikcia!G520</f>
        <v>15971.75</v>
      </c>
      <c r="F522" s="70">
        <f>'DHS25'!C519</f>
        <v>17239</v>
      </c>
      <c r="G522" s="71">
        <f>'DHS25'!D519</f>
        <v>7285</v>
      </c>
      <c r="H522" s="106">
        <v>8</v>
      </c>
      <c r="I522" s="72">
        <f>'DHS25'!E519/1000</f>
        <v>8.077</v>
      </c>
      <c r="J522" s="109">
        <f>predikcia!R520</f>
        <v>170</v>
      </c>
      <c r="K522" s="92">
        <f t="shared" si="8"/>
        <v>1344.0128</v>
      </c>
      <c r="M522" s="112">
        <v>5</v>
      </c>
      <c r="N522" s="111">
        <v>8</v>
      </c>
    </row>
    <row r="523" spans="3:14" ht="13.5" thickBot="1">
      <c r="C523" s="87">
        <f>predikcia!A521</f>
        <v>45679</v>
      </c>
      <c r="D523" s="88" t="str">
        <f>predikcia!B521</f>
        <v>14:00:00</v>
      </c>
      <c r="E523" s="81">
        <f>predikcia!G521</f>
        <v>15668</v>
      </c>
      <c r="F523" s="70">
        <f>'DHS25'!C520</f>
        <v>16926</v>
      </c>
      <c r="G523" s="71">
        <f>'DHS25'!D520</f>
        <v>7349</v>
      </c>
      <c r="H523" s="106">
        <v>8</v>
      </c>
      <c r="I523" s="72">
        <f>'DHS25'!E520/1000</f>
        <v>8.0579999999999998</v>
      </c>
      <c r="J523" s="109">
        <f>predikcia!R521</f>
        <v>180.02</v>
      </c>
      <c r="K523" s="92">
        <f t="shared" si="8"/>
        <v>1420.7849484000001</v>
      </c>
      <c r="M523" s="112">
        <v>5</v>
      </c>
      <c r="N523" s="111">
        <v>8</v>
      </c>
    </row>
    <row r="524" spans="3:14" ht="13.5" thickBot="1">
      <c r="C524" s="87">
        <f>predikcia!A522</f>
        <v>45679</v>
      </c>
      <c r="D524" s="88" t="str">
        <f>predikcia!B522</f>
        <v>15:00:00</v>
      </c>
      <c r="E524" s="81">
        <f>predikcia!G522</f>
        <v>15815.5</v>
      </c>
      <c r="F524" s="70">
        <f>'DHS25'!C521</f>
        <v>16316</v>
      </c>
      <c r="G524" s="71">
        <f>'DHS25'!D521</f>
        <v>8085</v>
      </c>
      <c r="H524" s="106">
        <v>8</v>
      </c>
      <c r="I524" s="72">
        <f>'DHS25'!E521/1000</f>
        <v>8.06</v>
      </c>
      <c r="J524" s="109">
        <f>predikcia!R522</f>
        <v>202.39</v>
      </c>
      <c r="K524" s="92">
        <f t="shared" si="8"/>
        <v>1599.6367659999999</v>
      </c>
      <c r="M524" s="112">
        <v>5</v>
      </c>
      <c r="N524" s="111">
        <v>8</v>
      </c>
    </row>
    <row r="525" spans="3:14" ht="13.5" thickBot="1">
      <c r="C525" s="87">
        <f>predikcia!A523</f>
        <v>45679</v>
      </c>
      <c r="D525" s="88" t="str">
        <f>predikcia!B523</f>
        <v>16:00:00</v>
      </c>
      <c r="E525" s="81">
        <f>predikcia!G523</f>
        <v>16330.75</v>
      </c>
      <c r="F525" s="70">
        <f>'DHS25'!C522</f>
        <v>18183</v>
      </c>
      <c r="G525" s="71">
        <f>'DHS25'!D522</f>
        <v>6138</v>
      </c>
      <c r="H525" s="106">
        <v>8</v>
      </c>
      <c r="I525" s="72">
        <f>'DHS25'!E522/1000</f>
        <v>8.0410000000000004</v>
      </c>
      <c r="J525" s="109">
        <f>predikcia!R523</f>
        <v>294.39</v>
      </c>
      <c r="K525" s="92">
        <f t="shared" si="8"/>
        <v>2328.2401901000003</v>
      </c>
      <c r="M525" s="112">
        <v>6</v>
      </c>
      <c r="N525" s="111">
        <v>8</v>
      </c>
    </row>
    <row r="526" spans="3:14" ht="13.5" thickBot="1">
      <c r="C526" s="87">
        <f>predikcia!A524</f>
        <v>45679</v>
      </c>
      <c r="D526" s="88" t="str">
        <f>predikcia!B524</f>
        <v>17:00:00</v>
      </c>
      <c r="E526" s="81">
        <f>predikcia!G524</f>
        <v>16627.5</v>
      </c>
      <c r="F526" s="70">
        <f>'DHS25'!C523</f>
        <v>17262</v>
      </c>
      <c r="G526" s="71">
        <f>'DHS25'!D523</f>
        <v>7281</v>
      </c>
      <c r="H526" s="106">
        <v>8</v>
      </c>
      <c r="I526" s="72">
        <f>'DHS25'!E523/1000</f>
        <v>8.0280000000000005</v>
      </c>
      <c r="J526" s="109">
        <f>predikcia!R524</f>
        <v>305.16000000000003</v>
      </c>
      <c r="K526" s="92">
        <f t="shared" si="8"/>
        <v>2410.0730352000005</v>
      </c>
      <c r="M526" s="112">
        <v>6</v>
      </c>
      <c r="N526" s="111">
        <v>8</v>
      </c>
    </row>
    <row r="527" spans="3:14" ht="13.5" thickBot="1">
      <c r="C527" s="87">
        <f>predikcia!A525</f>
        <v>45679</v>
      </c>
      <c r="D527" s="88" t="str">
        <f>predikcia!B525</f>
        <v>18:00:00</v>
      </c>
      <c r="E527" s="81">
        <f>predikcia!G525</f>
        <v>16713.5</v>
      </c>
      <c r="F527" s="70">
        <f>'DHS25'!C524</f>
        <v>17196</v>
      </c>
      <c r="G527" s="71">
        <f>'DHS25'!D524</f>
        <v>7064</v>
      </c>
      <c r="H527" s="106">
        <v>8</v>
      </c>
      <c r="I527" s="72">
        <f>'DHS25'!E524/1000</f>
        <v>8.0670000000000002</v>
      </c>
      <c r="J527" s="109">
        <f>predikcia!R525</f>
        <v>233.62</v>
      </c>
      <c r="K527" s="92">
        <f t="shared" si="8"/>
        <v>1850.4391146</v>
      </c>
      <c r="M527" s="112">
        <v>6</v>
      </c>
      <c r="N527" s="111">
        <v>8</v>
      </c>
    </row>
    <row r="528" spans="3:14" ht="13.5" thickBot="1">
      <c r="C528" s="87">
        <f>predikcia!A526</f>
        <v>45679</v>
      </c>
      <c r="D528" s="88" t="str">
        <f>predikcia!B526</f>
        <v>19:00:00</v>
      </c>
      <c r="E528" s="81">
        <f>predikcia!G526</f>
        <v>17050.5</v>
      </c>
      <c r="F528" s="70">
        <f>'DHS25'!C525</f>
        <v>18181</v>
      </c>
      <c r="G528" s="71">
        <f>'DHS25'!D525</f>
        <v>6072</v>
      </c>
      <c r="H528" s="106">
        <v>8</v>
      </c>
      <c r="I528" s="72">
        <f>'DHS25'!E525/1000</f>
        <v>8.0389999999999997</v>
      </c>
      <c r="J528" s="109">
        <f>predikcia!R526</f>
        <v>234.45</v>
      </c>
      <c r="K528" s="92">
        <f t="shared" si="8"/>
        <v>1850.6220144999998</v>
      </c>
      <c r="M528" s="112">
        <v>6</v>
      </c>
      <c r="N528" s="111">
        <v>8</v>
      </c>
    </row>
    <row r="529" spans="3:14" ht="13.5" thickBot="1">
      <c r="C529" s="87">
        <f>predikcia!A527</f>
        <v>45679</v>
      </c>
      <c r="D529" s="88" t="str">
        <f>predikcia!B527</f>
        <v>20:00:00</v>
      </c>
      <c r="E529" s="81">
        <f>predikcia!G527</f>
        <v>16704.25</v>
      </c>
      <c r="F529" s="70">
        <f>'DHS25'!C526</f>
        <v>18367</v>
      </c>
      <c r="G529" s="71">
        <f>'DHS25'!D526</f>
        <v>6322</v>
      </c>
      <c r="H529" s="106">
        <v>8</v>
      </c>
      <c r="I529" s="72">
        <f>'DHS25'!E526/1000</f>
        <v>8.0619999999999994</v>
      </c>
      <c r="J529" s="109">
        <f>predikcia!R527</f>
        <v>255.52</v>
      </c>
      <c r="K529" s="92">
        <f t="shared" si="8"/>
        <v>2024.0844175999998</v>
      </c>
      <c r="M529" s="112">
        <v>6</v>
      </c>
      <c r="N529" s="111">
        <v>8</v>
      </c>
    </row>
    <row r="530" spans="3:14" ht="13.5" thickBot="1">
      <c r="C530" s="87">
        <f>predikcia!A528</f>
        <v>45679</v>
      </c>
      <c r="D530" s="88" t="str">
        <f>predikcia!B528</f>
        <v>21:00:00</v>
      </c>
      <c r="E530" s="81">
        <f>predikcia!G528</f>
        <v>16567.25</v>
      </c>
      <c r="F530" s="70">
        <f>'DHS25'!C527</f>
        <v>18180</v>
      </c>
      <c r="G530" s="71">
        <f>'DHS25'!D527</f>
        <v>6327</v>
      </c>
      <c r="H530" s="106">
        <v>8</v>
      </c>
      <c r="I530" s="72">
        <f>'DHS25'!E527/1000</f>
        <v>8.0440000000000005</v>
      </c>
      <c r="J530" s="109">
        <f>predikcia!R528</f>
        <v>189.04</v>
      </c>
      <c r="K530" s="92">
        <f t="shared" si="8"/>
        <v>1490.1477823999999</v>
      </c>
      <c r="M530" s="112">
        <v>6</v>
      </c>
      <c r="N530" s="111">
        <v>8</v>
      </c>
    </row>
    <row r="531" spans="3:14" ht="13.5" thickBot="1">
      <c r="C531" s="87">
        <f>predikcia!A529</f>
        <v>45679</v>
      </c>
      <c r="D531" s="88" t="str">
        <f>predikcia!B529</f>
        <v>22:00:00</v>
      </c>
      <c r="E531" s="81">
        <f>predikcia!G529</f>
        <v>14837</v>
      </c>
      <c r="F531" s="70">
        <f>'DHS25'!C528</f>
        <v>14031</v>
      </c>
      <c r="G531" s="71">
        <f>'DHS25'!D528</f>
        <v>9822</v>
      </c>
      <c r="H531" s="106">
        <v>8</v>
      </c>
      <c r="I531" s="72">
        <f>'DHS25'!E528/1000</f>
        <v>8.0530000000000008</v>
      </c>
      <c r="J531" s="109">
        <f>predikcia!R529</f>
        <v>164.96</v>
      </c>
      <c r="K531" s="92">
        <f t="shared" si="8"/>
        <v>1299.8379512000001</v>
      </c>
      <c r="M531" s="112">
        <v>5</v>
      </c>
      <c r="N531" s="111">
        <v>8</v>
      </c>
    </row>
    <row r="532" spans="3:14" ht="13.5" thickBot="1">
      <c r="C532" s="89">
        <f>predikcia!A530</f>
        <v>45679</v>
      </c>
      <c r="D532" s="90" t="str">
        <f>predikcia!B530</f>
        <v>23:00:00</v>
      </c>
      <c r="E532" s="84">
        <f>predikcia!G530</f>
        <v>8584.25</v>
      </c>
      <c r="F532" s="73">
        <f>'DHS25'!C529</f>
        <v>8737</v>
      </c>
      <c r="G532" s="64">
        <f>'DHS25'!D529</f>
        <v>15049</v>
      </c>
      <c r="H532" s="107">
        <v>8</v>
      </c>
      <c r="I532" s="74">
        <f>'DHS25'!E529/1000</f>
        <v>8.0619999999999994</v>
      </c>
      <c r="J532" s="109">
        <f>predikcia!R530</f>
        <v>154.55000000000001</v>
      </c>
      <c r="K532" s="92">
        <f t="shared" si="8"/>
        <v>1218.204479</v>
      </c>
      <c r="M532" s="112">
        <v>4</v>
      </c>
      <c r="N532" s="111">
        <v>4</v>
      </c>
    </row>
    <row r="533" spans="3:14" ht="13.5" thickBot="1">
      <c r="C533" s="76">
        <f>predikcia!A531</f>
        <v>45680</v>
      </c>
      <c r="D533" s="77" t="str">
        <f>predikcia!B531</f>
        <v>00:00:00</v>
      </c>
      <c r="E533" s="78">
        <f>predikcia!G531</f>
        <v>7076</v>
      </c>
      <c r="F533" s="68">
        <f>'DHS25'!C530</f>
        <v>8771</v>
      </c>
      <c r="G533" s="63">
        <f>'DHS25'!D530</f>
        <v>10869</v>
      </c>
      <c r="H533" s="105">
        <v>5</v>
      </c>
      <c r="I533" s="69">
        <f>'DHS25'!E530/1000</f>
        <v>6.5030000000000001</v>
      </c>
      <c r="J533" s="109">
        <f>predikcia!R531</f>
        <v>137.69999999999999</v>
      </c>
      <c r="K533" s="92">
        <f t="shared" si="8"/>
        <v>874.15276899999981</v>
      </c>
      <c r="M533" s="112">
        <v>3</v>
      </c>
      <c r="N533" s="111">
        <v>5</v>
      </c>
    </row>
    <row r="534" spans="3:14" ht="13.5" thickBot="1">
      <c r="C534" s="79">
        <f>predikcia!A532</f>
        <v>45680</v>
      </c>
      <c r="D534" s="80" t="str">
        <f>predikcia!B532</f>
        <v>01:00:00</v>
      </c>
      <c r="E534" s="81">
        <f>predikcia!G532</f>
        <v>7060.25</v>
      </c>
      <c r="F534" s="70">
        <f>'DHS25'!C531</f>
        <v>8997</v>
      </c>
      <c r="G534" s="71">
        <f>'DHS25'!D531</f>
        <v>4974</v>
      </c>
      <c r="H534" s="106">
        <v>3</v>
      </c>
      <c r="I534" s="72">
        <f>'DHS25'!E531/1000</f>
        <v>4.0670000000000002</v>
      </c>
      <c r="J534" s="109">
        <f>predikcia!R532</f>
        <v>132.16999999999999</v>
      </c>
      <c r="K534" s="92">
        <f t="shared" si="8"/>
        <v>524.43273609999994</v>
      </c>
      <c r="M534" s="112">
        <v>3</v>
      </c>
      <c r="N534" s="111">
        <v>3</v>
      </c>
    </row>
    <row r="535" spans="3:14" ht="13.5" thickBot="1">
      <c r="C535" s="79">
        <f>predikcia!A533</f>
        <v>45680</v>
      </c>
      <c r="D535" s="80" t="str">
        <f>predikcia!B533</f>
        <v>02:00:00</v>
      </c>
      <c r="E535" s="81">
        <f>predikcia!G533</f>
        <v>8628.25</v>
      </c>
      <c r="F535" s="70">
        <f>'DHS25'!C532</f>
        <v>10357</v>
      </c>
      <c r="G535" s="71">
        <f>'DHS25'!D532</f>
        <v>996</v>
      </c>
      <c r="H535" s="106">
        <v>4</v>
      </c>
      <c r="I535" s="72">
        <f>'DHS25'!E532/1000</f>
        <v>3.0579999999999998</v>
      </c>
      <c r="J535" s="109">
        <f>predikcia!R533</f>
        <v>110.15</v>
      </c>
      <c r="K535" s="92">
        <f t="shared" si="8"/>
        <v>327.66011299999997</v>
      </c>
      <c r="M535" s="112">
        <v>4</v>
      </c>
      <c r="N535" s="111">
        <v>4</v>
      </c>
    </row>
    <row r="536" spans="3:14" ht="13.5" thickBot="1">
      <c r="C536" s="79">
        <f>predikcia!A534</f>
        <v>45680</v>
      </c>
      <c r="D536" s="80" t="str">
        <f>predikcia!B534</f>
        <v>03:00:00</v>
      </c>
      <c r="E536" s="81">
        <f>predikcia!G534</f>
        <v>9607.5</v>
      </c>
      <c r="F536" s="70">
        <f>'DHS25'!C533</f>
        <v>12188</v>
      </c>
      <c r="G536" s="71">
        <f>'DHS25'!D533</f>
        <v>1638</v>
      </c>
      <c r="H536" s="106">
        <v>4</v>
      </c>
      <c r="I536" s="72">
        <f>'DHS25'!E533/1000</f>
        <v>4.0410000000000004</v>
      </c>
      <c r="J536" s="109">
        <f>predikcia!R534</f>
        <v>109.64</v>
      </c>
      <c r="K536" s="92">
        <f t="shared" si="8"/>
        <v>430.94678759999999</v>
      </c>
      <c r="M536" s="112">
        <v>4</v>
      </c>
      <c r="N536" s="111">
        <v>4</v>
      </c>
    </row>
    <row r="537" spans="3:14" ht="13.5" thickBot="1">
      <c r="C537" s="79">
        <f>predikcia!A535</f>
        <v>45680</v>
      </c>
      <c r="D537" s="80" t="str">
        <f>predikcia!B535</f>
        <v>04:00:00</v>
      </c>
      <c r="E537" s="81">
        <f>predikcia!G535</f>
        <v>18207.25</v>
      </c>
      <c r="F537" s="70">
        <f>'DHS25'!C534</f>
        <v>15437</v>
      </c>
      <c r="G537" s="71">
        <f>'DHS25'!D534</f>
        <v>36</v>
      </c>
      <c r="H537" s="106">
        <v>6</v>
      </c>
      <c r="I537" s="72">
        <f>'DHS25'!E534/1000</f>
        <v>5.4740000000000002</v>
      </c>
      <c r="J537" s="109">
        <f>predikcia!R535</f>
        <v>120.27</v>
      </c>
      <c r="K537" s="92">
        <f t="shared" si="8"/>
        <v>641.37380019999989</v>
      </c>
      <c r="M537" s="112">
        <v>6</v>
      </c>
      <c r="N537" s="111">
        <v>6</v>
      </c>
    </row>
    <row r="538" spans="3:14" ht="13.5" thickBot="1">
      <c r="C538" s="79">
        <f>predikcia!A536</f>
        <v>45680</v>
      </c>
      <c r="D538" s="80" t="str">
        <f>predikcia!B536</f>
        <v>05:00:00</v>
      </c>
      <c r="E538" s="81">
        <f>predikcia!G536</f>
        <v>19773.75</v>
      </c>
      <c r="F538" s="70">
        <f>'DHS25'!C535</f>
        <v>19997</v>
      </c>
      <c r="G538" s="71">
        <f>'DHS25'!D535</f>
        <v>24</v>
      </c>
      <c r="H538" s="106">
        <v>8</v>
      </c>
      <c r="I538" s="72">
        <f>'DHS25'!E535/1000</f>
        <v>6.8330000000000002</v>
      </c>
      <c r="J538" s="109">
        <f>predikcia!R536</f>
        <v>133.43</v>
      </c>
      <c r="K538" s="92">
        <f t="shared" si="8"/>
        <v>889.62721809999994</v>
      </c>
      <c r="M538" s="112">
        <v>6</v>
      </c>
      <c r="N538" s="111">
        <v>8</v>
      </c>
    </row>
    <row r="539" spans="3:14" ht="13.5" thickBot="1">
      <c r="C539" s="79">
        <f>predikcia!A537</f>
        <v>45680</v>
      </c>
      <c r="D539" s="80" t="str">
        <f>predikcia!B537</f>
        <v>06:00:00</v>
      </c>
      <c r="E539" s="81">
        <f>predikcia!G537</f>
        <v>18541</v>
      </c>
      <c r="F539" s="70">
        <f>'DHS25'!C536</f>
        <v>22955</v>
      </c>
      <c r="G539" s="71">
        <f>'DHS25'!D536</f>
        <v>1917</v>
      </c>
      <c r="H539" s="106">
        <v>8</v>
      </c>
      <c r="I539" s="72">
        <f>'DHS25'!E536/1000</f>
        <v>8.0709999999999997</v>
      </c>
      <c r="J539" s="109">
        <f>predikcia!R537</f>
        <v>205.46</v>
      </c>
      <c r="K539" s="92">
        <f t="shared" si="8"/>
        <v>1626.3500833999999</v>
      </c>
      <c r="M539" s="112">
        <v>6</v>
      </c>
      <c r="N539" s="111">
        <v>8</v>
      </c>
    </row>
    <row r="540" spans="3:14" ht="13.5" thickBot="1">
      <c r="C540" s="79">
        <f>predikcia!A538</f>
        <v>45680</v>
      </c>
      <c r="D540" s="80" t="str">
        <f>predikcia!B538</f>
        <v>07:00:00</v>
      </c>
      <c r="E540" s="81">
        <f>predikcia!G538</f>
        <v>17652.75</v>
      </c>
      <c r="F540" s="70">
        <f>'DHS25'!C537</f>
        <v>18923</v>
      </c>
      <c r="G540" s="71">
        <f>'DHS25'!D537</f>
        <v>5321</v>
      </c>
      <c r="H540" s="106">
        <v>8</v>
      </c>
      <c r="I540" s="72">
        <f>'DHS25'!E537/1000</f>
        <v>8.0470000000000006</v>
      </c>
      <c r="J540" s="109">
        <f>predikcia!R538</f>
        <v>236.38</v>
      </c>
      <c r="K540" s="92">
        <f t="shared" si="8"/>
        <v>1867.8390614</v>
      </c>
      <c r="M540" s="112">
        <v>6</v>
      </c>
      <c r="N540" s="111">
        <v>8</v>
      </c>
    </row>
    <row r="541" spans="3:14" ht="13.5" thickBot="1">
      <c r="C541" s="79">
        <f>predikcia!A539</f>
        <v>45680</v>
      </c>
      <c r="D541" s="80" t="str">
        <f>predikcia!B539</f>
        <v>08:00:00</v>
      </c>
      <c r="E541" s="81">
        <f>predikcia!G539</f>
        <v>16648</v>
      </c>
      <c r="F541" s="70">
        <f>'DHS25'!C538</f>
        <v>18165</v>
      </c>
      <c r="G541" s="71">
        <f>'DHS25'!D538</f>
        <v>6185</v>
      </c>
      <c r="H541" s="106">
        <v>8</v>
      </c>
      <c r="I541" s="72">
        <f>'DHS25'!E538/1000</f>
        <v>8.0559999999999992</v>
      </c>
      <c r="J541" s="109">
        <f>predikcia!R539</f>
        <v>188.58</v>
      </c>
      <c r="K541" s="92">
        <f t="shared" si="8"/>
        <v>1488.7020752000001</v>
      </c>
      <c r="M541" s="112">
        <v>6</v>
      </c>
      <c r="N541" s="111">
        <v>8</v>
      </c>
    </row>
    <row r="542" spans="3:14" ht="13.5" thickBot="1">
      <c r="C542" s="79">
        <f>predikcia!A540</f>
        <v>45680</v>
      </c>
      <c r="D542" s="80" t="str">
        <f>predikcia!B540</f>
        <v>09:00:00</v>
      </c>
      <c r="E542" s="81">
        <f>predikcia!G540</f>
        <v>17203.75</v>
      </c>
      <c r="F542" s="70">
        <f>'DHS25'!C539</f>
        <v>17868</v>
      </c>
      <c r="G542" s="71">
        <f>'DHS25'!D539</f>
        <v>6204</v>
      </c>
      <c r="H542" s="106">
        <v>8</v>
      </c>
      <c r="I542" s="72">
        <f>'DHS25'!E539/1000</f>
        <v>8.0549999999999997</v>
      </c>
      <c r="J542" s="109">
        <f>predikcia!R540</f>
        <v>172.96</v>
      </c>
      <c r="K542" s="92">
        <f t="shared" si="8"/>
        <v>1363.9563719999999</v>
      </c>
      <c r="M542" s="112">
        <v>6</v>
      </c>
      <c r="N542" s="111">
        <v>8</v>
      </c>
    </row>
    <row r="543" spans="3:14" ht="13.5" thickBot="1">
      <c r="C543" s="79">
        <f>predikcia!A541</f>
        <v>45680</v>
      </c>
      <c r="D543" s="80" t="str">
        <f>predikcia!B541</f>
        <v>10:00:00</v>
      </c>
      <c r="E543" s="81">
        <f>predikcia!G541</f>
        <v>16047.25</v>
      </c>
      <c r="F543" s="70">
        <f>'DHS25'!C540</f>
        <v>17905</v>
      </c>
      <c r="G543" s="71">
        <f>'DHS25'!D540</f>
        <v>7083</v>
      </c>
      <c r="H543" s="106">
        <v>8</v>
      </c>
      <c r="I543" s="72">
        <f>'DHS25'!E540/1000</f>
        <v>8.0489999999999995</v>
      </c>
      <c r="J543" s="109">
        <f>predikcia!R541</f>
        <v>151.16999999999999</v>
      </c>
      <c r="K543" s="92">
        <f t="shared" si="8"/>
        <v>1189.3065566999999</v>
      </c>
      <c r="M543" s="112">
        <v>6</v>
      </c>
      <c r="N543" s="111">
        <v>8</v>
      </c>
    </row>
    <row r="544" spans="3:14" ht="13.5" thickBot="1">
      <c r="C544" s="79">
        <f>predikcia!A542</f>
        <v>45680</v>
      </c>
      <c r="D544" s="80" t="str">
        <f>predikcia!B542</f>
        <v>11:00:00</v>
      </c>
      <c r="E544" s="81">
        <f>predikcia!G542</f>
        <v>15527.25</v>
      </c>
      <c r="F544" s="70">
        <f>'DHS25'!C541</f>
        <v>16962</v>
      </c>
      <c r="G544" s="71">
        <f>'DHS25'!D541</f>
        <v>6581</v>
      </c>
      <c r="H544" s="106">
        <v>8</v>
      </c>
      <c r="I544" s="72">
        <f>'DHS25'!E541/1000</f>
        <v>8.0530000000000008</v>
      </c>
      <c r="J544" s="109">
        <f>predikcia!R542</f>
        <v>148.83000000000001</v>
      </c>
      <c r="K544" s="92">
        <f t="shared" si="8"/>
        <v>1171.2420101</v>
      </c>
      <c r="M544" s="112">
        <v>5</v>
      </c>
      <c r="N544" s="111">
        <v>8</v>
      </c>
    </row>
    <row r="545" spans="3:14" ht="13.5" thickBot="1">
      <c r="C545" s="79">
        <f>predikcia!A543</f>
        <v>45680</v>
      </c>
      <c r="D545" s="80" t="str">
        <f>predikcia!B543</f>
        <v>12:00:00</v>
      </c>
      <c r="E545" s="81">
        <f>predikcia!G543</f>
        <v>14939</v>
      </c>
      <c r="F545" s="70">
        <f>'DHS25'!C542</f>
        <v>15987</v>
      </c>
      <c r="G545" s="71">
        <f>'DHS25'!D542</f>
        <v>8537</v>
      </c>
      <c r="H545" s="106">
        <v>8</v>
      </c>
      <c r="I545" s="72">
        <f>'DHS25'!E542/1000</f>
        <v>8.0649999999999995</v>
      </c>
      <c r="J545" s="109">
        <f>predikcia!R543</f>
        <v>147.99</v>
      </c>
      <c r="K545" s="92">
        <f t="shared" si="8"/>
        <v>1166.2804564999999</v>
      </c>
      <c r="M545" s="112">
        <v>5</v>
      </c>
      <c r="N545" s="111">
        <v>8</v>
      </c>
    </row>
    <row r="546" spans="3:14" ht="13.5" thickBot="1">
      <c r="C546" s="79">
        <f>predikcia!A544</f>
        <v>45680</v>
      </c>
      <c r="D546" s="80" t="str">
        <f>predikcia!B544</f>
        <v>13:00:00</v>
      </c>
      <c r="E546" s="81">
        <f>predikcia!G544</f>
        <v>14556.75</v>
      </c>
      <c r="F546" s="70">
        <f>'DHS25'!C543</f>
        <v>15813</v>
      </c>
      <c r="G546" s="71">
        <f>'DHS25'!D543</f>
        <v>7834</v>
      </c>
      <c r="H546" s="106">
        <v>8</v>
      </c>
      <c r="I546" s="72">
        <f>'DHS25'!E543/1000</f>
        <v>8.0549999999999997</v>
      </c>
      <c r="J546" s="109">
        <f>predikcia!R544</f>
        <v>160.59</v>
      </c>
      <c r="K546" s="92">
        <f t="shared" si="8"/>
        <v>1265.3124255</v>
      </c>
      <c r="M546" s="112">
        <v>5</v>
      </c>
      <c r="N546" s="111">
        <v>8</v>
      </c>
    </row>
    <row r="547" spans="3:14" ht="13.5" thickBot="1">
      <c r="C547" s="79">
        <f>predikcia!A545</f>
        <v>45680</v>
      </c>
      <c r="D547" s="80" t="str">
        <f>predikcia!B545</f>
        <v>14:00:00</v>
      </c>
      <c r="E547" s="81">
        <f>predikcia!G545</f>
        <v>14412.25</v>
      </c>
      <c r="F547" s="70">
        <f>'DHS25'!C544</f>
        <v>15990</v>
      </c>
      <c r="G547" s="71">
        <f>'DHS25'!D544</f>
        <v>8500</v>
      </c>
      <c r="H547" s="106">
        <v>8</v>
      </c>
      <c r="I547" s="72">
        <f>'DHS25'!E544/1000</f>
        <v>8.0690000000000008</v>
      </c>
      <c r="J547" s="109">
        <f>predikcia!R545</f>
        <v>169.94</v>
      </c>
      <c r="K547" s="92">
        <f t="shared" si="8"/>
        <v>1342.2023014000001</v>
      </c>
      <c r="M547" s="112">
        <v>5</v>
      </c>
      <c r="N547" s="111">
        <v>8</v>
      </c>
    </row>
    <row r="548" spans="3:14" ht="13.5" thickBot="1">
      <c r="C548" s="79">
        <f>predikcia!A546</f>
        <v>45680</v>
      </c>
      <c r="D548" s="80" t="str">
        <f>predikcia!B546</f>
        <v>15:00:00</v>
      </c>
      <c r="E548" s="81">
        <f>predikcia!G546</f>
        <v>14881.5</v>
      </c>
      <c r="F548" s="70">
        <f>'DHS25'!C545</f>
        <v>16494</v>
      </c>
      <c r="G548" s="71">
        <f>'DHS25'!D545</f>
        <v>7291</v>
      </c>
      <c r="H548" s="106">
        <v>8</v>
      </c>
      <c r="I548" s="72">
        <f>'DHS25'!E545/1000</f>
        <v>8.06</v>
      </c>
      <c r="J548" s="109">
        <f>predikcia!R546</f>
        <v>201.73</v>
      </c>
      <c r="K548" s="92">
        <f t="shared" si="8"/>
        <v>1594.3703619999999</v>
      </c>
      <c r="M548" s="112">
        <v>5</v>
      </c>
      <c r="N548" s="111">
        <v>8</v>
      </c>
    </row>
    <row r="549" spans="3:14" ht="13.5" thickBot="1">
      <c r="C549" s="79">
        <f>predikcia!A547</f>
        <v>45680</v>
      </c>
      <c r="D549" s="80" t="str">
        <f>predikcia!B547</f>
        <v>16:00:00</v>
      </c>
      <c r="E549" s="81">
        <f>predikcia!G547</f>
        <v>16438.75</v>
      </c>
      <c r="F549" s="70">
        <f>'DHS25'!C546</f>
        <v>16412</v>
      </c>
      <c r="G549" s="71">
        <f>'DHS25'!D546</f>
        <v>7626</v>
      </c>
      <c r="H549" s="106">
        <v>8</v>
      </c>
      <c r="I549" s="72">
        <f>'DHS25'!E546/1000</f>
        <v>8.0820000000000007</v>
      </c>
      <c r="J549" s="109">
        <f>predikcia!R547</f>
        <v>230.51</v>
      </c>
      <c r="K549" s="92">
        <f t="shared" si="8"/>
        <v>1828.9962017999999</v>
      </c>
      <c r="M549" s="112">
        <v>6</v>
      </c>
      <c r="N549" s="111">
        <v>8</v>
      </c>
    </row>
    <row r="550" spans="3:14" ht="13.5" thickBot="1">
      <c r="C550" s="79">
        <f>predikcia!A548</f>
        <v>45680</v>
      </c>
      <c r="D550" s="80" t="str">
        <f>predikcia!B548</f>
        <v>17:00:00</v>
      </c>
      <c r="E550" s="81">
        <f>predikcia!G548</f>
        <v>16131.75</v>
      </c>
      <c r="F550" s="70">
        <f>'DHS25'!C547</f>
        <v>15915</v>
      </c>
      <c r="G550" s="71">
        <f>'DHS25'!D547</f>
        <v>8341</v>
      </c>
      <c r="H550" s="106">
        <v>8</v>
      </c>
      <c r="I550" s="72">
        <f>'DHS25'!E547/1000</f>
        <v>8.0809999999999995</v>
      </c>
      <c r="J550" s="109">
        <f>predikcia!R548</f>
        <v>235.12</v>
      </c>
      <c r="K550" s="92">
        <f t="shared" si="8"/>
        <v>1865.6507727999999</v>
      </c>
      <c r="M550" s="112">
        <v>6</v>
      </c>
      <c r="N550" s="111">
        <v>8</v>
      </c>
    </row>
    <row r="551" spans="3:14" ht="13.5" thickBot="1">
      <c r="C551" s="79">
        <f>predikcia!A549</f>
        <v>45680</v>
      </c>
      <c r="D551" s="80" t="str">
        <f>predikcia!B549</f>
        <v>18:00:00</v>
      </c>
      <c r="E551" s="81">
        <f>predikcia!G549</f>
        <v>16293.5</v>
      </c>
      <c r="F551" s="70">
        <f>'DHS25'!C548</f>
        <v>16300</v>
      </c>
      <c r="G551" s="71">
        <f>'DHS25'!D548</f>
        <v>7864</v>
      </c>
      <c r="H551" s="106">
        <v>8</v>
      </c>
      <c r="I551" s="72">
        <f>'DHS25'!E548/1000</f>
        <v>8.0749999999999993</v>
      </c>
      <c r="J551" s="109">
        <f>predikcia!R549</f>
        <v>234.41</v>
      </c>
      <c r="K551" s="92">
        <f t="shared" si="8"/>
        <v>1858.5896424999999</v>
      </c>
      <c r="M551" s="112">
        <v>6</v>
      </c>
      <c r="N551" s="111">
        <v>8</v>
      </c>
    </row>
    <row r="552" spans="3:14" ht="13.5" thickBot="1">
      <c r="C552" s="79">
        <f>predikcia!A550</f>
        <v>45680</v>
      </c>
      <c r="D552" s="80" t="str">
        <f>predikcia!B550</f>
        <v>19:00:00</v>
      </c>
      <c r="E552" s="81">
        <f>predikcia!G550</f>
        <v>16823</v>
      </c>
      <c r="F552" s="70">
        <f>'DHS25'!C549</f>
        <v>16313</v>
      </c>
      <c r="G552" s="71">
        <f>'DHS25'!D549</f>
        <v>7869</v>
      </c>
      <c r="H552" s="106">
        <v>8</v>
      </c>
      <c r="I552" s="72">
        <f>'DHS25'!E549/1000</f>
        <v>8.0459999999999994</v>
      </c>
      <c r="J552" s="109">
        <f>predikcia!R550</f>
        <v>231.78</v>
      </c>
      <c r="K552" s="92">
        <f t="shared" si="8"/>
        <v>1830.9654611999997</v>
      </c>
      <c r="M552" s="112">
        <v>6</v>
      </c>
      <c r="N552" s="111">
        <v>8</v>
      </c>
    </row>
    <row r="553" spans="3:14" ht="13.5" thickBot="1">
      <c r="C553" s="79">
        <f>predikcia!A551</f>
        <v>45680</v>
      </c>
      <c r="D553" s="80" t="str">
        <f>predikcia!B551</f>
        <v>20:00:00</v>
      </c>
      <c r="E553" s="81">
        <f>predikcia!G551</f>
        <v>17195.25</v>
      </c>
      <c r="F553" s="70">
        <f>'DHS25'!C550</f>
        <v>17066</v>
      </c>
      <c r="G553" s="71">
        <f>'DHS25'!D550</f>
        <v>7821</v>
      </c>
      <c r="H553" s="106">
        <v>8</v>
      </c>
      <c r="I553" s="72">
        <f>'DHS25'!E550/1000</f>
        <v>8.0649999999999995</v>
      </c>
      <c r="J553" s="109">
        <f>predikcia!R551</f>
        <v>244.31</v>
      </c>
      <c r="K553" s="92">
        <f t="shared" si="8"/>
        <v>1935.3330484999997</v>
      </c>
      <c r="M553" s="112">
        <v>6</v>
      </c>
      <c r="N553" s="111">
        <v>8</v>
      </c>
    </row>
    <row r="554" spans="3:14" ht="13.5" thickBot="1">
      <c r="C554" s="79">
        <f>predikcia!A552</f>
        <v>45680</v>
      </c>
      <c r="D554" s="80" t="str">
        <f>predikcia!B552</f>
        <v>21:00:00</v>
      </c>
      <c r="E554" s="81">
        <f>predikcia!G552</f>
        <v>17652</v>
      </c>
      <c r="F554" s="70">
        <f>'DHS25'!C551</f>
        <v>17444</v>
      </c>
      <c r="G554" s="71">
        <f>'DHS25'!D551</f>
        <v>7036</v>
      </c>
      <c r="H554" s="106">
        <v>8</v>
      </c>
      <c r="I554" s="72">
        <f>'DHS25'!E551/1000</f>
        <v>8.0649999999999995</v>
      </c>
      <c r="J554" s="109">
        <f>predikcia!R552</f>
        <v>195.26</v>
      </c>
      <c r="K554" s="92">
        <f t="shared" si="8"/>
        <v>1543.7006809999998</v>
      </c>
      <c r="M554" s="112">
        <v>6</v>
      </c>
      <c r="N554" s="111">
        <v>8</v>
      </c>
    </row>
    <row r="555" spans="3:14" ht="13.5" thickBot="1">
      <c r="C555" s="79">
        <f>predikcia!A553</f>
        <v>45680</v>
      </c>
      <c r="D555" s="80" t="str">
        <f>predikcia!B553</f>
        <v>22:00:00</v>
      </c>
      <c r="E555" s="81">
        <f>predikcia!G553</f>
        <v>15166</v>
      </c>
      <c r="F555" s="70">
        <f>'DHS25'!C552</f>
        <v>13559</v>
      </c>
      <c r="G555" s="71">
        <f>'DHS25'!D552</f>
        <v>4964</v>
      </c>
      <c r="H555" s="106">
        <v>5</v>
      </c>
      <c r="I555" s="72">
        <f>'DHS25'!E552/1000</f>
        <v>6.2140000000000004</v>
      </c>
      <c r="J555" s="109">
        <f>predikcia!R553</f>
        <v>190.51</v>
      </c>
      <c r="K555" s="92">
        <f t="shared" si="8"/>
        <v>1160.1842486</v>
      </c>
      <c r="M555" s="112">
        <v>5</v>
      </c>
      <c r="N555" s="111">
        <v>5</v>
      </c>
    </row>
    <row r="556" spans="3:14" ht="13.5" thickBot="1">
      <c r="C556" s="82">
        <f>predikcia!A554</f>
        <v>45680</v>
      </c>
      <c r="D556" s="83" t="str">
        <f>predikcia!B554</f>
        <v>23:00:00</v>
      </c>
      <c r="E556" s="84">
        <f>predikcia!G554</f>
        <v>8274.75</v>
      </c>
      <c r="F556" s="73">
        <f>'DHS25'!C553</f>
        <v>7619</v>
      </c>
      <c r="G556" s="64">
        <f>'DHS25'!D553</f>
        <v>7386</v>
      </c>
      <c r="H556" s="107">
        <v>4</v>
      </c>
      <c r="I556" s="74">
        <f>'DHS25'!E553/1000</f>
        <v>4.2489999999999997</v>
      </c>
      <c r="J556" s="109">
        <f>predikcia!R554</f>
        <v>153.06</v>
      </c>
      <c r="K556" s="92">
        <f t="shared" si="8"/>
        <v>635.77532059999999</v>
      </c>
      <c r="M556" s="112">
        <v>4</v>
      </c>
      <c r="N556" s="111">
        <v>4</v>
      </c>
    </row>
    <row r="557" spans="3:14" ht="13.5" thickBot="1">
      <c r="C557" s="85">
        <f>predikcia!A555</f>
        <v>45681</v>
      </c>
      <c r="D557" s="86" t="str">
        <f>predikcia!B555</f>
        <v>00:00:00</v>
      </c>
      <c r="E557" s="78">
        <f>predikcia!G555</f>
        <v>7274</v>
      </c>
      <c r="F557" s="68">
        <f>'DHS25'!C554</f>
        <v>7614</v>
      </c>
      <c r="G557" s="63">
        <f>'DHS25'!D554</f>
        <v>5127</v>
      </c>
      <c r="H557" s="105">
        <v>3</v>
      </c>
      <c r="I557" s="69">
        <f>'DHS25'!E554/1000</f>
        <v>3.1640000000000001</v>
      </c>
      <c r="J557" s="109">
        <f>predikcia!R555</f>
        <v>133.86000000000001</v>
      </c>
      <c r="K557" s="92">
        <f t="shared" si="8"/>
        <v>413.28610959999997</v>
      </c>
      <c r="M557" s="112">
        <v>3</v>
      </c>
      <c r="N557" s="111">
        <v>3</v>
      </c>
    </row>
    <row r="558" spans="3:14" ht="13.5" thickBot="1">
      <c r="C558" s="87">
        <f>predikcia!A556</f>
        <v>45681</v>
      </c>
      <c r="D558" s="88" t="str">
        <f>predikcia!B556</f>
        <v>01:00:00</v>
      </c>
      <c r="E558" s="81">
        <f>predikcia!G556</f>
        <v>8696.5</v>
      </c>
      <c r="F558" s="70">
        <f>'DHS25'!C555</f>
        <v>9346</v>
      </c>
      <c r="G558" s="71">
        <f>'DHS25'!D555</f>
        <v>3851</v>
      </c>
      <c r="H558" s="106">
        <v>4</v>
      </c>
      <c r="I558" s="72">
        <f>'DHS25'!E555/1000</f>
        <v>3.8250000000000002</v>
      </c>
      <c r="J558" s="109">
        <f>predikcia!R556</f>
        <v>115.83</v>
      </c>
      <c r="K558" s="92">
        <f t="shared" si="8"/>
        <v>431.35175249999998</v>
      </c>
      <c r="M558" s="112">
        <v>4</v>
      </c>
      <c r="N558" s="111">
        <v>4</v>
      </c>
    </row>
    <row r="559" spans="3:14" ht="13.5" thickBot="1">
      <c r="C559" s="87">
        <f>predikcia!A557</f>
        <v>45681</v>
      </c>
      <c r="D559" s="88" t="str">
        <f>predikcia!B557</f>
        <v>02:00:00</v>
      </c>
      <c r="E559" s="81">
        <f>predikcia!G557</f>
        <v>9155</v>
      </c>
      <c r="F559" s="70">
        <f>'DHS25'!C556</f>
        <v>9360</v>
      </c>
      <c r="G559" s="71">
        <f>'DHS25'!D556</f>
        <v>4571</v>
      </c>
      <c r="H559" s="106">
        <v>4</v>
      </c>
      <c r="I559" s="72">
        <f>'DHS25'!E556/1000</f>
        <v>4.0609999999999999</v>
      </c>
      <c r="J559" s="109">
        <f>predikcia!R557</f>
        <v>108.36</v>
      </c>
      <c r="K559" s="92">
        <f t="shared" si="8"/>
        <v>427.93356039999998</v>
      </c>
      <c r="M559" s="112">
        <v>4</v>
      </c>
      <c r="N559" s="111">
        <v>4</v>
      </c>
    </row>
    <row r="560" spans="3:14" ht="13.5" thickBot="1">
      <c r="C560" s="87">
        <f>predikcia!A558</f>
        <v>45681</v>
      </c>
      <c r="D560" s="88" t="str">
        <f>predikcia!B558</f>
        <v>03:00:00</v>
      </c>
      <c r="E560" s="81">
        <f>predikcia!G558</f>
        <v>9736</v>
      </c>
      <c r="F560" s="70">
        <f>'DHS25'!C557</f>
        <v>11077</v>
      </c>
      <c r="G560" s="71">
        <f>'DHS25'!D557</f>
        <v>2377</v>
      </c>
      <c r="H560" s="106">
        <v>4</v>
      </c>
      <c r="I560" s="72">
        <f>'DHS25'!E557/1000</f>
        <v>4.069</v>
      </c>
      <c r="J560" s="109">
        <f>predikcia!R558</f>
        <v>107.16</v>
      </c>
      <c r="K560" s="92">
        <f t="shared" si="8"/>
        <v>423.94259959999994</v>
      </c>
      <c r="M560" s="112">
        <v>4</v>
      </c>
      <c r="N560" s="111">
        <v>4</v>
      </c>
    </row>
    <row r="561" spans="3:14" ht="13.5" thickBot="1">
      <c r="C561" s="87">
        <f>predikcia!A559</f>
        <v>45681</v>
      </c>
      <c r="D561" s="88" t="str">
        <f>predikcia!B559</f>
        <v>04:00:00</v>
      </c>
      <c r="E561" s="81">
        <f>predikcia!G559</f>
        <v>15605.5</v>
      </c>
      <c r="F561" s="70">
        <f>'DHS25'!C558</f>
        <v>16683</v>
      </c>
      <c r="G561" s="71">
        <f>'DHS25'!D558</f>
        <v>70</v>
      </c>
      <c r="H561" s="106">
        <v>5</v>
      </c>
      <c r="I561" s="72">
        <f>'DHS25'!E558/1000</f>
        <v>5.0789999999999997</v>
      </c>
      <c r="J561" s="109">
        <f>predikcia!R559</f>
        <v>113.49</v>
      </c>
      <c r="K561" s="92">
        <f t="shared" si="8"/>
        <v>561.00145289999989</v>
      </c>
      <c r="M561" s="112">
        <v>5</v>
      </c>
      <c r="N561" s="111">
        <v>5</v>
      </c>
    </row>
    <row r="562" spans="3:14" ht="13.5" thickBot="1">
      <c r="C562" s="87">
        <f>predikcia!A560</f>
        <v>45681</v>
      </c>
      <c r="D562" s="88" t="str">
        <f>predikcia!B560</f>
        <v>05:00:00</v>
      </c>
      <c r="E562" s="81">
        <f>predikcia!G560</f>
        <v>18495.25</v>
      </c>
      <c r="F562" s="70">
        <f>'DHS25'!C559</f>
        <v>21981</v>
      </c>
      <c r="G562" s="71">
        <f>'DHS25'!D559</f>
        <v>68</v>
      </c>
      <c r="H562" s="106">
        <v>8</v>
      </c>
      <c r="I562" s="72">
        <f>'DHS25'!E559/1000</f>
        <v>7.5970000000000004</v>
      </c>
      <c r="J562" s="109">
        <f>predikcia!R560</f>
        <v>148.97999999999999</v>
      </c>
      <c r="K562" s="92">
        <f t="shared" si="8"/>
        <v>1106.0487493999999</v>
      </c>
      <c r="M562" s="112">
        <v>6</v>
      </c>
      <c r="N562" s="111">
        <v>8</v>
      </c>
    </row>
    <row r="563" spans="3:14" ht="13.5" thickBot="1">
      <c r="C563" s="87">
        <f>predikcia!A561</f>
        <v>45681</v>
      </c>
      <c r="D563" s="88" t="str">
        <f>predikcia!B561</f>
        <v>06:00:00</v>
      </c>
      <c r="E563" s="81">
        <f>predikcia!G561</f>
        <v>18774</v>
      </c>
      <c r="F563" s="70">
        <f>'DHS25'!C560</f>
        <v>24011</v>
      </c>
      <c r="G563" s="71">
        <f>'DHS25'!D560</f>
        <v>1570</v>
      </c>
      <c r="H563" s="106">
        <v>8</v>
      </c>
      <c r="I563" s="72">
        <f>'DHS25'!E560/1000</f>
        <v>8.032</v>
      </c>
      <c r="J563" s="109">
        <f>predikcia!R561</f>
        <v>199.58</v>
      </c>
      <c r="K563" s="92">
        <f t="shared" si="8"/>
        <v>1571.7354944000001</v>
      </c>
      <c r="M563" s="112">
        <v>6</v>
      </c>
      <c r="N563" s="111">
        <v>8</v>
      </c>
    </row>
    <row r="564" spans="3:14" ht="13.5" thickBot="1">
      <c r="C564" s="87">
        <f>predikcia!A562</f>
        <v>45681</v>
      </c>
      <c r="D564" s="88" t="str">
        <f>predikcia!B562</f>
        <v>07:00:00</v>
      </c>
      <c r="E564" s="81">
        <f>predikcia!G562</f>
        <v>16014</v>
      </c>
      <c r="F564" s="70">
        <f>'DHS25'!C561</f>
        <v>18067</v>
      </c>
      <c r="G564" s="71">
        <f>'DHS25'!D561</f>
        <v>6293</v>
      </c>
      <c r="H564" s="106">
        <v>8</v>
      </c>
      <c r="I564" s="72">
        <f>'DHS25'!E561/1000</f>
        <v>7.8140000000000001</v>
      </c>
      <c r="J564" s="109">
        <f>predikcia!R562</f>
        <v>217.1</v>
      </c>
      <c r="K564" s="92">
        <f t="shared" si="8"/>
        <v>1664.608606</v>
      </c>
      <c r="M564" s="112">
        <v>6</v>
      </c>
      <c r="N564" s="111">
        <v>8</v>
      </c>
    </row>
    <row r="565" spans="3:14" ht="13.5" thickBot="1">
      <c r="C565" s="87">
        <f>predikcia!A563</f>
        <v>45681</v>
      </c>
      <c r="D565" s="88" t="str">
        <f>predikcia!B563</f>
        <v>08:00:00</v>
      </c>
      <c r="E565" s="81">
        <f>predikcia!G563</f>
        <v>16825.5</v>
      </c>
      <c r="F565" s="70">
        <f>'DHS25'!C562</f>
        <v>16577</v>
      </c>
      <c r="G565" s="71">
        <f>'DHS25'!D562</f>
        <v>7734</v>
      </c>
      <c r="H565" s="106">
        <v>8</v>
      </c>
      <c r="I565" s="72">
        <f>'DHS25'!E562/1000</f>
        <v>8.0410000000000004</v>
      </c>
      <c r="J565" s="109">
        <f>predikcia!R563</f>
        <v>178.84</v>
      </c>
      <c r="K565" s="92">
        <f t="shared" si="8"/>
        <v>1408.3940156000001</v>
      </c>
      <c r="M565" s="112">
        <v>6</v>
      </c>
      <c r="N565" s="111">
        <v>8</v>
      </c>
    </row>
    <row r="566" spans="3:14" ht="13.5" thickBot="1">
      <c r="C566" s="87">
        <f>predikcia!A564</f>
        <v>45681</v>
      </c>
      <c r="D566" s="88" t="str">
        <f>predikcia!B564</f>
        <v>09:00:00</v>
      </c>
      <c r="E566" s="81">
        <f>predikcia!G564</f>
        <v>17164.5</v>
      </c>
      <c r="F566" s="70">
        <f>'DHS25'!C563</f>
        <v>17472</v>
      </c>
      <c r="G566" s="71">
        <f>'DHS25'!D563</f>
        <v>6882</v>
      </c>
      <c r="H566" s="106">
        <v>8</v>
      </c>
      <c r="I566" s="72">
        <f>'DHS25'!E563/1000</f>
        <v>8.0730000000000004</v>
      </c>
      <c r="J566" s="109">
        <f>predikcia!R564</f>
        <v>155</v>
      </c>
      <c r="K566" s="92">
        <f t="shared" si="8"/>
        <v>1223.4631499999998</v>
      </c>
      <c r="M566" s="112">
        <v>6</v>
      </c>
      <c r="N566" s="111">
        <v>8</v>
      </c>
    </row>
    <row r="567" spans="3:14" ht="13.5" thickBot="1">
      <c r="C567" s="87">
        <f>predikcia!A565</f>
        <v>45681</v>
      </c>
      <c r="D567" s="88" t="str">
        <f>predikcia!B565</f>
        <v>10:00:00</v>
      </c>
      <c r="E567" s="81">
        <f>predikcia!G565</f>
        <v>16493.5</v>
      </c>
      <c r="F567" s="70">
        <f>'DHS25'!C564</f>
        <v>15959</v>
      </c>
      <c r="G567" s="71">
        <f>'DHS25'!D564</f>
        <v>7997</v>
      </c>
      <c r="H567" s="106">
        <v>8</v>
      </c>
      <c r="I567" s="72">
        <f>'DHS25'!E564/1000</f>
        <v>8.0739999999999998</v>
      </c>
      <c r="J567" s="109">
        <f>predikcia!R565</f>
        <v>145.29</v>
      </c>
      <c r="K567" s="92">
        <f t="shared" si="8"/>
        <v>1146.0001453999998</v>
      </c>
      <c r="M567" s="112">
        <v>6</v>
      </c>
      <c r="N567" s="111">
        <v>8</v>
      </c>
    </row>
    <row r="568" spans="3:14" ht="13.5" thickBot="1">
      <c r="C568" s="87">
        <f>predikcia!A566</f>
        <v>45681</v>
      </c>
      <c r="D568" s="88" t="str">
        <f>predikcia!B566</f>
        <v>11:00:00</v>
      </c>
      <c r="E568" s="81">
        <f>predikcia!G566</f>
        <v>15641.75</v>
      </c>
      <c r="F568" s="70">
        <f>'DHS25'!C565</f>
        <v>15075</v>
      </c>
      <c r="G568" s="71">
        <f>'DHS25'!D565</f>
        <v>9207</v>
      </c>
      <c r="H568" s="106">
        <v>8</v>
      </c>
      <c r="I568" s="72">
        <f>'DHS25'!E565/1000</f>
        <v>8.0619999999999994</v>
      </c>
      <c r="J568" s="109">
        <f>predikcia!R566</f>
        <v>133.87</v>
      </c>
      <c r="K568" s="92">
        <f t="shared" si="8"/>
        <v>1053.1495405999999</v>
      </c>
      <c r="M568" s="112">
        <v>5</v>
      </c>
      <c r="N568" s="111">
        <v>8</v>
      </c>
    </row>
    <row r="569" spans="3:14" ht="13.5" thickBot="1">
      <c r="C569" s="87">
        <f>predikcia!A567</f>
        <v>45681</v>
      </c>
      <c r="D569" s="88" t="str">
        <f>predikcia!B567</f>
        <v>12:00:00</v>
      </c>
      <c r="E569" s="81">
        <f>predikcia!G567</f>
        <v>15711</v>
      </c>
      <c r="F569" s="70">
        <f>'DHS25'!C566</f>
        <v>15659</v>
      </c>
      <c r="G569" s="71">
        <f>'DHS25'!D566</f>
        <v>8020</v>
      </c>
      <c r="H569" s="106">
        <v>8</v>
      </c>
      <c r="I569" s="72">
        <f>'DHS25'!E566/1000</f>
        <v>7.9420000000000002</v>
      </c>
      <c r="J569" s="109">
        <f>predikcia!R567</f>
        <v>134.53</v>
      </c>
      <c r="K569" s="92">
        <f t="shared" si="8"/>
        <v>1042.6630874</v>
      </c>
      <c r="M569" s="112">
        <v>5</v>
      </c>
      <c r="N569" s="111">
        <v>8</v>
      </c>
    </row>
    <row r="570" spans="3:14" ht="13.5" thickBot="1">
      <c r="C570" s="87">
        <f>predikcia!A568</f>
        <v>45681</v>
      </c>
      <c r="D570" s="88" t="str">
        <f>predikcia!B568</f>
        <v>13:00:00</v>
      </c>
      <c r="E570" s="81">
        <f>predikcia!G568</f>
        <v>15768.5</v>
      </c>
      <c r="F570" s="70">
        <f>'DHS25'!C567</f>
        <v>15631</v>
      </c>
      <c r="G570" s="71">
        <f>'DHS25'!D567</f>
        <v>8839</v>
      </c>
      <c r="H570" s="106">
        <v>7.8</v>
      </c>
      <c r="I570" s="72">
        <f>'DHS25'!E567/1000</f>
        <v>8.048</v>
      </c>
      <c r="J570" s="109">
        <f>predikcia!R568</f>
        <v>132.16999999999999</v>
      </c>
      <c r="K570" s="92">
        <f t="shared" si="8"/>
        <v>1037.7759183999999</v>
      </c>
      <c r="M570" s="112">
        <v>5</v>
      </c>
      <c r="N570" s="111">
        <v>7.8</v>
      </c>
    </row>
    <row r="571" spans="3:14" ht="13.5" thickBot="1">
      <c r="C571" s="87">
        <f>predikcia!A569</f>
        <v>45681</v>
      </c>
      <c r="D571" s="88" t="str">
        <f>predikcia!B569</f>
        <v>14:00:00</v>
      </c>
      <c r="E571" s="81">
        <f>predikcia!G569</f>
        <v>15462.25</v>
      </c>
      <c r="F571" s="70">
        <f>'DHS25'!C568</f>
        <v>15107</v>
      </c>
      <c r="G571" s="71">
        <f>'DHS25'!D568</f>
        <v>9340</v>
      </c>
      <c r="H571" s="106">
        <v>8</v>
      </c>
      <c r="I571" s="72">
        <f>'DHS25'!E568/1000</f>
        <v>8.0719999999999992</v>
      </c>
      <c r="J571" s="109">
        <f>predikcia!R569</f>
        <v>136.18</v>
      </c>
      <c r="K571" s="92">
        <f t="shared" si="8"/>
        <v>1072.9157104000001</v>
      </c>
      <c r="M571" s="112">
        <v>5</v>
      </c>
      <c r="N571" s="111">
        <v>8</v>
      </c>
    </row>
    <row r="572" spans="3:14" ht="13.5" thickBot="1">
      <c r="C572" s="87">
        <f>predikcia!A570</f>
        <v>45681</v>
      </c>
      <c r="D572" s="88" t="str">
        <f>predikcia!B570</f>
        <v>15:00:00</v>
      </c>
      <c r="E572" s="81">
        <f>predikcia!G570</f>
        <v>15912.5</v>
      </c>
      <c r="F572" s="70">
        <f>'DHS25'!C569</f>
        <v>13772</v>
      </c>
      <c r="G572" s="71">
        <f>'DHS25'!D569</f>
        <v>10398</v>
      </c>
      <c r="H572" s="106">
        <v>8</v>
      </c>
      <c r="I572" s="72">
        <f>'DHS25'!E569/1000</f>
        <v>8.0609999999999999</v>
      </c>
      <c r="J572" s="109">
        <f>predikcia!R570</f>
        <v>175.26</v>
      </c>
      <c r="K572" s="92">
        <f t="shared" si="8"/>
        <v>1383.3272513999998</v>
      </c>
      <c r="M572" s="112">
        <v>5</v>
      </c>
      <c r="N572" s="111">
        <v>8</v>
      </c>
    </row>
    <row r="573" spans="3:14" ht="13.5" thickBot="1">
      <c r="C573" s="87">
        <f>predikcia!A571</f>
        <v>45681</v>
      </c>
      <c r="D573" s="88" t="str">
        <f>predikcia!B571</f>
        <v>16:00:00</v>
      </c>
      <c r="E573" s="81">
        <f>predikcia!G571</f>
        <v>16660.75</v>
      </c>
      <c r="F573" s="70">
        <f>'DHS25'!C570</f>
        <v>15234</v>
      </c>
      <c r="G573" s="71">
        <f>'DHS25'!D570</f>
        <v>9389</v>
      </c>
      <c r="H573" s="106">
        <v>8</v>
      </c>
      <c r="I573" s="72">
        <f>'DHS25'!E570/1000</f>
        <v>8.0719999999999992</v>
      </c>
      <c r="J573" s="109">
        <f>predikcia!R571</f>
        <v>243.35</v>
      </c>
      <c r="K573" s="92">
        <f t="shared" si="8"/>
        <v>1929.3411879999996</v>
      </c>
      <c r="M573" s="112">
        <v>6</v>
      </c>
      <c r="N573" s="111">
        <v>8</v>
      </c>
    </row>
    <row r="574" spans="3:14" ht="13.5" thickBot="1">
      <c r="C574" s="87">
        <f>predikcia!A572</f>
        <v>45681</v>
      </c>
      <c r="D574" s="88" t="str">
        <f>predikcia!B572</f>
        <v>17:00:00</v>
      </c>
      <c r="E574" s="81">
        <f>predikcia!G572</f>
        <v>16566.25</v>
      </c>
      <c r="F574" s="70">
        <f>'DHS25'!C571</f>
        <v>16949</v>
      </c>
      <c r="G574" s="71">
        <f>'DHS25'!D571</f>
        <v>6476</v>
      </c>
      <c r="H574" s="106">
        <v>8</v>
      </c>
      <c r="I574" s="72">
        <f>'DHS25'!E571/1000</f>
        <v>8.048</v>
      </c>
      <c r="J574" s="109">
        <f>predikcia!R572</f>
        <v>227.72</v>
      </c>
      <c r="K574" s="92">
        <f t="shared" si="8"/>
        <v>1799.0724544</v>
      </c>
      <c r="M574" s="112">
        <v>6</v>
      </c>
      <c r="N574" s="111">
        <v>8</v>
      </c>
    </row>
    <row r="575" spans="3:14" ht="13.5" thickBot="1">
      <c r="C575" s="87">
        <f>predikcia!A573</f>
        <v>45681</v>
      </c>
      <c r="D575" s="88" t="str">
        <f>predikcia!B573</f>
        <v>18:00:00</v>
      </c>
      <c r="E575" s="81">
        <f>predikcia!G573</f>
        <v>16421.75</v>
      </c>
      <c r="F575" s="70">
        <f>'DHS25'!C572</f>
        <v>16977</v>
      </c>
      <c r="G575" s="71">
        <f>'DHS25'!D572</f>
        <v>6866</v>
      </c>
      <c r="H575" s="106">
        <v>8</v>
      </c>
      <c r="I575" s="72">
        <f>'DHS25'!E572/1000</f>
        <v>8.048</v>
      </c>
      <c r="J575" s="109">
        <f>predikcia!R573</f>
        <v>224.02</v>
      </c>
      <c r="K575" s="92">
        <f t="shared" si="8"/>
        <v>1769.5926304</v>
      </c>
      <c r="M575" s="112">
        <v>6</v>
      </c>
      <c r="N575" s="111">
        <v>8</v>
      </c>
    </row>
    <row r="576" spans="3:14" ht="13.5" thickBot="1">
      <c r="C576" s="87">
        <f>predikcia!A574</f>
        <v>45681</v>
      </c>
      <c r="D576" s="88" t="str">
        <f>predikcia!B574</f>
        <v>19:00:00</v>
      </c>
      <c r="E576" s="81">
        <f>predikcia!G574</f>
        <v>17535.25</v>
      </c>
      <c r="F576" s="70">
        <f>'DHS25'!C573</f>
        <v>16164</v>
      </c>
      <c r="G576" s="71">
        <f>'DHS25'!D573</f>
        <v>7378</v>
      </c>
      <c r="H576" s="106">
        <v>8</v>
      </c>
      <c r="I576" s="72">
        <f>'DHS25'!E573/1000</f>
        <v>8.0619999999999994</v>
      </c>
      <c r="J576" s="109">
        <f>predikcia!R574</f>
        <v>232.56</v>
      </c>
      <c r="K576" s="92">
        <f t="shared" si="8"/>
        <v>1840.8319327999998</v>
      </c>
      <c r="M576" s="112">
        <v>6</v>
      </c>
      <c r="N576" s="111">
        <v>8</v>
      </c>
    </row>
    <row r="577" spans="3:14" ht="13.5" thickBot="1">
      <c r="C577" s="87">
        <f>predikcia!A575</f>
        <v>45681</v>
      </c>
      <c r="D577" s="88" t="str">
        <f>predikcia!B575</f>
        <v>20:00:00</v>
      </c>
      <c r="E577" s="81">
        <f>predikcia!G575</f>
        <v>17472.5</v>
      </c>
      <c r="F577" s="70">
        <f>'DHS25'!C574</f>
        <v>16102</v>
      </c>
      <c r="G577" s="71">
        <f>'DHS25'!D574</f>
        <v>7422</v>
      </c>
      <c r="H577" s="106">
        <v>8</v>
      </c>
      <c r="I577" s="72">
        <f>'DHS25'!E574/1000</f>
        <v>8.0340000000000007</v>
      </c>
      <c r="J577" s="109">
        <f>predikcia!R575</f>
        <v>224.99</v>
      </c>
      <c r="K577" s="92">
        <f t="shared" si="8"/>
        <v>1774.2293634000002</v>
      </c>
      <c r="M577" s="112">
        <v>6</v>
      </c>
      <c r="N577" s="111">
        <v>8</v>
      </c>
    </row>
    <row r="578" spans="3:14" ht="13.5" thickBot="1">
      <c r="C578" s="87">
        <f>predikcia!A576</f>
        <v>45681</v>
      </c>
      <c r="D578" s="88" t="str">
        <f>predikcia!B576</f>
        <v>21:00:00</v>
      </c>
      <c r="E578" s="81">
        <f>predikcia!G576</f>
        <v>17258.5</v>
      </c>
      <c r="F578" s="70">
        <f>'DHS25'!C575</f>
        <v>16598</v>
      </c>
      <c r="G578" s="71">
        <f>'DHS25'!D575</f>
        <v>7519</v>
      </c>
      <c r="H578" s="106">
        <v>8</v>
      </c>
      <c r="I578" s="72">
        <f>'DHS25'!E575/1000</f>
        <v>8.0609999999999999</v>
      </c>
      <c r="J578" s="109">
        <f>predikcia!R576</f>
        <v>212.1</v>
      </c>
      <c r="K578" s="92">
        <f t="shared" si="8"/>
        <v>1677.3248189999999</v>
      </c>
      <c r="M578" s="112">
        <v>6</v>
      </c>
      <c r="N578" s="111">
        <v>8</v>
      </c>
    </row>
    <row r="579" spans="3:14" ht="13.5" thickBot="1">
      <c r="C579" s="87">
        <f>predikcia!A577</f>
        <v>45681</v>
      </c>
      <c r="D579" s="88" t="str">
        <f>predikcia!B577</f>
        <v>22:00:00</v>
      </c>
      <c r="E579" s="81">
        <f>predikcia!G577</f>
        <v>15308.25</v>
      </c>
      <c r="F579" s="70">
        <f>'DHS25'!C576</f>
        <v>15257</v>
      </c>
      <c r="G579" s="71">
        <f>'DHS25'!D576</f>
        <v>4942</v>
      </c>
      <c r="H579" s="106">
        <v>5</v>
      </c>
      <c r="I579" s="72">
        <f>'DHS25'!E576/1000</f>
        <v>6.4790000000000001</v>
      </c>
      <c r="J579" s="109">
        <f>predikcia!R577</f>
        <v>161.13</v>
      </c>
      <c r="K579" s="92">
        <f t="shared" si="8"/>
        <v>1021.2115573</v>
      </c>
      <c r="M579" s="112">
        <v>5</v>
      </c>
      <c r="N579" s="111">
        <v>5</v>
      </c>
    </row>
    <row r="580" spans="3:14" ht="13.5" thickBot="1">
      <c r="C580" s="89">
        <f>predikcia!A578</f>
        <v>45681</v>
      </c>
      <c r="D580" s="90" t="str">
        <f>predikcia!B578</f>
        <v>23:00:00</v>
      </c>
      <c r="E580" s="84">
        <f>predikcia!G578</f>
        <v>7917</v>
      </c>
      <c r="F580" s="73">
        <f>'DHS25'!C577</f>
        <v>7083</v>
      </c>
      <c r="G580" s="64">
        <f>'DHS25'!D577</f>
        <v>4201</v>
      </c>
      <c r="H580" s="107">
        <v>3</v>
      </c>
      <c r="I580" s="74">
        <f>'DHS25'!E577/1000</f>
        <v>4.0019999999999998</v>
      </c>
      <c r="J580" s="109">
        <f>predikcia!R578</f>
        <v>125.82</v>
      </c>
      <c r="K580" s="92">
        <f t="shared" si="8"/>
        <v>490.89252359999989</v>
      </c>
      <c r="M580" s="112">
        <v>3</v>
      </c>
      <c r="N580" s="111">
        <v>3</v>
      </c>
    </row>
    <row r="581" spans="3:14" ht="13.5" thickBot="1">
      <c r="C581" s="76">
        <f>predikcia!A579</f>
        <v>45682</v>
      </c>
      <c r="D581" s="77" t="str">
        <f>predikcia!B579</f>
        <v>00:00:00</v>
      </c>
      <c r="E581" s="78">
        <f>predikcia!G579</f>
        <v>8585.25</v>
      </c>
      <c r="F581" s="68">
        <f>'DHS25'!C578</f>
        <v>7270</v>
      </c>
      <c r="G581" s="63">
        <f>'DHS25'!D578</f>
        <v>6192</v>
      </c>
      <c r="H581" s="105">
        <v>4</v>
      </c>
      <c r="I581" s="69">
        <f>'DHS25'!E578/1000</f>
        <v>3.96</v>
      </c>
      <c r="J581" s="109">
        <f>predikcia!R579</f>
        <v>129.34</v>
      </c>
      <c r="K581" s="92">
        <f t="shared" si="8"/>
        <v>499.54053600000003</v>
      </c>
      <c r="M581" s="112">
        <v>4</v>
      </c>
      <c r="N581" s="111">
        <v>4</v>
      </c>
    </row>
    <row r="582" spans="3:14" ht="13.5" thickBot="1">
      <c r="C582" s="79">
        <f>predikcia!A580</f>
        <v>45682</v>
      </c>
      <c r="D582" s="80" t="str">
        <f>predikcia!B580</f>
        <v>01:00:00</v>
      </c>
      <c r="E582" s="81">
        <f>predikcia!G580</f>
        <v>9158.75</v>
      </c>
      <c r="F582" s="70">
        <f>'DHS25'!C579</f>
        <v>7632</v>
      </c>
      <c r="G582" s="71">
        <f>'DHS25'!D579</f>
        <v>5603</v>
      </c>
      <c r="H582" s="106">
        <v>4</v>
      </c>
      <c r="I582" s="72">
        <f>'DHS25'!E579/1000</f>
        <v>4.024</v>
      </c>
      <c r="J582" s="109">
        <f>predikcia!R580</f>
        <v>111.34</v>
      </c>
      <c r="K582" s="92">
        <f t="shared" ref="K582:K645" si="9">(J582*0.99-1.9)*I582</f>
        <v>435.90623840000001</v>
      </c>
      <c r="M582" s="112">
        <v>4</v>
      </c>
      <c r="N582" s="111">
        <v>4</v>
      </c>
    </row>
    <row r="583" spans="3:14" ht="13.5" thickBot="1">
      <c r="C583" s="79">
        <f>predikcia!A581</f>
        <v>45682</v>
      </c>
      <c r="D583" s="80" t="str">
        <f>predikcia!B581</f>
        <v>02:00:00</v>
      </c>
      <c r="E583" s="81">
        <f>predikcia!G581</f>
        <v>9896.25</v>
      </c>
      <c r="F583" s="70">
        <f>'DHS25'!C580</f>
        <v>9571</v>
      </c>
      <c r="G583" s="71">
        <f>'DHS25'!D580</f>
        <v>4332</v>
      </c>
      <c r="H583" s="106">
        <v>4</v>
      </c>
      <c r="I583" s="72">
        <f>'DHS25'!E580/1000</f>
        <v>4.077</v>
      </c>
      <c r="J583" s="109">
        <f>predikcia!R581</f>
        <v>87.09</v>
      </c>
      <c r="K583" s="92">
        <f t="shared" si="9"/>
        <v>343.76897069999995</v>
      </c>
      <c r="M583" s="112">
        <v>4</v>
      </c>
      <c r="N583" s="111">
        <v>4</v>
      </c>
    </row>
    <row r="584" spans="3:14" ht="13.5" thickBot="1">
      <c r="C584" s="79">
        <f>predikcia!A582</f>
        <v>45682</v>
      </c>
      <c r="D584" s="80" t="str">
        <f>predikcia!B582</f>
        <v>03:00:00</v>
      </c>
      <c r="E584" s="81">
        <f>predikcia!G582</f>
        <v>11528.25</v>
      </c>
      <c r="F584" s="70">
        <f>'DHS25'!C581</f>
        <v>10859</v>
      </c>
      <c r="G584" s="71">
        <f>'DHS25'!D581</f>
        <v>2744</v>
      </c>
      <c r="H584" s="106">
        <v>4</v>
      </c>
      <c r="I584" s="72">
        <f>'DHS25'!E581/1000</f>
        <v>4.0670000000000002</v>
      </c>
      <c r="J584" s="109">
        <f>predikcia!R582</f>
        <v>84.36</v>
      </c>
      <c r="K584" s="92">
        <f t="shared" si="9"/>
        <v>331.93389880000001</v>
      </c>
      <c r="M584" s="112">
        <v>4</v>
      </c>
      <c r="N584" s="111">
        <v>4</v>
      </c>
    </row>
    <row r="585" spans="3:14" ht="13.5" thickBot="1">
      <c r="C585" s="79">
        <f>predikcia!A583</f>
        <v>45682</v>
      </c>
      <c r="D585" s="80" t="str">
        <f>predikcia!B583</f>
        <v>04:00:00</v>
      </c>
      <c r="E585" s="81">
        <f>predikcia!G583</f>
        <v>19363</v>
      </c>
      <c r="F585" s="70">
        <f>'DHS25'!C582</f>
        <v>17475</v>
      </c>
      <c r="G585" s="71">
        <f>'DHS25'!D582</f>
        <v>73</v>
      </c>
      <c r="H585" s="106">
        <v>6</v>
      </c>
      <c r="I585" s="72">
        <f>'DHS25'!E582/1000</f>
        <v>5.99</v>
      </c>
      <c r="J585" s="109">
        <f>predikcia!R583</f>
        <v>86.89</v>
      </c>
      <c r="K585" s="92">
        <f t="shared" si="9"/>
        <v>503.88538900000003</v>
      </c>
      <c r="M585" s="112">
        <v>6</v>
      </c>
      <c r="N585" s="111">
        <v>6</v>
      </c>
    </row>
    <row r="586" spans="3:14" ht="13.5" thickBot="1">
      <c r="C586" s="79">
        <f>predikcia!A584</f>
        <v>45682</v>
      </c>
      <c r="D586" s="80" t="str">
        <f>predikcia!B584</f>
        <v>05:00:00</v>
      </c>
      <c r="E586" s="81">
        <f>predikcia!G584</f>
        <v>17374.75</v>
      </c>
      <c r="F586" s="70">
        <f>'DHS25'!C583</f>
        <v>19083</v>
      </c>
      <c r="G586" s="71">
        <f>'DHS25'!D583</f>
        <v>147</v>
      </c>
      <c r="H586" s="106">
        <v>6</v>
      </c>
      <c r="I586" s="72">
        <f>'DHS25'!E583/1000</f>
        <v>6.0579999999999998</v>
      </c>
      <c r="J586" s="109">
        <f>predikcia!R584</f>
        <v>93.94</v>
      </c>
      <c r="K586" s="92">
        <f t="shared" si="9"/>
        <v>551.88743479999994</v>
      </c>
      <c r="M586" s="112">
        <v>6</v>
      </c>
      <c r="N586" s="111">
        <v>6</v>
      </c>
    </row>
    <row r="587" spans="3:14" ht="13.5" thickBot="1">
      <c r="C587" s="79">
        <f>predikcia!A585</f>
        <v>45682</v>
      </c>
      <c r="D587" s="80" t="str">
        <f>predikcia!B585</f>
        <v>06:00:00</v>
      </c>
      <c r="E587" s="81">
        <f>predikcia!G585</f>
        <v>19671.5</v>
      </c>
      <c r="F587" s="70">
        <f>'DHS25'!C584</f>
        <v>18921</v>
      </c>
      <c r="G587" s="71">
        <f>'DHS25'!D584</f>
        <v>96</v>
      </c>
      <c r="H587" s="106">
        <v>6</v>
      </c>
      <c r="I587" s="72">
        <f>'DHS25'!E584/1000</f>
        <v>6.0659999999999998</v>
      </c>
      <c r="J587" s="109">
        <f>predikcia!R585</f>
        <v>120.43</v>
      </c>
      <c r="K587" s="92">
        <f t="shared" si="9"/>
        <v>711.6976962</v>
      </c>
      <c r="M587" s="112">
        <v>6</v>
      </c>
      <c r="N587" s="111">
        <v>6</v>
      </c>
    </row>
    <row r="588" spans="3:14" ht="13.5" thickBot="1">
      <c r="C588" s="79">
        <f>predikcia!A586</f>
        <v>45682</v>
      </c>
      <c r="D588" s="80" t="str">
        <f>predikcia!B586</f>
        <v>07:00:00</v>
      </c>
      <c r="E588" s="81">
        <f>predikcia!G586</f>
        <v>17709.75</v>
      </c>
      <c r="F588" s="70">
        <f>'DHS25'!C585</f>
        <v>14382</v>
      </c>
      <c r="G588" s="71">
        <f>'DHS25'!D585</f>
        <v>4424</v>
      </c>
      <c r="H588" s="106">
        <v>6</v>
      </c>
      <c r="I588" s="72">
        <f>'DHS25'!E585/1000</f>
        <v>6.0609999999999999</v>
      </c>
      <c r="J588" s="109">
        <f>predikcia!R586</f>
        <v>128.25</v>
      </c>
      <c r="K588" s="92">
        <f t="shared" si="9"/>
        <v>758.03411749999998</v>
      </c>
      <c r="M588" s="112">
        <v>6</v>
      </c>
      <c r="N588" s="111">
        <v>6</v>
      </c>
    </row>
    <row r="589" spans="3:14" ht="13.5" thickBot="1">
      <c r="C589" s="79">
        <f>predikcia!A587</f>
        <v>45682</v>
      </c>
      <c r="D589" s="80" t="str">
        <f>predikcia!B587</f>
        <v>08:00:00</v>
      </c>
      <c r="E589" s="81">
        <f>predikcia!G587</f>
        <v>17742</v>
      </c>
      <c r="F589" s="70">
        <f>'DHS25'!C586</f>
        <v>14838</v>
      </c>
      <c r="G589" s="71">
        <f>'DHS25'!D586</f>
        <v>4515</v>
      </c>
      <c r="H589" s="106">
        <v>6</v>
      </c>
      <c r="I589" s="72">
        <f>'DHS25'!E586/1000</f>
        <v>6.077</v>
      </c>
      <c r="J589" s="109">
        <f>predikcia!R587</f>
        <v>106.49</v>
      </c>
      <c r="K589" s="92">
        <f t="shared" si="9"/>
        <v>629.12203269999998</v>
      </c>
      <c r="M589" s="112">
        <v>6</v>
      </c>
      <c r="N589" s="111">
        <v>6</v>
      </c>
    </row>
    <row r="590" spans="3:14" ht="13.5" thickBot="1">
      <c r="C590" s="79">
        <f>predikcia!A588</f>
        <v>45682</v>
      </c>
      <c r="D590" s="80" t="str">
        <f>predikcia!B588</f>
        <v>09:00:00</v>
      </c>
      <c r="E590" s="81">
        <f>predikcia!G588</f>
        <v>17152</v>
      </c>
      <c r="F590" s="70">
        <f>'DHS25'!C587</f>
        <v>17060</v>
      </c>
      <c r="G590" s="71">
        <f>'DHS25'!D587</f>
        <v>2018</v>
      </c>
      <c r="H590" s="106">
        <v>6</v>
      </c>
      <c r="I590" s="72">
        <f>'DHS25'!E587/1000</f>
        <v>6.0469999999999997</v>
      </c>
      <c r="J590" s="109">
        <f>predikcia!R588</f>
        <v>104.47</v>
      </c>
      <c r="K590" s="92">
        <f t="shared" si="9"/>
        <v>613.92348909999987</v>
      </c>
      <c r="M590" s="112">
        <v>6</v>
      </c>
      <c r="N590" s="111">
        <v>6</v>
      </c>
    </row>
    <row r="591" spans="3:14" ht="13.5" thickBot="1">
      <c r="C591" s="79">
        <f>predikcia!A589</f>
        <v>45682</v>
      </c>
      <c r="D591" s="80" t="str">
        <f>predikcia!B589</f>
        <v>10:00:00</v>
      </c>
      <c r="E591" s="81">
        <f>predikcia!G589</f>
        <v>16879.25</v>
      </c>
      <c r="F591" s="70">
        <f>'DHS25'!C588</f>
        <v>16385</v>
      </c>
      <c r="G591" s="71">
        <f>'DHS25'!D588</f>
        <v>2467</v>
      </c>
      <c r="H591" s="106">
        <v>6</v>
      </c>
      <c r="I591" s="72">
        <f>'DHS25'!E588/1000</f>
        <v>6.0579999999999998</v>
      </c>
      <c r="J591" s="109">
        <f>predikcia!R589</f>
        <v>94.1</v>
      </c>
      <c r="K591" s="92">
        <f t="shared" si="9"/>
        <v>552.84702199999992</v>
      </c>
      <c r="M591" s="112">
        <v>6</v>
      </c>
      <c r="N591" s="111">
        <v>6</v>
      </c>
    </row>
    <row r="592" spans="3:14" ht="13.5" thickBot="1">
      <c r="C592" s="79">
        <f>predikcia!A590</f>
        <v>45682</v>
      </c>
      <c r="D592" s="80" t="str">
        <f>predikcia!B590</f>
        <v>11:00:00</v>
      </c>
      <c r="E592" s="81">
        <f>predikcia!G590</f>
        <v>16736</v>
      </c>
      <c r="F592" s="70">
        <f>'DHS25'!C589</f>
        <v>15535</v>
      </c>
      <c r="G592" s="71">
        <f>'DHS25'!D589</f>
        <v>3985</v>
      </c>
      <c r="H592" s="106">
        <v>6</v>
      </c>
      <c r="I592" s="72">
        <f>'DHS25'!E589/1000</f>
        <v>6.07</v>
      </c>
      <c r="J592" s="109">
        <f>predikcia!R590</f>
        <v>89.38</v>
      </c>
      <c r="K592" s="92">
        <f t="shared" si="9"/>
        <v>525.57823399999995</v>
      </c>
      <c r="M592" s="112">
        <v>6</v>
      </c>
      <c r="N592" s="111">
        <v>6</v>
      </c>
    </row>
    <row r="593" spans="3:14" ht="13.5" thickBot="1">
      <c r="C593" s="79">
        <f>predikcia!A591</f>
        <v>45682</v>
      </c>
      <c r="D593" s="80" t="str">
        <f>predikcia!B591</f>
        <v>12:00:00</v>
      </c>
      <c r="E593" s="81">
        <f>predikcia!G591</f>
        <v>16756.25</v>
      </c>
      <c r="F593" s="70">
        <f>'DHS25'!C590</f>
        <v>14843</v>
      </c>
      <c r="G593" s="71">
        <f>'DHS25'!D590</f>
        <v>4470</v>
      </c>
      <c r="H593" s="106">
        <v>6</v>
      </c>
      <c r="I593" s="72">
        <f>'DHS25'!E590/1000</f>
        <v>6.0529999999999999</v>
      </c>
      <c r="J593" s="109">
        <f>predikcia!R591</f>
        <v>86.21</v>
      </c>
      <c r="K593" s="92">
        <f t="shared" si="9"/>
        <v>505.11013869999994</v>
      </c>
      <c r="M593" s="112">
        <v>6</v>
      </c>
      <c r="N593" s="111">
        <v>6</v>
      </c>
    </row>
    <row r="594" spans="3:14" ht="13.5" thickBot="1">
      <c r="C594" s="79">
        <f>predikcia!A592</f>
        <v>45682</v>
      </c>
      <c r="D594" s="80" t="str">
        <f>predikcia!B592</f>
        <v>13:00:00</v>
      </c>
      <c r="E594" s="81">
        <f>predikcia!G592</f>
        <v>16044</v>
      </c>
      <c r="F594" s="70">
        <f>'DHS25'!C591</f>
        <v>14413</v>
      </c>
      <c r="G594" s="71">
        <f>'DHS25'!D591</f>
        <v>3932</v>
      </c>
      <c r="H594" s="106">
        <v>6</v>
      </c>
      <c r="I594" s="72">
        <f>'DHS25'!E591/1000</f>
        <v>6.06</v>
      </c>
      <c r="J594" s="109">
        <f>predikcia!R592</f>
        <v>85.04</v>
      </c>
      <c r="K594" s="92">
        <f t="shared" si="9"/>
        <v>498.6749759999999</v>
      </c>
      <c r="M594" s="112">
        <v>6</v>
      </c>
      <c r="N594" s="111">
        <v>6</v>
      </c>
    </row>
    <row r="595" spans="3:14" ht="13.5" thickBot="1">
      <c r="C595" s="79">
        <f>predikcia!A593</f>
        <v>45682</v>
      </c>
      <c r="D595" s="80" t="str">
        <f>predikcia!B593</f>
        <v>14:00:00</v>
      </c>
      <c r="E595" s="81">
        <f>predikcia!G593</f>
        <v>16584.25</v>
      </c>
      <c r="F595" s="70">
        <f>'DHS25'!C592</f>
        <v>14751</v>
      </c>
      <c r="G595" s="71">
        <f>'DHS25'!D592</f>
        <v>4077</v>
      </c>
      <c r="H595" s="106">
        <v>6</v>
      </c>
      <c r="I595" s="72">
        <f>'DHS25'!E592/1000</f>
        <v>6.0519999999999996</v>
      </c>
      <c r="J595" s="109">
        <f>predikcia!R593</f>
        <v>96.93</v>
      </c>
      <c r="K595" s="92">
        <f t="shared" si="9"/>
        <v>569.25535639999998</v>
      </c>
      <c r="M595" s="112">
        <v>6</v>
      </c>
      <c r="N595" s="111">
        <v>6</v>
      </c>
    </row>
    <row r="596" spans="3:14" ht="13.5" thickBot="1">
      <c r="C596" s="79">
        <f>predikcia!A594</f>
        <v>45682</v>
      </c>
      <c r="D596" s="80" t="str">
        <f>predikcia!B594</f>
        <v>15:00:00</v>
      </c>
      <c r="E596" s="81">
        <f>predikcia!G594</f>
        <v>16476.75</v>
      </c>
      <c r="F596" s="70">
        <f>'DHS25'!C593</f>
        <v>14508</v>
      </c>
      <c r="G596" s="71">
        <f>'DHS25'!D593</f>
        <v>4157</v>
      </c>
      <c r="H596" s="106">
        <v>6</v>
      </c>
      <c r="I596" s="72">
        <f>'DHS25'!E593/1000</f>
        <v>6.0590000000000002</v>
      </c>
      <c r="J596" s="109">
        <f>predikcia!R594</f>
        <v>120.39</v>
      </c>
      <c r="K596" s="92">
        <f t="shared" si="9"/>
        <v>710.63647989999993</v>
      </c>
      <c r="M596" s="112">
        <v>6</v>
      </c>
      <c r="N596" s="111">
        <v>6</v>
      </c>
    </row>
    <row r="597" spans="3:14" ht="13.5" thickBot="1">
      <c r="C597" s="79">
        <f>predikcia!A595</f>
        <v>45682</v>
      </c>
      <c r="D597" s="80" t="str">
        <f>predikcia!B595</f>
        <v>16:00:00</v>
      </c>
      <c r="E597" s="81">
        <f>predikcia!G595</f>
        <v>16378</v>
      </c>
      <c r="F597" s="70">
        <f>'DHS25'!C594</f>
        <v>14694</v>
      </c>
      <c r="G597" s="71">
        <f>'DHS25'!D594</f>
        <v>6767</v>
      </c>
      <c r="H597" s="106">
        <v>8</v>
      </c>
      <c r="I597" s="72">
        <f>'DHS25'!E594/1000</f>
        <v>6.9249999999999998</v>
      </c>
      <c r="J597" s="109">
        <f>predikcia!R595</f>
        <v>166.62</v>
      </c>
      <c r="K597" s="92">
        <f t="shared" si="9"/>
        <v>1129.147565</v>
      </c>
      <c r="M597" s="112">
        <v>6</v>
      </c>
      <c r="N597" s="111">
        <v>8</v>
      </c>
    </row>
    <row r="598" spans="3:14" ht="13.5" thickBot="1">
      <c r="C598" s="79">
        <f>predikcia!A596</f>
        <v>45682</v>
      </c>
      <c r="D598" s="80" t="str">
        <f>predikcia!B596</f>
        <v>17:00:00</v>
      </c>
      <c r="E598" s="81">
        <f>predikcia!G596</f>
        <v>16995</v>
      </c>
      <c r="F598" s="70">
        <f>'DHS25'!C595</f>
        <v>15536</v>
      </c>
      <c r="G598" s="71">
        <f>'DHS25'!D595</f>
        <v>8317</v>
      </c>
      <c r="H598" s="106">
        <v>8</v>
      </c>
      <c r="I598" s="72">
        <f>'DHS25'!E595/1000</f>
        <v>8.0779999999999994</v>
      </c>
      <c r="J598" s="109">
        <f>predikcia!R596</f>
        <v>164.24</v>
      </c>
      <c r="K598" s="92">
        <f t="shared" si="9"/>
        <v>1298.1152127999999</v>
      </c>
      <c r="M598" s="112">
        <v>6</v>
      </c>
      <c r="N598" s="111">
        <v>8</v>
      </c>
    </row>
    <row r="599" spans="3:14" ht="13.5" thickBot="1">
      <c r="C599" s="79">
        <f>predikcia!A597</f>
        <v>45682</v>
      </c>
      <c r="D599" s="80" t="str">
        <f>predikcia!B597</f>
        <v>18:00:00</v>
      </c>
      <c r="E599" s="81">
        <f>predikcia!G597</f>
        <v>16892.75</v>
      </c>
      <c r="F599" s="70">
        <f>'DHS25'!C596</f>
        <v>15384</v>
      </c>
      <c r="G599" s="71">
        <f>'DHS25'!D596</f>
        <v>8947</v>
      </c>
      <c r="H599" s="106">
        <v>8</v>
      </c>
      <c r="I599" s="72">
        <f>'DHS25'!E596/1000</f>
        <v>8.0399999999999991</v>
      </c>
      <c r="J599" s="109">
        <f>predikcia!R597</f>
        <v>164.22</v>
      </c>
      <c r="K599" s="92">
        <f t="shared" si="9"/>
        <v>1291.8495119999998</v>
      </c>
      <c r="M599" s="112">
        <v>6</v>
      </c>
      <c r="N599" s="111">
        <v>8</v>
      </c>
    </row>
    <row r="600" spans="3:14" ht="13.5" thickBot="1">
      <c r="C600" s="79">
        <f>predikcia!A598</f>
        <v>45682</v>
      </c>
      <c r="D600" s="80" t="str">
        <f>predikcia!B598</f>
        <v>19:00:00</v>
      </c>
      <c r="E600" s="81">
        <f>predikcia!G598</f>
        <v>17214</v>
      </c>
      <c r="F600" s="70">
        <f>'DHS25'!C597</f>
        <v>15323</v>
      </c>
      <c r="G600" s="71">
        <f>'DHS25'!D597</f>
        <v>8579</v>
      </c>
      <c r="H600" s="106">
        <v>8</v>
      </c>
      <c r="I600" s="72">
        <f>'DHS25'!E597/1000</f>
        <v>8.0419999999999998</v>
      </c>
      <c r="J600" s="109">
        <f>predikcia!R598</f>
        <v>167.08</v>
      </c>
      <c r="K600" s="92">
        <f t="shared" si="9"/>
        <v>1314.9409863999999</v>
      </c>
      <c r="M600" s="112">
        <v>6</v>
      </c>
      <c r="N600" s="111">
        <v>8</v>
      </c>
    </row>
    <row r="601" spans="3:14" ht="13.5" thickBot="1">
      <c r="C601" s="79">
        <f>predikcia!A599</f>
        <v>45682</v>
      </c>
      <c r="D601" s="80" t="str">
        <f>predikcia!B599</f>
        <v>20:00:00</v>
      </c>
      <c r="E601" s="81">
        <f>predikcia!G599</f>
        <v>16504</v>
      </c>
      <c r="F601" s="70">
        <f>'DHS25'!C598</f>
        <v>15618</v>
      </c>
      <c r="G601" s="71">
        <f>'DHS25'!D598</f>
        <v>8423</v>
      </c>
      <c r="H601" s="106">
        <v>8</v>
      </c>
      <c r="I601" s="72">
        <f>'DHS25'!E598/1000</f>
        <v>8.0259999999999998</v>
      </c>
      <c r="J601" s="109">
        <f>predikcia!R599</f>
        <v>160</v>
      </c>
      <c r="K601" s="92">
        <f t="shared" si="9"/>
        <v>1256.069</v>
      </c>
      <c r="M601" s="112">
        <v>6</v>
      </c>
      <c r="N601" s="111">
        <v>8</v>
      </c>
    </row>
    <row r="602" spans="3:14" ht="13.5" thickBot="1">
      <c r="C602" s="79">
        <f>predikcia!A600</f>
        <v>45682</v>
      </c>
      <c r="D602" s="80" t="str">
        <f>predikcia!B600</f>
        <v>21:00:00</v>
      </c>
      <c r="E602" s="81">
        <f>predikcia!G600</f>
        <v>16998.25</v>
      </c>
      <c r="F602" s="70">
        <f>'DHS25'!C599</f>
        <v>14963</v>
      </c>
      <c r="G602" s="71">
        <f>'DHS25'!D599</f>
        <v>8661</v>
      </c>
      <c r="H602" s="106">
        <v>7</v>
      </c>
      <c r="I602" s="72">
        <f>'DHS25'!E599/1000</f>
        <v>7.6260000000000003</v>
      </c>
      <c r="J602" s="109">
        <f>predikcia!R600</f>
        <v>147.33000000000001</v>
      </c>
      <c r="K602" s="92">
        <f t="shared" si="9"/>
        <v>1097.8137942000001</v>
      </c>
      <c r="M602" s="112">
        <v>6</v>
      </c>
      <c r="N602" s="111">
        <v>7</v>
      </c>
    </row>
    <row r="603" spans="3:14" ht="13.5" thickBot="1">
      <c r="C603" s="79">
        <f>predikcia!A601</f>
        <v>45682</v>
      </c>
      <c r="D603" s="80" t="str">
        <f>predikcia!B601</f>
        <v>22:00:00</v>
      </c>
      <c r="E603" s="81">
        <f>predikcia!G601</f>
        <v>14871</v>
      </c>
      <c r="F603" s="70">
        <f>'DHS25'!C600</f>
        <v>12903</v>
      </c>
      <c r="G603" s="71">
        <f>'DHS25'!D600</f>
        <v>5906</v>
      </c>
      <c r="H603" s="106">
        <v>5</v>
      </c>
      <c r="I603" s="72">
        <f>'DHS25'!E600/1000</f>
        <v>6.0179999999999998</v>
      </c>
      <c r="J603" s="109">
        <f>predikcia!R601</f>
        <v>136.15</v>
      </c>
      <c r="K603" s="92">
        <f t="shared" si="9"/>
        <v>799.72299299999997</v>
      </c>
      <c r="M603" s="112">
        <v>5</v>
      </c>
      <c r="N603" s="111">
        <v>5</v>
      </c>
    </row>
    <row r="604" spans="3:14" ht="13.5" thickBot="1">
      <c r="C604" s="82">
        <f>predikcia!A602</f>
        <v>45682</v>
      </c>
      <c r="D604" s="83" t="str">
        <f>predikcia!B602</f>
        <v>23:00:00</v>
      </c>
      <c r="E604" s="84">
        <f>predikcia!G602</f>
        <v>8063.75</v>
      </c>
      <c r="F604" s="73">
        <f>'DHS25'!C601</f>
        <v>6267</v>
      </c>
      <c r="G604" s="64">
        <f>'DHS25'!D601</f>
        <v>7951</v>
      </c>
      <c r="H604" s="107">
        <v>4</v>
      </c>
      <c r="I604" s="74">
        <f>'DHS25'!E601/1000</f>
        <v>4.5369999999999999</v>
      </c>
      <c r="J604" s="109">
        <f>predikcia!R602</f>
        <v>123.6</v>
      </c>
      <c r="K604" s="92">
        <f t="shared" si="9"/>
        <v>546.54516799999988</v>
      </c>
      <c r="M604" s="112">
        <v>4</v>
      </c>
      <c r="N604" s="111">
        <v>4</v>
      </c>
    </row>
    <row r="605" spans="3:14" ht="13.5" thickBot="1">
      <c r="C605" s="85">
        <f>predikcia!A603</f>
        <v>45683</v>
      </c>
      <c r="D605" s="86" t="str">
        <f>predikcia!B603</f>
        <v>00:00:00</v>
      </c>
      <c r="E605" s="78">
        <f>predikcia!G603</f>
        <v>8612.5</v>
      </c>
      <c r="F605" s="68">
        <f>'DHS25'!C602</f>
        <v>6531</v>
      </c>
      <c r="G605" s="63">
        <f>'DHS25'!D602</f>
        <v>6061</v>
      </c>
      <c r="H605" s="105">
        <v>4</v>
      </c>
      <c r="I605" s="69">
        <f>'DHS25'!E602/1000</f>
        <v>4.056</v>
      </c>
      <c r="J605" s="109">
        <f>predikcia!R603</f>
        <v>129.18</v>
      </c>
      <c r="K605" s="92">
        <f t="shared" si="9"/>
        <v>511.00813920000002</v>
      </c>
      <c r="M605" s="112">
        <v>4</v>
      </c>
      <c r="N605" s="111">
        <v>4</v>
      </c>
    </row>
    <row r="606" spans="3:14" ht="13.5" thickBot="1">
      <c r="C606" s="87">
        <f>predikcia!A604</f>
        <v>45683</v>
      </c>
      <c r="D606" s="88" t="str">
        <f>predikcia!B604</f>
        <v>01:00:00</v>
      </c>
      <c r="E606" s="81">
        <f>predikcia!G604</f>
        <v>9915.5</v>
      </c>
      <c r="F606" s="70">
        <f>'DHS25'!C603</f>
        <v>8101</v>
      </c>
      <c r="G606" s="71">
        <f>'DHS25'!D603</f>
        <v>5346</v>
      </c>
      <c r="H606" s="106">
        <v>4</v>
      </c>
      <c r="I606" s="72">
        <f>'DHS25'!E603/1000</f>
        <v>4.0519999999999996</v>
      </c>
      <c r="J606" s="109">
        <f>predikcia!R604</f>
        <v>118.25</v>
      </c>
      <c r="K606" s="92">
        <f t="shared" si="9"/>
        <v>466.65870999999993</v>
      </c>
      <c r="M606" s="112">
        <v>4</v>
      </c>
      <c r="N606" s="111">
        <v>4</v>
      </c>
    </row>
    <row r="607" spans="3:14" ht="13.5" thickBot="1">
      <c r="C607" s="87">
        <f>predikcia!A605</f>
        <v>45683</v>
      </c>
      <c r="D607" s="88" t="str">
        <f>predikcia!B605</f>
        <v>02:00:00</v>
      </c>
      <c r="E607" s="81">
        <f>predikcia!G605</f>
        <v>10883.5</v>
      </c>
      <c r="F607" s="70">
        <f>'DHS25'!C604</f>
        <v>9176</v>
      </c>
      <c r="G607" s="71">
        <f>'DHS25'!D604</f>
        <v>4781</v>
      </c>
      <c r="H607" s="106">
        <v>4</v>
      </c>
      <c r="I607" s="72">
        <f>'DHS25'!E604/1000</f>
        <v>4.0620000000000003</v>
      </c>
      <c r="J607" s="109">
        <f>predikcia!R605</f>
        <v>115.03</v>
      </c>
      <c r="K607" s="92">
        <f t="shared" si="9"/>
        <v>454.86154140000002</v>
      </c>
      <c r="M607" s="112">
        <v>4</v>
      </c>
      <c r="N607" s="111">
        <v>4</v>
      </c>
    </row>
    <row r="608" spans="3:14" ht="13.5" thickBot="1">
      <c r="C608" s="87">
        <f>predikcia!A606</f>
        <v>45683</v>
      </c>
      <c r="D608" s="88" t="str">
        <f>predikcia!B606</f>
        <v>03:00:00</v>
      </c>
      <c r="E608" s="81">
        <f>predikcia!G606</f>
        <v>11184</v>
      </c>
      <c r="F608" s="70">
        <f>'DHS25'!C605</f>
        <v>9900</v>
      </c>
      <c r="G608" s="71">
        <f>'DHS25'!D605</f>
        <v>3499</v>
      </c>
      <c r="H608" s="106">
        <v>4</v>
      </c>
      <c r="I608" s="72">
        <f>'DHS25'!E605/1000</f>
        <v>4.0510000000000002</v>
      </c>
      <c r="J608" s="109">
        <f>predikcia!R606</f>
        <v>109.5</v>
      </c>
      <c r="K608" s="92">
        <f t="shared" si="9"/>
        <v>431.45175499999999</v>
      </c>
      <c r="M608" s="112">
        <v>4</v>
      </c>
      <c r="N608" s="111">
        <v>4</v>
      </c>
    </row>
    <row r="609" spans="3:14" ht="13.5" thickBot="1">
      <c r="C609" s="87">
        <f>predikcia!A607</f>
        <v>45683</v>
      </c>
      <c r="D609" s="88" t="str">
        <f>predikcia!B607</f>
        <v>04:00:00</v>
      </c>
      <c r="E609" s="81">
        <f>predikcia!G607</f>
        <v>18358.75</v>
      </c>
      <c r="F609" s="70">
        <f>'DHS25'!C606</f>
        <v>16721</v>
      </c>
      <c r="G609" s="71">
        <f>'DHS25'!D606</f>
        <v>53</v>
      </c>
      <c r="H609" s="106">
        <v>6</v>
      </c>
      <c r="I609" s="72">
        <f>'DHS25'!E606/1000</f>
        <v>5.468</v>
      </c>
      <c r="J609" s="109">
        <f>predikcia!R607</f>
        <v>109.16</v>
      </c>
      <c r="K609" s="92">
        <f t="shared" si="9"/>
        <v>580.52881119999995</v>
      </c>
      <c r="M609" s="112">
        <v>6</v>
      </c>
      <c r="N609" s="111">
        <v>6</v>
      </c>
    </row>
    <row r="610" spans="3:14" ht="13.5" thickBot="1">
      <c r="C610" s="87">
        <f>predikcia!A608</f>
        <v>45683</v>
      </c>
      <c r="D610" s="88" t="str">
        <f>predikcia!B608</f>
        <v>05:00:00</v>
      </c>
      <c r="E610" s="81">
        <f>predikcia!G608</f>
        <v>17099</v>
      </c>
      <c r="F610" s="70">
        <f>'DHS25'!C607</f>
        <v>18973</v>
      </c>
      <c r="G610" s="71">
        <f>'DHS25'!D607</f>
        <v>445</v>
      </c>
      <c r="H610" s="106">
        <v>6</v>
      </c>
      <c r="I610" s="72">
        <f>'DHS25'!E607/1000</f>
        <v>6.048</v>
      </c>
      <c r="J610" s="109">
        <f>predikcia!R608</f>
        <v>111.36</v>
      </c>
      <c r="K610" s="92">
        <f t="shared" si="9"/>
        <v>655.27902719999997</v>
      </c>
      <c r="M610" s="112">
        <v>6</v>
      </c>
      <c r="N610" s="111">
        <v>6</v>
      </c>
    </row>
    <row r="611" spans="3:14" ht="13.5" thickBot="1">
      <c r="C611" s="87">
        <f>predikcia!A609</f>
        <v>45683</v>
      </c>
      <c r="D611" s="88" t="str">
        <f>predikcia!B609</f>
        <v>06:00:00</v>
      </c>
      <c r="E611" s="81">
        <f>predikcia!G609</f>
        <v>19316.25</v>
      </c>
      <c r="F611" s="70">
        <f>'DHS25'!C608</f>
        <v>17881</v>
      </c>
      <c r="G611" s="71">
        <f>'DHS25'!D608</f>
        <v>662</v>
      </c>
      <c r="H611" s="106">
        <v>6</v>
      </c>
      <c r="I611" s="72">
        <f>'DHS25'!E608/1000</f>
        <v>6.0650000000000004</v>
      </c>
      <c r="J611" s="109">
        <f>predikcia!R609</f>
        <v>113.87</v>
      </c>
      <c r="K611" s="92">
        <f t="shared" si="9"/>
        <v>672.19183450000003</v>
      </c>
      <c r="M611" s="112">
        <v>6</v>
      </c>
      <c r="N611" s="111">
        <v>6</v>
      </c>
    </row>
    <row r="612" spans="3:14" ht="13.5" thickBot="1">
      <c r="C612" s="87">
        <f>predikcia!A610</f>
        <v>45683</v>
      </c>
      <c r="D612" s="88" t="str">
        <f>predikcia!B610</f>
        <v>07:00:00</v>
      </c>
      <c r="E612" s="81">
        <f>predikcia!G610</f>
        <v>17650.75</v>
      </c>
      <c r="F612" s="70">
        <f>'DHS25'!C609</f>
        <v>13541</v>
      </c>
      <c r="G612" s="71">
        <f>'DHS25'!D609</f>
        <v>6017</v>
      </c>
      <c r="H612" s="106">
        <v>6</v>
      </c>
      <c r="I612" s="72">
        <f>'DHS25'!E609/1000</f>
        <v>6.0780000000000003</v>
      </c>
      <c r="J612" s="109">
        <f>predikcia!R610</f>
        <v>121.11</v>
      </c>
      <c r="K612" s="92">
        <f t="shared" si="9"/>
        <v>717.19731419999994</v>
      </c>
      <c r="M612" s="112">
        <v>6</v>
      </c>
      <c r="N612" s="111">
        <v>6</v>
      </c>
    </row>
    <row r="613" spans="3:14" ht="13.5" thickBot="1">
      <c r="C613" s="87">
        <f>predikcia!A611</f>
        <v>45683</v>
      </c>
      <c r="D613" s="88" t="str">
        <f>predikcia!B611</f>
        <v>08:00:00</v>
      </c>
      <c r="E613" s="81">
        <f>predikcia!G611</f>
        <v>18141</v>
      </c>
      <c r="F613" s="70">
        <f>'DHS25'!C610</f>
        <v>14168</v>
      </c>
      <c r="G613" s="71">
        <f>'DHS25'!D610</f>
        <v>4704</v>
      </c>
      <c r="H613" s="106">
        <v>6</v>
      </c>
      <c r="I613" s="72">
        <f>'DHS25'!E610/1000</f>
        <v>6.0620000000000003</v>
      </c>
      <c r="J613" s="109">
        <f>predikcia!R611</f>
        <v>128.9</v>
      </c>
      <c r="K613" s="92">
        <f t="shared" si="9"/>
        <v>762.06008200000008</v>
      </c>
      <c r="M613" s="112">
        <v>6</v>
      </c>
      <c r="N613" s="111">
        <v>6</v>
      </c>
    </row>
    <row r="614" spans="3:14" ht="13.5" thickBot="1">
      <c r="C614" s="87">
        <f>predikcia!A612</f>
        <v>45683</v>
      </c>
      <c r="D614" s="88" t="str">
        <f>predikcia!B612</f>
        <v>09:00:00</v>
      </c>
      <c r="E614" s="81">
        <f>predikcia!G612</f>
        <v>17862</v>
      </c>
      <c r="F614" s="70">
        <f>'DHS25'!C611</f>
        <v>15569</v>
      </c>
      <c r="G614" s="71">
        <f>'DHS25'!D611</f>
        <v>3187</v>
      </c>
      <c r="H614" s="106">
        <v>6</v>
      </c>
      <c r="I614" s="72">
        <f>'DHS25'!E611/1000</f>
        <v>6.0590000000000002</v>
      </c>
      <c r="J614" s="109">
        <f>predikcia!R612</f>
        <v>126.32</v>
      </c>
      <c r="K614" s="92">
        <f t="shared" si="9"/>
        <v>746.20705119999991</v>
      </c>
      <c r="M614" s="112">
        <v>6</v>
      </c>
      <c r="N614" s="111">
        <v>6</v>
      </c>
    </row>
    <row r="615" spans="3:14" ht="13.5" thickBot="1">
      <c r="C615" s="87">
        <f>predikcia!A613</f>
        <v>45683</v>
      </c>
      <c r="D615" s="88" t="str">
        <f>predikcia!B613</f>
        <v>10:00:00</v>
      </c>
      <c r="E615" s="81">
        <f>predikcia!G613</f>
        <v>17225.75</v>
      </c>
      <c r="F615" s="70">
        <f>'DHS25'!C612</f>
        <v>14662</v>
      </c>
      <c r="G615" s="71">
        <f>'DHS25'!D612</f>
        <v>3949</v>
      </c>
      <c r="H615" s="106">
        <v>6</v>
      </c>
      <c r="I615" s="72">
        <f>'DHS25'!E612/1000</f>
        <v>6.0679999999999996</v>
      </c>
      <c r="J615" s="109">
        <f>predikcia!R613</f>
        <v>109.49</v>
      </c>
      <c r="K615" s="92">
        <f t="shared" si="9"/>
        <v>646.21226679999995</v>
      </c>
      <c r="M615" s="112">
        <v>6</v>
      </c>
      <c r="N615" s="111">
        <v>6</v>
      </c>
    </row>
    <row r="616" spans="3:14" ht="13.5" thickBot="1">
      <c r="C616" s="87">
        <f>predikcia!A614</f>
        <v>45683</v>
      </c>
      <c r="D616" s="88" t="str">
        <f>predikcia!B614</f>
        <v>11:00:00</v>
      </c>
      <c r="E616" s="81">
        <f>predikcia!G614</f>
        <v>15896.25</v>
      </c>
      <c r="F616" s="70">
        <f>'DHS25'!C613</f>
        <v>12691</v>
      </c>
      <c r="G616" s="71">
        <f>'DHS25'!D613</f>
        <v>5413</v>
      </c>
      <c r="H616" s="106">
        <v>5</v>
      </c>
      <c r="I616" s="72">
        <f>'DHS25'!E613/1000</f>
        <v>5.65</v>
      </c>
      <c r="J616" s="109">
        <f>predikcia!R614</f>
        <v>103.75</v>
      </c>
      <c r="K616" s="92">
        <f t="shared" si="9"/>
        <v>569.59062500000005</v>
      </c>
      <c r="M616" s="112">
        <v>5</v>
      </c>
      <c r="N616" s="111">
        <v>5</v>
      </c>
    </row>
    <row r="617" spans="3:14" ht="13.5" thickBot="1">
      <c r="C617" s="87">
        <f>predikcia!A615</f>
        <v>45683</v>
      </c>
      <c r="D617" s="88" t="str">
        <f>predikcia!B615</f>
        <v>12:00:00</v>
      </c>
      <c r="E617" s="81">
        <f>predikcia!G615</f>
        <v>16189</v>
      </c>
      <c r="F617" s="70">
        <f>'DHS25'!C614</f>
        <v>14444</v>
      </c>
      <c r="G617" s="71">
        <f>'DHS25'!D614</f>
        <v>3258</v>
      </c>
      <c r="H617" s="106">
        <v>6</v>
      </c>
      <c r="I617" s="72">
        <f>'DHS25'!E614/1000</f>
        <v>5.9340000000000002</v>
      </c>
      <c r="J617" s="109">
        <f>predikcia!R615</f>
        <v>97.34</v>
      </c>
      <c r="K617" s="92">
        <f t="shared" si="9"/>
        <v>560.56480439999996</v>
      </c>
      <c r="M617" s="112">
        <v>6</v>
      </c>
      <c r="N617" s="111">
        <v>6</v>
      </c>
    </row>
    <row r="618" spans="3:14" ht="13.5" thickBot="1">
      <c r="C618" s="87">
        <f>predikcia!A616</f>
        <v>45683</v>
      </c>
      <c r="D618" s="88" t="str">
        <f>predikcia!B616</f>
        <v>13:00:00</v>
      </c>
      <c r="E618" s="81">
        <f>predikcia!G616</f>
        <v>16136.75</v>
      </c>
      <c r="F618" s="70">
        <f>'DHS25'!C615</f>
        <v>14829</v>
      </c>
      <c r="G618" s="71">
        <f>'DHS25'!D615</f>
        <v>3569</v>
      </c>
      <c r="H618" s="106">
        <v>6</v>
      </c>
      <c r="I618" s="72">
        <f>'DHS25'!E615/1000</f>
        <v>6.069</v>
      </c>
      <c r="J618" s="109">
        <f>predikcia!R616</f>
        <v>93.21</v>
      </c>
      <c r="K618" s="92">
        <f t="shared" si="9"/>
        <v>548.50347509999995</v>
      </c>
      <c r="M618" s="112">
        <v>6</v>
      </c>
      <c r="N618" s="111">
        <v>6</v>
      </c>
    </row>
    <row r="619" spans="3:14" ht="13.5" thickBot="1">
      <c r="C619" s="87">
        <f>predikcia!A617</f>
        <v>45683</v>
      </c>
      <c r="D619" s="88" t="str">
        <f>predikcia!B617</f>
        <v>14:00:00</v>
      </c>
      <c r="E619" s="81">
        <f>predikcia!G617</f>
        <v>15347.25</v>
      </c>
      <c r="F619" s="70">
        <f>'DHS25'!C616</f>
        <v>14681</v>
      </c>
      <c r="G619" s="71">
        <f>'DHS25'!D616</f>
        <v>3883</v>
      </c>
      <c r="H619" s="106">
        <v>5</v>
      </c>
      <c r="I619" s="72">
        <f>'DHS25'!E616/1000</f>
        <v>5.3650000000000002</v>
      </c>
      <c r="J619" s="109">
        <f>predikcia!R617</f>
        <v>108.83</v>
      </c>
      <c r="K619" s="92">
        <f t="shared" si="9"/>
        <v>567.84072049999997</v>
      </c>
      <c r="M619" s="112">
        <v>5</v>
      </c>
      <c r="N619" s="111">
        <v>5</v>
      </c>
    </row>
    <row r="620" spans="3:14" ht="13.5" thickBot="1">
      <c r="C620" s="87">
        <f>predikcia!A618</f>
        <v>45683</v>
      </c>
      <c r="D620" s="88" t="str">
        <f>predikcia!B618</f>
        <v>15:00:00</v>
      </c>
      <c r="E620" s="81">
        <f>predikcia!G618</f>
        <v>16107</v>
      </c>
      <c r="F620" s="70">
        <f>'DHS25'!C617</f>
        <v>13097</v>
      </c>
      <c r="G620" s="71">
        <f>'DHS25'!D617</f>
        <v>2505</v>
      </c>
      <c r="H620" s="106">
        <v>6</v>
      </c>
      <c r="I620" s="72">
        <f>'DHS25'!E617/1000</f>
        <v>5.6740000000000004</v>
      </c>
      <c r="J620" s="109">
        <f>predikcia!R618</f>
        <v>118.27</v>
      </c>
      <c r="K620" s="92">
        <f t="shared" si="9"/>
        <v>653.5727402</v>
      </c>
      <c r="M620" s="112">
        <v>6</v>
      </c>
      <c r="N620" s="111">
        <v>6</v>
      </c>
    </row>
    <row r="621" spans="3:14" ht="13.5" thickBot="1">
      <c r="C621" s="87">
        <f>predikcia!A619</f>
        <v>45683</v>
      </c>
      <c r="D621" s="88" t="str">
        <f>predikcia!B619</f>
        <v>16:00:00</v>
      </c>
      <c r="E621" s="81">
        <f>predikcia!G619</f>
        <v>16369.75</v>
      </c>
      <c r="F621" s="70">
        <f>'DHS25'!C618</f>
        <v>14933</v>
      </c>
      <c r="G621" s="71">
        <f>'DHS25'!D618</f>
        <v>7841</v>
      </c>
      <c r="H621" s="106">
        <v>8</v>
      </c>
      <c r="I621" s="72">
        <f>'DHS25'!E618/1000</f>
        <v>7.4939999999999998</v>
      </c>
      <c r="J621" s="109">
        <f>predikcia!R619</f>
        <v>130.91</v>
      </c>
      <c r="K621" s="92">
        <f t="shared" si="9"/>
        <v>956.99054459999991</v>
      </c>
      <c r="M621" s="112">
        <v>6</v>
      </c>
      <c r="N621" s="111">
        <v>8</v>
      </c>
    </row>
    <row r="622" spans="3:14" ht="13.5" thickBot="1">
      <c r="C622" s="87">
        <f>predikcia!A620</f>
        <v>45683</v>
      </c>
      <c r="D622" s="88" t="str">
        <f>predikcia!B620</f>
        <v>17:00:00</v>
      </c>
      <c r="E622" s="81">
        <f>predikcia!G620</f>
        <v>17482.25</v>
      </c>
      <c r="F622" s="70">
        <f>'DHS25'!C619</f>
        <v>15240</v>
      </c>
      <c r="G622" s="71">
        <f>'DHS25'!D619</f>
        <v>9394</v>
      </c>
      <c r="H622" s="106">
        <v>8</v>
      </c>
      <c r="I622" s="72">
        <f>'DHS25'!E619/1000</f>
        <v>8.0860000000000003</v>
      </c>
      <c r="J622" s="109">
        <f>predikcia!R620</f>
        <v>143.13</v>
      </c>
      <c r="K622" s="92">
        <f t="shared" si="9"/>
        <v>1130.4122881999999</v>
      </c>
      <c r="M622" s="112">
        <v>6</v>
      </c>
      <c r="N622" s="111">
        <v>8</v>
      </c>
    </row>
    <row r="623" spans="3:14" ht="13.5" thickBot="1">
      <c r="C623" s="87">
        <f>predikcia!A621</f>
        <v>45683</v>
      </c>
      <c r="D623" s="88" t="str">
        <f>predikcia!B621</f>
        <v>18:00:00</v>
      </c>
      <c r="E623" s="81">
        <f>predikcia!G621</f>
        <v>17892.25</v>
      </c>
      <c r="F623" s="70">
        <f>'DHS25'!C620</f>
        <v>15082</v>
      </c>
      <c r="G623" s="71">
        <f>'DHS25'!D620</f>
        <v>9871</v>
      </c>
      <c r="H623" s="106">
        <v>8</v>
      </c>
      <c r="I623" s="72">
        <f>'DHS25'!E620/1000</f>
        <v>8.077</v>
      </c>
      <c r="J623" s="109">
        <f>predikcia!R621</f>
        <v>129.46</v>
      </c>
      <c r="K623" s="92">
        <f t="shared" si="9"/>
        <v>1019.8456358</v>
      </c>
      <c r="M623" s="112">
        <v>6</v>
      </c>
      <c r="N623" s="111">
        <v>6</v>
      </c>
    </row>
    <row r="624" spans="3:14" ht="13.5" thickBot="1">
      <c r="C624" s="87">
        <f>predikcia!A622</f>
        <v>45683</v>
      </c>
      <c r="D624" s="88" t="str">
        <f>predikcia!B622</f>
        <v>19:00:00</v>
      </c>
      <c r="E624" s="81">
        <f>predikcia!G622</f>
        <v>17917.25</v>
      </c>
      <c r="F624" s="70">
        <f>'DHS25'!C621</f>
        <v>15212</v>
      </c>
      <c r="G624" s="71">
        <f>'DHS25'!D621</f>
        <v>9075</v>
      </c>
      <c r="H624" s="106">
        <v>8</v>
      </c>
      <c r="I624" s="72">
        <f>'DHS25'!E621/1000</f>
        <v>8.0619999999999994</v>
      </c>
      <c r="J624" s="109">
        <f>predikcia!R622</f>
        <v>135.32</v>
      </c>
      <c r="K624" s="92">
        <f t="shared" si="9"/>
        <v>1064.7225415999997</v>
      </c>
      <c r="M624" s="112">
        <v>6</v>
      </c>
      <c r="N624" s="111">
        <v>8</v>
      </c>
    </row>
    <row r="625" spans="3:14" ht="13.5" thickBot="1">
      <c r="C625" s="87">
        <f>predikcia!A623</f>
        <v>45683</v>
      </c>
      <c r="D625" s="88" t="str">
        <f>predikcia!B623</f>
        <v>20:00:00</v>
      </c>
      <c r="E625" s="81">
        <f>predikcia!G623</f>
        <v>17818</v>
      </c>
      <c r="F625" s="70">
        <f>'DHS25'!C622</f>
        <v>18063</v>
      </c>
      <c r="G625" s="71">
        <f>'DHS25'!D622</f>
        <v>4082</v>
      </c>
      <c r="H625" s="106">
        <v>6</v>
      </c>
      <c r="I625" s="72">
        <f>'DHS25'!E622/1000</f>
        <v>6.9130000000000003</v>
      </c>
      <c r="J625" s="109">
        <f>predikcia!R623</f>
        <v>121.83</v>
      </c>
      <c r="K625" s="92">
        <f t="shared" si="9"/>
        <v>820.65398210000001</v>
      </c>
      <c r="M625" s="112">
        <v>6</v>
      </c>
      <c r="N625" s="111">
        <v>6</v>
      </c>
    </row>
    <row r="626" spans="3:14" ht="13.5" thickBot="1">
      <c r="C626" s="87">
        <f>predikcia!A624</f>
        <v>45683</v>
      </c>
      <c r="D626" s="88" t="str">
        <f>predikcia!B624</f>
        <v>21:00:00</v>
      </c>
      <c r="E626" s="81">
        <f>predikcia!G624</f>
        <v>17890</v>
      </c>
      <c r="F626" s="70">
        <f>'DHS25'!C623</f>
        <v>15778</v>
      </c>
      <c r="G626" s="71">
        <f>'DHS25'!D623</f>
        <v>1583</v>
      </c>
      <c r="H626" s="106">
        <v>6</v>
      </c>
      <c r="I626" s="72">
        <f>'DHS25'!E623/1000</f>
        <v>6.0419999999999998</v>
      </c>
      <c r="J626" s="109">
        <f>predikcia!R624</f>
        <v>111.68</v>
      </c>
      <c r="K626" s="92">
        <f t="shared" si="9"/>
        <v>656.54305439999996</v>
      </c>
      <c r="M626" s="112">
        <v>6</v>
      </c>
      <c r="N626" s="111">
        <v>6</v>
      </c>
    </row>
    <row r="627" spans="3:14" ht="13.5" thickBot="1">
      <c r="C627" s="87">
        <f>predikcia!A625</f>
        <v>45683</v>
      </c>
      <c r="D627" s="88" t="str">
        <f>predikcia!B625</f>
        <v>22:00:00</v>
      </c>
      <c r="E627" s="81">
        <f>predikcia!G625</f>
        <v>15791.5</v>
      </c>
      <c r="F627" s="70">
        <f>'DHS25'!C624</f>
        <v>11623</v>
      </c>
      <c r="G627" s="71">
        <f>'DHS25'!D624</f>
        <v>2584</v>
      </c>
      <c r="H627" s="106">
        <v>5</v>
      </c>
      <c r="I627" s="72">
        <f>'DHS25'!E624/1000</f>
        <v>5.0540000000000003</v>
      </c>
      <c r="J627" s="109">
        <f>predikcia!R625</f>
        <v>92.96</v>
      </c>
      <c r="K627" s="92">
        <f t="shared" si="9"/>
        <v>455.51904159999992</v>
      </c>
      <c r="M627" s="112">
        <v>5</v>
      </c>
      <c r="N627" s="111">
        <v>5</v>
      </c>
    </row>
    <row r="628" spans="3:14" ht="13.5" thickBot="1">
      <c r="C628" s="89">
        <f>predikcia!A626</f>
        <v>45683</v>
      </c>
      <c r="D628" s="90" t="str">
        <f>predikcia!B626</f>
        <v>23:00:00</v>
      </c>
      <c r="E628" s="84">
        <f>predikcia!G626</f>
        <v>8528.75</v>
      </c>
      <c r="F628" s="73">
        <f>'DHS25'!C625</f>
        <v>6363</v>
      </c>
      <c r="G628" s="64">
        <f>'DHS25'!D625</f>
        <v>6651</v>
      </c>
      <c r="H628" s="107">
        <v>4</v>
      </c>
      <c r="I628" s="74">
        <f>'DHS25'!E625/1000</f>
        <v>4.1900000000000004</v>
      </c>
      <c r="J628" s="109">
        <f>predikcia!R626</f>
        <v>77</v>
      </c>
      <c r="K628" s="92">
        <f t="shared" si="9"/>
        <v>311.4427</v>
      </c>
      <c r="M628" s="112">
        <v>4</v>
      </c>
      <c r="N628" s="111">
        <v>4</v>
      </c>
    </row>
    <row r="629" spans="3:14" ht="13.5" thickBot="1">
      <c r="C629" s="76">
        <f>predikcia!A627</f>
        <v>45684</v>
      </c>
      <c r="D629" s="77" t="str">
        <f>predikcia!B627</f>
        <v>00:00:00</v>
      </c>
      <c r="E629" s="78">
        <f>predikcia!G627</f>
        <v>9176.5</v>
      </c>
      <c r="F629" s="68">
        <f>'DHS25'!C626</f>
        <v>6362</v>
      </c>
      <c r="G629" s="63">
        <f>'DHS25'!D626</f>
        <v>6429</v>
      </c>
      <c r="H629" s="105">
        <v>4</v>
      </c>
      <c r="I629" s="69">
        <f>'DHS25'!E626/1000</f>
        <v>4.0430000000000001</v>
      </c>
      <c r="J629" s="109">
        <f>predikcia!R627</f>
        <v>62.09</v>
      </c>
      <c r="K629" s="92">
        <f t="shared" si="9"/>
        <v>240.83787130000005</v>
      </c>
      <c r="M629" s="112">
        <v>4</v>
      </c>
      <c r="N629" s="111">
        <v>4</v>
      </c>
    </row>
    <row r="630" spans="3:14" ht="13.5" thickBot="1">
      <c r="C630" s="79">
        <f>predikcia!A628</f>
        <v>45684</v>
      </c>
      <c r="D630" s="80" t="str">
        <f>predikcia!B628</f>
        <v>01:00:00</v>
      </c>
      <c r="E630" s="81">
        <f>predikcia!G628</f>
        <v>10541</v>
      </c>
      <c r="F630" s="70">
        <f>'DHS25'!C627</f>
        <v>7461</v>
      </c>
      <c r="G630" s="71">
        <f>'DHS25'!D627</f>
        <v>5249</v>
      </c>
      <c r="H630" s="106">
        <v>4</v>
      </c>
      <c r="I630" s="72">
        <f>'DHS25'!E627/1000</f>
        <v>4.048</v>
      </c>
      <c r="J630" s="109">
        <f>predikcia!R628</f>
        <v>57.28</v>
      </c>
      <c r="K630" s="92">
        <f t="shared" si="9"/>
        <v>221.85954560000002</v>
      </c>
      <c r="M630" s="112">
        <v>4</v>
      </c>
      <c r="N630" s="111">
        <v>4</v>
      </c>
    </row>
    <row r="631" spans="3:14" ht="13.5" thickBot="1">
      <c r="C631" s="79">
        <f>predikcia!A629</f>
        <v>45684</v>
      </c>
      <c r="D631" s="80" t="str">
        <f>predikcia!B629</f>
        <v>02:00:00</v>
      </c>
      <c r="E631" s="81">
        <f>predikcia!G629</f>
        <v>11425.5</v>
      </c>
      <c r="F631" s="70">
        <f>'DHS25'!C628</f>
        <v>7068</v>
      </c>
      <c r="G631" s="71">
        <f>'DHS25'!D628</f>
        <v>5700</v>
      </c>
      <c r="H631" s="106">
        <v>4</v>
      </c>
      <c r="I631" s="72">
        <f>'DHS25'!E628/1000</f>
        <v>4.0339999999999998</v>
      </c>
      <c r="J631" s="109">
        <f>predikcia!R629</f>
        <v>38.520000000000003</v>
      </c>
      <c r="K631" s="92">
        <f t="shared" si="9"/>
        <v>146.17118320000003</v>
      </c>
      <c r="M631" s="112">
        <v>4</v>
      </c>
      <c r="N631" s="111">
        <v>4</v>
      </c>
    </row>
    <row r="632" spans="3:14" ht="13.5" thickBot="1">
      <c r="C632" s="79">
        <f>predikcia!A630</f>
        <v>45684</v>
      </c>
      <c r="D632" s="80" t="str">
        <f>predikcia!B630</f>
        <v>03:00:00</v>
      </c>
      <c r="E632" s="81">
        <f>predikcia!G630</f>
        <v>13352</v>
      </c>
      <c r="F632" s="70">
        <f>'DHS25'!C629</f>
        <v>8026</v>
      </c>
      <c r="G632" s="71">
        <f>'DHS25'!D629</f>
        <v>9210</v>
      </c>
      <c r="H632" s="106">
        <v>5</v>
      </c>
      <c r="I632" s="72">
        <f>'DHS25'!E629/1000</f>
        <v>5.0730000000000004</v>
      </c>
      <c r="J632" s="109">
        <f>predikcia!R630</f>
        <v>30.97</v>
      </c>
      <c r="K632" s="92">
        <f t="shared" si="9"/>
        <v>145.90100190000001</v>
      </c>
      <c r="M632" s="112">
        <v>5</v>
      </c>
      <c r="N632" s="111">
        <v>5</v>
      </c>
    </row>
    <row r="633" spans="3:14" ht="13.5" thickBot="1">
      <c r="C633" s="79">
        <f>predikcia!A631</f>
        <v>45684</v>
      </c>
      <c r="D633" s="80" t="str">
        <f>predikcia!B631</f>
        <v>04:00:00</v>
      </c>
      <c r="E633" s="81">
        <f>predikcia!G631</f>
        <v>19479</v>
      </c>
      <c r="F633" s="70">
        <f>'DHS25'!C630</f>
        <v>17896</v>
      </c>
      <c r="G633" s="71">
        <f>'DHS25'!D630</f>
        <v>1076</v>
      </c>
      <c r="H633" s="106">
        <v>6</v>
      </c>
      <c r="I633" s="72">
        <f>'DHS25'!E630/1000</f>
        <v>5.9089999999999998</v>
      </c>
      <c r="J633" s="109">
        <f>predikcia!R631</f>
        <v>49.49</v>
      </c>
      <c r="K633" s="92">
        <f t="shared" si="9"/>
        <v>278.28494590000003</v>
      </c>
      <c r="M633" s="112">
        <v>6</v>
      </c>
      <c r="N633" s="111">
        <v>6</v>
      </c>
    </row>
    <row r="634" spans="3:14" ht="13.5" thickBot="1">
      <c r="C634" s="79">
        <f>predikcia!A632</f>
        <v>45684</v>
      </c>
      <c r="D634" s="80" t="str">
        <f>predikcia!B632</f>
        <v>05:00:00</v>
      </c>
      <c r="E634" s="81">
        <f>predikcia!G632</f>
        <v>19609.5</v>
      </c>
      <c r="F634" s="70">
        <f>'DHS25'!C631</f>
        <v>17918</v>
      </c>
      <c r="G634" s="71">
        <f>'DHS25'!D631</f>
        <v>2827</v>
      </c>
      <c r="H634" s="106">
        <v>8</v>
      </c>
      <c r="I634" s="72">
        <f>'DHS25'!E631/1000</f>
        <v>6.9480000000000004</v>
      </c>
      <c r="J634" s="109">
        <f>predikcia!R632</f>
        <v>149.24</v>
      </c>
      <c r="K634" s="92">
        <f t="shared" si="9"/>
        <v>1013.3491248</v>
      </c>
      <c r="M634" s="112">
        <v>6</v>
      </c>
      <c r="N634" s="111">
        <v>8</v>
      </c>
    </row>
    <row r="635" spans="3:14" ht="13.5" thickBot="1">
      <c r="C635" s="79">
        <f>predikcia!A633</f>
        <v>45684</v>
      </c>
      <c r="D635" s="80" t="str">
        <f>predikcia!B633</f>
        <v>06:00:00</v>
      </c>
      <c r="E635" s="81">
        <f>predikcia!G633</f>
        <v>19865.75</v>
      </c>
      <c r="F635" s="70">
        <f>'DHS25'!C632</f>
        <v>17301</v>
      </c>
      <c r="G635" s="71">
        <f>'DHS25'!D632</f>
        <v>6525</v>
      </c>
      <c r="H635" s="106">
        <v>8</v>
      </c>
      <c r="I635" s="72">
        <f>'DHS25'!E632/1000</f>
        <v>8.0440000000000005</v>
      </c>
      <c r="J635" s="109">
        <f>predikcia!R633</f>
        <v>159.78</v>
      </c>
      <c r="K635" s="92">
        <f t="shared" si="9"/>
        <v>1257.1340167999999</v>
      </c>
      <c r="M635" s="112">
        <v>6</v>
      </c>
      <c r="N635" s="111">
        <v>8</v>
      </c>
    </row>
    <row r="636" spans="3:14" ht="13.5" thickBot="1">
      <c r="C636" s="79">
        <f>predikcia!A634</f>
        <v>45684</v>
      </c>
      <c r="D636" s="80" t="str">
        <f>predikcia!B634</f>
        <v>07:00:00</v>
      </c>
      <c r="E636" s="81">
        <f>predikcia!G634</f>
        <v>18317.25</v>
      </c>
      <c r="F636" s="70">
        <f>'DHS25'!C633</f>
        <v>17814</v>
      </c>
      <c r="G636" s="71">
        <f>'DHS25'!D633</f>
        <v>6807</v>
      </c>
      <c r="H636" s="106">
        <v>8</v>
      </c>
      <c r="I636" s="72">
        <f>'DHS25'!E633/1000</f>
        <v>8.0660000000000007</v>
      </c>
      <c r="J636" s="109">
        <f>predikcia!R634</f>
        <v>189.05</v>
      </c>
      <c r="K636" s="92">
        <f t="shared" si="9"/>
        <v>1494.3031270000001</v>
      </c>
      <c r="M636" s="112">
        <v>6</v>
      </c>
      <c r="N636" s="111">
        <v>8</v>
      </c>
    </row>
    <row r="637" spans="3:14" ht="13.5" thickBot="1">
      <c r="C637" s="79">
        <f>predikcia!A635</f>
        <v>45684</v>
      </c>
      <c r="D637" s="80" t="str">
        <f>predikcia!B635</f>
        <v>08:00:00</v>
      </c>
      <c r="E637" s="81">
        <f>predikcia!G635</f>
        <v>18675.25</v>
      </c>
      <c r="F637" s="70">
        <f>'DHS25'!C634</f>
        <v>16483</v>
      </c>
      <c r="G637" s="71">
        <f>'DHS25'!D634</f>
        <v>7968</v>
      </c>
      <c r="H637" s="106">
        <v>8</v>
      </c>
      <c r="I637" s="72">
        <f>'DHS25'!E634/1000</f>
        <v>8.0779999999999994</v>
      </c>
      <c r="J637" s="109">
        <f>predikcia!R635</f>
        <v>161.61000000000001</v>
      </c>
      <c r="K637" s="92">
        <f t="shared" si="9"/>
        <v>1277.0825242000001</v>
      </c>
      <c r="M637" s="112">
        <v>6</v>
      </c>
      <c r="N637" s="111">
        <v>8</v>
      </c>
    </row>
    <row r="638" spans="3:14" ht="13.5" thickBot="1">
      <c r="C638" s="79">
        <f>predikcia!A636</f>
        <v>45684</v>
      </c>
      <c r="D638" s="80" t="str">
        <f>predikcia!B636</f>
        <v>09:00:00</v>
      </c>
      <c r="E638" s="81">
        <f>predikcia!G636</f>
        <v>17971.25</v>
      </c>
      <c r="F638" s="70">
        <f>'DHS25'!C635</f>
        <v>15083</v>
      </c>
      <c r="G638" s="71">
        <f>'DHS25'!D635</f>
        <v>9824</v>
      </c>
      <c r="H638" s="106">
        <v>8</v>
      </c>
      <c r="I638" s="72">
        <f>'DHS25'!E635/1000</f>
        <v>8.0679999999999996</v>
      </c>
      <c r="J638" s="109">
        <f>predikcia!R636</f>
        <v>130.33000000000001</v>
      </c>
      <c r="K638" s="92">
        <f t="shared" si="9"/>
        <v>1025.6582155999999</v>
      </c>
      <c r="M638" s="112">
        <v>6</v>
      </c>
      <c r="N638" s="111">
        <v>8</v>
      </c>
    </row>
    <row r="639" spans="3:14" ht="13.5" thickBot="1">
      <c r="C639" s="79">
        <f>predikcia!A637</f>
        <v>45684</v>
      </c>
      <c r="D639" s="80" t="str">
        <f>predikcia!B637</f>
        <v>10:00:00</v>
      </c>
      <c r="E639" s="81">
        <f>predikcia!G637</f>
        <v>16430.5</v>
      </c>
      <c r="F639" s="70">
        <f>'DHS25'!C636</f>
        <v>17188</v>
      </c>
      <c r="G639" s="71">
        <f>'DHS25'!D636</f>
        <v>4813</v>
      </c>
      <c r="H639" s="106">
        <v>6</v>
      </c>
      <c r="I639" s="72">
        <f>'DHS25'!E636/1000</f>
        <v>7.0140000000000002</v>
      </c>
      <c r="J639" s="109">
        <f>predikcia!R637</f>
        <v>99.15</v>
      </c>
      <c r="K639" s="92">
        <f t="shared" si="9"/>
        <v>675.15711899999997</v>
      </c>
      <c r="M639" s="112">
        <v>6</v>
      </c>
      <c r="N639" s="111">
        <v>6</v>
      </c>
    </row>
    <row r="640" spans="3:14" ht="13.5" thickBot="1">
      <c r="C640" s="79">
        <f>predikcia!A638</f>
        <v>45684</v>
      </c>
      <c r="D640" s="80" t="str">
        <f>predikcia!B638</f>
        <v>11:00:00</v>
      </c>
      <c r="E640" s="81">
        <f>predikcia!G638</f>
        <v>16196.5</v>
      </c>
      <c r="F640" s="70">
        <f>'DHS25'!C637</f>
        <v>15494</v>
      </c>
      <c r="G640" s="71">
        <f>'DHS25'!D637</f>
        <v>3173</v>
      </c>
      <c r="H640" s="106">
        <v>6</v>
      </c>
      <c r="I640" s="72">
        <f>'DHS25'!E637/1000</f>
        <v>6.0659999999999998</v>
      </c>
      <c r="J640" s="109">
        <f>predikcia!R638</f>
        <v>95.78</v>
      </c>
      <c r="K640" s="92">
        <f t="shared" si="9"/>
        <v>563.66606519999993</v>
      </c>
      <c r="M640" s="112">
        <v>6</v>
      </c>
      <c r="N640" s="111">
        <v>6</v>
      </c>
    </row>
    <row r="641" spans="3:14" ht="13.5" thickBot="1">
      <c r="C641" s="79">
        <f>predikcia!A639</f>
        <v>45684</v>
      </c>
      <c r="D641" s="80" t="str">
        <f>predikcia!B639</f>
        <v>12:00:00</v>
      </c>
      <c r="E641" s="81">
        <f>predikcia!G639</f>
        <v>16019.5</v>
      </c>
      <c r="F641" s="70">
        <f>'DHS25'!C638</f>
        <v>14009</v>
      </c>
      <c r="G641" s="71">
        <f>'DHS25'!D638</f>
        <v>4412</v>
      </c>
      <c r="H641" s="106">
        <v>6</v>
      </c>
      <c r="I641" s="72">
        <f>'DHS25'!E638/1000</f>
        <v>6.0549999999999997</v>
      </c>
      <c r="J641" s="109">
        <f>predikcia!R639</f>
        <v>94</v>
      </c>
      <c r="K641" s="92">
        <f t="shared" si="9"/>
        <v>551.97379999999998</v>
      </c>
      <c r="M641" s="112">
        <v>6</v>
      </c>
      <c r="N641" s="111">
        <v>6</v>
      </c>
    </row>
    <row r="642" spans="3:14" ht="13.5" thickBot="1">
      <c r="C642" s="79">
        <f>predikcia!A640</f>
        <v>45684</v>
      </c>
      <c r="D642" s="80" t="str">
        <f>predikcia!B640</f>
        <v>13:00:00</v>
      </c>
      <c r="E642" s="81">
        <f>predikcia!G640</f>
        <v>15787.25</v>
      </c>
      <c r="F642" s="70">
        <f>'DHS25'!C639</f>
        <v>13096</v>
      </c>
      <c r="G642" s="71">
        <f>'DHS25'!D639</f>
        <v>2679</v>
      </c>
      <c r="H642" s="106">
        <v>5</v>
      </c>
      <c r="I642" s="72">
        <f>'DHS25'!E639/1000</f>
        <v>5.0940000000000003</v>
      </c>
      <c r="J642" s="109">
        <f>predikcia!R640</f>
        <v>103.06</v>
      </c>
      <c r="K642" s="92">
        <f t="shared" si="9"/>
        <v>510.05916359999998</v>
      </c>
      <c r="M642" s="112">
        <v>5</v>
      </c>
      <c r="N642" s="111">
        <v>5</v>
      </c>
    </row>
    <row r="643" spans="3:14" ht="13.5" thickBot="1">
      <c r="C643" s="79">
        <f>predikcia!A641</f>
        <v>45684</v>
      </c>
      <c r="D643" s="80" t="str">
        <f>predikcia!B641</f>
        <v>14:00:00</v>
      </c>
      <c r="E643" s="81">
        <f>predikcia!G641</f>
        <v>16033.25</v>
      </c>
      <c r="F643" s="70">
        <f>'DHS25'!C640</f>
        <v>12970</v>
      </c>
      <c r="G643" s="71">
        <f>'DHS25'!D640</f>
        <v>11339</v>
      </c>
      <c r="H643" s="106">
        <v>8</v>
      </c>
      <c r="I643" s="72">
        <f>'DHS25'!E640/1000</f>
        <v>8.0060000000000002</v>
      </c>
      <c r="J643" s="109">
        <f>predikcia!R641</f>
        <v>131.66999999999999</v>
      </c>
      <c r="K643" s="92">
        <f t="shared" si="9"/>
        <v>1028.3971197999999</v>
      </c>
      <c r="M643" s="112">
        <v>6</v>
      </c>
      <c r="N643" s="111">
        <v>8</v>
      </c>
    </row>
    <row r="644" spans="3:14" ht="13.5" thickBot="1">
      <c r="C644" s="79">
        <f>predikcia!A642</f>
        <v>45684</v>
      </c>
      <c r="D644" s="80" t="str">
        <f>predikcia!B642</f>
        <v>15:00:00</v>
      </c>
      <c r="E644" s="81">
        <f>predikcia!G642</f>
        <v>17049.25</v>
      </c>
      <c r="F644" s="70">
        <f>'DHS25'!C641</f>
        <v>13182</v>
      </c>
      <c r="G644" s="71">
        <f>'DHS25'!D641</f>
        <v>10451</v>
      </c>
      <c r="H644" s="106">
        <v>8</v>
      </c>
      <c r="I644" s="72">
        <f>'DHS25'!E641/1000</f>
        <v>8.0589999999999993</v>
      </c>
      <c r="J644" s="109">
        <f>predikcia!R642</f>
        <v>147.11000000000001</v>
      </c>
      <c r="K644" s="92">
        <f t="shared" si="9"/>
        <v>1158.3917950999999</v>
      </c>
      <c r="M644" s="112">
        <v>6</v>
      </c>
      <c r="N644" s="111">
        <v>8</v>
      </c>
    </row>
    <row r="645" spans="3:14" ht="13.5" thickBot="1">
      <c r="C645" s="79">
        <f>predikcia!A643</f>
        <v>45684</v>
      </c>
      <c r="D645" s="80" t="str">
        <f>predikcia!B643</f>
        <v>16:00:00</v>
      </c>
      <c r="E645" s="81">
        <f>predikcia!G643</f>
        <v>16415.75</v>
      </c>
      <c r="F645" s="70">
        <f>'DHS25'!C642</f>
        <v>14406</v>
      </c>
      <c r="G645" s="71">
        <f>'DHS25'!D642</f>
        <v>9099</v>
      </c>
      <c r="H645" s="106">
        <v>8</v>
      </c>
      <c r="I645" s="72">
        <f>'DHS25'!E642/1000</f>
        <v>8.0630000000000006</v>
      </c>
      <c r="J645" s="109">
        <f>predikcia!R643</f>
        <v>212.22</v>
      </c>
      <c r="K645" s="92">
        <f t="shared" si="9"/>
        <v>1678.6988614000002</v>
      </c>
      <c r="M645" s="112">
        <v>6</v>
      </c>
      <c r="N645" s="111">
        <v>8</v>
      </c>
    </row>
    <row r="646" spans="3:14" ht="13.5" thickBot="1">
      <c r="C646" s="79">
        <f>predikcia!A644</f>
        <v>45684</v>
      </c>
      <c r="D646" s="80" t="str">
        <f>predikcia!B644</f>
        <v>17:00:00</v>
      </c>
      <c r="E646" s="81">
        <f>predikcia!G644</f>
        <v>16511.5</v>
      </c>
      <c r="F646" s="70">
        <f>'DHS25'!C643</f>
        <v>12853</v>
      </c>
      <c r="G646" s="71">
        <f>'DHS25'!D643</f>
        <v>11418</v>
      </c>
      <c r="H646" s="106">
        <v>8</v>
      </c>
      <c r="I646" s="72">
        <f>'DHS25'!E643/1000</f>
        <v>8.0549999999999997</v>
      </c>
      <c r="J646" s="109">
        <f>predikcia!R644</f>
        <v>206.49</v>
      </c>
      <c r="K646" s="92">
        <f t="shared" ref="K646:K709" si="10">(J646*0.99-1.9)*I646</f>
        <v>1631.3396805</v>
      </c>
      <c r="M646" s="112">
        <v>6</v>
      </c>
      <c r="N646" s="111">
        <v>8</v>
      </c>
    </row>
    <row r="647" spans="3:14" ht="13.5" thickBot="1">
      <c r="C647" s="79">
        <f>predikcia!A645</f>
        <v>45684</v>
      </c>
      <c r="D647" s="80" t="str">
        <f>predikcia!B645</f>
        <v>18:00:00</v>
      </c>
      <c r="E647" s="81">
        <f>predikcia!G645</f>
        <v>17140.75</v>
      </c>
      <c r="F647" s="70">
        <f>'DHS25'!C644</f>
        <v>13048</v>
      </c>
      <c r="G647" s="71">
        <f>'DHS25'!D644</f>
        <v>11078</v>
      </c>
      <c r="H647" s="106">
        <v>8</v>
      </c>
      <c r="I647" s="72">
        <f>'DHS25'!E644/1000</f>
        <v>8.06</v>
      </c>
      <c r="J647" s="109">
        <f>predikcia!R645</f>
        <v>217.63</v>
      </c>
      <c r="K647" s="92">
        <f t="shared" si="10"/>
        <v>1721.2428219999999</v>
      </c>
      <c r="M647" s="112">
        <v>6</v>
      </c>
      <c r="N647" s="111">
        <v>8</v>
      </c>
    </row>
    <row r="648" spans="3:14" ht="13.5" thickBot="1">
      <c r="C648" s="79">
        <f>predikcia!A646</f>
        <v>45684</v>
      </c>
      <c r="D648" s="80" t="str">
        <f>predikcia!B646</f>
        <v>19:00:00</v>
      </c>
      <c r="E648" s="81">
        <f>predikcia!G646</f>
        <v>16611.75</v>
      </c>
      <c r="F648" s="70">
        <f>'DHS25'!C645</f>
        <v>14078</v>
      </c>
      <c r="G648" s="71">
        <f>'DHS25'!D645</f>
        <v>10347</v>
      </c>
      <c r="H648" s="106">
        <v>8</v>
      </c>
      <c r="I648" s="72">
        <f>'DHS25'!E645/1000</f>
        <v>8.06</v>
      </c>
      <c r="J648" s="109">
        <f>predikcia!R646</f>
        <v>212.05</v>
      </c>
      <c r="K648" s="92">
        <f t="shared" si="10"/>
        <v>1676.7177700000002</v>
      </c>
      <c r="M648" s="112">
        <v>6</v>
      </c>
      <c r="N648" s="111">
        <v>8</v>
      </c>
    </row>
    <row r="649" spans="3:14" ht="13.5" thickBot="1">
      <c r="C649" s="79">
        <f>predikcia!A647</f>
        <v>45684</v>
      </c>
      <c r="D649" s="80" t="str">
        <f>predikcia!B647</f>
        <v>20:00:00</v>
      </c>
      <c r="E649" s="81">
        <f>predikcia!G647</f>
        <v>16341</v>
      </c>
      <c r="F649" s="70">
        <f>'DHS25'!C646</f>
        <v>14959</v>
      </c>
      <c r="G649" s="71">
        <f>'DHS25'!D646</f>
        <v>9207</v>
      </c>
      <c r="H649" s="106">
        <v>8</v>
      </c>
      <c r="I649" s="72">
        <f>'DHS25'!E646/1000</f>
        <v>8.0429999999999993</v>
      </c>
      <c r="J649" s="109">
        <f>predikcia!R647</f>
        <v>188.23</v>
      </c>
      <c r="K649" s="92">
        <f t="shared" si="10"/>
        <v>1483.5128510999996</v>
      </c>
      <c r="M649" s="112">
        <v>6</v>
      </c>
      <c r="N649" s="111">
        <v>8</v>
      </c>
    </row>
    <row r="650" spans="3:14" ht="13.5" thickBot="1">
      <c r="C650" s="79">
        <f>predikcia!A648</f>
        <v>45684</v>
      </c>
      <c r="D650" s="80" t="str">
        <f>predikcia!B648</f>
        <v>21:00:00</v>
      </c>
      <c r="E650" s="81">
        <f>predikcia!G648</f>
        <v>16414.75</v>
      </c>
      <c r="F650" s="70">
        <f>'DHS25'!C647</f>
        <v>15675</v>
      </c>
      <c r="G650" s="71">
        <f>'DHS25'!D647</f>
        <v>6430</v>
      </c>
      <c r="H650" s="106">
        <v>6</v>
      </c>
      <c r="I650" s="72">
        <f>'DHS25'!E647/1000</f>
        <v>7.4189999999999996</v>
      </c>
      <c r="J650" s="109">
        <f>predikcia!R648</f>
        <v>162.16999999999999</v>
      </c>
      <c r="K650" s="92">
        <f t="shared" si="10"/>
        <v>1177.0117376999997</v>
      </c>
      <c r="M650" s="112">
        <v>6</v>
      </c>
      <c r="N650" s="111">
        <v>6</v>
      </c>
    </row>
    <row r="651" spans="3:14" ht="13.5" thickBot="1">
      <c r="C651" s="79">
        <f>predikcia!A649</f>
        <v>45684</v>
      </c>
      <c r="D651" s="80" t="str">
        <f>predikcia!B649</f>
        <v>22:00:00</v>
      </c>
      <c r="E651" s="81">
        <f>predikcia!G649</f>
        <v>15129.5</v>
      </c>
      <c r="F651" s="70">
        <f>'DHS25'!C648</f>
        <v>13368</v>
      </c>
      <c r="G651" s="71">
        <f>'DHS25'!D648</f>
        <v>2695</v>
      </c>
      <c r="H651" s="106">
        <v>5</v>
      </c>
      <c r="I651" s="72">
        <f>'DHS25'!E648/1000</f>
        <v>5.0670000000000002</v>
      </c>
      <c r="J651" s="109">
        <f>predikcia!R649</f>
        <v>130.37</v>
      </c>
      <c r="K651" s="92">
        <f t="shared" si="10"/>
        <v>644.35164210000005</v>
      </c>
      <c r="M651" s="112">
        <v>5</v>
      </c>
      <c r="N651" s="111">
        <v>5</v>
      </c>
    </row>
    <row r="652" spans="3:14" ht="13.5" thickBot="1">
      <c r="C652" s="82">
        <f>predikcia!A650</f>
        <v>45684</v>
      </c>
      <c r="D652" s="83" t="str">
        <f>predikcia!B650</f>
        <v>23:00:00</v>
      </c>
      <c r="E652" s="84">
        <f>predikcia!G650</f>
        <v>7510</v>
      </c>
      <c r="F652" s="73">
        <f>'DHS25'!C649</f>
        <v>7134</v>
      </c>
      <c r="G652" s="64">
        <f>'DHS25'!D649</f>
        <v>6511</v>
      </c>
      <c r="H652" s="107">
        <v>3</v>
      </c>
      <c r="I652" s="74">
        <f>'DHS25'!E649/1000</f>
        <v>3.9529999999999998</v>
      </c>
      <c r="J652" s="109">
        <f>predikcia!R650</f>
        <v>95.17</v>
      </c>
      <c r="K652" s="92">
        <f t="shared" si="10"/>
        <v>364.93423989999997</v>
      </c>
      <c r="M652" s="112">
        <v>3</v>
      </c>
      <c r="N652" s="111">
        <v>3</v>
      </c>
    </row>
    <row r="653" spans="3:14" ht="13.5" thickBot="1">
      <c r="C653" s="85">
        <f>predikcia!A651</f>
        <v>45685</v>
      </c>
      <c r="D653" s="86" t="str">
        <f>predikcia!B651</f>
        <v>00:00:00</v>
      </c>
      <c r="E653" s="78">
        <f>predikcia!G651</f>
        <v>8005.75</v>
      </c>
      <c r="F653" s="68">
        <f>'DHS25'!C650</f>
        <v>7538</v>
      </c>
      <c r="G653" s="63">
        <f>'DHS25'!D650</f>
        <v>6939</v>
      </c>
      <c r="H653" s="105">
        <v>4</v>
      </c>
      <c r="I653" s="69">
        <f>'DHS25'!E650/1000</f>
        <v>4.0170000000000003</v>
      </c>
      <c r="J653" s="109">
        <f>predikcia!R651</f>
        <v>115.72</v>
      </c>
      <c r="K653" s="92">
        <f t="shared" si="10"/>
        <v>452.56646760000001</v>
      </c>
      <c r="M653" s="112">
        <v>4</v>
      </c>
      <c r="N653" s="111">
        <v>4</v>
      </c>
    </row>
    <row r="654" spans="3:14" ht="13.5" thickBot="1">
      <c r="C654" s="87">
        <f>predikcia!A652</f>
        <v>45685</v>
      </c>
      <c r="D654" s="88" t="str">
        <f>predikcia!B652</f>
        <v>01:00:00</v>
      </c>
      <c r="E654" s="81">
        <f>predikcia!G652</f>
        <v>9646</v>
      </c>
      <c r="F654" s="70">
        <f>'DHS25'!C651</f>
        <v>8131</v>
      </c>
      <c r="G654" s="71">
        <f>'DHS25'!D651</f>
        <v>5310</v>
      </c>
      <c r="H654" s="106">
        <v>4</v>
      </c>
      <c r="I654" s="72">
        <f>'DHS25'!E651/1000</f>
        <v>4.048</v>
      </c>
      <c r="J654" s="109">
        <f>predikcia!R652</f>
        <v>82.04</v>
      </c>
      <c r="K654" s="92">
        <f t="shared" si="10"/>
        <v>321.0857408</v>
      </c>
      <c r="M654" s="112">
        <v>4</v>
      </c>
      <c r="N654" s="111">
        <v>4</v>
      </c>
    </row>
    <row r="655" spans="3:14" ht="13.5" thickBot="1">
      <c r="C655" s="87">
        <f>predikcia!A653</f>
        <v>45685</v>
      </c>
      <c r="D655" s="88" t="str">
        <f>predikcia!B653</f>
        <v>02:00:00</v>
      </c>
      <c r="E655" s="81">
        <f>predikcia!G653</f>
        <v>10803</v>
      </c>
      <c r="F655" s="70">
        <f>'DHS25'!C652</f>
        <v>6850</v>
      </c>
      <c r="G655" s="71">
        <f>'DHS25'!D652</f>
        <v>6456</v>
      </c>
      <c r="H655" s="106">
        <v>4</v>
      </c>
      <c r="I655" s="72">
        <f>'DHS25'!E652/1000</f>
        <v>4.0529999999999999</v>
      </c>
      <c r="J655" s="109">
        <f>predikcia!R653</f>
        <v>88.18</v>
      </c>
      <c r="K655" s="92">
        <f t="shared" si="10"/>
        <v>346.11890460000001</v>
      </c>
      <c r="M655" s="112">
        <v>4</v>
      </c>
      <c r="N655" s="111">
        <v>4</v>
      </c>
    </row>
    <row r="656" spans="3:14" ht="13.5" thickBot="1">
      <c r="C656" s="87">
        <f>predikcia!A654</f>
        <v>45685</v>
      </c>
      <c r="D656" s="88" t="str">
        <f>predikcia!B654</f>
        <v>03:00:00</v>
      </c>
      <c r="E656" s="81">
        <f>predikcia!G654</f>
        <v>11463</v>
      </c>
      <c r="F656" s="70">
        <f>'DHS25'!C653</f>
        <v>6827</v>
      </c>
      <c r="G656" s="71">
        <f>'DHS25'!D653</f>
        <v>6697</v>
      </c>
      <c r="H656" s="106">
        <v>4</v>
      </c>
      <c r="I656" s="72">
        <f>'DHS25'!E653/1000</f>
        <v>4.0579999999999998</v>
      </c>
      <c r="J656" s="109">
        <f>predikcia!R654</f>
        <v>83.46</v>
      </c>
      <c r="K656" s="92">
        <f t="shared" si="10"/>
        <v>327.58367319999996</v>
      </c>
      <c r="M656" s="112">
        <v>4</v>
      </c>
      <c r="N656" s="111">
        <v>4</v>
      </c>
    </row>
    <row r="657" spans="3:14" ht="13.5" thickBot="1">
      <c r="C657" s="87">
        <f>predikcia!A655</f>
        <v>45685</v>
      </c>
      <c r="D657" s="88" t="str">
        <f>predikcia!B655</f>
        <v>04:00:00</v>
      </c>
      <c r="E657" s="81">
        <f>predikcia!G655</f>
        <v>18550.5</v>
      </c>
      <c r="F657" s="70">
        <f>'DHS25'!C654</f>
        <v>16068</v>
      </c>
      <c r="G657" s="71">
        <f>'DHS25'!D654</f>
        <v>1008</v>
      </c>
      <c r="H657" s="106">
        <v>6</v>
      </c>
      <c r="I657" s="72">
        <f>'DHS25'!E654/1000</f>
        <v>5.5229999999999997</v>
      </c>
      <c r="J657" s="109">
        <f>predikcia!R655</f>
        <v>85</v>
      </c>
      <c r="K657" s="92">
        <f t="shared" si="10"/>
        <v>454.26675</v>
      </c>
      <c r="M657" s="112">
        <v>6</v>
      </c>
      <c r="N657" s="111">
        <v>6</v>
      </c>
    </row>
    <row r="658" spans="3:14" ht="13.5" thickBot="1">
      <c r="C658" s="87">
        <f>predikcia!A656</f>
        <v>45685</v>
      </c>
      <c r="D658" s="88" t="str">
        <f>predikcia!B656</f>
        <v>05:00:00</v>
      </c>
      <c r="E658" s="81">
        <f>predikcia!G656</f>
        <v>19315.25</v>
      </c>
      <c r="F658" s="70">
        <f>'DHS25'!C655</f>
        <v>18140</v>
      </c>
      <c r="G658" s="71">
        <f>'DHS25'!D655</f>
        <v>946</v>
      </c>
      <c r="H658" s="106">
        <v>6</v>
      </c>
      <c r="I658" s="72">
        <f>'DHS25'!E655/1000</f>
        <v>6.0629999999999997</v>
      </c>
      <c r="J658" s="109">
        <f>predikcia!R656</f>
        <v>120.71</v>
      </c>
      <c r="K658" s="92">
        <f t="shared" si="10"/>
        <v>713.02638269999989</v>
      </c>
      <c r="M658" s="112">
        <v>6</v>
      </c>
      <c r="N658" s="111">
        <v>6</v>
      </c>
    </row>
    <row r="659" spans="3:14" ht="13.5" thickBot="1">
      <c r="C659" s="87">
        <f>predikcia!A657</f>
        <v>45685</v>
      </c>
      <c r="D659" s="88" t="str">
        <f>predikcia!B657</f>
        <v>06:00:00</v>
      </c>
      <c r="E659" s="81">
        <f>predikcia!G657</f>
        <v>18483</v>
      </c>
      <c r="F659" s="70">
        <f>'DHS25'!C656</f>
        <v>14767</v>
      </c>
      <c r="G659" s="71">
        <f>'DHS25'!D656</f>
        <v>7778</v>
      </c>
      <c r="H659" s="106">
        <v>8</v>
      </c>
      <c r="I659" s="72">
        <f>'DHS25'!E656/1000</f>
        <v>7.3760000000000003</v>
      </c>
      <c r="J659" s="109">
        <f>predikcia!R657</f>
        <v>138.91999999999999</v>
      </c>
      <c r="K659" s="92">
        <f t="shared" si="10"/>
        <v>1000.4127808</v>
      </c>
      <c r="M659" s="112">
        <v>6</v>
      </c>
      <c r="N659" s="111">
        <v>8</v>
      </c>
    </row>
    <row r="660" spans="3:14" ht="13.5" thickBot="1">
      <c r="C660" s="87">
        <f>predikcia!A658</f>
        <v>45685</v>
      </c>
      <c r="D660" s="88" t="str">
        <f>predikcia!B658</f>
        <v>07:00:00</v>
      </c>
      <c r="E660" s="81">
        <f>predikcia!G658</f>
        <v>17371.5</v>
      </c>
      <c r="F660" s="70">
        <f>'DHS25'!C657</f>
        <v>15103</v>
      </c>
      <c r="G660" s="71">
        <f>'DHS25'!D657</f>
        <v>8946</v>
      </c>
      <c r="H660" s="106">
        <v>8</v>
      </c>
      <c r="I660" s="72">
        <f>'DHS25'!E657/1000</f>
        <v>8.0690000000000008</v>
      </c>
      <c r="J660" s="109">
        <f>predikcia!R658</f>
        <v>144.26</v>
      </c>
      <c r="K660" s="92">
        <f t="shared" si="10"/>
        <v>1137.0625006</v>
      </c>
      <c r="M660" s="112">
        <v>6</v>
      </c>
      <c r="N660" s="111">
        <v>8</v>
      </c>
    </row>
    <row r="661" spans="3:14" ht="13.5" thickBot="1">
      <c r="C661" s="87">
        <f>predikcia!A659</f>
        <v>45685</v>
      </c>
      <c r="D661" s="88" t="str">
        <f>predikcia!B659</f>
        <v>08:00:00</v>
      </c>
      <c r="E661" s="81">
        <f>predikcia!G659</f>
        <v>17634</v>
      </c>
      <c r="F661" s="70">
        <f>'DHS25'!C658</f>
        <v>14870</v>
      </c>
      <c r="G661" s="71">
        <f>'DHS25'!D658</f>
        <v>9224</v>
      </c>
      <c r="H661" s="106">
        <v>8</v>
      </c>
      <c r="I661" s="72">
        <f>'DHS25'!E658/1000</f>
        <v>7.9960000000000004</v>
      </c>
      <c r="J661" s="109">
        <f>predikcia!R659</f>
        <v>145.76</v>
      </c>
      <c r="K661" s="92">
        <f t="shared" si="10"/>
        <v>1138.6495903999999</v>
      </c>
      <c r="M661" s="112">
        <v>6</v>
      </c>
      <c r="N661" s="111">
        <v>8</v>
      </c>
    </row>
    <row r="662" spans="3:14" ht="13.5" thickBot="1">
      <c r="C662" s="87">
        <f>predikcia!A660</f>
        <v>45685</v>
      </c>
      <c r="D662" s="88" t="str">
        <f>predikcia!B660</f>
        <v>09:00:00</v>
      </c>
      <c r="E662" s="81">
        <f>predikcia!G660</f>
        <v>17883.5</v>
      </c>
      <c r="F662" s="70">
        <f>'DHS25'!C659</f>
        <v>14526</v>
      </c>
      <c r="G662" s="71">
        <f>'DHS25'!D659</f>
        <v>9396</v>
      </c>
      <c r="H662" s="106">
        <v>8</v>
      </c>
      <c r="I662" s="72">
        <f>'DHS25'!E659/1000</f>
        <v>8.0579999999999998</v>
      </c>
      <c r="J662" s="109">
        <f>predikcia!R660</f>
        <v>130.32</v>
      </c>
      <c r="K662" s="92">
        <f t="shared" si="10"/>
        <v>1024.3071743999999</v>
      </c>
      <c r="M662" s="112">
        <v>6</v>
      </c>
      <c r="N662" s="111">
        <v>8</v>
      </c>
    </row>
    <row r="663" spans="3:14" ht="13.5" thickBot="1">
      <c r="C663" s="87">
        <f>predikcia!A661</f>
        <v>45685</v>
      </c>
      <c r="D663" s="88" t="str">
        <f>predikcia!B661</f>
        <v>10:00:00</v>
      </c>
      <c r="E663" s="81">
        <f>predikcia!G661</f>
        <v>16784.5</v>
      </c>
      <c r="F663" s="70">
        <f>'DHS25'!C660</f>
        <v>12626</v>
      </c>
      <c r="G663" s="71">
        <f>'DHS25'!D660</f>
        <v>10904</v>
      </c>
      <c r="H663" s="106">
        <v>8</v>
      </c>
      <c r="I663" s="72">
        <f>'DHS25'!E660/1000</f>
        <v>8.0570000000000004</v>
      </c>
      <c r="J663" s="109">
        <f>predikcia!R661</f>
        <v>126.92</v>
      </c>
      <c r="K663" s="92">
        <f t="shared" si="10"/>
        <v>997.06019560000004</v>
      </c>
      <c r="M663" s="112">
        <v>6</v>
      </c>
      <c r="N663" s="111">
        <v>6</v>
      </c>
    </row>
    <row r="664" spans="3:14" ht="13.5" thickBot="1">
      <c r="C664" s="87">
        <f>predikcia!A662</f>
        <v>45685</v>
      </c>
      <c r="D664" s="88" t="str">
        <f>predikcia!B662</f>
        <v>11:00:00</v>
      </c>
      <c r="E664" s="81">
        <f>predikcia!G662</f>
        <v>16416.75</v>
      </c>
      <c r="F664" s="70">
        <f>'DHS25'!C661</f>
        <v>11064</v>
      </c>
      <c r="G664" s="71">
        <f>'DHS25'!D661</f>
        <v>12857</v>
      </c>
      <c r="H664" s="106">
        <v>8</v>
      </c>
      <c r="I664" s="72">
        <f>'DHS25'!E661/1000</f>
        <v>8.0570000000000004</v>
      </c>
      <c r="J664" s="109">
        <f>predikcia!R662</f>
        <v>122.11</v>
      </c>
      <c r="K664" s="92">
        <f t="shared" si="10"/>
        <v>958.69356729999993</v>
      </c>
      <c r="M664" s="112">
        <v>6</v>
      </c>
      <c r="N664" s="111">
        <v>6</v>
      </c>
    </row>
    <row r="665" spans="3:14" ht="13.5" thickBot="1">
      <c r="C665" s="87">
        <f>predikcia!A663</f>
        <v>45685</v>
      </c>
      <c r="D665" s="88" t="str">
        <f>predikcia!B663</f>
        <v>12:00:00</v>
      </c>
      <c r="E665" s="81">
        <f>predikcia!G663</f>
        <v>15921.25</v>
      </c>
      <c r="F665" s="70">
        <f>'DHS25'!C662</f>
        <v>11504</v>
      </c>
      <c r="G665" s="71">
        <f>'DHS25'!D662</f>
        <v>13124</v>
      </c>
      <c r="H665" s="106">
        <v>8</v>
      </c>
      <c r="I665" s="72">
        <f>'DHS25'!E662/1000</f>
        <v>8.0570000000000004</v>
      </c>
      <c r="J665" s="109">
        <f>predikcia!R663</f>
        <v>119.53</v>
      </c>
      <c r="K665" s="92">
        <f t="shared" si="10"/>
        <v>938.11437790000002</v>
      </c>
      <c r="M665" s="112">
        <v>5</v>
      </c>
      <c r="N665" s="111">
        <v>5</v>
      </c>
    </row>
    <row r="666" spans="3:14" ht="13.5" thickBot="1">
      <c r="C666" s="87">
        <f>predikcia!A664</f>
        <v>45685</v>
      </c>
      <c r="D666" s="88" t="str">
        <f>predikcia!B664</f>
        <v>13:00:00</v>
      </c>
      <c r="E666" s="81">
        <f>predikcia!G664</f>
        <v>15899.5</v>
      </c>
      <c r="F666" s="70">
        <f>'DHS25'!C663</f>
        <v>11361</v>
      </c>
      <c r="G666" s="71">
        <f>'DHS25'!D663</f>
        <v>12746</v>
      </c>
      <c r="H666" s="106">
        <v>8</v>
      </c>
      <c r="I666" s="72">
        <f>'DHS25'!E663/1000</f>
        <v>8.0640000000000001</v>
      </c>
      <c r="J666" s="109">
        <f>predikcia!R664</f>
        <v>123.37</v>
      </c>
      <c r="K666" s="92">
        <f t="shared" si="10"/>
        <v>969.58552320000001</v>
      </c>
      <c r="M666" s="112">
        <v>5</v>
      </c>
      <c r="N666" s="111">
        <v>5</v>
      </c>
    </row>
    <row r="667" spans="3:14" ht="13.5" thickBot="1">
      <c r="C667" s="87">
        <f>predikcia!A665</f>
        <v>45685</v>
      </c>
      <c r="D667" s="88" t="str">
        <f>predikcia!B665</f>
        <v>14:00:00</v>
      </c>
      <c r="E667" s="81">
        <f>predikcia!G665</f>
        <v>15567</v>
      </c>
      <c r="F667" s="70">
        <f>'DHS25'!C664</f>
        <v>11128</v>
      </c>
      <c r="G667" s="71">
        <f>'DHS25'!D664</f>
        <v>12866</v>
      </c>
      <c r="H667" s="106">
        <v>8</v>
      </c>
      <c r="I667" s="72">
        <f>'DHS25'!E664/1000</f>
        <v>8.06</v>
      </c>
      <c r="J667" s="109">
        <f>predikcia!R665</f>
        <v>127.64</v>
      </c>
      <c r="K667" s="92">
        <f t="shared" si="10"/>
        <v>1003.1766160000001</v>
      </c>
      <c r="M667" s="112">
        <v>5</v>
      </c>
      <c r="N667" s="111">
        <v>5</v>
      </c>
    </row>
    <row r="668" spans="3:14" ht="13.5" thickBot="1">
      <c r="C668" s="87">
        <f>predikcia!A666</f>
        <v>45685</v>
      </c>
      <c r="D668" s="88" t="str">
        <f>predikcia!B666</f>
        <v>15:00:00</v>
      </c>
      <c r="E668" s="81">
        <f>predikcia!G666</f>
        <v>15205.5</v>
      </c>
      <c r="F668" s="70">
        <f>'DHS25'!C665</f>
        <v>10636</v>
      </c>
      <c r="G668" s="71">
        <f>'DHS25'!D665</f>
        <v>13349</v>
      </c>
      <c r="H668" s="106">
        <v>8</v>
      </c>
      <c r="I668" s="72">
        <f>'DHS25'!E665/1000</f>
        <v>8.0470000000000006</v>
      </c>
      <c r="J668" s="109">
        <f>predikcia!R666</f>
        <v>132.49</v>
      </c>
      <c r="K668" s="92">
        <f t="shared" si="10"/>
        <v>1040.1962596999999</v>
      </c>
      <c r="M668" s="112">
        <v>5</v>
      </c>
      <c r="N668" s="111">
        <v>8</v>
      </c>
    </row>
    <row r="669" spans="3:14" ht="13.5" thickBot="1">
      <c r="C669" s="87">
        <f>predikcia!A667</f>
        <v>45685</v>
      </c>
      <c r="D669" s="88" t="str">
        <f>predikcia!B667</f>
        <v>16:00:00</v>
      </c>
      <c r="E669" s="81">
        <f>predikcia!G667</f>
        <v>16336</v>
      </c>
      <c r="F669" s="70">
        <f>'DHS25'!C666</f>
        <v>11767</v>
      </c>
      <c r="G669" s="71">
        <f>'DHS25'!D666</f>
        <v>12346</v>
      </c>
      <c r="H669" s="106">
        <v>8</v>
      </c>
      <c r="I669" s="72">
        <f>'DHS25'!E666/1000</f>
        <v>8.0619999999999994</v>
      </c>
      <c r="J669" s="109">
        <f>predikcia!R667</f>
        <v>145.28</v>
      </c>
      <c r="K669" s="92">
        <f t="shared" si="10"/>
        <v>1144.2170864</v>
      </c>
      <c r="M669" s="112">
        <v>6</v>
      </c>
      <c r="N669" s="111">
        <v>8</v>
      </c>
    </row>
    <row r="670" spans="3:14" ht="13.5" thickBot="1">
      <c r="C670" s="87">
        <f>predikcia!A668</f>
        <v>45685</v>
      </c>
      <c r="D670" s="88" t="str">
        <f>predikcia!B668</f>
        <v>17:00:00</v>
      </c>
      <c r="E670" s="81">
        <f>predikcia!G668</f>
        <v>16195.25</v>
      </c>
      <c r="F670" s="70">
        <f>'DHS25'!C667</f>
        <v>12857</v>
      </c>
      <c r="G670" s="71">
        <f>'DHS25'!D667</f>
        <v>11437</v>
      </c>
      <c r="H670" s="106">
        <v>8</v>
      </c>
      <c r="I670" s="72">
        <f>'DHS25'!E667/1000</f>
        <v>8.0660000000000007</v>
      </c>
      <c r="J670" s="109">
        <f>predikcia!R668</f>
        <v>150.91</v>
      </c>
      <c r="K670" s="92">
        <f t="shared" si="10"/>
        <v>1189.7422594000002</v>
      </c>
      <c r="M670" s="112">
        <v>6</v>
      </c>
      <c r="N670" s="111">
        <v>8</v>
      </c>
    </row>
    <row r="671" spans="3:14" ht="13.5" thickBot="1">
      <c r="C671" s="87">
        <f>predikcia!A669</f>
        <v>45685</v>
      </c>
      <c r="D671" s="88" t="str">
        <f>predikcia!B669</f>
        <v>18:00:00</v>
      </c>
      <c r="E671" s="81">
        <f>predikcia!G669</f>
        <v>17079.5</v>
      </c>
      <c r="F671" s="70">
        <f>'DHS25'!C668</f>
        <v>12217</v>
      </c>
      <c r="G671" s="71">
        <f>'DHS25'!D668</f>
        <v>12038</v>
      </c>
      <c r="H671" s="106">
        <v>8</v>
      </c>
      <c r="I671" s="72">
        <f>'DHS25'!E668/1000</f>
        <v>8.0510000000000002</v>
      </c>
      <c r="J671" s="109">
        <f>predikcia!R669</f>
        <v>144.19</v>
      </c>
      <c r="K671" s="92">
        <f t="shared" si="10"/>
        <v>1133.9680530999999</v>
      </c>
      <c r="M671" s="112">
        <v>6</v>
      </c>
      <c r="N671" s="111">
        <v>8</v>
      </c>
    </row>
    <row r="672" spans="3:14" ht="13.5" thickBot="1">
      <c r="C672" s="87">
        <f>predikcia!A670</f>
        <v>45685</v>
      </c>
      <c r="D672" s="88" t="str">
        <f>predikcia!B670</f>
        <v>19:00:00</v>
      </c>
      <c r="E672" s="81">
        <f>predikcia!G670</f>
        <v>17581</v>
      </c>
      <c r="F672" s="70">
        <f>'DHS25'!C669</f>
        <v>12327</v>
      </c>
      <c r="G672" s="71">
        <f>'DHS25'!D669</f>
        <v>11837</v>
      </c>
      <c r="H672" s="106">
        <v>8</v>
      </c>
      <c r="I672" s="72">
        <f>'DHS25'!E669/1000</f>
        <v>8.048</v>
      </c>
      <c r="J672" s="109">
        <f>predikcia!R670</f>
        <v>136.5</v>
      </c>
      <c r="K672" s="92">
        <f t="shared" si="10"/>
        <v>1072.2752799999998</v>
      </c>
      <c r="M672" s="112">
        <v>6</v>
      </c>
      <c r="N672" s="111">
        <v>8</v>
      </c>
    </row>
    <row r="673" spans="3:14" ht="13.5" thickBot="1">
      <c r="C673" s="87">
        <f>predikcia!A671</f>
        <v>45685</v>
      </c>
      <c r="D673" s="88" t="str">
        <f>predikcia!B671</f>
        <v>20:00:00</v>
      </c>
      <c r="E673" s="81">
        <f>predikcia!G671</f>
        <v>16347.5</v>
      </c>
      <c r="F673" s="70">
        <f>'DHS25'!C670</f>
        <v>12596</v>
      </c>
      <c r="G673" s="71">
        <f>'DHS25'!D670</f>
        <v>11400</v>
      </c>
      <c r="H673" s="106">
        <v>8</v>
      </c>
      <c r="I673" s="72">
        <f>'DHS25'!E670/1000</f>
        <v>8.0579999999999998</v>
      </c>
      <c r="J673" s="109">
        <f>predikcia!R671</f>
        <v>133.30000000000001</v>
      </c>
      <c r="K673" s="92">
        <f t="shared" si="10"/>
        <v>1048.079886</v>
      </c>
      <c r="M673" s="112">
        <v>6</v>
      </c>
      <c r="N673" s="111">
        <v>8</v>
      </c>
    </row>
    <row r="674" spans="3:14" ht="13.5" thickBot="1">
      <c r="C674" s="87">
        <f>predikcia!A672</f>
        <v>45685</v>
      </c>
      <c r="D674" s="88" t="str">
        <f>predikcia!B672</f>
        <v>21:00:00</v>
      </c>
      <c r="E674" s="81">
        <f>predikcia!G672</f>
        <v>16594</v>
      </c>
      <c r="F674" s="70">
        <f>'DHS25'!C671</f>
        <v>11492</v>
      </c>
      <c r="G674" s="71">
        <f>'DHS25'!D671</f>
        <v>8376</v>
      </c>
      <c r="H674" s="106">
        <v>6</v>
      </c>
      <c r="I674" s="72">
        <f>'DHS25'!E671/1000</f>
        <v>6.7130000000000001</v>
      </c>
      <c r="J674" s="109">
        <f>predikcia!R672</f>
        <v>126.59</v>
      </c>
      <c r="K674" s="92">
        <f t="shared" si="10"/>
        <v>828.54598329999999</v>
      </c>
      <c r="M674" s="112">
        <v>6</v>
      </c>
      <c r="N674" s="111">
        <v>6</v>
      </c>
    </row>
    <row r="675" spans="3:14" ht="13.5" thickBot="1">
      <c r="C675" s="87">
        <f>predikcia!A673</f>
        <v>45685</v>
      </c>
      <c r="D675" s="88" t="str">
        <f>predikcia!B673</f>
        <v>22:00:00</v>
      </c>
      <c r="E675" s="81">
        <f>predikcia!G673</f>
        <v>15204.25</v>
      </c>
      <c r="F675" s="70">
        <f>'DHS25'!C672</f>
        <v>9728</v>
      </c>
      <c r="G675" s="71">
        <f>'DHS25'!D672</f>
        <v>7646</v>
      </c>
      <c r="H675" s="106">
        <v>5</v>
      </c>
      <c r="I675" s="72">
        <f>'DHS25'!E672/1000</f>
        <v>5.2489999999999997</v>
      </c>
      <c r="J675" s="109">
        <f>predikcia!R673</f>
        <v>114.36</v>
      </c>
      <c r="K675" s="92">
        <f t="shared" si="10"/>
        <v>584.29978359999984</v>
      </c>
      <c r="M675" s="112">
        <v>5</v>
      </c>
      <c r="N675" s="111">
        <v>5</v>
      </c>
    </row>
    <row r="676" spans="3:14" ht="13.5" thickBot="1">
      <c r="C676" s="89">
        <f>predikcia!A674</f>
        <v>45685</v>
      </c>
      <c r="D676" s="90" t="str">
        <f>predikcia!B674</f>
        <v>23:00:00</v>
      </c>
      <c r="E676" s="84">
        <f>predikcia!G674</f>
        <v>7838</v>
      </c>
      <c r="F676" s="73">
        <f>'DHS25'!C673</f>
        <v>4354</v>
      </c>
      <c r="G676" s="64">
        <f>'DHS25'!D673</f>
        <v>9913</v>
      </c>
      <c r="H676" s="107">
        <v>3</v>
      </c>
      <c r="I676" s="74">
        <f>'DHS25'!E673/1000</f>
        <v>3.9449999999999998</v>
      </c>
      <c r="J676" s="109">
        <f>predikcia!R674</f>
        <v>93.97</v>
      </c>
      <c r="K676" s="92">
        <f t="shared" si="10"/>
        <v>359.50903349999993</v>
      </c>
      <c r="M676" s="112">
        <v>3</v>
      </c>
      <c r="N676" s="111">
        <v>3</v>
      </c>
    </row>
    <row r="677" spans="3:14" ht="13.5" thickBot="1">
      <c r="C677" s="76">
        <f>predikcia!A675</f>
        <v>45686</v>
      </c>
      <c r="D677" s="77" t="str">
        <f>predikcia!B675</f>
        <v>00:00:00</v>
      </c>
      <c r="E677" s="78">
        <f>predikcia!G675</f>
        <v>7437</v>
      </c>
      <c r="F677" s="68">
        <f>'DHS25'!C674</f>
        <v>2268</v>
      </c>
      <c r="G677" s="63">
        <f>'DHS25'!D674</f>
        <v>8859</v>
      </c>
      <c r="H677" s="105">
        <v>3</v>
      </c>
      <c r="I677" s="69">
        <f>'DHS25'!E674/1000</f>
        <v>3.0609999999999999</v>
      </c>
      <c r="J677" s="109">
        <f>predikcia!R675</f>
        <v>91.73</v>
      </c>
      <c r="K677" s="92">
        <f t="shared" si="10"/>
        <v>272.16177470000002</v>
      </c>
      <c r="M677" s="112">
        <v>3</v>
      </c>
      <c r="N677" s="111">
        <v>3</v>
      </c>
    </row>
    <row r="678" spans="3:14" ht="13.5" thickBot="1">
      <c r="C678" s="79">
        <f>predikcia!A676</f>
        <v>45686</v>
      </c>
      <c r="D678" s="80" t="str">
        <f>predikcia!B676</f>
        <v>01:00:00</v>
      </c>
      <c r="E678" s="81">
        <f>predikcia!G676</f>
        <v>9452.75</v>
      </c>
      <c r="F678" s="70">
        <f>'DHS25'!C675</f>
        <v>2785</v>
      </c>
      <c r="G678" s="71">
        <f>'DHS25'!D675</f>
        <v>11172</v>
      </c>
      <c r="H678" s="106">
        <v>4</v>
      </c>
      <c r="I678" s="72">
        <f>'DHS25'!E675/1000</f>
        <v>3.976</v>
      </c>
      <c r="J678" s="109">
        <f>predikcia!R676</f>
        <v>87.03</v>
      </c>
      <c r="K678" s="92">
        <f t="shared" si="10"/>
        <v>335.0165672</v>
      </c>
      <c r="M678" s="112">
        <v>4</v>
      </c>
      <c r="N678" s="111">
        <v>4</v>
      </c>
    </row>
    <row r="679" spans="3:14" ht="13.5" thickBot="1">
      <c r="C679" s="79">
        <f>predikcia!A677</f>
        <v>45686</v>
      </c>
      <c r="D679" s="80" t="str">
        <f>predikcia!B677</f>
        <v>02:00:00</v>
      </c>
      <c r="E679" s="81">
        <f>predikcia!G677</f>
        <v>11013.75</v>
      </c>
      <c r="F679" s="70">
        <f>'DHS25'!C676</f>
        <v>2615</v>
      </c>
      <c r="G679" s="71">
        <f>'DHS25'!D676</f>
        <v>10890</v>
      </c>
      <c r="H679" s="106">
        <v>4</v>
      </c>
      <c r="I679" s="72">
        <f>'DHS25'!E676/1000</f>
        <v>4.01</v>
      </c>
      <c r="J679" s="109">
        <f>predikcia!R677</f>
        <v>82.03</v>
      </c>
      <c r="K679" s="92">
        <f t="shared" si="10"/>
        <v>318.03189699999996</v>
      </c>
      <c r="M679" s="112">
        <v>4</v>
      </c>
      <c r="N679" s="111">
        <v>4</v>
      </c>
    </row>
    <row r="680" spans="3:14" ht="13.5" thickBot="1">
      <c r="C680" s="79">
        <f>predikcia!A678</f>
        <v>45686</v>
      </c>
      <c r="D680" s="80" t="str">
        <f>predikcia!B678</f>
        <v>03:00:00</v>
      </c>
      <c r="E680" s="81">
        <f>predikcia!G678</f>
        <v>12050.5</v>
      </c>
      <c r="F680" s="70">
        <f>'DHS25'!C677</f>
        <v>3292</v>
      </c>
      <c r="G680" s="71">
        <f>'DHS25'!D677</f>
        <v>14262</v>
      </c>
      <c r="H680" s="106">
        <v>5</v>
      </c>
      <c r="I680" s="72">
        <f>'DHS25'!E677/1000</f>
        <v>5.0590000000000002</v>
      </c>
      <c r="J680" s="109">
        <f>predikcia!R678</f>
        <v>81.650000000000006</v>
      </c>
      <c r="K680" s="92">
        <f t="shared" si="10"/>
        <v>399.32457649999998</v>
      </c>
      <c r="M680" s="112">
        <v>5</v>
      </c>
      <c r="N680" s="111">
        <v>5</v>
      </c>
    </row>
    <row r="681" spans="3:14" ht="13.5" thickBot="1">
      <c r="C681" s="79">
        <f>predikcia!A679</f>
        <v>45686</v>
      </c>
      <c r="D681" s="80" t="str">
        <f>predikcia!B679</f>
        <v>04:00:00</v>
      </c>
      <c r="E681" s="81">
        <f>predikcia!G679</f>
        <v>17666</v>
      </c>
      <c r="F681" s="70">
        <f>'DHS25'!C678</f>
        <v>9983</v>
      </c>
      <c r="G681" s="71">
        <f>'DHS25'!D678</f>
        <v>9250</v>
      </c>
      <c r="H681" s="106">
        <v>6</v>
      </c>
      <c r="I681" s="72">
        <f>'DHS25'!E678/1000</f>
        <v>6.0540000000000003</v>
      </c>
      <c r="J681" s="109">
        <f>predikcia!R679</f>
        <v>87.03</v>
      </c>
      <c r="K681" s="92">
        <f t="shared" si="10"/>
        <v>510.10822380000002</v>
      </c>
      <c r="M681" s="112">
        <v>6</v>
      </c>
      <c r="N681" s="111">
        <v>6</v>
      </c>
    </row>
    <row r="682" spans="3:14" ht="13.5" thickBot="1">
      <c r="C682" s="79">
        <f>predikcia!A680</f>
        <v>45686</v>
      </c>
      <c r="D682" s="80" t="str">
        <f>predikcia!B680</f>
        <v>05:00:00</v>
      </c>
      <c r="E682" s="81">
        <f>predikcia!G680</f>
        <v>18868.25</v>
      </c>
      <c r="F682" s="70">
        <f>'DHS25'!C679</f>
        <v>18684</v>
      </c>
      <c r="G682" s="71">
        <f>'DHS25'!D679</f>
        <v>611</v>
      </c>
      <c r="H682" s="106">
        <v>6</v>
      </c>
      <c r="I682" s="72">
        <f>'DHS25'!E679/1000</f>
        <v>6.0730000000000004</v>
      </c>
      <c r="J682" s="109">
        <f>predikcia!R680</f>
        <v>115.03</v>
      </c>
      <c r="K682" s="92">
        <f t="shared" si="10"/>
        <v>680.05271809999999</v>
      </c>
      <c r="M682" s="112">
        <v>6</v>
      </c>
      <c r="N682" s="111">
        <v>6</v>
      </c>
    </row>
    <row r="683" spans="3:14" ht="13.5" thickBot="1">
      <c r="C683" s="79">
        <f>predikcia!A681</f>
        <v>45686</v>
      </c>
      <c r="D683" s="80" t="str">
        <f>predikcia!B681</f>
        <v>06:00:00</v>
      </c>
      <c r="E683" s="81">
        <f>predikcia!G681</f>
        <v>18845.5</v>
      </c>
      <c r="F683" s="70">
        <f>'DHS25'!C680</f>
        <v>17515</v>
      </c>
      <c r="G683" s="71">
        <f>'DHS25'!D680</f>
        <v>5387</v>
      </c>
      <c r="H683" s="106">
        <v>8</v>
      </c>
      <c r="I683" s="72">
        <f>'DHS25'!E680/1000</f>
        <v>7.641</v>
      </c>
      <c r="J683" s="109">
        <f>predikcia!R681</f>
        <v>145.31</v>
      </c>
      <c r="K683" s="92">
        <f t="shared" si="10"/>
        <v>1084.6926728999999</v>
      </c>
      <c r="M683" s="112">
        <v>6</v>
      </c>
      <c r="N683" s="111">
        <v>8</v>
      </c>
    </row>
    <row r="684" spans="3:14" ht="13.5" thickBot="1">
      <c r="C684" s="79">
        <f>predikcia!A682</f>
        <v>45686</v>
      </c>
      <c r="D684" s="80" t="str">
        <f>predikcia!B682</f>
        <v>07:00:00</v>
      </c>
      <c r="E684" s="81">
        <f>predikcia!G682</f>
        <v>17307.75</v>
      </c>
      <c r="F684" s="70">
        <f>'DHS25'!C681</f>
        <v>14732</v>
      </c>
      <c r="G684" s="71">
        <f>'DHS25'!D681</f>
        <v>9336</v>
      </c>
      <c r="H684" s="106">
        <v>8</v>
      </c>
      <c r="I684" s="72">
        <f>'DHS25'!E681/1000</f>
        <v>8.0429999999999993</v>
      </c>
      <c r="J684" s="109">
        <f>predikcia!R682</f>
        <v>190.29</v>
      </c>
      <c r="K684" s="92">
        <f t="shared" si="10"/>
        <v>1499.9157452999998</v>
      </c>
      <c r="M684" s="112">
        <v>6</v>
      </c>
      <c r="N684" s="111">
        <v>8</v>
      </c>
    </row>
    <row r="685" spans="3:14" ht="13.5" thickBot="1">
      <c r="C685" s="79">
        <f>predikcia!A683</f>
        <v>45686</v>
      </c>
      <c r="D685" s="80" t="str">
        <f>predikcia!B683</f>
        <v>08:00:00</v>
      </c>
      <c r="E685" s="81">
        <f>predikcia!G683</f>
        <v>17969.75</v>
      </c>
      <c r="F685" s="70">
        <f>'DHS25'!C682</f>
        <v>13560</v>
      </c>
      <c r="G685" s="71">
        <f>'DHS25'!D682</f>
        <v>10136</v>
      </c>
      <c r="H685" s="106">
        <v>8</v>
      </c>
      <c r="I685" s="72">
        <f>'DHS25'!E682/1000</f>
        <v>8.0559999999999992</v>
      </c>
      <c r="J685" s="109">
        <f>predikcia!R683</f>
        <v>144.81</v>
      </c>
      <c r="K685" s="92">
        <f t="shared" si="10"/>
        <v>1139.6170663999997</v>
      </c>
      <c r="M685" s="112">
        <v>6</v>
      </c>
      <c r="N685" s="111">
        <v>8</v>
      </c>
    </row>
    <row r="686" spans="3:14" ht="13.5" thickBot="1">
      <c r="C686" s="79">
        <f>predikcia!A684</f>
        <v>45686</v>
      </c>
      <c r="D686" s="80" t="str">
        <f>predikcia!B684</f>
        <v>09:00:00</v>
      </c>
      <c r="E686" s="81">
        <f>predikcia!G684</f>
        <v>18140.25</v>
      </c>
      <c r="F686" s="70">
        <f>'DHS25'!C683</f>
        <v>14168</v>
      </c>
      <c r="G686" s="71">
        <f>'DHS25'!D683</f>
        <v>9963</v>
      </c>
      <c r="H686" s="106">
        <v>8</v>
      </c>
      <c r="I686" s="72">
        <f>'DHS25'!E683/1000</f>
        <v>8.0730000000000004</v>
      </c>
      <c r="J686" s="109">
        <f>predikcia!R684</f>
        <v>134.51</v>
      </c>
      <c r="K686" s="92">
        <f t="shared" si="10"/>
        <v>1059.7015377</v>
      </c>
      <c r="M686" s="112">
        <v>6</v>
      </c>
      <c r="N686" s="111">
        <v>8</v>
      </c>
    </row>
    <row r="687" spans="3:14" ht="13.5" thickBot="1">
      <c r="C687" s="79">
        <f>predikcia!A685</f>
        <v>45686</v>
      </c>
      <c r="D687" s="80" t="str">
        <f>predikcia!B685</f>
        <v>10:00:00</v>
      </c>
      <c r="E687" s="81">
        <f>predikcia!G685</f>
        <v>16375.75</v>
      </c>
      <c r="F687" s="70">
        <f>'DHS25'!C684</f>
        <v>13148</v>
      </c>
      <c r="G687" s="71">
        <f>'DHS25'!D684</f>
        <v>8388</v>
      </c>
      <c r="H687" s="106">
        <v>6</v>
      </c>
      <c r="I687" s="72">
        <f>'DHS25'!E684/1000</f>
        <v>7.274</v>
      </c>
      <c r="J687" s="109">
        <f>predikcia!R685</f>
        <v>108.98</v>
      </c>
      <c r="K687" s="92">
        <f t="shared" si="10"/>
        <v>770.97271480000006</v>
      </c>
      <c r="M687" s="112">
        <v>6</v>
      </c>
      <c r="N687" s="111">
        <v>6</v>
      </c>
    </row>
    <row r="688" spans="3:14" ht="13.5" thickBot="1">
      <c r="C688" s="79">
        <f>predikcia!A686</f>
        <v>45686</v>
      </c>
      <c r="D688" s="80" t="str">
        <f>predikcia!B686</f>
        <v>11:00:00</v>
      </c>
      <c r="E688" s="81">
        <f>predikcia!G686</f>
        <v>15150.75</v>
      </c>
      <c r="F688" s="70">
        <f>'DHS25'!C685</f>
        <v>11479</v>
      </c>
      <c r="G688" s="71">
        <f>'DHS25'!D685</f>
        <v>5272</v>
      </c>
      <c r="H688" s="106">
        <v>5</v>
      </c>
      <c r="I688" s="72">
        <f>'DHS25'!E685/1000</f>
        <v>5.4109999999999996</v>
      </c>
      <c r="J688" s="109">
        <f>predikcia!R686</f>
        <v>92.09</v>
      </c>
      <c r="K688" s="92">
        <f t="shared" si="10"/>
        <v>483.03510009999991</v>
      </c>
      <c r="M688" s="112">
        <v>5</v>
      </c>
      <c r="N688" s="111">
        <v>5</v>
      </c>
    </row>
    <row r="689" spans="3:14" ht="13.5" thickBot="1">
      <c r="C689" s="79">
        <f>predikcia!A687</f>
        <v>45686</v>
      </c>
      <c r="D689" s="80" t="str">
        <f>predikcia!B687</f>
        <v>12:00:00</v>
      </c>
      <c r="E689" s="81">
        <f>predikcia!G687</f>
        <v>16482.25</v>
      </c>
      <c r="F689" s="70">
        <f>'DHS25'!C686</f>
        <v>11529</v>
      </c>
      <c r="G689" s="71">
        <f>'DHS25'!D686</f>
        <v>8585</v>
      </c>
      <c r="H689" s="106">
        <v>6</v>
      </c>
      <c r="I689" s="72">
        <f>'DHS25'!E686/1000</f>
        <v>6.0570000000000004</v>
      </c>
      <c r="J689" s="109">
        <f>predikcia!R687</f>
        <v>85.79</v>
      </c>
      <c r="K689" s="92">
        <f t="shared" si="10"/>
        <v>502.92542970000005</v>
      </c>
      <c r="M689" s="112">
        <v>6</v>
      </c>
      <c r="N689" s="111">
        <v>6</v>
      </c>
    </row>
    <row r="690" spans="3:14" ht="13.5" thickBot="1">
      <c r="C690" s="79">
        <f>predikcia!A688</f>
        <v>45686</v>
      </c>
      <c r="D690" s="80" t="str">
        <f>predikcia!B688</f>
        <v>13:00:00</v>
      </c>
      <c r="E690" s="81">
        <f>predikcia!G688</f>
        <v>16310</v>
      </c>
      <c r="F690" s="70">
        <f>'DHS25'!C687</f>
        <v>11244</v>
      </c>
      <c r="G690" s="71">
        <f>'DHS25'!D687</f>
        <v>7200</v>
      </c>
      <c r="H690" s="106">
        <v>6</v>
      </c>
      <c r="I690" s="72">
        <f>'DHS25'!E687/1000</f>
        <v>6.0570000000000004</v>
      </c>
      <c r="J690" s="109">
        <f>predikcia!R688</f>
        <v>86.21</v>
      </c>
      <c r="K690" s="92">
        <f t="shared" si="10"/>
        <v>505.44393029999998</v>
      </c>
      <c r="M690" s="112">
        <v>6</v>
      </c>
      <c r="N690" s="111">
        <v>6</v>
      </c>
    </row>
    <row r="691" spans="3:14" ht="13.5" thickBot="1">
      <c r="C691" s="79">
        <f>predikcia!A689</f>
        <v>45686</v>
      </c>
      <c r="D691" s="80" t="str">
        <f>predikcia!B689</f>
        <v>14:00:00</v>
      </c>
      <c r="E691" s="81">
        <f>predikcia!G689</f>
        <v>15516</v>
      </c>
      <c r="F691" s="70">
        <f>'DHS25'!C688</f>
        <v>10951</v>
      </c>
      <c r="G691" s="71">
        <f>'DHS25'!D688</f>
        <v>6499</v>
      </c>
      <c r="H691" s="106">
        <v>5</v>
      </c>
      <c r="I691" s="72">
        <f>'DHS25'!E688/1000</f>
        <v>5.61</v>
      </c>
      <c r="J691" s="109">
        <f>predikcia!R689</f>
        <v>96.23</v>
      </c>
      <c r="K691" s="92">
        <f t="shared" si="10"/>
        <v>523.79279700000006</v>
      </c>
      <c r="M691" s="112">
        <v>5</v>
      </c>
      <c r="N691" s="111">
        <v>5</v>
      </c>
    </row>
    <row r="692" spans="3:14" ht="13.5" thickBot="1">
      <c r="C692" s="79">
        <f>predikcia!A690</f>
        <v>45686</v>
      </c>
      <c r="D692" s="80" t="str">
        <f>predikcia!B690</f>
        <v>15:00:00</v>
      </c>
      <c r="E692" s="81">
        <f>predikcia!G690</f>
        <v>15112.5</v>
      </c>
      <c r="F692" s="70">
        <f>'DHS25'!C689</f>
        <v>10913</v>
      </c>
      <c r="G692" s="71">
        <f>'DHS25'!D689</f>
        <v>6214</v>
      </c>
      <c r="H692" s="106">
        <v>5.3</v>
      </c>
      <c r="I692" s="72">
        <f>'DHS25'!E689/1000</f>
        <v>5.3620000000000001</v>
      </c>
      <c r="J692" s="109">
        <f>predikcia!R690</f>
        <v>128.13</v>
      </c>
      <c r="K692" s="92">
        <f t="shared" si="10"/>
        <v>669.97492939999995</v>
      </c>
      <c r="M692" s="112">
        <v>5</v>
      </c>
      <c r="N692" s="111">
        <v>5</v>
      </c>
    </row>
    <row r="693" spans="3:14" ht="13.5" thickBot="1">
      <c r="C693" s="79">
        <f>predikcia!A691</f>
        <v>45686</v>
      </c>
      <c r="D693" s="80" t="str">
        <f>predikcia!B691</f>
        <v>16:00:00</v>
      </c>
      <c r="E693" s="81">
        <f>predikcia!G691</f>
        <v>16309.25</v>
      </c>
      <c r="F693" s="70">
        <f>'DHS25'!C690</f>
        <v>11866</v>
      </c>
      <c r="G693" s="71">
        <f>'DHS25'!D690</f>
        <v>10097</v>
      </c>
      <c r="H693" s="106">
        <v>8</v>
      </c>
      <c r="I693" s="72">
        <f>'DHS25'!E690/1000</f>
        <v>7.2990000000000004</v>
      </c>
      <c r="J693" s="109">
        <f>predikcia!R691</f>
        <v>196.54</v>
      </c>
      <c r="K693" s="92">
        <f t="shared" si="10"/>
        <v>1406.3319054000001</v>
      </c>
      <c r="M693" s="112">
        <v>6</v>
      </c>
      <c r="N693" s="111">
        <v>8</v>
      </c>
    </row>
    <row r="694" spans="3:14" ht="13.5" thickBot="1">
      <c r="C694" s="79">
        <f>predikcia!A692</f>
        <v>45686</v>
      </c>
      <c r="D694" s="80" t="str">
        <f>predikcia!B692</f>
        <v>17:00:00</v>
      </c>
      <c r="E694" s="81">
        <f>predikcia!G692</f>
        <v>16414</v>
      </c>
      <c r="F694" s="70">
        <f>'DHS25'!C691</f>
        <v>13047</v>
      </c>
      <c r="G694" s="71">
        <f>'DHS25'!D691</f>
        <v>11695</v>
      </c>
      <c r="H694" s="106">
        <v>8</v>
      </c>
      <c r="I694" s="72">
        <f>'DHS25'!E691/1000</f>
        <v>8.0609999999999999</v>
      </c>
      <c r="J694" s="109">
        <f>predikcia!R692</f>
        <v>189.86</v>
      </c>
      <c r="K694" s="92">
        <f t="shared" si="10"/>
        <v>1499.8409454000002</v>
      </c>
      <c r="M694" s="112">
        <v>6</v>
      </c>
      <c r="N694" s="111">
        <v>8</v>
      </c>
    </row>
    <row r="695" spans="3:14" ht="13.5" thickBot="1">
      <c r="C695" s="79">
        <f>predikcia!A693</f>
        <v>45686</v>
      </c>
      <c r="D695" s="80" t="str">
        <f>predikcia!B693</f>
        <v>18:00:00</v>
      </c>
      <c r="E695" s="81">
        <f>predikcia!G693</f>
        <v>17450</v>
      </c>
      <c r="F695" s="70">
        <f>'DHS25'!C692</f>
        <v>14431</v>
      </c>
      <c r="G695" s="71">
        <f>'DHS25'!D692</f>
        <v>10275</v>
      </c>
      <c r="H695" s="106">
        <v>8</v>
      </c>
      <c r="I695" s="72">
        <f>'DHS25'!E692/1000</f>
        <v>8.0549999999999997</v>
      </c>
      <c r="J695" s="109">
        <f>predikcia!R693</f>
        <v>165.41</v>
      </c>
      <c r="K695" s="92">
        <f t="shared" si="10"/>
        <v>1303.7492745</v>
      </c>
      <c r="M695" s="112">
        <v>6</v>
      </c>
      <c r="N695" s="111">
        <v>8</v>
      </c>
    </row>
    <row r="696" spans="3:14" ht="13.5" thickBot="1">
      <c r="C696" s="79">
        <f>predikcia!A694</f>
        <v>45686</v>
      </c>
      <c r="D696" s="80" t="str">
        <f>predikcia!B694</f>
        <v>19:00:00</v>
      </c>
      <c r="E696" s="81">
        <f>predikcia!G694</f>
        <v>16992.75</v>
      </c>
      <c r="F696" s="70">
        <f>'DHS25'!C693</f>
        <v>14044</v>
      </c>
      <c r="G696" s="71">
        <f>'DHS25'!D693</f>
        <v>10391</v>
      </c>
      <c r="H696" s="106">
        <v>8</v>
      </c>
      <c r="I696" s="72">
        <f>'DHS25'!E693/1000</f>
        <v>8.0690000000000008</v>
      </c>
      <c r="J696" s="109">
        <f>predikcia!R694</f>
        <v>173.48</v>
      </c>
      <c r="K696" s="92">
        <f t="shared" si="10"/>
        <v>1370.4809187999999</v>
      </c>
      <c r="M696" s="112">
        <v>6</v>
      </c>
      <c r="N696" s="111">
        <v>8</v>
      </c>
    </row>
    <row r="697" spans="3:14" ht="13.5" thickBot="1">
      <c r="C697" s="79">
        <f>predikcia!A695</f>
        <v>45686</v>
      </c>
      <c r="D697" s="80" t="str">
        <f>predikcia!B695</f>
        <v>20:00:00</v>
      </c>
      <c r="E697" s="81">
        <f>predikcia!G695</f>
        <v>17354</v>
      </c>
      <c r="F697" s="70">
        <f>'DHS25'!C694</f>
        <v>14293</v>
      </c>
      <c r="G697" s="71">
        <f>'DHS25'!D694</f>
        <v>10187</v>
      </c>
      <c r="H697" s="106">
        <v>8</v>
      </c>
      <c r="I697" s="72">
        <f>'DHS25'!E694/1000</f>
        <v>8.0630000000000006</v>
      </c>
      <c r="J697" s="109">
        <f>predikcia!R695</f>
        <v>162.6</v>
      </c>
      <c r="K697" s="92">
        <f t="shared" si="10"/>
        <v>1282.613662</v>
      </c>
      <c r="M697" s="112">
        <v>6</v>
      </c>
      <c r="N697" s="111">
        <v>8</v>
      </c>
    </row>
    <row r="698" spans="3:14" ht="13.5" thickBot="1">
      <c r="C698" s="79">
        <f>predikcia!A696</f>
        <v>45686</v>
      </c>
      <c r="D698" s="80" t="str">
        <f>predikcia!B696</f>
        <v>21:00:00</v>
      </c>
      <c r="E698" s="81">
        <f>predikcia!G696</f>
        <v>17249.75</v>
      </c>
      <c r="F698" s="70">
        <f>'DHS25'!C695</f>
        <v>15798</v>
      </c>
      <c r="G698" s="71">
        <f>'DHS25'!D695</f>
        <v>8304</v>
      </c>
      <c r="H698" s="106">
        <v>8</v>
      </c>
      <c r="I698" s="72">
        <f>'DHS25'!E695/1000</f>
        <v>8.0719999999999992</v>
      </c>
      <c r="J698" s="109">
        <f>predikcia!R696</f>
        <v>152.88999999999999</v>
      </c>
      <c r="K698" s="92">
        <f t="shared" si="10"/>
        <v>1206.4499991999999</v>
      </c>
      <c r="M698" s="112">
        <v>6</v>
      </c>
      <c r="N698" s="111">
        <v>8</v>
      </c>
    </row>
    <row r="699" spans="3:14" ht="13.5" thickBot="1">
      <c r="C699" s="79">
        <f>predikcia!A697</f>
        <v>45686</v>
      </c>
      <c r="D699" s="80" t="str">
        <f>predikcia!B697</f>
        <v>22:00:00</v>
      </c>
      <c r="E699" s="81">
        <f>predikcia!G697</f>
        <v>15453.5</v>
      </c>
      <c r="F699" s="70">
        <f>'DHS25'!C696</f>
        <v>14494</v>
      </c>
      <c r="G699" s="71">
        <f>'DHS25'!D696</f>
        <v>5534</v>
      </c>
      <c r="H699" s="106">
        <v>5</v>
      </c>
      <c r="I699" s="72">
        <f>'DHS25'!E696/1000</f>
        <v>6.5330000000000004</v>
      </c>
      <c r="J699" s="109">
        <f>predikcia!R697</f>
        <v>128.09</v>
      </c>
      <c r="K699" s="92">
        <f t="shared" si="10"/>
        <v>816.03115030000004</v>
      </c>
      <c r="M699" s="112">
        <v>5</v>
      </c>
      <c r="N699" s="111">
        <v>5</v>
      </c>
    </row>
    <row r="700" spans="3:14" ht="13.5" thickBot="1">
      <c r="C700" s="82">
        <f>predikcia!A698</f>
        <v>45686</v>
      </c>
      <c r="D700" s="83" t="str">
        <f>predikcia!B698</f>
        <v>23:00:00</v>
      </c>
      <c r="E700" s="84">
        <f>predikcia!G698</f>
        <v>8742.5</v>
      </c>
      <c r="F700" s="73">
        <f>'DHS25'!C697</f>
        <v>6671</v>
      </c>
      <c r="G700" s="64">
        <f>'DHS25'!D697</f>
        <v>8533</v>
      </c>
      <c r="H700" s="107">
        <v>4</v>
      </c>
      <c r="I700" s="74">
        <f>'DHS25'!E697/1000</f>
        <v>4.4740000000000002</v>
      </c>
      <c r="J700" s="109">
        <f>predikcia!R698</f>
        <v>106.6</v>
      </c>
      <c r="K700" s="92">
        <f t="shared" si="10"/>
        <v>463.65851599999996</v>
      </c>
      <c r="M700" s="112">
        <v>4</v>
      </c>
      <c r="N700" s="111">
        <v>4</v>
      </c>
    </row>
    <row r="701" spans="3:14" ht="13.5" thickBot="1">
      <c r="C701" s="85">
        <f>predikcia!A699</f>
        <v>45687</v>
      </c>
      <c r="D701" s="86" t="str">
        <f>predikcia!B699</f>
        <v>00:00:00</v>
      </c>
      <c r="E701" s="78">
        <f>predikcia!G699</f>
        <v>9812.25</v>
      </c>
      <c r="F701" s="68">
        <f>'DHS25'!C698</f>
        <v>6458</v>
      </c>
      <c r="G701" s="63">
        <f>'DHS25'!D698</f>
        <v>6490</v>
      </c>
      <c r="H701" s="105">
        <v>4</v>
      </c>
      <c r="I701" s="69">
        <f>'DHS25'!E698/1000</f>
        <v>4.07</v>
      </c>
      <c r="J701" s="109">
        <f>predikcia!R699</f>
        <v>98.65</v>
      </c>
      <c r="K701" s="92">
        <f t="shared" si="10"/>
        <v>389.75744500000002</v>
      </c>
      <c r="M701" s="112">
        <v>4</v>
      </c>
      <c r="N701" s="111">
        <v>4</v>
      </c>
    </row>
    <row r="702" spans="3:14" ht="13.5" thickBot="1">
      <c r="C702" s="87">
        <f>predikcia!A700</f>
        <v>45687</v>
      </c>
      <c r="D702" s="88" t="str">
        <f>predikcia!B700</f>
        <v>01:00:00</v>
      </c>
      <c r="E702" s="81">
        <f>predikcia!G700</f>
        <v>10150.75</v>
      </c>
      <c r="F702" s="70">
        <f>'DHS25'!C699</f>
        <v>8266</v>
      </c>
      <c r="G702" s="71">
        <f>'DHS25'!D699</f>
        <v>5380</v>
      </c>
      <c r="H702" s="106">
        <v>4</v>
      </c>
      <c r="I702" s="72">
        <f>'DHS25'!E699/1000</f>
        <v>4.0650000000000004</v>
      </c>
      <c r="J702" s="109">
        <f>predikcia!R700</f>
        <v>98.21</v>
      </c>
      <c r="K702" s="92">
        <f t="shared" si="10"/>
        <v>387.50791349999997</v>
      </c>
      <c r="M702" s="112">
        <v>4</v>
      </c>
      <c r="N702" s="111">
        <v>4</v>
      </c>
    </row>
    <row r="703" spans="3:14" ht="13.5" thickBot="1">
      <c r="C703" s="87">
        <f>predikcia!A701</f>
        <v>45687</v>
      </c>
      <c r="D703" s="88" t="str">
        <f>predikcia!B701</f>
        <v>02:00:00</v>
      </c>
      <c r="E703" s="81">
        <f>predikcia!G701</f>
        <v>11219.75</v>
      </c>
      <c r="F703" s="70">
        <f>'DHS25'!C700</f>
        <v>8934</v>
      </c>
      <c r="G703" s="71">
        <f>'DHS25'!D700</f>
        <v>4927</v>
      </c>
      <c r="H703" s="106">
        <v>4</v>
      </c>
      <c r="I703" s="72">
        <f>'DHS25'!E700/1000</f>
        <v>4.0369999999999999</v>
      </c>
      <c r="J703" s="109">
        <f>predikcia!R701</f>
        <v>96.99</v>
      </c>
      <c r="K703" s="92">
        <f t="shared" si="10"/>
        <v>379.96284369999995</v>
      </c>
      <c r="M703" s="112">
        <v>4</v>
      </c>
      <c r="N703" s="111">
        <v>4</v>
      </c>
    </row>
    <row r="704" spans="3:14" ht="13.5" thickBot="1">
      <c r="C704" s="87">
        <f>predikcia!A702</f>
        <v>45687</v>
      </c>
      <c r="D704" s="88" t="str">
        <f>predikcia!B702</f>
        <v>03:00:00</v>
      </c>
      <c r="E704" s="81">
        <f>predikcia!G702</f>
        <v>11939.5</v>
      </c>
      <c r="F704" s="70">
        <f>'DHS25'!C701</f>
        <v>10186</v>
      </c>
      <c r="G704" s="71">
        <f>'DHS25'!D701</f>
        <v>4165</v>
      </c>
      <c r="H704" s="106">
        <v>4</v>
      </c>
      <c r="I704" s="72">
        <f>'DHS25'!E701/1000</f>
        <v>4.0330000000000004</v>
      </c>
      <c r="J704" s="109">
        <f>predikcia!R702</f>
        <v>98.68</v>
      </c>
      <c r="K704" s="92">
        <f t="shared" si="10"/>
        <v>386.33397560000003</v>
      </c>
      <c r="M704" s="112">
        <v>4</v>
      </c>
      <c r="N704" s="111">
        <v>4</v>
      </c>
    </row>
    <row r="705" spans="3:14" ht="13.5" thickBot="1">
      <c r="C705" s="87">
        <f>predikcia!A703</f>
        <v>45687</v>
      </c>
      <c r="D705" s="88" t="str">
        <f>predikcia!B703</f>
        <v>04:00:00</v>
      </c>
      <c r="E705" s="81">
        <f>predikcia!G703</f>
        <v>17837</v>
      </c>
      <c r="F705" s="70">
        <f>'DHS25'!C702</f>
        <v>18992</v>
      </c>
      <c r="G705" s="71">
        <f>'DHS25'!D702</f>
        <v>22</v>
      </c>
      <c r="H705" s="106">
        <v>6</v>
      </c>
      <c r="I705" s="72">
        <f>'DHS25'!E702/1000</f>
        <v>5.9480000000000004</v>
      </c>
      <c r="J705" s="109">
        <f>predikcia!R703</f>
        <v>98.32</v>
      </c>
      <c r="K705" s="92">
        <f t="shared" si="10"/>
        <v>567.6580864</v>
      </c>
      <c r="M705" s="112">
        <v>6</v>
      </c>
      <c r="N705" s="111">
        <v>6</v>
      </c>
    </row>
    <row r="706" spans="3:14" ht="13.5" thickBot="1">
      <c r="C706" s="87">
        <f>predikcia!A704</f>
        <v>45687</v>
      </c>
      <c r="D706" s="88" t="str">
        <f>predikcia!B704</f>
        <v>05:00:00</v>
      </c>
      <c r="E706" s="81">
        <f>predikcia!G704</f>
        <v>18984.75</v>
      </c>
      <c r="F706" s="70">
        <f>'DHS25'!C703</f>
        <v>19170</v>
      </c>
      <c r="G706" s="71">
        <f>'DHS25'!D703</f>
        <v>201</v>
      </c>
      <c r="H706" s="106">
        <v>6</v>
      </c>
      <c r="I706" s="72">
        <f>'DHS25'!E703/1000</f>
        <v>6.0620000000000003</v>
      </c>
      <c r="J706" s="109">
        <f>predikcia!R704</f>
        <v>112.13</v>
      </c>
      <c r="K706" s="92">
        <f t="shared" si="10"/>
        <v>661.41693939999993</v>
      </c>
      <c r="M706" s="112">
        <v>6</v>
      </c>
      <c r="N706" s="111">
        <v>6</v>
      </c>
    </row>
    <row r="707" spans="3:14" ht="13.5" thickBot="1">
      <c r="C707" s="87">
        <f>predikcia!A705</f>
        <v>45687</v>
      </c>
      <c r="D707" s="88" t="str">
        <f>predikcia!B705</f>
        <v>06:00:00</v>
      </c>
      <c r="E707" s="81">
        <f>predikcia!G705</f>
        <v>19615.75</v>
      </c>
      <c r="F707" s="70">
        <f>'DHS25'!C704</f>
        <v>23570</v>
      </c>
      <c r="G707" s="71">
        <f>'DHS25'!D704</f>
        <v>3261</v>
      </c>
      <c r="H707" s="106">
        <v>8</v>
      </c>
      <c r="I707" s="72">
        <f>'DHS25'!E704/1000</f>
        <v>8.0370000000000008</v>
      </c>
      <c r="J707" s="109">
        <f>predikcia!R705</f>
        <v>144.69</v>
      </c>
      <c r="K707" s="92">
        <f t="shared" si="10"/>
        <v>1135.9744947000002</v>
      </c>
      <c r="M707" s="112">
        <v>6</v>
      </c>
      <c r="N707" s="111">
        <v>8</v>
      </c>
    </row>
    <row r="708" spans="3:14" ht="13.5" thickBot="1">
      <c r="C708" s="87">
        <f>predikcia!A706</f>
        <v>45687</v>
      </c>
      <c r="D708" s="88" t="str">
        <f>predikcia!B706</f>
        <v>07:00:00</v>
      </c>
      <c r="E708" s="81">
        <f>predikcia!G706</f>
        <v>17765.75</v>
      </c>
      <c r="F708" s="70">
        <f>'DHS25'!C705</f>
        <v>17215</v>
      </c>
      <c r="G708" s="71">
        <f>'DHS25'!D705</f>
        <v>7015</v>
      </c>
      <c r="H708" s="106">
        <v>8</v>
      </c>
      <c r="I708" s="72">
        <f>'DHS25'!E705/1000</f>
        <v>8.0649999999999995</v>
      </c>
      <c r="J708" s="109">
        <f>predikcia!R706</f>
        <v>154.44</v>
      </c>
      <c r="K708" s="92">
        <f t="shared" si="10"/>
        <v>1217.7795139999998</v>
      </c>
      <c r="M708" s="112">
        <v>6</v>
      </c>
      <c r="N708" s="111">
        <v>8</v>
      </c>
    </row>
    <row r="709" spans="3:14" ht="13.5" thickBot="1">
      <c r="C709" s="87">
        <f>predikcia!A707</f>
        <v>45687</v>
      </c>
      <c r="D709" s="88" t="str">
        <f>predikcia!B707</f>
        <v>08:00:00</v>
      </c>
      <c r="E709" s="81">
        <f>predikcia!G707</f>
        <v>18162.75</v>
      </c>
      <c r="F709" s="70">
        <f>'DHS25'!C706</f>
        <v>16776</v>
      </c>
      <c r="G709" s="71">
        <f>'DHS25'!D706</f>
        <v>7548</v>
      </c>
      <c r="H709" s="106">
        <v>8</v>
      </c>
      <c r="I709" s="72">
        <f>'DHS25'!E706/1000</f>
        <v>8.048</v>
      </c>
      <c r="J709" s="109">
        <f>predikcia!R707</f>
        <v>160.30000000000001</v>
      </c>
      <c r="K709" s="92">
        <f t="shared" si="10"/>
        <v>1261.9022560000001</v>
      </c>
      <c r="M709" s="112">
        <v>6</v>
      </c>
      <c r="N709" s="111">
        <v>8</v>
      </c>
    </row>
    <row r="710" spans="3:14" ht="13.5" thickBot="1">
      <c r="C710" s="87">
        <f>predikcia!A708</f>
        <v>45687</v>
      </c>
      <c r="D710" s="88" t="str">
        <f>predikcia!B708</f>
        <v>09:00:00</v>
      </c>
      <c r="E710" s="81">
        <f>predikcia!G708</f>
        <v>17087.75</v>
      </c>
      <c r="F710" s="70">
        <f>'DHS25'!C707</f>
        <v>15791</v>
      </c>
      <c r="G710" s="71">
        <f>'DHS25'!D707</f>
        <v>8687</v>
      </c>
      <c r="H710" s="106">
        <v>8</v>
      </c>
      <c r="I710" s="72">
        <f>'DHS25'!E707/1000</f>
        <v>8.0389999999999997</v>
      </c>
      <c r="J710" s="109">
        <f>predikcia!R708</f>
        <v>151.69999999999999</v>
      </c>
      <c r="K710" s="92">
        <f t="shared" ref="K710:K748" si="11">(J710*0.99-1.9)*I710</f>
        <v>1192.0470369999998</v>
      </c>
      <c r="M710" s="112">
        <v>6</v>
      </c>
      <c r="N710" s="111">
        <v>8</v>
      </c>
    </row>
    <row r="711" spans="3:14" ht="13.5" thickBot="1">
      <c r="C711" s="87">
        <f>predikcia!A709</f>
        <v>45687</v>
      </c>
      <c r="D711" s="88" t="str">
        <f>predikcia!B709</f>
        <v>10:00:00</v>
      </c>
      <c r="E711" s="81">
        <f>predikcia!G709</f>
        <v>16666.5</v>
      </c>
      <c r="F711" s="70">
        <f>'DHS25'!C708</f>
        <v>13514</v>
      </c>
      <c r="G711" s="71">
        <f>'DHS25'!D708</f>
        <v>10656</v>
      </c>
      <c r="H711" s="106">
        <v>8</v>
      </c>
      <c r="I711" s="72">
        <f>'DHS25'!E708/1000</f>
        <v>8.0609999999999999</v>
      </c>
      <c r="J711" s="109">
        <f>predikcia!R709</f>
        <v>131.41999999999999</v>
      </c>
      <c r="K711" s="92">
        <f t="shared" si="11"/>
        <v>1033.4669537999998</v>
      </c>
      <c r="M711" s="112">
        <v>6</v>
      </c>
      <c r="N711" s="111">
        <v>8</v>
      </c>
    </row>
    <row r="712" spans="3:14" ht="13.5" thickBot="1">
      <c r="C712" s="87">
        <f>predikcia!A710</f>
        <v>45687</v>
      </c>
      <c r="D712" s="88" t="str">
        <f>predikcia!B710</f>
        <v>11:00:00</v>
      </c>
      <c r="E712" s="81">
        <f>predikcia!G710</f>
        <v>15179.25</v>
      </c>
      <c r="F712" s="70">
        <f>'DHS25'!C709</f>
        <v>13915</v>
      </c>
      <c r="G712" s="71">
        <f>'DHS25'!D709</f>
        <v>6557</v>
      </c>
      <c r="H712" s="106">
        <v>5</v>
      </c>
      <c r="I712" s="72">
        <f>'DHS25'!E709/1000</f>
        <v>6.5609999999999999</v>
      </c>
      <c r="J712" s="109">
        <f>predikcia!R710</f>
        <v>123.25</v>
      </c>
      <c r="K712" s="92">
        <f t="shared" si="11"/>
        <v>788.09091749999993</v>
      </c>
      <c r="M712" s="112">
        <v>5</v>
      </c>
      <c r="N712" s="111">
        <v>5</v>
      </c>
    </row>
    <row r="713" spans="3:14" ht="13.5" thickBot="1">
      <c r="C713" s="87">
        <f>predikcia!A711</f>
        <v>45687</v>
      </c>
      <c r="D713" s="88" t="str">
        <f>predikcia!B711</f>
        <v>12:00:00</v>
      </c>
      <c r="E713" s="81">
        <f>predikcia!G711</f>
        <v>15009.5</v>
      </c>
      <c r="F713" s="70">
        <f>'DHS25'!C710</f>
        <v>11426</v>
      </c>
      <c r="G713" s="71">
        <f>'DHS25'!D710</f>
        <v>4989</v>
      </c>
      <c r="H713" s="106">
        <v>5</v>
      </c>
      <c r="I713" s="72">
        <f>'DHS25'!E710/1000</f>
        <v>5.0599999999999996</v>
      </c>
      <c r="J713" s="109">
        <f>predikcia!R711</f>
        <v>113.01</v>
      </c>
      <c r="K713" s="92">
        <f t="shared" si="11"/>
        <v>556.49829399999999</v>
      </c>
      <c r="M713" s="112">
        <v>5</v>
      </c>
      <c r="N713" s="111">
        <v>5</v>
      </c>
    </row>
    <row r="714" spans="3:14" ht="13.5" thickBot="1">
      <c r="C714" s="87">
        <f>predikcia!A712</f>
        <v>45687</v>
      </c>
      <c r="D714" s="88" t="str">
        <f>predikcia!B712</f>
        <v>13:00:00</v>
      </c>
      <c r="E714" s="81">
        <f>predikcia!G712</f>
        <v>15313</v>
      </c>
      <c r="F714" s="70">
        <f>'DHS25'!C711</f>
        <v>10622</v>
      </c>
      <c r="G714" s="71">
        <f>'DHS25'!D711</f>
        <v>6218</v>
      </c>
      <c r="H714" s="106">
        <v>5</v>
      </c>
      <c r="I714" s="72">
        <f>'DHS25'!E711/1000</f>
        <v>5.0620000000000003</v>
      </c>
      <c r="J714" s="109">
        <f>predikcia!R712</f>
        <v>113.3</v>
      </c>
      <c r="K714" s="92">
        <f t="shared" si="11"/>
        <v>558.17155400000001</v>
      </c>
      <c r="M714" s="112">
        <v>5</v>
      </c>
      <c r="N714" s="111">
        <v>5</v>
      </c>
    </row>
    <row r="715" spans="3:14" ht="13.5" thickBot="1">
      <c r="C715" s="87">
        <f>predikcia!A713</f>
        <v>45687</v>
      </c>
      <c r="D715" s="88" t="str">
        <f>predikcia!B713</f>
        <v>14:00:00</v>
      </c>
      <c r="E715" s="81">
        <f>predikcia!G713</f>
        <v>15128</v>
      </c>
      <c r="F715" s="70">
        <f>'DHS25'!C712</f>
        <v>9353</v>
      </c>
      <c r="G715" s="71">
        <f>'DHS25'!D712</f>
        <v>11170</v>
      </c>
      <c r="H715" s="106">
        <v>8</v>
      </c>
      <c r="I715" s="72">
        <f>'DHS25'!E712/1000</f>
        <v>6.8040000000000003</v>
      </c>
      <c r="J715" s="109">
        <f>predikcia!R713</f>
        <v>129.85</v>
      </c>
      <c r="K715" s="92">
        <f t="shared" si="11"/>
        <v>861.736806</v>
      </c>
      <c r="M715" s="112">
        <v>5</v>
      </c>
      <c r="N715" s="111">
        <v>5</v>
      </c>
    </row>
    <row r="716" spans="3:14" ht="13.5" thickBot="1">
      <c r="C716" s="87">
        <f>predikcia!A714</f>
        <v>45687</v>
      </c>
      <c r="D716" s="88" t="str">
        <f>predikcia!B714</f>
        <v>15:00:00</v>
      </c>
      <c r="E716" s="81">
        <f>predikcia!G714</f>
        <v>16129</v>
      </c>
      <c r="F716" s="70">
        <f>'DHS25'!C713</f>
        <v>9893</v>
      </c>
      <c r="G716" s="71">
        <f>'DHS25'!D713</f>
        <v>14430</v>
      </c>
      <c r="H716" s="106">
        <v>8</v>
      </c>
      <c r="I716" s="72">
        <f>'DHS25'!E713/1000</f>
        <v>8.0489999999999995</v>
      </c>
      <c r="J716" s="109">
        <f>predikcia!R714</f>
        <v>153.56</v>
      </c>
      <c r="K716" s="92">
        <f t="shared" si="11"/>
        <v>1208.3512956</v>
      </c>
      <c r="M716" s="112">
        <v>6</v>
      </c>
      <c r="N716" s="111">
        <v>8</v>
      </c>
    </row>
    <row r="717" spans="3:14" ht="13.5" thickBot="1">
      <c r="C717" s="87">
        <f>predikcia!A715</f>
        <v>45687</v>
      </c>
      <c r="D717" s="88" t="str">
        <f>predikcia!B715</f>
        <v>16:00:00</v>
      </c>
      <c r="E717" s="81">
        <f>predikcia!G715</f>
        <v>16943.5</v>
      </c>
      <c r="F717" s="70">
        <f>'DHS25'!C714</f>
        <v>11726</v>
      </c>
      <c r="G717" s="71">
        <f>'DHS25'!D714</f>
        <v>12422</v>
      </c>
      <c r="H717" s="106">
        <v>8</v>
      </c>
      <c r="I717" s="72">
        <f>'DHS25'!E714/1000</f>
        <v>8.06</v>
      </c>
      <c r="J717" s="109">
        <f>predikcia!R715</f>
        <v>161.21</v>
      </c>
      <c r="K717" s="92">
        <f t="shared" si="11"/>
        <v>1271.0450740000001</v>
      </c>
      <c r="M717" s="112">
        <v>6</v>
      </c>
      <c r="N717" s="111">
        <v>8</v>
      </c>
    </row>
    <row r="718" spans="3:14" ht="13.5" thickBot="1">
      <c r="C718" s="87">
        <f>predikcia!A716</f>
        <v>45687</v>
      </c>
      <c r="D718" s="88" t="str">
        <f>predikcia!B716</f>
        <v>17:00:00</v>
      </c>
      <c r="E718" s="81">
        <f>predikcia!G716</f>
        <v>17002.25</v>
      </c>
      <c r="F718" s="70">
        <f>'DHS25'!C715</f>
        <v>13667</v>
      </c>
      <c r="G718" s="71">
        <f>'DHS25'!D715</f>
        <v>11105</v>
      </c>
      <c r="H718" s="106">
        <v>8</v>
      </c>
      <c r="I718" s="72">
        <f>'DHS25'!E715/1000</f>
        <v>8.0690000000000008</v>
      </c>
      <c r="J718" s="109">
        <f>predikcia!R716</f>
        <v>177.87</v>
      </c>
      <c r="K718" s="92">
        <f t="shared" si="11"/>
        <v>1405.5495997</v>
      </c>
      <c r="M718" s="112">
        <v>6</v>
      </c>
      <c r="N718" s="111">
        <v>8</v>
      </c>
    </row>
    <row r="719" spans="3:14" ht="13.5" thickBot="1">
      <c r="C719" s="87">
        <f>predikcia!A717</f>
        <v>45687</v>
      </c>
      <c r="D719" s="88" t="str">
        <f>predikcia!B717</f>
        <v>18:00:00</v>
      </c>
      <c r="E719" s="81">
        <f>predikcia!G717</f>
        <v>16960.5</v>
      </c>
      <c r="F719" s="70">
        <f>'DHS25'!C716</f>
        <v>14933</v>
      </c>
      <c r="G719" s="71">
        <f>'DHS25'!D716</f>
        <v>9720</v>
      </c>
      <c r="H719" s="106">
        <v>8</v>
      </c>
      <c r="I719" s="72">
        <f>'DHS25'!E716/1000</f>
        <v>8.0609999999999999</v>
      </c>
      <c r="J719" s="109">
        <f>predikcia!R717</f>
        <v>173.96</v>
      </c>
      <c r="K719" s="92">
        <f t="shared" si="11"/>
        <v>1372.9527444</v>
      </c>
      <c r="M719" s="112">
        <v>6</v>
      </c>
      <c r="N719" s="111">
        <v>8</v>
      </c>
    </row>
    <row r="720" spans="3:14" ht="13.5" thickBot="1">
      <c r="C720" s="87">
        <f>predikcia!A718</f>
        <v>45687</v>
      </c>
      <c r="D720" s="88" t="str">
        <f>predikcia!B718</f>
        <v>19:00:00</v>
      </c>
      <c r="E720" s="81">
        <f>predikcia!G718</f>
        <v>17454.5</v>
      </c>
      <c r="F720" s="70">
        <f>'DHS25'!C717</f>
        <v>14643</v>
      </c>
      <c r="G720" s="71">
        <f>'DHS25'!D717</f>
        <v>9122</v>
      </c>
      <c r="H720" s="106">
        <v>8</v>
      </c>
      <c r="I720" s="72">
        <f>'DHS25'!E717/1000</f>
        <v>8.07</v>
      </c>
      <c r="J720" s="109">
        <f>predikcia!R718</f>
        <v>161.28</v>
      </c>
      <c r="K720" s="92">
        <f t="shared" si="11"/>
        <v>1273.181304</v>
      </c>
      <c r="M720" s="112">
        <v>6</v>
      </c>
      <c r="N720" s="111">
        <v>8</v>
      </c>
    </row>
    <row r="721" spans="3:14" ht="13.5" thickBot="1">
      <c r="C721" s="87">
        <f>predikcia!A719</f>
        <v>45687</v>
      </c>
      <c r="D721" s="88" t="str">
        <f>predikcia!B719</f>
        <v>20:00:00</v>
      </c>
      <c r="E721" s="81">
        <f>predikcia!G719</f>
        <v>17458.25</v>
      </c>
      <c r="F721" s="70">
        <f>'DHS25'!C718</f>
        <v>15390</v>
      </c>
      <c r="G721" s="71">
        <f>'DHS25'!D718</f>
        <v>8173</v>
      </c>
      <c r="H721" s="106">
        <v>8</v>
      </c>
      <c r="I721" s="72">
        <f>'DHS25'!E718/1000</f>
        <v>8.0310000000000006</v>
      </c>
      <c r="J721" s="109">
        <f>predikcia!R719</f>
        <v>151.24</v>
      </c>
      <c r="K721" s="92">
        <f t="shared" si="11"/>
        <v>1187.2034556000001</v>
      </c>
      <c r="M721" s="112">
        <v>6</v>
      </c>
      <c r="N721" s="111">
        <v>8</v>
      </c>
    </row>
    <row r="722" spans="3:14" ht="13.5" thickBot="1">
      <c r="C722" s="87">
        <f>predikcia!A720</f>
        <v>45687</v>
      </c>
      <c r="D722" s="88" t="str">
        <f>predikcia!B720</f>
        <v>21:00:00</v>
      </c>
      <c r="E722" s="81">
        <f>predikcia!G720</f>
        <v>16517.5</v>
      </c>
      <c r="F722" s="70">
        <f>'DHS25'!C719</f>
        <v>15942</v>
      </c>
      <c r="G722" s="71">
        <f>'DHS25'!D719</f>
        <v>7572</v>
      </c>
      <c r="H722" s="106">
        <v>8</v>
      </c>
      <c r="I722" s="72">
        <f>'DHS25'!E719/1000</f>
        <v>8.0449999999999999</v>
      </c>
      <c r="J722" s="109">
        <f>predikcia!R720</f>
        <v>134.93</v>
      </c>
      <c r="K722" s="92">
        <f t="shared" si="11"/>
        <v>1059.3712315</v>
      </c>
      <c r="M722" s="112">
        <v>6</v>
      </c>
      <c r="N722" s="111">
        <v>8</v>
      </c>
    </row>
    <row r="723" spans="3:14" ht="13.5" thickBot="1">
      <c r="C723" s="87">
        <f>predikcia!A721</f>
        <v>45687</v>
      </c>
      <c r="D723" s="88" t="str">
        <f>predikcia!B721</f>
        <v>22:00:00</v>
      </c>
      <c r="E723" s="81">
        <f>predikcia!G721</f>
        <v>15492.75</v>
      </c>
      <c r="F723" s="70">
        <f>'DHS25'!C720</f>
        <v>14660</v>
      </c>
      <c r="G723" s="71">
        <f>'DHS25'!D720</f>
        <v>4774</v>
      </c>
      <c r="H723" s="106">
        <v>5</v>
      </c>
      <c r="I723" s="72">
        <f>'DHS25'!E720/1000</f>
        <v>5.7919999999999998</v>
      </c>
      <c r="J723" s="109">
        <f>predikcia!R721</f>
        <v>126.87</v>
      </c>
      <c r="K723" s="92">
        <f t="shared" si="11"/>
        <v>716.47792960000004</v>
      </c>
      <c r="M723" s="112">
        <v>5</v>
      </c>
      <c r="N723" s="111">
        <v>5</v>
      </c>
    </row>
    <row r="724" spans="3:14" ht="13.5" thickBot="1">
      <c r="C724" s="89">
        <f>predikcia!A722</f>
        <v>45687</v>
      </c>
      <c r="D724" s="90" t="str">
        <f>predikcia!B722</f>
        <v>23:00:00</v>
      </c>
      <c r="E724" s="84">
        <f>predikcia!G722</f>
        <v>8247</v>
      </c>
      <c r="F724" s="73">
        <f>'DHS25'!C721</f>
        <v>7848</v>
      </c>
      <c r="G724" s="64">
        <f>'DHS25'!D721</f>
        <v>3299</v>
      </c>
      <c r="H724" s="107">
        <v>2</v>
      </c>
      <c r="I724" s="74">
        <f>'DHS25'!E721/1000</f>
        <v>2.9140000000000001</v>
      </c>
      <c r="J724" s="109">
        <f>predikcia!R722</f>
        <v>120.2</v>
      </c>
      <c r="K724" s="92">
        <f t="shared" si="11"/>
        <v>341.22357199999999</v>
      </c>
      <c r="M724" s="112">
        <v>4</v>
      </c>
      <c r="N724" s="111">
        <v>4</v>
      </c>
    </row>
    <row r="725" spans="3:14" ht="13.5" thickBot="1">
      <c r="C725" s="76">
        <f>predikcia!A723</f>
        <v>45688</v>
      </c>
      <c r="D725" s="77" t="str">
        <f>predikcia!B723</f>
        <v>00:00:00</v>
      </c>
      <c r="E725" s="78">
        <f>predikcia!G723</f>
        <v>8198.75</v>
      </c>
      <c r="F725" s="68">
        <f>'DHS25'!C722</f>
        <v>7235</v>
      </c>
      <c r="G725" s="63">
        <f>'DHS25'!D722</f>
        <v>1321</v>
      </c>
      <c r="H725" s="105">
        <v>2</v>
      </c>
      <c r="I725" s="69">
        <f>'DHS25'!E722/1000</f>
        <v>2.0619999999999998</v>
      </c>
      <c r="J725" s="109">
        <f>predikcia!R723</f>
        <v>120</v>
      </c>
      <c r="K725" s="92">
        <f t="shared" si="11"/>
        <v>241.04779999999997</v>
      </c>
      <c r="M725" s="112">
        <v>4</v>
      </c>
      <c r="N725" s="111">
        <v>2</v>
      </c>
    </row>
    <row r="726" spans="3:14" ht="13.5" thickBot="1">
      <c r="C726" s="79">
        <f>predikcia!A724</f>
        <v>45688</v>
      </c>
      <c r="D726" s="80" t="str">
        <f>predikcia!B724</f>
        <v>01:00:00</v>
      </c>
      <c r="E726" s="81">
        <f>predikcia!G724</f>
        <v>10097</v>
      </c>
      <c r="F726" s="70">
        <f>'DHS25'!C723</f>
        <v>8304</v>
      </c>
      <c r="G726" s="71">
        <f>'DHS25'!D723</f>
        <v>437</v>
      </c>
      <c r="H726" s="106">
        <v>2</v>
      </c>
      <c r="I726" s="72">
        <f>'DHS25'!E723/1000</f>
        <v>2.0529999999999999</v>
      </c>
      <c r="J726" s="109">
        <f>predikcia!R724</f>
        <v>117.39</v>
      </c>
      <c r="K726" s="92">
        <f t="shared" si="11"/>
        <v>234.69095329999999</v>
      </c>
      <c r="M726" s="112">
        <v>4</v>
      </c>
      <c r="N726" s="111">
        <v>2</v>
      </c>
    </row>
    <row r="727" spans="3:14" ht="13.5" thickBot="1">
      <c r="C727" s="79">
        <f>predikcia!A725</f>
        <v>45688</v>
      </c>
      <c r="D727" s="80" t="str">
        <f>predikcia!B725</f>
        <v>02:00:00</v>
      </c>
      <c r="E727" s="81">
        <f>predikcia!G725</f>
        <v>12955.25</v>
      </c>
      <c r="F727" s="70">
        <f>'DHS25'!C724</f>
        <v>8637</v>
      </c>
      <c r="G727" s="71">
        <f>'DHS25'!D724</f>
        <v>383</v>
      </c>
      <c r="H727" s="106">
        <v>2</v>
      </c>
      <c r="I727" s="72">
        <f>'DHS25'!E724/1000</f>
        <v>2.073</v>
      </c>
      <c r="J727" s="109">
        <f>predikcia!R725</f>
        <v>114.03</v>
      </c>
      <c r="K727" s="92">
        <f t="shared" si="11"/>
        <v>230.0816481</v>
      </c>
      <c r="M727" s="112">
        <v>5</v>
      </c>
      <c r="N727" s="111">
        <v>2</v>
      </c>
    </row>
    <row r="728" spans="3:14" ht="13.5" thickBot="1">
      <c r="C728" s="79">
        <f>predikcia!A726</f>
        <v>45688</v>
      </c>
      <c r="D728" s="80" t="str">
        <f>predikcia!B726</f>
        <v>03:00:00</v>
      </c>
      <c r="E728" s="81">
        <f>predikcia!G726</f>
        <v>12766.75</v>
      </c>
      <c r="F728" s="70">
        <f>'DHS25'!C725</f>
        <v>9711</v>
      </c>
      <c r="G728" s="71">
        <f>'DHS25'!D725</f>
        <v>1959</v>
      </c>
      <c r="H728" s="106">
        <v>5</v>
      </c>
      <c r="I728" s="72">
        <f>'DHS25'!E725/1000</f>
        <v>3.988</v>
      </c>
      <c r="J728" s="109">
        <f>predikcia!R726</f>
        <v>114.12</v>
      </c>
      <c r="K728" s="92">
        <f t="shared" si="11"/>
        <v>442.98225439999999</v>
      </c>
      <c r="M728" s="112">
        <v>5</v>
      </c>
      <c r="N728" s="111">
        <v>5</v>
      </c>
    </row>
    <row r="729" spans="3:14" ht="13.5" thickBot="1">
      <c r="C729" s="79">
        <f>predikcia!A727</f>
        <v>45688</v>
      </c>
      <c r="D729" s="80" t="str">
        <f>predikcia!B727</f>
        <v>04:00:00</v>
      </c>
      <c r="E729" s="81">
        <f>predikcia!G727</f>
        <v>17915.5</v>
      </c>
      <c r="F729" s="70">
        <f>'DHS25'!C726</f>
        <v>18769</v>
      </c>
      <c r="G729" s="71">
        <f>'DHS25'!D726</f>
        <v>813</v>
      </c>
      <c r="H729" s="106">
        <v>6</v>
      </c>
      <c r="I729" s="72">
        <f>'DHS25'!E726/1000</f>
        <v>6.0570000000000004</v>
      </c>
      <c r="J729" s="109">
        <f>predikcia!R727</f>
        <v>116.76</v>
      </c>
      <c r="K729" s="92">
        <f t="shared" si="11"/>
        <v>688.63486679999994</v>
      </c>
      <c r="M729" s="112">
        <v>6</v>
      </c>
      <c r="N729" s="111">
        <v>6</v>
      </c>
    </row>
    <row r="730" spans="3:14" ht="13.5" thickBot="1">
      <c r="C730" s="79">
        <f>predikcia!A728</f>
        <v>45688</v>
      </c>
      <c r="D730" s="80" t="str">
        <f>predikcia!B728</f>
        <v>05:00:00</v>
      </c>
      <c r="E730" s="81">
        <f>predikcia!G728</f>
        <v>18499.25</v>
      </c>
      <c r="F730" s="70">
        <f>'DHS25'!C727</f>
        <v>16310</v>
      </c>
      <c r="G730" s="71">
        <f>'DHS25'!D727</f>
        <v>3019</v>
      </c>
      <c r="H730" s="106">
        <v>6</v>
      </c>
      <c r="I730" s="72">
        <f>'DHS25'!E727/1000</f>
        <v>6.0579999999999998</v>
      </c>
      <c r="J730" s="109">
        <f>predikcia!R728</f>
        <v>121.78</v>
      </c>
      <c r="K730" s="92">
        <f t="shared" si="11"/>
        <v>718.85560759999998</v>
      </c>
      <c r="M730" s="112">
        <v>6</v>
      </c>
      <c r="N730" s="111">
        <v>6</v>
      </c>
    </row>
    <row r="731" spans="3:14" ht="13.5" thickBot="1">
      <c r="C731" s="79">
        <f>predikcia!A729</f>
        <v>45688</v>
      </c>
      <c r="D731" s="80" t="str">
        <f>predikcia!B729</f>
        <v>06:00:00</v>
      </c>
      <c r="E731" s="81">
        <f>predikcia!G729</f>
        <v>18951.5</v>
      </c>
      <c r="F731" s="70">
        <f>'DHS25'!C728</f>
        <v>18249</v>
      </c>
      <c r="G731" s="71">
        <f>'DHS25'!D728</f>
        <v>6029</v>
      </c>
      <c r="H731" s="106">
        <v>8</v>
      </c>
      <c r="I731" s="72">
        <f>'DHS25'!E728/1000</f>
        <v>7.9729999999999999</v>
      </c>
      <c r="J731" s="109">
        <f>predikcia!R729</f>
        <v>148.9</v>
      </c>
      <c r="K731" s="92">
        <f t="shared" si="11"/>
        <v>1160.1592029999999</v>
      </c>
      <c r="M731" s="112">
        <v>6</v>
      </c>
      <c r="N731" s="111">
        <v>8</v>
      </c>
    </row>
    <row r="732" spans="3:14" ht="13.5" thickBot="1">
      <c r="C732" s="79">
        <f>predikcia!A730</f>
        <v>45688</v>
      </c>
      <c r="D732" s="80" t="str">
        <f>predikcia!B730</f>
        <v>07:00:00</v>
      </c>
      <c r="E732" s="81">
        <f>predikcia!G730</f>
        <v>16581.25</v>
      </c>
      <c r="F732" s="70">
        <f>'DHS25'!C729</f>
        <v>17524</v>
      </c>
      <c r="G732" s="71">
        <f>'DHS25'!D729</f>
        <v>7011</v>
      </c>
      <c r="H732" s="106">
        <v>8</v>
      </c>
      <c r="I732" s="72">
        <f>'DHS25'!E729/1000</f>
        <v>8.0679999999999996</v>
      </c>
      <c r="J732" s="109">
        <f>predikcia!R730</f>
        <v>159.59</v>
      </c>
      <c r="K732" s="92">
        <f t="shared" si="11"/>
        <v>1259.3671987999999</v>
      </c>
      <c r="M732" s="112">
        <v>6</v>
      </c>
      <c r="N732" s="111">
        <v>8</v>
      </c>
    </row>
    <row r="733" spans="3:14" ht="13.5" thickBot="1">
      <c r="C733" s="79">
        <f>predikcia!A731</f>
        <v>45688</v>
      </c>
      <c r="D733" s="80" t="str">
        <f>predikcia!B731</f>
        <v>08:00:00</v>
      </c>
      <c r="E733" s="81">
        <f>predikcia!G731</f>
        <v>17252.25</v>
      </c>
      <c r="F733" s="70">
        <f>'DHS25'!C730</f>
        <v>17229</v>
      </c>
      <c r="G733" s="71">
        <f>'DHS25'!D730</f>
        <v>7055</v>
      </c>
      <c r="H733" s="106">
        <v>8</v>
      </c>
      <c r="I733" s="72">
        <f>'DHS25'!E730/1000</f>
        <v>8.0559999999999992</v>
      </c>
      <c r="J733" s="109">
        <f>predikcia!R731</f>
        <v>163.69999999999999</v>
      </c>
      <c r="K733" s="92">
        <f t="shared" si="11"/>
        <v>1290.2731279999998</v>
      </c>
      <c r="M733" s="112">
        <v>6</v>
      </c>
      <c r="N733" s="111">
        <v>8</v>
      </c>
    </row>
    <row r="734" spans="3:14" ht="13.5" thickBot="1">
      <c r="C734" s="79">
        <f>predikcia!A732</f>
        <v>45688</v>
      </c>
      <c r="D734" s="80" t="str">
        <f>predikcia!B732</f>
        <v>09:00:00</v>
      </c>
      <c r="E734" s="81">
        <f>predikcia!G732</f>
        <v>17515.5</v>
      </c>
      <c r="F734" s="70">
        <f>'DHS25'!C731</f>
        <v>17025</v>
      </c>
      <c r="G734" s="71">
        <f>'DHS25'!D731</f>
        <v>7465</v>
      </c>
      <c r="H734" s="106">
        <v>8</v>
      </c>
      <c r="I734" s="72">
        <f>'DHS25'!E731/1000</f>
        <v>8.0660000000000007</v>
      </c>
      <c r="J734" s="109">
        <f>predikcia!R732</f>
        <v>154.82</v>
      </c>
      <c r="K734" s="92">
        <f t="shared" si="11"/>
        <v>1220.9649388</v>
      </c>
      <c r="M734" s="112">
        <v>6</v>
      </c>
      <c r="N734" s="111">
        <v>8</v>
      </c>
    </row>
    <row r="735" spans="3:14" ht="13.5" thickBot="1">
      <c r="C735" s="79">
        <f>predikcia!A733</f>
        <v>45688</v>
      </c>
      <c r="D735" s="80" t="str">
        <f>predikcia!B733</f>
        <v>10:00:00</v>
      </c>
      <c r="E735" s="81">
        <f>predikcia!G733</f>
        <v>16000.25</v>
      </c>
      <c r="F735" s="70">
        <f>'DHS25'!C732</f>
        <v>12894</v>
      </c>
      <c r="G735" s="71">
        <f>'DHS25'!D732</f>
        <v>11567</v>
      </c>
      <c r="H735" s="106">
        <v>8</v>
      </c>
      <c r="I735" s="72">
        <f>'DHS25'!E732/1000</f>
        <v>8.0679999999999996</v>
      </c>
      <c r="J735" s="109">
        <f>predikcia!R733</f>
        <v>130.1</v>
      </c>
      <c r="K735" s="92">
        <f t="shared" si="11"/>
        <v>1023.8211319999999</v>
      </c>
      <c r="M735" s="112">
        <v>6</v>
      </c>
      <c r="N735" s="111">
        <v>8</v>
      </c>
    </row>
    <row r="736" spans="3:14" ht="13.5" thickBot="1">
      <c r="C736" s="79">
        <f>predikcia!A734</f>
        <v>45688</v>
      </c>
      <c r="D736" s="80" t="str">
        <f>predikcia!B734</f>
        <v>11:00:00</v>
      </c>
      <c r="E736" s="81">
        <f>predikcia!G734</f>
        <v>15956.5</v>
      </c>
      <c r="F736" s="70">
        <f>'DHS25'!C733</f>
        <v>11460</v>
      </c>
      <c r="G736" s="71">
        <f>'DHS25'!D733</f>
        <v>7777</v>
      </c>
      <c r="H736" s="106">
        <v>5</v>
      </c>
      <c r="I736" s="72">
        <f>'DHS25'!E733/1000</f>
        <v>6.649</v>
      </c>
      <c r="J736" s="109">
        <f>predikcia!R734</f>
        <v>126.2</v>
      </c>
      <c r="K736" s="92">
        <f t="shared" si="11"/>
        <v>818.07966199999998</v>
      </c>
      <c r="M736" s="112">
        <v>5</v>
      </c>
      <c r="N736" s="111">
        <v>5</v>
      </c>
    </row>
    <row r="737" spans="3:14" ht="13.5" thickBot="1">
      <c r="C737" s="79">
        <f>predikcia!A735</f>
        <v>45688</v>
      </c>
      <c r="D737" s="80" t="str">
        <f>predikcia!B735</f>
        <v>12:00:00</v>
      </c>
      <c r="E737" s="81">
        <f>predikcia!G735</f>
        <v>16139.5</v>
      </c>
      <c r="F737" s="70">
        <f>'DHS25'!C734</f>
        <v>12163</v>
      </c>
      <c r="G737" s="71">
        <f>'DHS25'!D734</f>
        <v>5010</v>
      </c>
      <c r="H737" s="106">
        <v>6</v>
      </c>
      <c r="I737" s="72">
        <f>'DHS25'!E734/1000</f>
        <v>5.8789999999999996</v>
      </c>
      <c r="J737" s="109">
        <f>predikcia!R735</f>
        <v>120.06</v>
      </c>
      <c r="K737" s="92">
        <f t="shared" si="11"/>
        <v>687.60431259999996</v>
      </c>
      <c r="M737" s="112">
        <v>6</v>
      </c>
      <c r="N737" s="111">
        <v>6</v>
      </c>
    </row>
    <row r="738" spans="3:14" ht="13.5" thickBot="1">
      <c r="C738" s="79">
        <f>predikcia!A736</f>
        <v>45688</v>
      </c>
      <c r="D738" s="80" t="str">
        <f>predikcia!B736</f>
        <v>13:00:00</v>
      </c>
      <c r="E738" s="81">
        <f>predikcia!G736</f>
        <v>15682.25</v>
      </c>
      <c r="F738" s="70">
        <f>'DHS25'!C735</f>
        <v>10012</v>
      </c>
      <c r="G738" s="71">
        <f>'DHS25'!D735</f>
        <v>6636</v>
      </c>
      <c r="H738" s="106">
        <v>5</v>
      </c>
      <c r="I738" s="72">
        <f>'DHS25'!E735/1000</f>
        <v>5.173</v>
      </c>
      <c r="J738" s="109">
        <f>predikcia!R736</f>
        <v>121.19</v>
      </c>
      <c r="K738" s="92">
        <f t="shared" si="11"/>
        <v>610.81801129999997</v>
      </c>
      <c r="M738" s="112">
        <v>5</v>
      </c>
      <c r="N738" s="111">
        <v>5</v>
      </c>
    </row>
    <row r="739" spans="3:14" ht="13.5" thickBot="1">
      <c r="C739" s="79">
        <f>predikcia!A737</f>
        <v>45688</v>
      </c>
      <c r="D739" s="80" t="str">
        <f>predikcia!B737</f>
        <v>14:00:00</v>
      </c>
      <c r="E739" s="81">
        <f>predikcia!G737</f>
        <v>15259.75</v>
      </c>
      <c r="F739" s="70">
        <f>'DHS25'!C736</f>
        <v>10700</v>
      </c>
      <c r="G739" s="71">
        <f>'DHS25'!D736</f>
        <v>6075</v>
      </c>
      <c r="H739" s="106">
        <v>5</v>
      </c>
      <c r="I739" s="72">
        <f>'DHS25'!E736/1000</f>
        <v>5.0759999999999996</v>
      </c>
      <c r="J739" s="109">
        <f>predikcia!R737</f>
        <v>119.94</v>
      </c>
      <c r="K739" s="92">
        <f t="shared" si="11"/>
        <v>593.08288559999994</v>
      </c>
      <c r="M739" s="112">
        <v>5</v>
      </c>
      <c r="N739" s="111">
        <v>5</v>
      </c>
    </row>
    <row r="740" spans="3:14" ht="13.5" thickBot="1">
      <c r="C740" s="79">
        <f>predikcia!A738</f>
        <v>45688</v>
      </c>
      <c r="D740" s="80" t="str">
        <f>predikcia!B738</f>
        <v>15:00:00</v>
      </c>
      <c r="E740" s="81">
        <f>predikcia!G738</f>
        <v>15322.25</v>
      </c>
      <c r="F740" s="70">
        <f>'DHS25'!C737</f>
        <v>10697</v>
      </c>
      <c r="G740" s="71">
        <f>'DHS25'!D737</f>
        <v>10512</v>
      </c>
      <c r="H740" s="106">
        <v>8</v>
      </c>
      <c r="I740" s="72">
        <f>'DHS25'!E737/1000</f>
        <v>6.9429999999999996</v>
      </c>
      <c r="J740" s="109">
        <f>predikcia!R738</f>
        <v>152.02000000000001</v>
      </c>
      <c r="K740" s="92">
        <f t="shared" si="11"/>
        <v>1031.7284114000001</v>
      </c>
      <c r="M740" s="112">
        <v>5</v>
      </c>
      <c r="N740" s="111">
        <v>8</v>
      </c>
    </row>
    <row r="741" spans="3:14" ht="13.5" thickBot="1">
      <c r="C741" s="79">
        <f>predikcia!A739</f>
        <v>45688</v>
      </c>
      <c r="D741" s="80" t="str">
        <f>predikcia!B739</f>
        <v>16:00:00</v>
      </c>
      <c r="E741" s="81">
        <f>predikcia!G739</f>
        <v>16363.25</v>
      </c>
      <c r="F741" s="70">
        <f>'DHS25'!C738</f>
        <v>11138</v>
      </c>
      <c r="G741" s="71">
        <f>'DHS25'!D738</f>
        <v>12583</v>
      </c>
      <c r="H741" s="106">
        <v>8</v>
      </c>
      <c r="I741" s="72">
        <f>'DHS25'!E738/1000</f>
        <v>8.0139999999999993</v>
      </c>
      <c r="J741" s="109">
        <f>predikcia!R739</f>
        <v>168.26</v>
      </c>
      <c r="K741" s="92">
        <f t="shared" si="11"/>
        <v>1319.7246835999997</v>
      </c>
      <c r="M741" s="112">
        <v>6</v>
      </c>
      <c r="N741" s="111">
        <v>8</v>
      </c>
    </row>
    <row r="742" spans="3:14" ht="13.5" thickBot="1">
      <c r="C742" s="79">
        <f>predikcia!A740</f>
        <v>45688</v>
      </c>
      <c r="D742" s="80" t="str">
        <f>predikcia!B740</f>
        <v>17:00:00</v>
      </c>
      <c r="E742" s="81">
        <f>predikcia!G740</f>
        <v>17310</v>
      </c>
      <c r="F742" s="70">
        <f>'DHS25'!C739</f>
        <v>13979</v>
      </c>
      <c r="G742" s="71">
        <f>'DHS25'!D739</f>
        <v>9782</v>
      </c>
      <c r="H742" s="106">
        <v>8</v>
      </c>
      <c r="I742" s="72">
        <f>'DHS25'!E739/1000</f>
        <v>8.0399999999999991</v>
      </c>
      <c r="J742" s="109">
        <f>predikcia!R740</f>
        <v>183.97</v>
      </c>
      <c r="K742" s="92">
        <f t="shared" si="11"/>
        <v>1449.0516119999997</v>
      </c>
      <c r="M742" s="112">
        <v>6</v>
      </c>
      <c r="N742" s="111">
        <v>8</v>
      </c>
    </row>
    <row r="743" spans="3:14" ht="13.5" thickBot="1">
      <c r="C743" s="79">
        <f>predikcia!A741</f>
        <v>45688</v>
      </c>
      <c r="D743" s="80" t="str">
        <f>predikcia!B741</f>
        <v>18:00:00</v>
      </c>
      <c r="E743" s="81">
        <f>predikcia!G741</f>
        <v>17614</v>
      </c>
      <c r="F743" s="70">
        <f>'DHS25'!C740</f>
        <v>13871</v>
      </c>
      <c r="G743" s="71">
        <f>'DHS25'!D740</f>
        <v>10292</v>
      </c>
      <c r="H743" s="106">
        <v>8</v>
      </c>
      <c r="I743" s="72">
        <f>'DHS25'!E740/1000</f>
        <v>8.06</v>
      </c>
      <c r="J743" s="109">
        <f>predikcia!R741</f>
        <v>184.48</v>
      </c>
      <c r="K743" s="92">
        <f t="shared" si="11"/>
        <v>1456.7257119999999</v>
      </c>
      <c r="M743" s="112">
        <v>6</v>
      </c>
      <c r="N743" s="111">
        <v>8</v>
      </c>
    </row>
    <row r="744" spans="3:14" ht="13.5" thickBot="1">
      <c r="C744" s="79">
        <f>predikcia!A742</f>
        <v>45688</v>
      </c>
      <c r="D744" s="80" t="str">
        <f>predikcia!B742</f>
        <v>19:00:00</v>
      </c>
      <c r="E744" s="81">
        <f>predikcia!G742</f>
        <v>17203.75</v>
      </c>
      <c r="F744" s="70">
        <f>'DHS25'!C741</f>
        <v>13546</v>
      </c>
      <c r="G744" s="71">
        <f>'DHS25'!D741</f>
        <v>10587</v>
      </c>
      <c r="H744" s="106">
        <v>8</v>
      </c>
      <c r="I744" s="72">
        <f>'DHS25'!E741/1000</f>
        <v>8.0630000000000006</v>
      </c>
      <c r="J744" s="109">
        <f>predikcia!R742</f>
        <v>178.99</v>
      </c>
      <c r="K744" s="92">
        <f t="shared" si="11"/>
        <v>1413.4447063000002</v>
      </c>
      <c r="M744" s="112">
        <v>6</v>
      </c>
      <c r="N744" s="111">
        <v>8</v>
      </c>
    </row>
    <row r="745" spans="3:14" ht="13.5" thickBot="1">
      <c r="C745" s="79">
        <f>predikcia!A743</f>
        <v>45688</v>
      </c>
      <c r="D745" s="80" t="str">
        <f>predikcia!B743</f>
        <v>20:00:00</v>
      </c>
      <c r="E745" s="81">
        <f>predikcia!G743</f>
        <v>17889.75</v>
      </c>
      <c r="F745" s="70">
        <f>'DHS25'!C742</f>
        <v>14001</v>
      </c>
      <c r="G745" s="71">
        <f>'DHS25'!D742</f>
        <v>9861</v>
      </c>
      <c r="H745" s="106">
        <v>8</v>
      </c>
      <c r="I745" s="72">
        <f>'DHS25'!E742/1000</f>
        <v>8.0500000000000007</v>
      </c>
      <c r="J745" s="109">
        <f>predikcia!R743</f>
        <v>162.66</v>
      </c>
      <c r="K745" s="92">
        <f t="shared" si="11"/>
        <v>1281.02387</v>
      </c>
      <c r="M745" s="112">
        <v>6</v>
      </c>
      <c r="N745" s="111">
        <v>8</v>
      </c>
    </row>
    <row r="746" spans="3:14" ht="13.5" thickBot="1">
      <c r="C746" s="79">
        <f>predikcia!A744</f>
        <v>45688</v>
      </c>
      <c r="D746" s="80" t="str">
        <f>predikcia!B744</f>
        <v>21:00:00</v>
      </c>
      <c r="E746" s="81">
        <f>predikcia!G744</f>
        <v>17570</v>
      </c>
      <c r="F746" s="70">
        <f>'DHS25'!C743</f>
        <v>13728</v>
      </c>
      <c r="G746" s="71">
        <f>'DHS25'!D743</f>
        <v>10133</v>
      </c>
      <c r="H746" s="106">
        <v>8</v>
      </c>
      <c r="I746" s="72">
        <f>'DHS25'!E743/1000</f>
        <v>8.0540000000000003</v>
      </c>
      <c r="J746" s="109">
        <f>predikcia!R744</f>
        <v>152.69999999999999</v>
      </c>
      <c r="K746" s="92">
        <f t="shared" si="11"/>
        <v>1202.2447419999999</v>
      </c>
      <c r="M746" s="112">
        <v>6</v>
      </c>
      <c r="N746" s="111">
        <v>8</v>
      </c>
    </row>
    <row r="747" spans="3:14" ht="13.5" thickBot="1">
      <c r="C747" s="79">
        <f>predikcia!A745</f>
        <v>45688</v>
      </c>
      <c r="D747" s="80" t="str">
        <f>predikcia!B745</f>
        <v>22:00:00</v>
      </c>
      <c r="E747" s="81">
        <f>predikcia!G745</f>
        <v>16023</v>
      </c>
      <c r="F747" s="70">
        <f>'DHS25'!C744</f>
        <v>11370</v>
      </c>
      <c r="G747" s="71">
        <f>'DHS25'!D744</f>
        <v>11253</v>
      </c>
      <c r="H747" s="106">
        <v>6</v>
      </c>
      <c r="I747" s="72">
        <f>'DHS25'!E744/1000</f>
        <v>7.3929999999999998</v>
      </c>
      <c r="J747" s="109">
        <f>predikcia!R745</f>
        <v>150.49</v>
      </c>
      <c r="K747" s="92">
        <f t="shared" si="11"/>
        <v>1087.4001443</v>
      </c>
      <c r="M747" s="112">
        <v>6</v>
      </c>
      <c r="N747" s="111">
        <v>6</v>
      </c>
    </row>
    <row r="748" spans="3:14" ht="13.5" thickBot="1">
      <c r="C748" s="82">
        <f>predikcia!A746</f>
        <v>45688</v>
      </c>
      <c r="D748" s="83" t="str">
        <f>predikcia!B746</f>
        <v>23:00:00</v>
      </c>
      <c r="E748" s="91">
        <f>predikcia!G746</f>
        <v>9011.5</v>
      </c>
      <c r="F748" s="73">
        <f>'DHS25'!C745</f>
        <v>7665</v>
      </c>
      <c r="G748" s="64">
        <f>'DHS25'!D745</f>
        <v>4758</v>
      </c>
      <c r="H748" s="104">
        <v>2</v>
      </c>
      <c r="I748" s="74">
        <f>'DHS25'!E745/1000</f>
        <v>3.9319999999999999</v>
      </c>
      <c r="J748" s="114">
        <f>predikcia!R746</f>
        <v>134.18</v>
      </c>
      <c r="K748" s="75">
        <f t="shared" si="11"/>
        <v>514.84900240000002</v>
      </c>
      <c r="M748" s="112">
        <v>4</v>
      </c>
      <c r="N748" s="111">
        <v>2</v>
      </c>
    </row>
    <row r="749" spans="3:14" ht="13.5" thickBot="1">
      <c r="C749" s="62"/>
      <c r="D749" s="62"/>
      <c r="E749" s="62"/>
      <c r="F749" s="62"/>
      <c r="G749" s="62"/>
      <c r="H749" s="62"/>
      <c r="I749" s="62"/>
      <c r="J749" s="62"/>
      <c r="K749" s="75">
        <f>SUM(K5:K748)</f>
        <v>685142.24166969908</v>
      </c>
    </row>
  </sheetData>
  <mergeCells count="9">
    <mergeCell ref="K1:K4"/>
    <mergeCell ref="E1:E4"/>
    <mergeCell ref="C1:C4"/>
    <mergeCell ref="D1:D4"/>
    <mergeCell ref="G1:G4"/>
    <mergeCell ref="F1:F4"/>
    <mergeCell ref="H1:H4"/>
    <mergeCell ref="I1:I4"/>
    <mergeCell ref="J1:J4"/>
  </mergeCells>
  <conditionalFormatting sqref="H5:H748 M5:M748">
    <cfRule type="expression" dxfId="1" priority="5">
      <formula>$H5&lt;&gt;$M5</formula>
    </cfRule>
  </conditionalFormatting>
  <conditionalFormatting sqref="H5:H748 N5:N748">
    <cfRule type="expression" dxfId="0" priority="1">
      <formula>$H5&lt;&gt;$N5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747"/>
  <sheetViews>
    <sheetView zoomScaleNormal="100" workbookViewId="0">
      <pane ySplit="2" topLeftCell="A713" activePane="bottomLeft" state="frozen"/>
      <selection pane="bottomLeft" activeCell="U727" sqref="U727"/>
    </sheetView>
  </sheetViews>
  <sheetFormatPr defaultRowHeight="12.75"/>
  <cols>
    <col min="3" max="6" width="12" style="4" bestFit="1" customWidth="1"/>
    <col min="7" max="7" width="15.7109375" bestFit="1" customWidth="1"/>
    <col min="8" max="8" width="10.85546875" bestFit="1" customWidth="1"/>
    <col min="9" max="9" width="9.28515625" bestFit="1" customWidth="1"/>
    <col min="10" max="10" width="10.85546875" customWidth="1"/>
    <col min="11" max="11" width="11" bestFit="1" customWidth="1"/>
    <col min="12" max="12" width="26" bestFit="1" customWidth="1"/>
    <col min="13" max="13" width="12.85546875" bestFit="1" customWidth="1"/>
    <col min="14" max="14" width="9.140625" customWidth="1"/>
    <col min="15" max="15" width="15.28515625" bestFit="1" customWidth="1"/>
    <col min="16" max="16" width="12.7109375" bestFit="1" customWidth="1"/>
    <col min="17" max="17" width="8.140625" bestFit="1" customWidth="1"/>
    <col min="18" max="18" width="19.28515625" bestFit="1" customWidth="1"/>
    <col min="19" max="19" width="14.7109375" bestFit="1" customWidth="1"/>
    <col min="20" max="21" width="9.140625" customWidth="1"/>
  </cols>
  <sheetData>
    <row r="1" spans="1:19" ht="13.5" thickBot="1">
      <c r="O1" s="126" t="s">
        <v>216</v>
      </c>
      <c r="P1" s="127"/>
      <c r="Q1" s="127"/>
      <c r="R1" s="127"/>
      <c r="S1" s="128"/>
    </row>
    <row r="2" spans="1:19" ht="39" customHeight="1" thickBot="1">
      <c r="A2" s="50" t="s">
        <v>0</v>
      </c>
      <c r="B2" s="51" t="s">
        <v>1</v>
      </c>
      <c r="C2" s="52">
        <v>2020</v>
      </c>
      <c r="D2" s="52">
        <v>2021</v>
      </c>
      <c r="E2" s="52">
        <v>2023</v>
      </c>
      <c r="F2" s="52">
        <v>2024</v>
      </c>
      <c r="G2" s="53" t="s">
        <v>159</v>
      </c>
      <c r="H2" s="6" t="s">
        <v>161</v>
      </c>
      <c r="I2" s="54" t="s">
        <v>222</v>
      </c>
      <c r="J2" s="55" t="s">
        <v>170</v>
      </c>
      <c r="K2" s="56" t="s">
        <v>164</v>
      </c>
      <c r="L2" s="57" t="s">
        <v>160</v>
      </c>
      <c r="M2" s="58">
        <v>4</v>
      </c>
      <c r="N2" s="51"/>
      <c r="O2" s="31" t="s">
        <v>219</v>
      </c>
      <c r="P2" s="32" t="s">
        <v>221</v>
      </c>
      <c r="Q2" s="32" t="s">
        <v>220</v>
      </c>
      <c r="R2" s="32" t="s">
        <v>217</v>
      </c>
      <c r="S2" s="33" t="s">
        <v>218</v>
      </c>
    </row>
    <row r="3" spans="1:19">
      <c r="A3" s="66">
        <v>45658</v>
      </c>
      <c r="B3" s="24" t="s">
        <v>8</v>
      </c>
      <c r="C3" s="4">
        <v>6127</v>
      </c>
      <c r="D3" s="5">
        <v>7558</v>
      </c>
      <c r="E3" s="4">
        <v>2689</v>
      </c>
      <c r="F3" s="4">
        <v>3668</v>
      </c>
      <c r="G3" s="4">
        <f>AVERAGE(C3:F3)</f>
        <v>5010.5</v>
      </c>
      <c r="H3" s="7">
        <f t="shared" ref="H3:H66" si="0">G3/$M$2/1000</f>
        <v>1.2526250000000001</v>
      </c>
      <c r="I3" s="9">
        <v>1</v>
      </c>
      <c r="J3" s="9">
        <f>H3+I3</f>
        <v>2.2526250000000001</v>
      </c>
      <c r="K3" s="10">
        <f>ROUNDUP(J3,0)</f>
        <v>3</v>
      </c>
      <c r="L3" s="34"/>
      <c r="M3" s="49"/>
      <c r="O3" s="61">
        <f>'DHS25'!C2</f>
        <v>9904</v>
      </c>
      <c r="P3" s="37">
        <f>'DHS25'!D2</f>
        <v>4296</v>
      </c>
      <c r="Q3" s="37">
        <f>'DHS25'!E2</f>
        <v>4043</v>
      </c>
      <c r="R3" s="38">
        <v>180</v>
      </c>
      <c r="S3" s="39">
        <f>(Q3/1000)*R3</f>
        <v>727.74</v>
      </c>
    </row>
    <row r="4" spans="1:19">
      <c r="A4" s="66">
        <v>45658</v>
      </c>
      <c r="B4" s="24" t="s">
        <v>9</v>
      </c>
      <c r="C4" s="4">
        <v>7742</v>
      </c>
      <c r="D4" s="5">
        <v>7830</v>
      </c>
      <c r="E4" s="4">
        <v>2551</v>
      </c>
      <c r="F4" s="4">
        <v>4046</v>
      </c>
      <c r="G4" s="4">
        <f t="shared" ref="G4:G67" si="1">AVERAGE(C4:F4)</f>
        <v>5542.25</v>
      </c>
      <c r="H4" s="7">
        <f t="shared" si="0"/>
        <v>1.3855625</v>
      </c>
      <c r="I4" s="9">
        <f>I3</f>
        <v>1</v>
      </c>
      <c r="J4" s="9">
        <f t="shared" ref="J4:J67" si="2">H4+I4</f>
        <v>2.3855624999999998</v>
      </c>
      <c r="K4" s="10">
        <f t="shared" ref="K4:K67" si="3">ROUNDUP(J4,0)</f>
        <v>3</v>
      </c>
      <c r="L4" s="34" t="s">
        <v>162</v>
      </c>
      <c r="M4" s="44">
        <v>110</v>
      </c>
      <c r="O4" s="61">
        <f>'DHS25'!C3</f>
        <v>9949</v>
      </c>
      <c r="P4" s="37">
        <f>'DHS25'!D3</f>
        <v>1848</v>
      </c>
      <c r="Q4" s="37">
        <f>'DHS25'!E3</f>
        <v>3007</v>
      </c>
      <c r="R4" s="38">
        <v>138.56</v>
      </c>
      <c r="S4" s="39">
        <f t="shared" ref="S4:S67" si="4">(Q4/1000)*R4</f>
        <v>416.64992000000001</v>
      </c>
    </row>
    <row r="5" spans="1:19">
      <c r="A5" s="66">
        <v>45658</v>
      </c>
      <c r="B5" s="24" t="s">
        <v>10</v>
      </c>
      <c r="C5" s="4">
        <v>9368</v>
      </c>
      <c r="D5" s="5">
        <v>9217</v>
      </c>
      <c r="E5" s="4">
        <v>4289</v>
      </c>
      <c r="F5" s="4">
        <v>4026</v>
      </c>
      <c r="G5" s="4">
        <f t="shared" si="1"/>
        <v>6725</v>
      </c>
      <c r="H5" s="7">
        <f t="shared" si="0"/>
        <v>1.6812499999999999</v>
      </c>
      <c r="I5" s="9">
        <f t="shared" ref="I5:I68" si="5">I4</f>
        <v>1</v>
      </c>
      <c r="J5" s="9">
        <f t="shared" si="2"/>
        <v>2.6812499999999999</v>
      </c>
      <c r="K5" s="10">
        <f t="shared" si="3"/>
        <v>3</v>
      </c>
      <c r="L5" s="34" t="s">
        <v>166</v>
      </c>
      <c r="M5" s="45">
        <f>M8*1.1</f>
        <v>4364.8</v>
      </c>
      <c r="O5" s="36">
        <f>'DHS25'!C4</f>
        <v>11129</v>
      </c>
      <c r="P5" s="37">
        <f>'DHS25'!D4</f>
        <v>309</v>
      </c>
      <c r="Q5" s="37">
        <f>'DHS25'!E4</f>
        <v>2996</v>
      </c>
      <c r="R5" s="38">
        <v>127.12</v>
      </c>
      <c r="S5" s="39">
        <f t="shared" si="4"/>
        <v>380.85151999999999</v>
      </c>
    </row>
    <row r="6" spans="1:19">
      <c r="A6" s="66">
        <v>45658</v>
      </c>
      <c r="B6" s="24" t="s">
        <v>11</v>
      </c>
      <c r="C6" s="4">
        <v>11370</v>
      </c>
      <c r="D6" s="5">
        <v>9580</v>
      </c>
      <c r="E6" s="4">
        <v>3060</v>
      </c>
      <c r="F6" s="4">
        <v>6507</v>
      </c>
      <c r="G6" s="4">
        <f t="shared" si="1"/>
        <v>7629.25</v>
      </c>
      <c r="H6" s="7">
        <f t="shared" si="0"/>
        <v>1.9073125</v>
      </c>
      <c r="I6" s="9">
        <f t="shared" si="5"/>
        <v>1</v>
      </c>
      <c r="J6" s="9">
        <f t="shared" si="2"/>
        <v>2.9073124999999997</v>
      </c>
      <c r="K6" s="10">
        <f t="shared" si="3"/>
        <v>3</v>
      </c>
      <c r="L6" s="34" t="s">
        <v>167</v>
      </c>
      <c r="M6" s="45">
        <f>M4*M5</f>
        <v>480128</v>
      </c>
      <c r="O6" s="36">
        <f>'DHS25'!C5</f>
        <v>11442</v>
      </c>
      <c r="P6" s="37">
        <f>'DHS25'!D5</f>
        <v>49</v>
      </c>
      <c r="Q6" s="37">
        <f>'DHS25'!E5</f>
        <v>3000</v>
      </c>
      <c r="R6" s="38">
        <v>64.8</v>
      </c>
      <c r="S6" s="39">
        <f t="shared" si="4"/>
        <v>194.39999999999998</v>
      </c>
    </row>
    <row r="7" spans="1:19">
      <c r="A7" s="66">
        <v>45658</v>
      </c>
      <c r="B7" s="24" t="s">
        <v>12</v>
      </c>
      <c r="C7" s="4">
        <v>20378</v>
      </c>
      <c r="D7" s="5">
        <v>16424</v>
      </c>
      <c r="E7" s="4">
        <v>11925</v>
      </c>
      <c r="F7" s="4">
        <v>9266</v>
      </c>
      <c r="G7" s="4">
        <f t="shared" si="1"/>
        <v>14498.25</v>
      </c>
      <c r="H7" s="7">
        <f t="shared" si="0"/>
        <v>3.6245625000000001</v>
      </c>
      <c r="I7" s="9">
        <f t="shared" si="5"/>
        <v>1</v>
      </c>
      <c r="J7" s="9">
        <f t="shared" si="2"/>
        <v>4.6245624999999997</v>
      </c>
      <c r="K7" s="10">
        <f t="shared" si="3"/>
        <v>5</v>
      </c>
      <c r="L7" s="34" t="s">
        <v>163</v>
      </c>
      <c r="M7" s="46">
        <f>G747</f>
        <v>11321.177750000001</v>
      </c>
      <c r="O7" s="36">
        <f>'DHS25'!C6</f>
        <v>16527</v>
      </c>
      <c r="P7" s="37">
        <f>'DHS25'!D6</f>
        <v>89</v>
      </c>
      <c r="Q7" s="37">
        <f>'DHS25'!E6</f>
        <v>4991</v>
      </c>
      <c r="R7" s="38">
        <v>71.09</v>
      </c>
      <c r="S7" s="39">
        <f t="shared" si="4"/>
        <v>354.81018999999998</v>
      </c>
    </row>
    <row r="8" spans="1:19">
      <c r="A8" s="66">
        <v>45658</v>
      </c>
      <c r="B8" s="24" t="s">
        <v>13</v>
      </c>
      <c r="C8" s="4">
        <v>20060</v>
      </c>
      <c r="D8" s="5">
        <v>18327</v>
      </c>
      <c r="E8" s="4">
        <v>11649</v>
      </c>
      <c r="F8" s="4">
        <v>16002</v>
      </c>
      <c r="G8" s="4">
        <f t="shared" si="1"/>
        <v>16509.5</v>
      </c>
      <c r="H8" s="7">
        <f t="shared" si="0"/>
        <v>4.1273749999999998</v>
      </c>
      <c r="I8" s="9">
        <f t="shared" si="5"/>
        <v>1</v>
      </c>
      <c r="J8" s="9">
        <f t="shared" si="2"/>
        <v>5.1273749999999998</v>
      </c>
      <c r="K8" s="10">
        <f t="shared" si="3"/>
        <v>6</v>
      </c>
      <c r="L8" s="34" t="s">
        <v>165</v>
      </c>
      <c r="M8" s="47">
        <f>K747</f>
        <v>3968</v>
      </c>
      <c r="O8" s="36">
        <f>'DHS25'!C7</f>
        <v>19516</v>
      </c>
      <c r="P8" s="37">
        <f>'DHS25'!D7</f>
        <v>60</v>
      </c>
      <c r="Q8" s="37">
        <f>'DHS25'!E7</f>
        <v>5988</v>
      </c>
      <c r="R8" s="38">
        <v>3</v>
      </c>
      <c r="S8" s="39">
        <f t="shared" si="4"/>
        <v>17.964000000000002</v>
      </c>
    </row>
    <row r="9" spans="1:19">
      <c r="A9" s="66">
        <v>45658</v>
      </c>
      <c r="B9" s="24" t="s">
        <v>14</v>
      </c>
      <c r="C9" s="4">
        <v>19128</v>
      </c>
      <c r="D9" s="5">
        <v>17300</v>
      </c>
      <c r="E9" s="4">
        <v>15412</v>
      </c>
      <c r="F9" s="4">
        <v>14947</v>
      </c>
      <c r="G9" s="4">
        <f t="shared" si="1"/>
        <v>16696.75</v>
      </c>
      <c r="H9" s="7">
        <f t="shared" si="0"/>
        <v>4.1741875000000004</v>
      </c>
      <c r="I9" s="9">
        <f t="shared" si="5"/>
        <v>1</v>
      </c>
      <c r="J9" s="9">
        <f t="shared" si="2"/>
        <v>5.1741875000000004</v>
      </c>
      <c r="K9" s="10">
        <f t="shared" si="3"/>
        <v>6</v>
      </c>
      <c r="L9" s="34" t="s">
        <v>168</v>
      </c>
      <c r="M9" s="45">
        <f>M4/5/0.787*M7</f>
        <v>316475.10864040663</v>
      </c>
      <c r="O9" s="36">
        <f>'DHS25'!C8</f>
        <v>19152</v>
      </c>
      <c r="P9" s="37">
        <f>'DHS25'!D8</f>
        <v>25</v>
      </c>
      <c r="Q9" s="37">
        <f>'DHS25'!E8</f>
        <v>6004</v>
      </c>
      <c r="R9" s="38">
        <v>-3.67</v>
      </c>
      <c r="S9" s="39">
        <f t="shared" si="4"/>
        <v>-22.034679999999998</v>
      </c>
    </row>
    <row r="10" spans="1:19" ht="13.5" thickBot="1">
      <c r="A10" s="66">
        <v>45658</v>
      </c>
      <c r="B10" s="24" t="s">
        <v>15</v>
      </c>
      <c r="C10" s="4">
        <v>15697</v>
      </c>
      <c r="D10" s="5">
        <v>14123</v>
      </c>
      <c r="E10" s="4">
        <v>11700</v>
      </c>
      <c r="F10" s="4">
        <v>11794</v>
      </c>
      <c r="G10" s="4">
        <f t="shared" si="1"/>
        <v>13328.5</v>
      </c>
      <c r="H10" s="7">
        <f t="shared" si="0"/>
        <v>3.332125</v>
      </c>
      <c r="I10" s="9">
        <f t="shared" si="5"/>
        <v>1</v>
      </c>
      <c r="J10" s="9">
        <f t="shared" si="2"/>
        <v>4.3321249999999996</v>
      </c>
      <c r="K10" s="10">
        <f t="shared" si="3"/>
        <v>5</v>
      </c>
      <c r="L10" s="35" t="s">
        <v>169</v>
      </c>
      <c r="M10" s="48">
        <f>(M6-M9)/M8</f>
        <v>41.243168185381393</v>
      </c>
      <c r="O10" s="36">
        <f>'DHS25'!C9</f>
        <v>19102</v>
      </c>
      <c r="P10" s="37">
        <f>'DHS25'!D9</f>
        <v>111</v>
      </c>
      <c r="Q10" s="37">
        <f>'DHS25'!E9</f>
        <v>5888</v>
      </c>
      <c r="R10" s="38">
        <v>-5.71</v>
      </c>
      <c r="S10" s="39">
        <f t="shared" si="4"/>
        <v>-33.620480000000001</v>
      </c>
    </row>
    <row r="11" spans="1:19">
      <c r="A11" s="66">
        <v>45658</v>
      </c>
      <c r="B11" s="24" t="s">
        <v>16</v>
      </c>
      <c r="C11" s="4">
        <v>16072</v>
      </c>
      <c r="D11" s="5">
        <v>15030</v>
      </c>
      <c r="E11" s="4">
        <v>9900</v>
      </c>
      <c r="F11" s="4">
        <v>9948</v>
      </c>
      <c r="G11" s="4">
        <f t="shared" si="1"/>
        <v>12737.5</v>
      </c>
      <c r="H11" s="7">
        <f t="shared" si="0"/>
        <v>3.1843750000000002</v>
      </c>
      <c r="I11" s="9">
        <f t="shared" si="5"/>
        <v>1</v>
      </c>
      <c r="J11" s="9">
        <f t="shared" si="2"/>
        <v>4.1843750000000002</v>
      </c>
      <c r="K11" s="10">
        <f t="shared" si="3"/>
        <v>5</v>
      </c>
      <c r="O11" s="36">
        <f>'DHS25'!C10</f>
        <v>16175</v>
      </c>
      <c r="P11" s="37">
        <f>'DHS25'!D10</f>
        <v>80</v>
      </c>
      <c r="Q11" s="37">
        <f>'DHS25'!E10</f>
        <v>5000</v>
      </c>
      <c r="R11" s="38">
        <v>18.940000000000001</v>
      </c>
      <c r="S11" s="39">
        <f t="shared" si="4"/>
        <v>94.7</v>
      </c>
    </row>
    <row r="12" spans="1:19">
      <c r="A12" s="66">
        <v>45658</v>
      </c>
      <c r="B12" s="24" t="s">
        <v>17</v>
      </c>
      <c r="C12" s="4">
        <v>16398</v>
      </c>
      <c r="D12" s="5">
        <v>14735</v>
      </c>
      <c r="E12" s="4">
        <v>11947</v>
      </c>
      <c r="F12" s="4">
        <v>12527</v>
      </c>
      <c r="G12" s="4">
        <f t="shared" si="1"/>
        <v>13901.75</v>
      </c>
      <c r="H12" s="7">
        <f t="shared" si="0"/>
        <v>3.4754375</v>
      </c>
      <c r="I12" s="9">
        <f t="shared" si="5"/>
        <v>1</v>
      </c>
      <c r="J12" s="9">
        <f t="shared" si="2"/>
        <v>4.4754375</v>
      </c>
      <c r="K12" s="10">
        <f t="shared" si="3"/>
        <v>5</v>
      </c>
      <c r="O12" s="36">
        <f>'DHS25'!C11</f>
        <v>15994</v>
      </c>
      <c r="P12" s="37">
        <f>'DHS25'!D11</f>
        <v>28</v>
      </c>
      <c r="Q12" s="37">
        <f>'DHS25'!E11</f>
        <v>5001</v>
      </c>
      <c r="R12" s="38">
        <v>26.27</v>
      </c>
      <c r="S12" s="39">
        <f t="shared" si="4"/>
        <v>131.37627000000001</v>
      </c>
    </row>
    <row r="13" spans="1:19">
      <c r="A13" s="66">
        <v>45658</v>
      </c>
      <c r="B13" s="24" t="s">
        <v>18</v>
      </c>
      <c r="C13" s="4">
        <v>15771</v>
      </c>
      <c r="D13" s="5">
        <v>15635</v>
      </c>
      <c r="E13" s="4">
        <v>11512</v>
      </c>
      <c r="F13" s="4">
        <v>12019</v>
      </c>
      <c r="G13" s="4">
        <f t="shared" si="1"/>
        <v>13734.25</v>
      </c>
      <c r="H13" s="7">
        <f t="shared" si="0"/>
        <v>3.4335624999999999</v>
      </c>
      <c r="I13" s="9">
        <f t="shared" si="5"/>
        <v>1</v>
      </c>
      <c r="J13" s="9">
        <f t="shared" si="2"/>
        <v>4.4335624999999999</v>
      </c>
      <c r="K13" s="10">
        <f t="shared" si="3"/>
        <v>5</v>
      </c>
      <c r="O13" s="36">
        <f>'DHS25'!C12</f>
        <v>17102</v>
      </c>
      <c r="P13" s="37">
        <f>'DHS25'!D12</f>
        <v>69</v>
      </c>
      <c r="Q13" s="37">
        <f>'DHS25'!E12</f>
        <v>5503</v>
      </c>
      <c r="R13" s="38">
        <v>13</v>
      </c>
      <c r="S13" s="39">
        <f t="shared" si="4"/>
        <v>71.539000000000001</v>
      </c>
    </row>
    <row r="14" spans="1:19">
      <c r="A14" s="66">
        <v>45658</v>
      </c>
      <c r="B14" s="24" t="s">
        <v>19</v>
      </c>
      <c r="C14" s="4">
        <v>15834</v>
      </c>
      <c r="D14" s="5">
        <v>14780</v>
      </c>
      <c r="E14" s="4">
        <v>10799</v>
      </c>
      <c r="F14" s="4">
        <v>14144</v>
      </c>
      <c r="G14" s="4">
        <f t="shared" si="1"/>
        <v>13889.25</v>
      </c>
      <c r="H14" s="7">
        <f t="shared" si="0"/>
        <v>3.4723125000000001</v>
      </c>
      <c r="I14" s="9">
        <f t="shared" si="5"/>
        <v>1</v>
      </c>
      <c r="J14" s="9">
        <f t="shared" si="2"/>
        <v>4.4723125000000001</v>
      </c>
      <c r="K14" s="10">
        <f t="shared" si="3"/>
        <v>5</v>
      </c>
      <c r="O14" s="36">
        <f>'DHS25'!C13</f>
        <v>18129</v>
      </c>
      <c r="P14" s="37">
        <f>'DHS25'!D13</f>
        <v>115</v>
      </c>
      <c r="Q14" s="37">
        <f>'DHS25'!E13</f>
        <v>5695</v>
      </c>
      <c r="R14" s="38">
        <v>17</v>
      </c>
      <c r="S14" s="39">
        <f t="shared" si="4"/>
        <v>96.814999999999998</v>
      </c>
    </row>
    <row r="15" spans="1:19">
      <c r="A15" s="66">
        <v>45658</v>
      </c>
      <c r="B15" s="24" t="s">
        <v>20</v>
      </c>
      <c r="C15" s="4">
        <v>16020</v>
      </c>
      <c r="D15" s="5">
        <v>15205</v>
      </c>
      <c r="E15" s="4">
        <v>11834</v>
      </c>
      <c r="F15" s="4">
        <v>14230</v>
      </c>
      <c r="G15" s="4">
        <f t="shared" si="1"/>
        <v>14322.25</v>
      </c>
      <c r="H15" s="7">
        <f t="shared" si="0"/>
        <v>3.5805625000000001</v>
      </c>
      <c r="I15" s="9">
        <f t="shared" si="5"/>
        <v>1</v>
      </c>
      <c r="J15" s="9">
        <f t="shared" si="2"/>
        <v>4.5805625000000001</v>
      </c>
      <c r="K15" s="10">
        <f t="shared" si="3"/>
        <v>5</v>
      </c>
      <c r="O15" s="36">
        <f>'DHS25'!C14</f>
        <v>18592</v>
      </c>
      <c r="P15" s="37">
        <f>'DHS25'!D14</f>
        <v>83</v>
      </c>
      <c r="Q15" s="37">
        <f>'DHS25'!E14</f>
        <v>5708</v>
      </c>
      <c r="R15" s="38">
        <v>13.62</v>
      </c>
      <c r="S15" s="39">
        <f t="shared" si="4"/>
        <v>77.742959999999997</v>
      </c>
    </row>
    <row r="16" spans="1:19">
      <c r="A16" s="66">
        <v>45658</v>
      </c>
      <c r="B16" s="24" t="s">
        <v>21</v>
      </c>
      <c r="C16" s="4">
        <v>16600</v>
      </c>
      <c r="D16" s="5">
        <v>14878</v>
      </c>
      <c r="E16" s="4">
        <v>11645</v>
      </c>
      <c r="F16" s="4">
        <v>13460</v>
      </c>
      <c r="G16" s="4">
        <f t="shared" si="1"/>
        <v>14145.75</v>
      </c>
      <c r="H16" s="7">
        <f t="shared" si="0"/>
        <v>3.5364374999999999</v>
      </c>
      <c r="I16" s="9">
        <f t="shared" si="5"/>
        <v>1</v>
      </c>
      <c r="J16" s="9">
        <f t="shared" si="2"/>
        <v>4.5364374999999999</v>
      </c>
      <c r="K16" s="10">
        <f t="shared" si="3"/>
        <v>5</v>
      </c>
      <c r="O16" s="36">
        <f>'DHS25'!C15</f>
        <v>17759</v>
      </c>
      <c r="P16" s="37">
        <f>'DHS25'!D15</f>
        <v>103</v>
      </c>
      <c r="Q16" s="37">
        <f>'DHS25'!E15</f>
        <v>5401</v>
      </c>
      <c r="R16" s="38">
        <v>23</v>
      </c>
      <c r="S16" s="39">
        <f t="shared" si="4"/>
        <v>124.223</v>
      </c>
    </row>
    <row r="17" spans="1:19">
      <c r="A17" s="66">
        <v>45658</v>
      </c>
      <c r="B17" s="24" t="s">
        <v>22</v>
      </c>
      <c r="C17" s="4">
        <v>15680</v>
      </c>
      <c r="D17" s="5">
        <v>13595</v>
      </c>
      <c r="E17" s="4">
        <v>11231</v>
      </c>
      <c r="F17" s="4">
        <v>13450</v>
      </c>
      <c r="G17" s="4">
        <f t="shared" si="1"/>
        <v>13489</v>
      </c>
      <c r="H17" s="7">
        <f t="shared" si="0"/>
        <v>3.3722500000000002</v>
      </c>
      <c r="I17" s="9">
        <f t="shared" si="5"/>
        <v>1</v>
      </c>
      <c r="J17" s="9">
        <f t="shared" si="2"/>
        <v>4.3722500000000002</v>
      </c>
      <c r="K17" s="10">
        <f t="shared" si="3"/>
        <v>5</v>
      </c>
      <c r="O17" s="36">
        <f>'DHS25'!C16</f>
        <v>17104</v>
      </c>
      <c r="P17" s="37">
        <f>'DHS25'!D16</f>
        <v>23</v>
      </c>
      <c r="Q17" s="37">
        <f>'DHS25'!E16</f>
        <v>5257</v>
      </c>
      <c r="R17" s="38">
        <v>66.8</v>
      </c>
      <c r="S17" s="39">
        <f t="shared" si="4"/>
        <v>351.16759999999994</v>
      </c>
    </row>
    <row r="18" spans="1:19">
      <c r="A18" s="66">
        <v>45658</v>
      </c>
      <c r="B18" s="24" t="s">
        <v>23</v>
      </c>
      <c r="C18" s="4">
        <v>16079</v>
      </c>
      <c r="D18" s="5">
        <v>13736</v>
      </c>
      <c r="E18" s="4">
        <v>10983</v>
      </c>
      <c r="F18" s="4">
        <v>14406</v>
      </c>
      <c r="G18" s="4">
        <f t="shared" si="1"/>
        <v>13801</v>
      </c>
      <c r="H18" s="7">
        <f t="shared" si="0"/>
        <v>3.45025</v>
      </c>
      <c r="I18" s="9">
        <f t="shared" si="5"/>
        <v>1</v>
      </c>
      <c r="J18" s="9">
        <f t="shared" si="2"/>
        <v>4.4502500000000005</v>
      </c>
      <c r="K18" s="10">
        <f t="shared" si="3"/>
        <v>5</v>
      </c>
      <c r="O18" s="36">
        <f>'DHS25'!C17</f>
        <v>17064</v>
      </c>
      <c r="P18" s="37">
        <f>'DHS25'!D17</f>
        <v>22</v>
      </c>
      <c r="Q18" s="37">
        <f>'DHS25'!E17</f>
        <v>5299</v>
      </c>
      <c r="R18" s="38">
        <v>106.12</v>
      </c>
      <c r="S18" s="39">
        <f t="shared" si="4"/>
        <v>562.32988000000012</v>
      </c>
    </row>
    <row r="19" spans="1:19">
      <c r="A19" s="66">
        <v>45658</v>
      </c>
      <c r="B19" s="24" t="s">
        <v>24</v>
      </c>
      <c r="C19" s="4">
        <v>17070</v>
      </c>
      <c r="D19" s="5">
        <v>14998</v>
      </c>
      <c r="E19" s="4">
        <v>11198</v>
      </c>
      <c r="F19" s="4">
        <v>13504</v>
      </c>
      <c r="G19" s="4">
        <f t="shared" si="1"/>
        <v>14192.5</v>
      </c>
      <c r="H19" s="7">
        <f t="shared" si="0"/>
        <v>3.5481250000000002</v>
      </c>
      <c r="I19" s="9">
        <f t="shared" si="5"/>
        <v>1</v>
      </c>
      <c r="J19" s="9">
        <f t="shared" si="2"/>
        <v>4.5481250000000006</v>
      </c>
      <c r="K19" s="10">
        <f t="shared" si="3"/>
        <v>5</v>
      </c>
      <c r="O19" s="36">
        <f>'DHS25'!C18</f>
        <v>18609</v>
      </c>
      <c r="P19" s="37">
        <f>'DHS25'!D18</f>
        <v>279</v>
      </c>
      <c r="Q19" s="37">
        <f>'DHS25'!E18</f>
        <v>5706</v>
      </c>
      <c r="R19" s="38">
        <v>92.4</v>
      </c>
      <c r="S19" s="39">
        <f t="shared" si="4"/>
        <v>527.23440000000005</v>
      </c>
    </row>
    <row r="20" spans="1:19">
      <c r="A20" s="66">
        <v>45658</v>
      </c>
      <c r="B20" s="24" t="s">
        <v>25</v>
      </c>
      <c r="C20" s="4">
        <v>18961</v>
      </c>
      <c r="D20" s="5">
        <v>15179</v>
      </c>
      <c r="E20" s="4">
        <v>11327</v>
      </c>
      <c r="F20" s="4">
        <v>12671</v>
      </c>
      <c r="G20" s="4">
        <f t="shared" si="1"/>
        <v>14534.5</v>
      </c>
      <c r="H20" s="7">
        <f t="shared" si="0"/>
        <v>3.6336249999999999</v>
      </c>
      <c r="I20" s="9">
        <f t="shared" si="5"/>
        <v>1</v>
      </c>
      <c r="J20" s="9">
        <f t="shared" si="2"/>
        <v>4.6336250000000003</v>
      </c>
      <c r="K20" s="10">
        <f t="shared" si="3"/>
        <v>5</v>
      </c>
      <c r="O20" s="36">
        <f>'DHS25'!C19</f>
        <v>18475</v>
      </c>
      <c r="P20" s="37">
        <f>'DHS25'!D19</f>
        <v>22</v>
      </c>
      <c r="Q20" s="37">
        <f>'DHS25'!E19</f>
        <v>5691</v>
      </c>
      <c r="R20" s="38">
        <v>81.3</v>
      </c>
      <c r="S20" s="39">
        <f t="shared" si="4"/>
        <v>462.67829999999998</v>
      </c>
    </row>
    <row r="21" spans="1:19">
      <c r="A21" s="66">
        <v>45658</v>
      </c>
      <c r="B21" s="24" t="s">
        <v>26</v>
      </c>
      <c r="C21" s="4">
        <v>18411</v>
      </c>
      <c r="D21" s="5">
        <v>14363</v>
      </c>
      <c r="E21" s="4">
        <v>11249</v>
      </c>
      <c r="F21" s="4">
        <v>14250</v>
      </c>
      <c r="G21" s="4">
        <f t="shared" si="1"/>
        <v>14568.25</v>
      </c>
      <c r="H21" s="7">
        <f t="shared" si="0"/>
        <v>3.6420625000000002</v>
      </c>
      <c r="I21" s="9">
        <f t="shared" si="5"/>
        <v>1</v>
      </c>
      <c r="J21" s="9">
        <f t="shared" si="2"/>
        <v>4.6420624999999998</v>
      </c>
      <c r="K21" s="10">
        <f t="shared" si="3"/>
        <v>5</v>
      </c>
      <c r="O21" s="36">
        <f>'DHS25'!C20</f>
        <v>18488</v>
      </c>
      <c r="P21" s="37">
        <f>'DHS25'!D20</f>
        <v>168</v>
      </c>
      <c r="Q21" s="37">
        <f>'DHS25'!E20</f>
        <v>5704</v>
      </c>
      <c r="R21" s="38">
        <v>154.26</v>
      </c>
      <c r="S21" s="39">
        <f t="shared" si="4"/>
        <v>879.8990399999999</v>
      </c>
    </row>
    <row r="22" spans="1:19">
      <c r="A22" s="66">
        <v>45658</v>
      </c>
      <c r="B22" s="24" t="s">
        <v>27</v>
      </c>
      <c r="C22" s="4">
        <v>18783</v>
      </c>
      <c r="D22" s="5">
        <v>15492</v>
      </c>
      <c r="E22" s="4">
        <v>11556</v>
      </c>
      <c r="F22" s="4">
        <v>13394</v>
      </c>
      <c r="G22" s="4">
        <f t="shared" si="1"/>
        <v>14806.25</v>
      </c>
      <c r="H22" s="7">
        <f t="shared" si="0"/>
        <v>3.7015625000000001</v>
      </c>
      <c r="I22" s="9">
        <f t="shared" si="5"/>
        <v>1</v>
      </c>
      <c r="J22" s="9">
        <f t="shared" si="2"/>
        <v>4.7015624999999996</v>
      </c>
      <c r="K22" s="10">
        <f t="shared" si="3"/>
        <v>5</v>
      </c>
      <c r="O22" s="36">
        <f>'DHS25'!C21</f>
        <v>18299</v>
      </c>
      <c r="P22" s="37">
        <f>'DHS25'!D21</f>
        <v>24</v>
      </c>
      <c r="Q22" s="37">
        <f>'DHS25'!E21</f>
        <v>5714</v>
      </c>
      <c r="R22" s="38">
        <v>162.05000000000001</v>
      </c>
      <c r="S22" s="39">
        <f t="shared" si="4"/>
        <v>925.95370000000014</v>
      </c>
    </row>
    <row r="23" spans="1:19">
      <c r="A23" s="66">
        <v>45658</v>
      </c>
      <c r="B23" s="24" t="s">
        <v>28</v>
      </c>
      <c r="C23" s="4">
        <v>19138</v>
      </c>
      <c r="D23" s="5">
        <v>14553</v>
      </c>
      <c r="E23" s="4">
        <v>11341</v>
      </c>
      <c r="F23" s="4">
        <v>13410</v>
      </c>
      <c r="G23" s="4">
        <f t="shared" si="1"/>
        <v>14610.5</v>
      </c>
      <c r="H23" s="7">
        <f t="shared" si="0"/>
        <v>3.652625</v>
      </c>
      <c r="I23" s="9">
        <f t="shared" si="5"/>
        <v>1</v>
      </c>
      <c r="J23" s="9">
        <f t="shared" si="2"/>
        <v>4.6526250000000005</v>
      </c>
      <c r="K23" s="10">
        <f t="shared" si="3"/>
        <v>5</v>
      </c>
      <c r="O23" s="36">
        <f>'DHS25'!C22</f>
        <v>18350</v>
      </c>
      <c r="P23" s="37">
        <f>'DHS25'!D22</f>
        <v>103</v>
      </c>
      <c r="Q23" s="37">
        <f>'DHS25'!E22</f>
        <v>5614</v>
      </c>
      <c r="R23" s="38">
        <v>164.55</v>
      </c>
      <c r="S23" s="39">
        <f t="shared" si="4"/>
        <v>923.78370000000007</v>
      </c>
    </row>
    <row r="24" spans="1:19">
      <c r="A24" s="66">
        <v>45658</v>
      </c>
      <c r="B24" s="24" t="s">
        <v>29</v>
      </c>
      <c r="C24" s="4">
        <v>19210</v>
      </c>
      <c r="D24" s="5">
        <v>14707</v>
      </c>
      <c r="E24" s="4">
        <v>11906</v>
      </c>
      <c r="F24" s="4">
        <v>13221</v>
      </c>
      <c r="G24" s="4">
        <f t="shared" si="1"/>
        <v>14761</v>
      </c>
      <c r="H24" s="7">
        <f t="shared" si="0"/>
        <v>3.6902499999999998</v>
      </c>
      <c r="I24" s="9">
        <f t="shared" si="5"/>
        <v>1</v>
      </c>
      <c r="J24" s="9">
        <f t="shared" si="2"/>
        <v>4.6902499999999998</v>
      </c>
      <c r="K24" s="10">
        <f t="shared" si="3"/>
        <v>5</v>
      </c>
      <c r="O24" s="36">
        <f>'DHS25'!C23</f>
        <v>17573</v>
      </c>
      <c r="P24" s="37">
        <f>'DHS25'!D23</f>
        <v>128</v>
      </c>
      <c r="Q24" s="37">
        <f>'DHS25'!E23</f>
        <v>5386</v>
      </c>
      <c r="R24" s="38">
        <v>161.31</v>
      </c>
      <c r="S24" s="39">
        <f t="shared" si="4"/>
        <v>868.81565999999998</v>
      </c>
    </row>
    <row r="25" spans="1:19">
      <c r="A25" s="66">
        <v>45658</v>
      </c>
      <c r="B25" s="24" t="s">
        <v>30</v>
      </c>
      <c r="C25" s="4">
        <v>16991</v>
      </c>
      <c r="D25" s="5">
        <v>13286</v>
      </c>
      <c r="E25" s="4">
        <v>9694</v>
      </c>
      <c r="F25" s="4">
        <v>11697</v>
      </c>
      <c r="G25" s="4">
        <f t="shared" si="1"/>
        <v>12917</v>
      </c>
      <c r="H25" s="7">
        <f t="shared" si="0"/>
        <v>3.22925</v>
      </c>
      <c r="I25" s="9">
        <f t="shared" si="5"/>
        <v>1</v>
      </c>
      <c r="J25" s="9">
        <f t="shared" si="2"/>
        <v>4.2292500000000004</v>
      </c>
      <c r="K25" s="10">
        <f t="shared" si="3"/>
        <v>5</v>
      </c>
      <c r="O25" s="36">
        <f>'DHS25'!C24</f>
        <v>17068</v>
      </c>
      <c r="P25" s="37">
        <f>'DHS25'!D24</f>
        <v>36</v>
      </c>
      <c r="Q25" s="37">
        <f>'DHS25'!E24</f>
        <v>5196</v>
      </c>
      <c r="R25" s="38">
        <v>76.900000000000006</v>
      </c>
      <c r="S25" s="39">
        <f t="shared" si="4"/>
        <v>399.57240000000002</v>
      </c>
    </row>
    <row r="26" spans="1:19">
      <c r="A26" s="66">
        <v>45658</v>
      </c>
      <c r="B26" s="24" t="s">
        <v>31</v>
      </c>
      <c r="C26" s="4">
        <v>8933</v>
      </c>
      <c r="D26" s="5">
        <v>7595</v>
      </c>
      <c r="E26" s="4">
        <v>4618</v>
      </c>
      <c r="F26" s="4">
        <v>8419</v>
      </c>
      <c r="G26" s="4">
        <f t="shared" si="1"/>
        <v>7391.25</v>
      </c>
      <c r="H26" s="7">
        <f t="shared" si="0"/>
        <v>1.8478125000000001</v>
      </c>
      <c r="I26" s="9">
        <f t="shared" si="5"/>
        <v>1</v>
      </c>
      <c r="J26" s="9">
        <f t="shared" si="2"/>
        <v>2.8478124999999999</v>
      </c>
      <c r="K26" s="10">
        <f t="shared" si="3"/>
        <v>3</v>
      </c>
      <c r="O26" s="36">
        <f>'DHS25'!C25</f>
        <v>9680</v>
      </c>
      <c r="P26" s="37">
        <f>'DHS25'!D25</f>
        <v>3811</v>
      </c>
      <c r="Q26" s="37">
        <f>'DHS25'!E25</f>
        <v>3645</v>
      </c>
      <c r="R26" s="38">
        <v>26.69</v>
      </c>
      <c r="S26" s="39">
        <f t="shared" si="4"/>
        <v>97.285049999999998</v>
      </c>
    </row>
    <row r="27" spans="1:19">
      <c r="A27" s="67">
        <v>45659</v>
      </c>
      <c r="B27" s="25" t="s">
        <v>8</v>
      </c>
      <c r="C27" s="4">
        <v>9955</v>
      </c>
      <c r="D27" s="5">
        <v>6693</v>
      </c>
      <c r="E27" s="4">
        <v>1694</v>
      </c>
      <c r="F27" s="4">
        <v>8359</v>
      </c>
      <c r="G27" s="4">
        <f t="shared" si="1"/>
        <v>6675.25</v>
      </c>
      <c r="H27" s="7">
        <f t="shared" si="0"/>
        <v>1.6688125</v>
      </c>
      <c r="I27" s="9">
        <f t="shared" si="5"/>
        <v>1</v>
      </c>
      <c r="J27" s="9">
        <f t="shared" si="2"/>
        <v>2.6688125</v>
      </c>
      <c r="K27" s="10">
        <f t="shared" si="3"/>
        <v>3</v>
      </c>
      <c r="O27" s="36">
        <f>'DHS25'!C26</f>
        <v>10280</v>
      </c>
      <c r="P27" s="37">
        <f>'DHS25'!D26</f>
        <v>1088</v>
      </c>
      <c r="Q27" s="37">
        <f>'DHS25'!E26</f>
        <v>2986</v>
      </c>
      <c r="R27" s="38">
        <v>59.77</v>
      </c>
      <c r="S27" s="39">
        <f t="shared" si="4"/>
        <v>178.47322000000003</v>
      </c>
    </row>
    <row r="28" spans="1:19">
      <c r="A28" s="67">
        <v>45659</v>
      </c>
      <c r="B28" s="25" t="s">
        <v>9</v>
      </c>
      <c r="C28" s="4">
        <v>13334</v>
      </c>
      <c r="D28" s="5">
        <v>7701</v>
      </c>
      <c r="E28" s="4">
        <v>2089</v>
      </c>
      <c r="F28" s="4">
        <v>10100</v>
      </c>
      <c r="G28" s="4">
        <f t="shared" si="1"/>
        <v>8306</v>
      </c>
      <c r="H28" s="7">
        <f t="shared" si="0"/>
        <v>2.0764999999999998</v>
      </c>
      <c r="I28" s="9">
        <f t="shared" si="5"/>
        <v>1</v>
      </c>
      <c r="J28" s="9">
        <f t="shared" si="2"/>
        <v>3.0764999999999998</v>
      </c>
      <c r="K28" s="10">
        <f t="shared" si="3"/>
        <v>4</v>
      </c>
      <c r="O28" s="36">
        <f>'DHS25'!C27</f>
        <v>10037</v>
      </c>
      <c r="P28" s="37">
        <f>'DHS25'!D27</f>
        <v>2062</v>
      </c>
      <c r="Q28" s="37">
        <f>'DHS25'!E27</f>
        <v>3652</v>
      </c>
      <c r="R28" s="38">
        <v>50</v>
      </c>
      <c r="S28" s="39">
        <f t="shared" si="4"/>
        <v>182.6</v>
      </c>
    </row>
    <row r="29" spans="1:19">
      <c r="A29" s="67">
        <v>45659</v>
      </c>
      <c r="B29" s="25" t="s">
        <v>10</v>
      </c>
      <c r="C29" s="4">
        <v>13725</v>
      </c>
      <c r="D29" s="5">
        <v>8284</v>
      </c>
      <c r="E29" s="4">
        <v>1955</v>
      </c>
      <c r="F29" s="4">
        <v>8276</v>
      </c>
      <c r="G29" s="4">
        <f t="shared" si="1"/>
        <v>8060</v>
      </c>
      <c r="H29" s="7">
        <f t="shared" si="0"/>
        <v>2.0150000000000001</v>
      </c>
      <c r="I29" s="9">
        <f t="shared" si="5"/>
        <v>1</v>
      </c>
      <c r="J29" s="9">
        <f t="shared" si="2"/>
        <v>3.0150000000000001</v>
      </c>
      <c r="K29" s="10">
        <f t="shared" si="3"/>
        <v>4</v>
      </c>
      <c r="O29" s="36">
        <f>'DHS25'!C28</f>
        <v>13175</v>
      </c>
      <c r="P29" s="37">
        <f>'DHS25'!D28</f>
        <v>1277</v>
      </c>
      <c r="Q29" s="37">
        <f>'DHS25'!E28</f>
        <v>4000</v>
      </c>
      <c r="R29" s="38">
        <v>68.88</v>
      </c>
      <c r="S29" s="39">
        <f t="shared" si="4"/>
        <v>275.52</v>
      </c>
    </row>
    <row r="30" spans="1:19">
      <c r="A30" s="67">
        <v>45659</v>
      </c>
      <c r="B30" s="25" t="s">
        <v>11</v>
      </c>
      <c r="C30" s="4">
        <v>15140</v>
      </c>
      <c r="D30" s="5">
        <v>8921</v>
      </c>
      <c r="E30" s="4">
        <v>3253</v>
      </c>
      <c r="F30" s="4">
        <v>10815</v>
      </c>
      <c r="G30" s="4">
        <f t="shared" si="1"/>
        <v>9532.25</v>
      </c>
      <c r="H30" s="7">
        <f t="shared" si="0"/>
        <v>2.3830624999999999</v>
      </c>
      <c r="I30" s="9">
        <f t="shared" si="5"/>
        <v>1</v>
      </c>
      <c r="J30" s="9">
        <f t="shared" si="2"/>
        <v>3.3830624999999999</v>
      </c>
      <c r="K30" s="10">
        <f t="shared" si="3"/>
        <v>4</v>
      </c>
      <c r="O30" s="36">
        <f>'DHS25'!C29</f>
        <v>14322</v>
      </c>
      <c r="P30" s="37">
        <f>'DHS25'!D29</f>
        <v>575</v>
      </c>
      <c r="Q30" s="37">
        <f>'DHS25'!E29</f>
        <v>4013</v>
      </c>
      <c r="R30" s="38">
        <v>48.58</v>
      </c>
      <c r="S30" s="39">
        <f t="shared" si="4"/>
        <v>194.95153999999999</v>
      </c>
    </row>
    <row r="31" spans="1:19">
      <c r="A31" s="67">
        <v>45659</v>
      </c>
      <c r="B31" s="25" t="s">
        <v>12</v>
      </c>
      <c r="C31" s="4">
        <v>23168</v>
      </c>
      <c r="D31" s="5">
        <v>15263</v>
      </c>
      <c r="E31" s="4">
        <v>13134</v>
      </c>
      <c r="F31" s="4">
        <v>10996</v>
      </c>
      <c r="G31" s="4">
        <f t="shared" si="1"/>
        <v>15640.25</v>
      </c>
      <c r="H31" s="7">
        <f t="shared" si="0"/>
        <v>3.9100625</v>
      </c>
      <c r="I31" s="9">
        <f t="shared" si="5"/>
        <v>1</v>
      </c>
      <c r="J31" s="9">
        <f t="shared" si="2"/>
        <v>4.9100625000000004</v>
      </c>
      <c r="K31" s="10">
        <f t="shared" si="3"/>
        <v>5</v>
      </c>
      <c r="O31" s="36">
        <f>'DHS25'!C30</f>
        <v>15365</v>
      </c>
      <c r="P31" s="37">
        <f>'DHS25'!D30</f>
        <v>24</v>
      </c>
      <c r="Q31" s="37">
        <f>'DHS25'!E30</f>
        <v>4647</v>
      </c>
      <c r="R31" s="38">
        <v>55.14</v>
      </c>
      <c r="S31" s="39">
        <f t="shared" si="4"/>
        <v>256.23558000000003</v>
      </c>
    </row>
    <row r="32" spans="1:19">
      <c r="A32" s="67">
        <v>45659</v>
      </c>
      <c r="B32" s="25" t="s">
        <v>13</v>
      </c>
      <c r="C32" s="4">
        <v>22629</v>
      </c>
      <c r="D32" s="5">
        <v>17921</v>
      </c>
      <c r="E32" s="4">
        <v>12921</v>
      </c>
      <c r="F32" s="4">
        <v>12878</v>
      </c>
      <c r="G32" s="4">
        <f t="shared" si="1"/>
        <v>16587.25</v>
      </c>
      <c r="H32" s="7">
        <f t="shared" si="0"/>
        <v>4.1468125000000002</v>
      </c>
      <c r="I32" s="9">
        <f t="shared" si="5"/>
        <v>1</v>
      </c>
      <c r="J32" s="9">
        <f t="shared" si="2"/>
        <v>5.1468125000000002</v>
      </c>
      <c r="K32" s="10">
        <f t="shared" si="3"/>
        <v>6</v>
      </c>
      <c r="O32" s="36">
        <f>'DHS25'!C31</f>
        <v>18820</v>
      </c>
      <c r="P32" s="37">
        <f>'DHS25'!D31</f>
        <v>195</v>
      </c>
      <c r="Q32" s="37">
        <f>'DHS25'!E31</f>
        <v>5934</v>
      </c>
      <c r="R32" s="38">
        <v>76.209999999999994</v>
      </c>
      <c r="S32" s="39">
        <f t="shared" si="4"/>
        <v>452.23013999999995</v>
      </c>
    </row>
    <row r="33" spans="1:19">
      <c r="A33" s="67">
        <v>45659</v>
      </c>
      <c r="B33" s="25" t="s">
        <v>14</v>
      </c>
      <c r="C33" s="4">
        <v>22791</v>
      </c>
      <c r="D33" s="5">
        <v>16942</v>
      </c>
      <c r="E33" s="4">
        <v>12882</v>
      </c>
      <c r="F33" s="4">
        <v>15164</v>
      </c>
      <c r="G33" s="4">
        <f t="shared" si="1"/>
        <v>16944.75</v>
      </c>
      <c r="H33" s="7">
        <f t="shared" si="0"/>
        <v>4.2361874999999998</v>
      </c>
      <c r="I33" s="9">
        <f t="shared" si="5"/>
        <v>1</v>
      </c>
      <c r="J33" s="9">
        <f t="shared" si="2"/>
        <v>5.2361874999999998</v>
      </c>
      <c r="K33" s="10">
        <f t="shared" si="3"/>
        <v>6</v>
      </c>
      <c r="O33" s="36">
        <f>'DHS25'!C32</f>
        <v>19487</v>
      </c>
      <c r="P33" s="37">
        <f>'DHS25'!D32</f>
        <v>25</v>
      </c>
      <c r="Q33" s="37">
        <f>'DHS25'!E32</f>
        <v>6007</v>
      </c>
      <c r="R33" s="38">
        <v>136.19999999999999</v>
      </c>
      <c r="S33" s="39">
        <f t="shared" si="4"/>
        <v>818.15339999999992</v>
      </c>
    </row>
    <row r="34" spans="1:19">
      <c r="A34" s="67">
        <v>45659</v>
      </c>
      <c r="B34" s="25" t="s">
        <v>15</v>
      </c>
      <c r="C34" s="4">
        <v>17399</v>
      </c>
      <c r="D34" s="5">
        <v>12861</v>
      </c>
      <c r="E34" s="4">
        <v>10282</v>
      </c>
      <c r="F34" s="4">
        <v>14754</v>
      </c>
      <c r="G34" s="4">
        <f t="shared" si="1"/>
        <v>13824</v>
      </c>
      <c r="H34" s="7">
        <f t="shared" si="0"/>
        <v>3.456</v>
      </c>
      <c r="I34" s="9">
        <f t="shared" si="5"/>
        <v>1</v>
      </c>
      <c r="J34" s="9">
        <f t="shared" si="2"/>
        <v>4.4559999999999995</v>
      </c>
      <c r="K34" s="10">
        <f t="shared" si="3"/>
        <v>5</v>
      </c>
      <c r="O34" s="36">
        <f>'DHS25'!C33</f>
        <v>21425</v>
      </c>
      <c r="P34" s="37">
        <f>'DHS25'!D33</f>
        <v>742</v>
      </c>
      <c r="Q34" s="37">
        <f>'DHS25'!E33</f>
        <v>2105</v>
      </c>
      <c r="R34" s="38">
        <v>157.86000000000001</v>
      </c>
      <c r="S34" s="39">
        <f t="shared" si="4"/>
        <v>332.29530000000005</v>
      </c>
    </row>
    <row r="35" spans="1:19">
      <c r="A35" s="67">
        <v>45659</v>
      </c>
      <c r="B35" s="25" t="s">
        <v>16</v>
      </c>
      <c r="C35" s="4">
        <v>18914</v>
      </c>
      <c r="D35" s="5">
        <v>14054</v>
      </c>
      <c r="E35" s="4">
        <v>11103</v>
      </c>
      <c r="F35" s="4">
        <v>13415</v>
      </c>
      <c r="G35" s="4">
        <f t="shared" si="1"/>
        <v>14371.5</v>
      </c>
      <c r="H35" s="7">
        <f t="shared" si="0"/>
        <v>3.5928749999999998</v>
      </c>
      <c r="I35" s="9">
        <f t="shared" si="5"/>
        <v>1</v>
      </c>
      <c r="J35" s="9">
        <f t="shared" si="2"/>
        <v>4.5928749999999994</v>
      </c>
      <c r="K35" s="10">
        <f t="shared" si="3"/>
        <v>5</v>
      </c>
      <c r="O35" s="36">
        <f>'DHS25'!C34</f>
        <v>16783</v>
      </c>
      <c r="P35" s="37">
        <f>'DHS25'!D34</f>
        <v>96</v>
      </c>
      <c r="Q35" s="37">
        <f>'DHS25'!E34</f>
        <v>5004</v>
      </c>
      <c r="R35" s="38">
        <v>130</v>
      </c>
      <c r="S35" s="39">
        <f t="shared" si="4"/>
        <v>650.52</v>
      </c>
    </row>
    <row r="36" spans="1:19">
      <c r="A36" s="67">
        <v>45659</v>
      </c>
      <c r="B36" s="25" t="s">
        <v>17</v>
      </c>
      <c r="C36" s="4">
        <v>19853</v>
      </c>
      <c r="D36" s="5">
        <v>14016</v>
      </c>
      <c r="E36" s="4">
        <v>11639</v>
      </c>
      <c r="F36" s="4">
        <v>14614</v>
      </c>
      <c r="G36" s="4">
        <f t="shared" si="1"/>
        <v>15030.5</v>
      </c>
      <c r="H36" s="7">
        <f t="shared" si="0"/>
        <v>3.757625</v>
      </c>
      <c r="I36" s="9">
        <f t="shared" si="5"/>
        <v>1</v>
      </c>
      <c r="J36" s="9">
        <f t="shared" si="2"/>
        <v>4.757625</v>
      </c>
      <c r="K36" s="10">
        <f t="shared" si="3"/>
        <v>5</v>
      </c>
      <c r="O36" s="36">
        <f>'DHS25'!C35</f>
        <v>17944</v>
      </c>
      <c r="P36" s="37">
        <f>'DHS25'!D35</f>
        <v>27</v>
      </c>
      <c r="Q36" s="37">
        <f>'DHS25'!E35</f>
        <v>5504</v>
      </c>
      <c r="R36" s="38">
        <v>133.44</v>
      </c>
      <c r="S36" s="39">
        <f t="shared" si="4"/>
        <v>734.45375999999987</v>
      </c>
    </row>
    <row r="37" spans="1:19">
      <c r="A37" s="67">
        <v>45659</v>
      </c>
      <c r="B37" s="25" t="s">
        <v>18</v>
      </c>
      <c r="C37" s="4">
        <v>18433</v>
      </c>
      <c r="D37" s="5">
        <v>14722</v>
      </c>
      <c r="E37" s="4">
        <v>11871</v>
      </c>
      <c r="F37" s="4">
        <v>13911</v>
      </c>
      <c r="G37" s="4">
        <f t="shared" si="1"/>
        <v>14734.25</v>
      </c>
      <c r="H37" s="7">
        <f t="shared" si="0"/>
        <v>3.6835624999999999</v>
      </c>
      <c r="I37" s="9">
        <f t="shared" si="5"/>
        <v>1</v>
      </c>
      <c r="J37" s="9">
        <f t="shared" si="2"/>
        <v>4.6835624999999999</v>
      </c>
      <c r="K37" s="10">
        <f t="shared" si="3"/>
        <v>5</v>
      </c>
      <c r="O37" s="36">
        <f>'DHS25'!C36</f>
        <v>18279</v>
      </c>
      <c r="P37" s="37">
        <f>'DHS25'!D36</f>
        <v>230</v>
      </c>
      <c r="Q37" s="37">
        <f>'DHS25'!E36</f>
        <v>5792</v>
      </c>
      <c r="R37" s="38">
        <v>129.06</v>
      </c>
      <c r="S37" s="39">
        <f t="shared" si="4"/>
        <v>747.51552000000004</v>
      </c>
    </row>
    <row r="38" spans="1:19">
      <c r="A38" s="67">
        <v>45659</v>
      </c>
      <c r="B38" s="25" t="s">
        <v>19</v>
      </c>
      <c r="C38" s="4">
        <v>18196</v>
      </c>
      <c r="D38" s="5">
        <v>13700</v>
      </c>
      <c r="E38" s="4">
        <v>11379</v>
      </c>
      <c r="F38" s="4">
        <v>14390</v>
      </c>
      <c r="G38" s="4">
        <f t="shared" si="1"/>
        <v>14416.25</v>
      </c>
      <c r="H38" s="7">
        <f t="shared" si="0"/>
        <v>3.6040624999999999</v>
      </c>
      <c r="I38" s="9">
        <f t="shared" si="5"/>
        <v>1</v>
      </c>
      <c r="J38" s="9">
        <f t="shared" si="2"/>
        <v>4.6040624999999995</v>
      </c>
      <c r="K38" s="10">
        <f t="shared" si="3"/>
        <v>5</v>
      </c>
      <c r="O38" s="36">
        <f>'DHS25'!C37</f>
        <v>18412</v>
      </c>
      <c r="P38" s="37">
        <f>'DHS25'!D37</f>
        <v>123</v>
      </c>
      <c r="Q38" s="37">
        <f>'DHS25'!E37</f>
        <v>5795</v>
      </c>
      <c r="R38" s="38">
        <v>124.28</v>
      </c>
      <c r="S38" s="39">
        <f t="shared" si="4"/>
        <v>720.20259999999996</v>
      </c>
    </row>
    <row r="39" spans="1:19">
      <c r="A39" s="67">
        <v>45659</v>
      </c>
      <c r="B39" s="25" t="s">
        <v>20</v>
      </c>
      <c r="C39" s="4">
        <v>18014</v>
      </c>
      <c r="D39" s="5">
        <v>13521</v>
      </c>
      <c r="E39" s="4">
        <v>10411</v>
      </c>
      <c r="F39" s="4">
        <v>14327</v>
      </c>
      <c r="G39" s="4">
        <f t="shared" si="1"/>
        <v>14068.25</v>
      </c>
      <c r="H39" s="7">
        <f t="shared" si="0"/>
        <v>3.5170625000000002</v>
      </c>
      <c r="I39" s="9">
        <f t="shared" si="5"/>
        <v>1</v>
      </c>
      <c r="J39" s="9">
        <f t="shared" si="2"/>
        <v>4.5170624999999998</v>
      </c>
      <c r="K39" s="10">
        <f t="shared" si="3"/>
        <v>5</v>
      </c>
      <c r="O39" s="36">
        <f>'DHS25'!C38</f>
        <v>18582</v>
      </c>
      <c r="P39" s="37">
        <f>'DHS25'!D38</f>
        <v>156</v>
      </c>
      <c r="Q39" s="37">
        <f>'DHS25'!E38</f>
        <v>5800</v>
      </c>
      <c r="R39" s="38">
        <v>124</v>
      </c>
      <c r="S39" s="39">
        <f t="shared" si="4"/>
        <v>719.19999999999993</v>
      </c>
    </row>
    <row r="40" spans="1:19">
      <c r="A40" s="67">
        <v>45659</v>
      </c>
      <c r="B40" s="25" t="s">
        <v>21</v>
      </c>
      <c r="C40" s="4">
        <v>17780</v>
      </c>
      <c r="D40" s="5">
        <v>13725</v>
      </c>
      <c r="E40" s="4">
        <v>10491</v>
      </c>
      <c r="F40" s="4">
        <v>14855</v>
      </c>
      <c r="G40" s="4">
        <f t="shared" si="1"/>
        <v>14212.75</v>
      </c>
      <c r="H40" s="7">
        <f t="shared" si="0"/>
        <v>3.5531874999999999</v>
      </c>
      <c r="I40" s="9">
        <f t="shared" si="5"/>
        <v>1</v>
      </c>
      <c r="J40" s="9">
        <f t="shared" si="2"/>
        <v>4.5531874999999999</v>
      </c>
      <c r="K40" s="10">
        <f t="shared" si="3"/>
        <v>5</v>
      </c>
      <c r="O40" s="36">
        <f>'DHS25'!C39</f>
        <v>18286</v>
      </c>
      <c r="P40" s="37">
        <f>'DHS25'!D39</f>
        <v>24</v>
      </c>
      <c r="Q40" s="37">
        <f>'DHS25'!E39</f>
        <v>5814</v>
      </c>
      <c r="R40" s="38">
        <v>116.92</v>
      </c>
      <c r="S40" s="39">
        <f t="shared" si="4"/>
        <v>679.77287999999999</v>
      </c>
    </row>
    <row r="41" spans="1:19">
      <c r="A41" s="67">
        <v>45659</v>
      </c>
      <c r="B41" s="25" t="s">
        <v>22</v>
      </c>
      <c r="C41" s="4">
        <v>18377</v>
      </c>
      <c r="D41" s="5">
        <v>13300</v>
      </c>
      <c r="E41" s="4">
        <v>10348</v>
      </c>
      <c r="F41" s="4">
        <v>14708</v>
      </c>
      <c r="G41" s="4">
        <f t="shared" si="1"/>
        <v>14183.25</v>
      </c>
      <c r="H41" s="7">
        <f t="shared" si="0"/>
        <v>3.5458124999999998</v>
      </c>
      <c r="I41" s="9">
        <f t="shared" si="5"/>
        <v>1</v>
      </c>
      <c r="J41" s="9">
        <f t="shared" si="2"/>
        <v>4.5458125000000003</v>
      </c>
      <c r="K41" s="10">
        <f t="shared" si="3"/>
        <v>5</v>
      </c>
      <c r="O41" s="36">
        <f>'DHS25'!C40</f>
        <v>18342</v>
      </c>
      <c r="P41" s="37">
        <f>'DHS25'!D40</f>
        <v>79</v>
      </c>
      <c r="Q41" s="37">
        <f>'DHS25'!E40</f>
        <v>5798</v>
      </c>
      <c r="R41" s="38">
        <v>125.5</v>
      </c>
      <c r="S41" s="39">
        <f t="shared" si="4"/>
        <v>727.649</v>
      </c>
    </row>
    <row r="42" spans="1:19">
      <c r="A42" s="67">
        <v>45659</v>
      </c>
      <c r="B42" s="25" t="s">
        <v>23</v>
      </c>
      <c r="C42" s="4">
        <v>19284</v>
      </c>
      <c r="D42" s="5">
        <v>14476</v>
      </c>
      <c r="E42" s="4">
        <v>10858</v>
      </c>
      <c r="F42" s="4">
        <v>13402</v>
      </c>
      <c r="G42" s="4">
        <f t="shared" si="1"/>
        <v>14505</v>
      </c>
      <c r="H42" s="7">
        <f t="shared" si="0"/>
        <v>3.6262500000000002</v>
      </c>
      <c r="I42" s="9">
        <f t="shared" si="5"/>
        <v>1</v>
      </c>
      <c r="J42" s="9">
        <f t="shared" si="2"/>
        <v>4.6262500000000006</v>
      </c>
      <c r="K42" s="10">
        <f t="shared" si="3"/>
        <v>5</v>
      </c>
      <c r="O42" s="36">
        <f>'DHS25'!C41</f>
        <v>17863</v>
      </c>
      <c r="P42" s="37">
        <f>'DHS25'!D41</f>
        <v>180</v>
      </c>
      <c r="Q42" s="37">
        <f>'DHS25'!E41</f>
        <v>5506</v>
      </c>
      <c r="R42" s="38">
        <v>130.11000000000001</v>
      </c>
      <c r="S42" s="39">
        <f t="shared" si="4"/>
        <v>716.38566000000014</v>
      </c>
    </row>
    <row r="43" spans="1:19">
      <c r="A43" s="67">
        <v>45659</v>
      </c>
      <c r="B43" s="25" t="s">
        <v>24</v>
      </c>
      <c r="C43" s="4">
        <v>18521</v>
      </c>
      <c r="D43" s="5">
        <v>15353</v>
      </c>
      <c r="E43" s="4">
        <v>10293</v>
      </c>
      <c r="F43" s="4">
        <v>13444</v>
      </c>
      <c r="G43" s="4">
        <f t="shared" si="1"/>
        <v>14402.75</v>
      </c>
      <c r="H43" s="7">
        <f t="shared" si="0"/>
        <v>3.6006874999999998</v>
      </c>
      <c r="I43" s="9">
        <f t="shared" si="5"/>
        <v>1</v>
      </c>
      <c r="J43" s="9">
        <f t="shared" si="2"/>
        <v>4.6006874999999994</v>
      </c>
      <c r="K43" s="10">
        <f t="shared" si="3"/>
        <v>5</v>
      </c>
      <c r="O43" s="36">
        <f>'DHS25'!C42</f>
        <v>17324</v>
      </c>
      <c r="P43" s="37">
        <f>'DHS25'!D42</f>
        <v>169</v>
      </c>
      <c r="Q43" s="37">
        <f>'DHS25'!E42</f>
        <v>5501</v>
      </c>
      <c r="R43" s="38">
        <v>146.6</v>
      </c>
      <c r="S43" s="39">
        <f t="shared" si="4"/>
        <v>806.44659999999999</v>
      </c>
    </row>
    <row r="44" spans="1:19">
      <c r="A44" s="67">
        <v>45659</v>
      </c>
      <c r="B44" s="25" t="s">
        <v>25</v>
      </c>
      <c r="C44" s="4">
        <v>19037</v>
      </c>
      <c r="D44" s="5">
        <v>15227</v>
      </c>
      <c r="E44" s="4">
        <v>11865</v>
      </c>
      <c r="F44" s="4">
        <v>13532</v>
      </c>
      <c r="G44" s="4">
        <f t="shared" si="1"/>
        <v>14915.25</v>
      </c>
      <c r="H44" s="7">
        <f t="shared" si="0"/>
        <v>3.7288125000000001</v>
      </c>
      <c r="I44" s="9">
        <f t="shared" si="5"/>
        <v>1</v>
      </c>
      <c r="J44" s="9">
        <f t="shared" si="2"/>
        <v>4.7288125000000001</v>
      </c>
      <c r="K44" s="10">
        <f t="shared" si="3"/>
        <v>5</v>
      </c>
      <c r="O44" s="36">
        <f>'DHS25'!C43</f>
        <v>17369</v>
      </c>
      <c r="P44" s="37">
        <f>'DHS25'!D43</f>
        <v>29</v>
      </c>
      <c r="Q44" s="37">
        <f>'DHS25'!E43</f>
        <v>5506</v>
      </c>
      <c r="R44" s="38">
        <v>147.27000000000001</v>
      </c>
      <c r="S44" s="39">
        <f t="shared" si="4"/>
        <v>810.86862000000008</v>
      </c>
    </row>
    <row r="45" spans="1:19">
      <c r="A45" s="67">
        <v>45659</v>
      </c>
      <c r="B45" s="25" t="s">
        <v>26</v>
      </c>
      <c r="C45" s="4">
        <v>18476</v>
      </c>
      <c r="D45" s="5">
        <v>15162</v>
      </c>
      <c r="E45" s="4">
        <v>11181</v>
      </c>
      <c r="F45" s="4">
        <v>14534</v>
      </c>
      <c r="G45" s="4">
        <f t="shared" si="1"/>
        <v>14838.25</v>
      </c>
      <c r="H45" s="7">
        <f t="shared" si="0"/>
        <v>3.7095625000000001</v>
      </c>
      <c r="I45" s="9">
        <f t="shared" si="5"/>
        <v>1</v>
      </c>
      <c r="J45" s="9">
        <f t="shared" si="2"/>
        <v>4.7095625000000005</v>
      </c>
      <c r="K45" s="10">
        <f t="shared" si="3"/>
        <v>5</v>
      </c>
      <c r="O45" s="36">
        <f>'DHS25'!C44</f>
        <v>17431</v>
      </c>
      <c r="P45" s="37">
        <f>'DHS25'!D44</f>
        <v>53</v>
      </c>
      <c r="Q45" s="37">
        <f>'DHS25'!E44</f>
        <v>5509</v>
      </c>
      <c r="R45" s="38">
        <v>150.81</v>
      </c>
      <c r="S45" s="39">
        <f t="shared" si="4"/>
        <v>830.81229000000008</v>
      </c>
    </row>
    <row r="46" spans="1:19">
      <c r="A46" s="67">
        <v>45659</v>
      </c>
      <c r="B46" s="25" t="s">
        <v>27</v>
      </c>
      <c r="C46" s="4">
        <v>19078</v>
      </c>
      <c r="D46" s="5">
        <v>14914</v>
      </c>
      <c r="E46" s="4">
        <v>10323</v>
      </c>
      <c r="F46" s="4">
        <v>14664</v>
      </c>
      <c r="G46" s="4">
        <f t="shared" si="1"/>
        <v>14744.75</v>
      </c>
      <c r="H46" s="7">
        <f t="shared" si="0"/>
        <v>3.6861875</v>
      </c>
      <c r="I46" s="9">
        <f t="shared" si="5"/>
        <v>1</v>
      </c>
      <c r="J46" s="9">
        <f t="shared" si="2"/>
        <v>4.6861875</v>
      </c>
      <c r="K46" s="10">
        <f t="shared" si="3"/>
        <v>5</v>
      </c>
      <c r="O46" s="36">
        <f>'DHS25'!C45</f>
        <v>18834</v>
      </c>
      <c r="P46" s="37">
        <f>'DHS25'!D45</f>
        <v>132</v>
      </c>
      <c r="Q46" s="37">
        <f>'DHS25'!E45</f>
        <v>5801</v>
      </c>
      <c r="R46" s="38">
        <v>134.22</v>
      </c>
      <c r="S46" s="39">
        <f t="shared" si="4"/>
        <v>778.61022000000003</v>
      </c>
    </row>
    <row r="47" spans="1:19">
      <c r="A47" s="67">
        <v>45659</v>
      </c>
      <c r="B47" s="25" t="s">
        <v>28</v>
      </c>
      <c r="C47" s="4">
        <v>19085</v>
      </c>
      <c r="D47" s="5">
        <v>15439</v>
      </c>
      <c r="E47" s="4">
        <v>11660</v>
      </c>
      <c r="F47" s="4">
        <v>13581</v>
      </c>
      <c r="G47" s="4">
        <f t="shared" si="1"/>
        <v>14941.25</v>
      </c>
      <c r="H47" s="7">
        <f t="shared" si="0"/>
        <v>3.7353125</v>
      </c>
      <c r="I47" s="9">
        <f t="shared" si="5"/>
        <v>1</v>
      </c>
      <c r="J47" s="9">
        <f t="shared" si="2"/>
        <v>4.7353125</v>
      </c>
      <c r="K47" s="10">
        <f t="shared" si="3"/>
        <v>5</v>
      </c>
      <c r="O47" s="36">
        <f>'DHS25'!C46</f>
        <v>19022</v>
      </c>
      <c r="P47" s="37">
        <f>'DHS25'!D46</f>
        <v>46</v>
      </c>
      <c r="Q47" s="37">
        <f>'DHS25'!E46</f>
        <v>5900</v>
      </c>
      <c r="R47" s="38">
        <v>131.58000000000001</v>
      </c>
      <c r="S47" s="39">
        <f t="shared" si="4"/>
        <v>776.32200000000012</v>
      </c>
    </row>
    <row r="48" spans="1:19">
      <c r="A48" s="67">
        <v>45659</v>
      </c>
      <c r="B48" s="25" t="s">
        <v>29</v>
      </c>
      <c r="C48" s="4">
        <v>19147</v>
      </c>
      <c r="D48" s="5">
        <v>16350</v>
      </c>
      <c r="E48" s="4">
        <v>11403</v>
      </c>
      <c r="F48" s="4">
        <v>13573</v>
      </c>
      <c r="G48" s="4">
        <f t="shared" si="1"/>
        <v>15118.25</v>
      </c>
      <c r="H48" s="7">
        <f t="shared" si="0"/>
        <v>3.7795624999999999</v>
      </c>
      <c r="I48" s="9">
        <f t="shared" si="5"/>
        <v>1</v>
      </c>
      <c r="J48" s="9">
        <f t="shared" si="2"/>
        <v>4.7795624999999999</v>
      </c>
      <c r="K48" s="10">
        <f t="shared" si="3"/>
        <v>5</v>
      </c>
      <c r="O48" s="36">
        <f>'DHS25'!C47</f>
        <v>18823</v>
      </c>
      <c r="P48" s="37">
        <f>'DHS25'!D47</f>
        <v>77</v>
      </c>
      <c r="Q48" s="37">
        <f>'DHS25'!E47</f>
        <v>5892</v>
      </c>
      <c r="R48" s="38">
        <v>126.43</v>
      </c>
      <c r="S48" s="39">
        <f t="shared" si="4"/>
        <v>744.92556000000013</v>
      </c>
    </row>
    <row r="49" spans="1:19">
      <c r="A49" s="67">
        <v>45659</v>
      </c>
      <c r="B49" s="25" t="s">
        <v>30</v>
      </c>
      <c r="C49" s="4">
        <v>17809</v>
      </c>
      <c r="D49" s="5">
        <v>14903</v>
      </c>
      <c r="E49" s="4">
        <v>10778</v>
      </c>
      <c r="F49" s="4">
        <v>11584</v>
      </c>
      <c r="G49" s="4">
        <f t="shared" si="1"/>
        <v>13768.5</v>
      </c>
      <c r="H49" s="7">
        <f t="shared" si="0"/>
        <v>3.4421249999999999</v>
      </c>
      <c r="I49" s="9">
        <f t="shared" si="5"/>
        <v>1</v>
      </c>
      <c r="J49" s="9">
        <f t="shared" si="2"/>
        <v>4.4421249999999999</v>
      </c>
      <c r="K49" s="10">
        <f t="shared" si="3"/>
        <v>5</v>
      </c>
      <c r="O49" s="36">
        <f>'DHS25'!C48</f>
        <v>16658</v>
      </c>
      <c r="P49" s="37">
        <f>'DHS25'!D48</f>
        <v>121</v>
      </c>
      <c r="Q49" s="37">
        <f>'DHS25'!E48</f>
        <v>5003</v>
      </c>
      <c r="R49" s="38">
        <v>118.34</v>
      </c>
      <c r="S49" s="39">
        <f t="shared" si="4"/>
        <v>592.05502000000001</v>
      </c>
    </row>
    <row r="50" spans="1:19">
      <c r="A50" s="67">
        <v>45659</v>
      </c>
      <c r="B50" s="25" t="s">
        <v>31</v>
      </c>
      <c r="C50" s="4">
        <v>8038</v>
      </c>
      <c r="D50" s="5">
        <v>8511</v>
      </c>
      <c r="E50" s="4">
        <v>4740</v>
      </c>
      <c r="F50" s="4">
        <v>6369</v>
      </c>
      <c r="G50" s="4">
        <f t="shared" si="1"/>
        <v>6914.5</v>
      </c>
      <c r="H50" s="7">
        <f t="shared" si="0"/>
        <v>1.7286250000000001</v>
      </c>
      <c r="I50" s="9">
        <f t="shared" si="5"/>
        <v>1</v>
      </c>
      <c r="J50" s="9">
        <f t="shared" si="2"/>
        <v>2.7286250000000001</v>
      </c>
      <c r="K50" s="10">
        <f t="shared" si="3"/>
        <v>3</v>
      </c>
      <c r="O50" s="36">
        <f>'DHS25'!C49</f>
        <v>13056</v>
      </c>
      <c r="P50" s="37">
        <f>'DHS25'!D49</f>
        <v>53</v>
      </c>
      <c r="Q50" s="37">
        <f>'DHS25'!E49</f>
        <v>3203</v>
      </c>
      <c r="R50" s="38">
        <v>87.39</v>
      </c>
      <c r="S50" s="39">
        <f t="shared" si="4"/>
        <v>279.91016999999999</v>
      </c>
    </row>
    <row r="51" spans="1:19">
      <c r="A51" s="66">
        <v>45660</v>
      </c>
      <c r="B51" s="24" t="s">
        <v>8</v>
      </c>
      <c r="C51" s="4">
        <v>9955</v>
      </c>
      <c r="D51" s="5">
        <v>8267</v>
      </c>
      <c r="E51" s="4">
        <v>1261</v>
      </c>
      <c r="F51" s="4">
        <v>5887</v>
      </c>
      <c r="G51" s="4">
        <f t="shared" si="1"/>
        <v>6342.5</v>
      </c>
      <c r="H51" s="7">
        <f t="shared" si="0"/>
        <v>1.5856250000000001</v>
      </c>
      <c r="I51" s="9">
        <f t="shared" si="5"/>
        <v>1</v>
      </c>
      <c r="J51" s="9">
        <f t="shared" si="2"/>
        <v>2.5856250000000003</v>
      </c>
      <c r="K51" s="10">
        <f t="shared" si="3"/>
        <v>3</v>
      </c>
      <c r="O51" s="36">
        <f>'DHS25'!C50</f>
        <v>11126</v>
      </c>
      <c r="P51" s="37">
        <f>'DHS25'!D50</f>
        <v>21</v>
      </c>
      <c r="Q51" s="37">
        <f>'DHS25'!E50</f>
        <v>2997</v>
      </c>
      <c r="R51" s="38">
        <v>104.27</v>
      </c>
      <c r="S51" s="39">
        <f t="shared" si="4"/>
        <v>312.49718999999999</v>
      </c>
    </row>
    <row r="52" spans="1:19">
      <c r="A52" s="66">
        <v>45660</v>
      </c>
      <c r="B52" s="24" t="s">
        <v>9</v>
      </c>
      <c r="C52" s="4">
        <v>13334</v>
      </c>
      <c r="D52" s="5">
        <v>9379</v>
      </c>
      <c r="E52" s="4">
        <v>1305</v>
      </c>
      <c r="F52" s="4">
        <v>5849</v>
      </c>
      <c r="G52" s="4">
        <f t="shared" si="1"/>
        <v>7466.75</v>
      </c>
      <c r="H52" s="7">
        <f t="shared" si="0"/>
        <v>1.8666875000000001</v>
      </c>
      <c r="I52" s="9">
        <f t="shared" si="5"/>
        <v>1</v>
      </c>
      <c r="J52" s="9">
        <f t="shared" si="2"/>
        <v>2.8666875000000003</v>
      </c>
      <c r="K52" s="10">
        <f t="shared" si="3"/>
        <v>3</v>
      </c>
      <c r="O52" s="36">
        <f>'DHS25'!C51</f>
        <v>11979</v>
      </c>
      <c r="P52" s="37">
        <f>'DHS25'!D51</f>
        <v>22</v>
      </c>
      <c r="Q52" s="37">
        <f>'DHS25'!E51</f>
        <v>2997</v>
      </c>
      <c r="R52" s="38">
        <v>95.84</v>
      </c>
      <c r="S52" s="39">
        <f t="shared" si="4"/>
        <v>287.23248000000001</v>
      </c>
    </row>
    <row r="53" spans="1:19">
      <c r="A53" s="66">
        <v>45660</v>
      </c>
      <c r="B53" s="24" t="s">
        <v>10</v>
      </c>
      <c r="C53" s="4">
        <v>13725</v>
      </c>
      <c r="D53" s="5">
        <v>10893</v>
      </c>
      <c r="E53" s="4">
        <v>1759</v>
      </c>
      <c r="F53" s="4">
        <v>6815</v>
      </c>
      <c r="G53" s="4">
        <f t="shared" si="1"/>
        <v>8298</v>
      </c>
      <c r="H53" s="7">
        <f t="shared" si="0"/>
        <v>2.0745</v>
      </c>
      <c r="I53" s="9">
        <f t="shared" si="5"/>
        <v>1</v>
      </c>
      <c r="J53" s="9">
        <f t="shared" si="2"/>
        <v>3.0745</v>
      </c>
      <c r="K53" s="10">
        <f t="shared" si="3"/>
        <v>4</v>
      </c>
      <c r="O53" s="36">
        <f>'DHS25'!C52</f>
        <v>13754</v>
      </c>
      <c r="P53" s="37">
        <f>'DHS25'!D52</f>
        <v>20</v>
      </c>
      <c r="Q53" s="37">
        <f>'DHS25'!E52</f>
        <v>3484</v>
      </c>
      <c r="R53" s="38">
        <v>90.4</v>
      </c>
      <c r="S53" s="39">
        <f t="shared" si="4"/>
        <v>314.95359999999999</v>
      </c>
    </row>
    <row r="54" spans="1:19">
      <c r="A54" s="66">
        <v>45660</v>
      </c>
      <c r="B54" s="24" t="s">
        <v>11</v>
      </c>
      <c r="C54" s="4">
        <v>15140</v>
      </c>
      <c r="D54" s="5">
        <v>10717</v>
      </c>
      <c r="E54" s="4">
        <v>3286</v>
      </c>
      <c r="F54" s="4">
        <v>8639</v>
      </c>
      <c r="G54" s="4">
        <f t="shared" si="1"/>
        <v>9445.5</v>
      </c>
      <c r="H54" s="7">
        <f t="shared" si="0"/>
        <v>2.3613749999999998</v>
      </c>
      <c r="I54" s="9">
        <f t="shared" si="5"/>
        <v>1</v>
      </c>
      <c r="J54" s="9">
        <f t="shared" si="2"/>
        <v>3.3613749999999998</v>
      </c>
      <c r="K54" s="10">
        <f t="shared" si="3"/>
        <v>4</v>
      </c>
      <c r="O54" s="36">
        <f>'DHS25'!C53</f>
        <v>15929</v>
      </c>
      <c r="P54" s="37">
        <f>'DHS25'!D53</f>
        <v>163</v>
      </c>
      <c r="Q54" s="37">
        <f>'DHS25'!E53</f>
        <v>4005</v>
      </c>
      <c r="R54" s="38">
        <v>88.17</v>
      </c>
      <c r="S54" s="39">
        <f t="shared" si="4"/>
        <v>353.12085000000002</v>
      </c>
    </row>
    <row r="55" spans="1:19">
      <c r="A55" s="66">
        <v>45660</v>
      </c>
      <c r="B55" s="24" t="s">
        <v>12</v>
      </c>
      <c r="C55" s="4">
        <v>23168</v>
      </c>
      <c r="D55" s="5">
        <v>17424</v>
      </c>
      <c r="E55" s="4">
        <v>10070</v>
      </c>
      <c r="F55" s="4">
        <v>14162</v>
      </c>
      <c r="G55" s="4">
        <f t="shared" si="1"/>
        <v>16206</v>
      </c>
      <c r="H55" s="7">
        <f t="shared" si="0"/>
        <v>4.0514999999999999</v>
      </c>
      <c r="I55" s="9">
        <f t="shared" si="5"/>
        <v>1</v>
      </c>
      <c r="J55" s="9">
        <f t="shared" si="2"/>
        <v>5.0514999999999999</v>
      </c>
      <c r="K55" s="10">
        <f t="shared" si="3"/>
        <v>6</v>
      </c>
      <c r="O55" s="36">
        <f>'DHS25'!C54</f>
        <v>18265</v>
      </c>
      <c r="P55" s="37">
        <f>'DHS25'!D54</f>
        <v>34</v>
      </c>
      <c r="Q55" s="37">
        <f>'DHS25'!E54</f>
        <v>5438</v>
      </c>
      <c r="R55" s="38">
        <v>87.22</v>
      </c>
      <c r="S55" s="39">
        <f t="shared" si="4"/>
        <v>474.30235999999996</v>
      </c>
    </row>
    <row r="56" spans="1:19">
      <c r="A56" s="66">
        <v>45660</v>
      </c>
      <c r="B56" s="24" t="s">
        <v>13</v>
      </c>
      <c r="C56" s="4">
        <v>22629</v>
      </c>
      <c r="D56" s="5">
        <v>18944</v>
      </c>
      <c r="E56" s="4">
        <v>12698</v>
      </c>
      <c r="F56" s="4">
        <v>13847</v>
      </c>
      <c r="G56" s="4">
        <f t="shared" si="1"/>
        <v>17029.5</v>
      </c>
      <c r="H56" s="7">
        <f t="shared" si="0"/>
        <v>4.2573749999999997</v>
      </c>
      <c r="I56" s="9">
        <f t="shared" si="5"/>
        <v>1</v>
      </c>
      <c r="J56" s="9">
        <f t="shared" si="2"/>
        <v>5.2573749999999997</v>
      </c>
      <c r="K56" s="10">
        <f t="shared" si="3"/>
        <v>6</v>
      </c>
      <c r="O56" s="36">
        <f>'DHS25'!C55</f>
        <v>18521</v>
      </c>
      <c r="P56" s="37">
        <f>'DHS25'!D55</f>
        <v>2069</v>
      </c>
      <c r="Q56" s="37">
        <f>'DHS25'!E55</f>
        <v>5972</v>
      </c>
      <c r="R56" s="38">
        <v>93.67</v>
      </c>
      <c r="S56" s="39">
        <f t="shared" si="4"/>
        <v>559.39724000000001</v>
      </c>
    </row>
    <row r="57" spans="1:19">
      <c r="A57" s="66">
        <v>45660</v>
      </c>
      <c r="B57" s="24" t="s">
        <v>14</v>
      </c>
      <c r="C57" s="4">
        <v>22791</v>
      </c>
      <c r="D57" s="5">
        <v>16352</v>
      </c>
      <c r="E57" s="4">
        <v>13917</v>
      </c>
      <c r="F57" s="4">
        <v>14585</v>
      </c>
      <c r="G57" s="4">
        <f t="shared" si="1"/>
        <v>16911.25</v>
      </c>
      <c r="H57" s="7">
        <f t="shared" si="0"/>
        <v>4.2278124999999998</v>
      </c>
      <c r="I57" s="9">
        <f t="shared" si="5"/>
        <v>1</v>
      </c>
      <c r="J57" s="9">
        <f t="shared" si="2"/>
        <v>5.2278124999999998</v>
      </c>
      <c r="K57" s="10">
        <f t="shared" si="3"/>
        <v>6</v>
      </c>
      <c r="O57" s="36">
        <f>'DHS25'!C56</f>
        <v>14878</v>
      </c>
      <c r="P57" s="37">
        <f>'DHS25'!D56</f>
        <v>3858</v>
      </c>
      <c r="Q57" s="37">
        <f>'DHS25'!E56</f>
        <v>5986</v>
      </c>
      <c r="R57" s="38">
        <v>115.1</v>
      </c>
      <c r="S57" s="39">
        <f t="shared" si="4"/>
        <v>688.98859999999991</v>
      </c>
    </row>
    <row r="58" spans="1:19">
      <c r="A58" s="66">
        <v>45660</v>
      </c>
      <c r="B58" s="24" t="s">
        <v>15</v>
      </c>
      <c r="C58" s="4">
        <v>17399</v>
      </c>
      <c r="D58" s="5">
        <v>14350</v>
      </c>
      <c r="E58" s="4">
        <v>10869</v>
      </c>
      <c r="F58" s="4">
        <v>13737</v>
      </c>
      <c r="G58" s="4">
        <f t="shared" si="1"/>
        <v>14088.75</v>
      </c>
      <c r="H58" s="7">
        <f t="shared" si="0"/>
        <v>3.5221874999999998</v>
      </c>
      <c r="I58" s="9">
        <f t="shared" si="5"/>
        <v>1</v>
      </c>
      <c r="J58" s="9">
        <f t="shared" si="2"/>
        <v>4.5221874999999994</v>
      </c>
      <c r="K58" s="10">
        <f t="shared" si="3"/>
        <v>5</v>
      </c>
      <c r="O58" s="36">
        <f>'DHS25'!C57</f>
        <v>15759</v>
      </c>
      <c r="P58" s="37">
        <f>'DHS25'!D57</f>
        <v>2655</v>
      </c>
      <c r="Q58" s="37">
        <f>'DHS25'!E57</f>
        <v>5583</v>
      </c>
      <c r="R58" s="38">
        <v>159.49</v>
      </c>
      <c r="S58" s="39">
        <f t="shared" si="4"/>
        <v>890.43267000000003</v>
      </c>
    </row>
    <row r="59" spans="1:19">
      <c r="A59" s="66">
        <v>45660</v>
      </c>
      <c r="B59" s="24" t="s">
        <v>16</v>
      </c>
      <c r="C59" s="4">
        <v>18692</v>
      </c>
      <c r="D59" s="5">
        <v>15652</v>
      </c>
      <c r="E59" s="4">
        <v>13344</v>
      </c>
      <c r="F59" s="4">
        <v>13147</v>
      </c>
      <c r="G59" s="4">
        <f t="shared" si="1"/>
        <v>15208.75</v>
      </c>
      <c r="H59" s="7">
        <f t="shared" si="0"/>
        <v>3.8021875000000001</v>
      </c>
      <c r="I59" s="9">
        <f t="shared" si="5"/>
        <v>1</v>
      </c>
      <c r="J59" s="9">
        <f t="shared" si="2"/>
        <v>4.8021875000000005</v>
      </c>
      <c r="K59" s="10">
        <f t="shared" si="3"/>
        <v>5</v>
      </c>
      <c r="O59" s="36">
        <f>'DHS25'!C58</f>
        <v>16485</v>
      </c>
      <c r="P59" s="37">
        <f>'DHS25'!D58</f>
        <v>82</v>
      </c>
      <c r="Q59" s="37">
        <f>'DHS25'!E58</f>
        <v>5004</v>
      </c>
      <c r="R59" s="38">
        <v>155.09</v>
      </c>
      <c r="S59" s="39">
        <f t="shared" si="4"/>
        <v>776.07035999999994</v>
      </c>
    </row>
    <row r="60" spans="1:19">
      <c r="A60" s="66">
        <v>45660</v>
      </c>
      <c r="B60" s="24" t="s">
        <v>17</v>
      </c>
      <c r="C60" s="4">
        <v>19893</v>
      </c>
      <c r="D60" s="5">
        <v>14791</v>
      </c>
      <c r="E60" s="4">
        <v>11786</v>
      </c>
      <c r="F60" s="4">
        <v>13584</v>
      </c>
      <c r="G60" s="4">
        <f t="shared" si="1"/>
        <v>15013.5</v>
      </c>
      <c r="H60" s="7">
        <f t="shared" si="0"/>
        <v>3.7533750000000001</v>
      </c>
      <c r="I60" s="9">
        <f t="shared" si="5"/>
        <v>1</v>
      </c>
      <c r="J60" s="9">
        <f t="shared" si="2"/>
        <v>4.7533750000000001</v>
      </c>
      <c r="K60" s="10">
        <f t="shared" si="3"/>
        <v>5</v>
      </c>
      <c r="O60" s="36">
        <f>'DHS25'!C59</f>
        <v>21583</v>
      </c>
      <c r="P60" s="37">
        <f>'DHS25'!D59</f>
        <v>5768</v>
      </c>
      <c r="Q60" s="37">
        <f>'DHS25'!E59</f>
        <v>0</v>
      </c>
      <c r="R60" s="38">
        <v>146.06</v>
      </c>
      <c r="S60" s="39">
        <f t="shared" si="4"/>
        <v>0</v>
      </c>
    </row>
    <row r="61" spans="1:19">
      <c r="A61" s="66">
        <v>45660</v>
      </c>
      <c r="B61" s="24" t="s">
        <v>18</v>
      </c>
      <c r="C61" s="4">
        <v>19605</v>
      </c>
      <c r="D61" s="5">
        <v>15298</v>
      </c>
      <c r="E61" s="4">
        <v>11612</v>
      </c>
      <c r="F61" s="4">
        <v>12159</v>
      </c>
      <c r="G61" s="4">
        <f t="shared" si="1"/>
        <v>14668.5</v>
      </c>
      <c r="H61" s="7">
        <f t="shared" si="0"/>
        <v>3.667125</v>
      </c>
      <c r="I61" s="9">
        <f t="shared" si="5"/>
        <v>1</v>
      </c>
      <c r="J61" s="9">
        <f t="shared" si="2"/>
        <v>4.6671250000000004</v>
      </c>
      <c r="K61" s="10">
        <f t="shared" si="3"/>
        <v>5</v>
      </c>
      <c r="O61" s="36">
        <f>'DHS25'!C60</f>
        <v>16714</v>
      </c>
      <c r="P61" s="37">
        <f>'DHS25'!D60</f>
        <v>9068</v>
      </c>
      <c r="Q61" s="37">
        <f>'DHS25'!E60</f>
        <v>0</v>
      </c>
      <c r="R61" s="38">
        <v>126.68</v>
      </c>
      <c r="S61" s="39">
        <f t="shared" si="4"/>
        <v>0</v>
      </c>
    </row>
    <row r="62" spans="1:19">
      <c r="A62" s="66">
        <v>45660</v>
      </c>
      <c r="B62" s="24" t="s">
        <v>19</v>
      </c>
      <c r="C62" s="4">
        <v>20343</v>
      </c>
      <c r="D62" s="5">
        <v>13617</v>
      </c>
      <c r="E62" s="4">
        <v>11534</v>
      </c>
      <c r="F62" s="4">
        <v>11606</v>
      </c>
      <c r="G62" s="4">
        <f t="shared" si="1"/>
        <v>14275</v>
      </c>
      <c r="H62" s="7">
        <f t="shared" si="0"/>
        <v>3.5687500000000001</v>
      </c>
      <c r="I62" s="9">
        <f t="shared" si="5"/>
        <v>1</v>
      </c>
      <c r="J62" s="9">
        <f t="shared" si="2"/>
        <v>4.5687499999999996</v>
      </c>
      <c r="K62" s="10">
        <f t="shared" si="3"/>
        <v>5</v>
      </c>
      <c r="O62" s="36">
        <f>'DHS25'!C61</f>
        <v>15771</v>
      </c>
      <c r="P62" s="37">
        <f>'DHS25'!D61</f>
        <v>4436</v>
      </c>
      <c r="Q62" s="37">
        <f>'DHS25'!E61</f>
        <v>0</v>
      </c>
      <c r="R62" s="38">
        <v>111.59</v>
      </c>
      <c r="S62" s="39">
        <f t="shared" si="4"/>
        <v>0</v>
      </c>
    </row>
    <row r="63" spans="1:19">
      <c r="A63" s="66">
        <v>45660</v>
      </c>
      <c r="B63" s="24" t="s">
        <v>20</v>
      </c>
      <c r="C63" s="4">
        <v>19411</v>
      </c>
      <c r="D63" s="5">
        <v>14040</v>
      </c>
      <c r="E63" s="4">
        <v>12704</v>
      </c>
      <c r="F63" s="4">
        <v>11389</v>
      </c>
      <c r="G63" s="4">
        <f t="shared" si="1"/>
        <v>14386</v>
      </c>
      <c r="H63" s="7">
        <f t="shared" si="0"/>
        <v>3.5964999999999998</v>
      </c>
      <c r="I63" s="9">
        <f t="shared" si="5"/>
        <v>1</v>
      </c>
      <c r="J63" s="9">
        <f t="shared" si="2"/>
        <v>4.5964999999999998</v>
      </c>
      <c r="K63" s="10">
        <f t="shared" si="3"/>
        <v>5</v>
      </c>
      <c r="O63" s="36">
        <f>'DHS25'!C62</f>
        <v>14422</v>
      </c>
      <c r="P63" s="37">
        <f>'DHS25'!D62</f>
        <v>2142</v>
      </c>
      <c r="Q63" s="37">
        <f>'DHS25'!E62</f>
        <v>5003</v>
      </c>
      <c r="R63" s="38">
        <v>111.12</v>
      </c>
      <c r="S63" s="39">
        <f t="shared" si="4"/>
        <v>555.93335999999999</v>
      </c>
    </row>
    <row r="64" spans="1:19">
      <c r="A64" s="66">
        <v>45660</v>
      </c>
      <c r="B64" s="24" t="s">
        <v>21</v>
      </c>
      <c r="C64" s="4">
        <v>19432</v>
      </c>
      <c r="D64" s="5">
        <v>13364</v>
      </c>
      <c r="E64" s="4">
        <v>11282</v>
      </c>
      <c r="F64" s="4">
        <v>11054</v>
      </c>
      <c r="G64" s="4">
        <f t="shared" si="1"/>
        <v>13783</v>
      </c>
      <c r="H64" s="7">
        <f t="shared" si="0"/>
        <v>3.4457499999999999</v>
      </c>
      <c r="I64" s="9">
        <f t="shared" si="5"/>
        <v>1</v>
      </c>
      <c r="J64" s="9">
        <f t="shared" si="2"/>
        <v>4.4457500000000003</v>
      </c>
      <c r="K64" s="10">
        <f t="shared" si="3"/>
        <v>5</v>
      </c>
      <c r="O64" s="36">
        <f>'DHS25'!C63</f>
        <v>15763</v>
      </c>
      <c r="P64" s="37">
        <f>'DHS25'!D63</f>
        <v>926</v>
      </c>
      <c r="Q64" s="37">
        <f>'DHS25'!E63</f>
        <v>5001</v>
      </c>
      <c r="R64" s="38">
        <v>109.9</v>
      </c>
      <c r="S64" s="39">
        <f t="shared" si="4"/>
        <v>549.60990000000004</v>
      </c>
    </row>
    <row r="65" spans="1:19">
      <c r="A65" s="66">
        <v>45660</v>
      </c>
      <c r="B65" s="24" t="s">
        <v>22</v>
      </c>
      <c r="C65" s="4">
        <v>19107</v>
      </c>
      <c r="D65" s="5">
        <v>13416</v>
      </c>
      <c r="E65" s="4">
        <v>10868</v>
      </c>
      <c r="F65" s="4">
        <v>11592</v>
      </c>
      <c r="G65" s="4">
        <f t="shared" si="1"/>
        <v>13745.75</v>
      </c>
      <c r="H65" s="7">
        <f t="shared" si="0"/>
        <v>3.4364374999999998</v>
      </c>
      <c r="I65" s="9">
        <f t="shared" si="5"/>
        <v>1</v>
      </c>
      <c r="J65" s="9">
        <f t="shared" si="2"/>
        <v>4.4364375000000003</v>
      </c>
      <c r="K65" s="10">
        <f t="shared" si="3"/>
        <v>5</v>
      </c>
      <c r="O65" s="36">
        <f>'DHS25'!C64</f>
        <v>13909</v>
      </c>
      <c r="P65" s="37">
        <f>'DHS25'!D64</f>
        <v>2221</v>
      </c>
      <c r="Q65" s="37">
        <f>'DHS25'!E64</f>
        <v>4998</v>
      </c>
      <c r="R65" s="38">
        <v>121.61</v>
      </c>
      <c r="S65" s="39">
        <f t="shared" si="4"/>
        <v>607.80678</v>
      </c>
    </row>
    <row r="66" spans="1:19">
      <c r="A66" s="66">
        <v>45660</v>
      </c>
      <c r="B66" s="24" t="s">
        <v>23</v>
      </c>
      <c r="C66" s="4">
        <v>19440</v>
      </c>
      <c r="D66" s="5">
        <v>13912</v>
      </c>
      <c r="E66" s="4">
        <v>10381</v>
      </c>
      <c r="F66" s="4">
        <v>11946</v>
      </c>
      <c r="G66" s="4">
        <f t="shared" si="1"/>
        <v>13919.75</v>
      </c>
      <c r="H66" s="7">
        <f t="shared" si="0"/>
        <v>3.4799375000000001</v>
      </c>
      <c r="I66" s="9">
        <f t="shared" si="5"/>
        <v>1</v>
      </c>
      <c r="J66" s="9">
        <f t="shared" si="2"/>
        <v>4.4799375000000001</v>
      </c>
      <c r="K66" s="10">
        <f t="shared" si="3"/>
        <v>5</v>
      </c>
      <c r="O66" s="36">
        <f>'DHS25'!C65</f>
        <v>13985</v>
      </c>
      <c r="P66" s="37">
        <f>'DHS25'!D65</f>
        <v>2087</v>
      </c>
      <c r="Q66" s="37">
        <f>'DHS25'!E65</f>
        <v>4993</v>
      </c>
      <c r="R66" s="38">
        <v>142</v>
      </c>
      <c r="S66" s="39">
        <f t="shared" si="4"/>
        <v>709.00600000000009</v>
      </c>
    </row>
    <row r="67" spans="1:19">
      <c r="A67" s="66">
        <v>45660</v>
      </c>
      <c r="B67" s="24" t="s">
        <v>24</v>
      </c>
      <c r="C67" s="4">
        <v>18906</v>
      </c>
      <c r="D67" s="5">
        <v>14443</v>
      </c>
      <c r="E67" s="4">
        <v>11059</v>
      </c>
      <c r="F67" s="4">
        <v>11742</v>
      </c>
      <c r="G67" s="4">
        <f t="shared" si="1"/>
        <v>14037.5</v>
      </c>
      <c r="H67" s="7">
        <f t="shared" ref="H67:H130" si="6">G67/$M$2/1000</f>
        <v>3.5093749999999999</v>
      </c>
      <c r="I67" s="9">
        <f t="shared" si="5"/>
        <v>1</v>
      </c>
      <c r="J67" s="9">
        <f t="shared" si="2"/>
        <v>4.5093750000000004</v>
      </c>
      <c r="K67" s="10">
        <f t="shared" si="3"/>
        <v>5</v>
      </c>
      <c r="O67" s="36">
        <f>'DHS25'!C66</f>
        <v>16544</v>
      </c>
      <c r="P67" s="37">
        <f>'DHS25'!D66</f>
        <v>42</v>
      </c>
      <c r="Q67" s="37">
        <f>'DHS25'!E66</f>
        <v>5211</v>
      </c>
      <c r="R67" s="38">
        <v>165.35</v>
      </c>
      <c r="S67" s="39">
        <f t="shared" si="4"/>
        <v>861.63885000000005</v>
      </c>
    </row>
    <row r="68" spans="1:19">
      <c r="A68" s="66">
        <v>45660</v>
      </c>
      <c r="B68" s="24" t="s">
        <v>25</v>
      </c>
      <c r="C68" s="4">
        <v>18865</v>
      </c>
      <c r="D68" s="5">
        <v>14844</v>
      </c>
      <c r="E68" s="4">
        <v>11898</v>
      </c>
      <c r="F68" s="4">
        <v>11517</v>
      </c>
      <c r="G68" s="4">
        <f t="shared" ref="G68:G131" si="7">AVERAGE(C68:F68)</f>
        <v>14281</v>
      </c>
      <c r="H68" s="7">
        <f t="shared" si="6"/>
        <v>3.5702500000000001</v>
      </c>
      <c r="I68" s="9">
        <f t="shared" si="5"/>
        <v>1</v>
      </c>
      <c r="J68" s="9">
        <f t="shared" ref="J68:J131" si="8">H68+I68</f>
        <v>4.5702499999999997</v>
      </c>
      <c r="K68" s="10">
        <f t="shared" ref="K68:K131" si="9">ROUNDUP(J68,0)</f>
        <v>5</v>
      </c>
      <c r="O68" s="36">
        <f>'DHS25'!C67</f>
        <v>17525</v>
      </c>
      <c r="P68" s="37">
        <f>'DHS25'!D67</f>
        <v>90</v>
      </c>
      <c r="Q68" s="37">
        <f>'DHS25'!E67</f>
        <v>5489</v>
      </c>
      <c r="R68" s="38">
        <v>147.62</v>
      </c>
      <c r="S68" s="39">
        <f t="shared" ref="S68:S131" si="10">(Q68/1000)*R68</f>
        <v>810.28618000000006</v>
      </c>
    </row>
    <row r="69" spans="1:19">
      <c r="A69" s="66">
        <v>45660</v>
      </c>
      <c r="B69" s="24" t="s">
        <v>26</v>
      </c>
      <c r="C69" s="4">
        <v>19659</v>
      </c>
      <c r="D69" s="5">
        <v>14866</v>
      </c>
      <c r="E69" s="4">
        <v>12767</v>
      </c>
      <c r="F69" s="4">
        <v>12038</v>
      </c>
      <c r="G69" s="4">
        <f t="shared" si="7"/>
        <v>14832.5</v>
      </c>
      <c r="H69" s="7">
        <f t="shared" si="6"/>
        <v>3.7081249999999999</v>
      </c>
      <c r="I69" s="9">
        <f t="shared" ref="I69:I132" si="11">I68</f>
        <v>1</v>
      </c>
      <c r="J69" s="9">
        <f t="shared" si="8"/>
        <v>4.7081249999999999</v>
      </c>
      <c r="K69" s="10">
        <f t="shared" si="9"/>
        <v>5</v>
      </c>
      <c r="O69" s="36">
        <f>'DHS25'!C68</f>
        <v>18122</v>
      </c>
      <c r="P69" s="37">
        <f>'DHS25'!D68</f>
        <v>90</v>
      </c>
      <c r="Q69" s="37">
        <f>'DHS25'!E68</f>
        <v>5598</v>
      </c>
      <c r="R69" s="38">
        <v>166.41</v>
      </c>
      <c r="S69" s="39">
        <f t="shared" si="10"/>
        <v>931.56317999999999</v>
      </c>
    </row>
    <row r="70" spans="1:19">
      <c r="A70" s="66">
        <v>45660</v>
      </c>
      <c r="B70" s="24" t="s">
        <v>27</v>
      </c>
      <c r="C70" s="4">
        <v>19864</v>
      </c>
      <c r="D70" s="5">
        <v>16066</v>
      </c>
      <c r="E70" s="4">
        <v>12482</v>
      </c>
      <c r="F70" s="4">
        <v>12977</v>
      </c>
      <c r="G70" s="4">
        <f t="shared" si="7"/>
        <v>15347.25</v>
      </c>
      <c r="H70" s="7">
        <f t="shared" si="6"/>
        <v>3.8368125000000002</v>
      </c>
      <c r="I70" s="9">
        <f t="shared" si="11"/>
        <v>1</v>
      </c>
      <c r="J70" s="9">
        <f t="shared" si="8"/>
        <v>4.8368125000000006</v>
      </c>
      <c r="K70" s="10">
        <f t="shared" si="9"/>
        <v>5</v>
      </c>
      <c r="O70" s="36">
        <f>'DHS25'!C69</f>
        <v>18166</v>
      </c>
      <c r="P70" s="37">
        <f>'DHS25'!D69</f>
        <v>217</v>
      </c>
      <c r="Q70" s="37">
        <f>'DHS25'!E69</f>
        <v>5590</v>
      </c>
      <c r="R70" s="38">
        <v>165.91</v>
      </c>
      <c r="S70" s="39">
        <f t="shared" si="10"/>
        <v>927.43689999999992</v>
      </c>
    </row>
    <row r="71" spans="1:19">
      <c r="A71" s="66">
        <v>45660</v>
      </c>
      <c r="B71" s="24" t="s">
        <v>28</v>
      </c>
      <c r="C71" s="4">
        <v>19634</v>
      </c>
      <c r="D71" s="5">
        <v>15085</v>
      </c>
      <c r="E71" s="4">
        <v>13261</v>
      </c>
      <c r="F71" s="4">
        <v>12640</v>
      </c>
      <c r="G71" s="4">
        <f t="shared" si="7"/>
        <v>15155</v>
      </c>
      <c r="H71" s="7">
        <f t="shared" si="6"/>
        <v>3.7887499999999998</v>
      </c>
      <c r="I71" s="9">
        <f t="shared" si="11"/>
        <v>1</v>
      </c>
      <c r="J71" s="9">
        <f t="shared" si="8"/>
        <v>4.7887500000000003</v>
      </c>
      <c r="K71" s="10">
        <f t="shared" si="9"/>
        <v>5</v>
      </c>
      <c r="O71" s="36">
        <f>'DHS25'!C70</f>
        <v>18951</v>
      </c>
      <c r="P71" s="37">
        <f>'DHS25'!D70</f>
        <v>120</v>
      </c>
      <c r="Q71" s="37">
        <f>'DHS25'!E70</f>
        <v>5984</v>
      </c>
      <c r="R71" s="38">
        <v>151.16</v>
      </c>
      <c r="S71" s="39">
        <f t="shared" si="10"/>
        <v>904.54143999999997</v>
      </c>
    </row>
    <row r="72" spans="1:19">
      <c r="A72" s="66">
        <v>45660</v>
      </c>
      <c r="B72" s="24" t="s">
        <v>29</v>
      </c>
      <c r="C72" s="4">
        <v>19580</v>
      </c>
      <c r="D72" s="5">
        <v>15310</v>
      </c>
      <c r="E72" s="4">
        <v>13695</v>
      </c>
      <c r="F72" s="4">
        <v>12540</v>
      </c>
      <c r="G72" s="4">
        <f t="shared" si="7"/>
        <v>15281.25</v>
      </c>
      <c r="H72" s="7">
        <f t="shared" si="6"/>
        <v>3.8203125</v>
      </c>
      <c r="I72" s="9">
        <f t="shared" si="11"/>
        <v>1</v>
      </c>
      <c r="J72" s="9">
        <f t="shared" si="8"/>
        <v>4.8203125</v>
      </c>
      <c r="K72" s="10">
        <f t="shared" si="9"/>
        <v>5</v>
      </c>
      <c r="O72" s="36">
        <f>'DHS25'!C71</f>
        <v>19130</v>
      </c>
      <c r="P72" s="37">
        <f>'DHS25'!D71</f>
        <v>34</v>
      </c>
      <c r="Q72" s="37">
        <f>'DHS25'!E71</f>
        <v>6029</v>
      </c>
      <c r="R72" s="38">
        <v>124.99</v>
      </c>
      <c r="S72" s="39">
        <f t="shared" si="10"/>
        <v>753.56470999999999</v>
      </c>
    </row>
    <row r="73" spans="1:19">
      <c r="A73" s="66">
        <v>45660</v>
      </c>
      <c r="B73" s="24" t="s">
        <v>30</v>
      </c>
      <c r="C73" s="4">
        <v>17151</v>
      </c>
      <c r="D73" s="5">
        <v>13414</v>
      </c>
      <c r="E73" s="4">
        <v>11378</v>
      </c>
      <c r="F73" s="4">
        <v>10789</v>
      </c>
      <c r="G73" s="4">
        <f t="shared" si="7"/>
        <v>13183</v>
      </c>
      <c r="H73" s="7">
        <f t="shared" si="6"/>
        <v>3.29575</v>
      </c>
      <c r="I73" s="9">
        <f t="shared" si="11"/>
        <v>1</v>
      </c>
      <c r="J73" s="9">
        <f t="shared" si="8"/>
        <v>4.29575</v>
      </c>
      <c r="K73" s="10">
        <f t="shared" si="9"/>
        <v>5</v>
      </c>
      <c r="O73" s="36">
        <f>'DHS25'!C72</f>
        <v>16633</v>
      </c>
      <c r="P73" s="37">
        <f>'DHS25'!D72</f>
        <v>69</v>
      </c>
      <c r="Q73" s="37">
        <f>'DHS25'!E72</f>
        <v>5011</v>
      </c>
      <c r="R73" s="38">
        <v>145.13</v>
      </c>
      <c r="S73" s="39">
        <f t="shared" si="10"/>
        <v>727.24643000000003</v>
      </c>
    </row>
    <row r="74" spans="1:19">
      <c r="A74" s="66">
        <v>45660</v>
      </c>
      <c r="B74" s="24" t="s">
        <v>31</v>
      </c>
      <c r="C74" s="4">
        <v>8328</v>
      </c>
      <c r="D74" s="5">
        <v>7469</v>
      </c>
      <c r="E74" s="4">
        <v>5428</v>
      </c>
      <c r="F74" s="4">
        <v>6746</v>
      </c>
      <c r="G74" s="4">
        <f t="shared" si="7"/>
        <v>6992.75</v>
      </c>
      <c r="H74" s="7">
        <f t="shared" si="6"/>
        <v>1.7481875</v>
      </c>
      <c r="I74" s="9">
        <f t="shared" si="11"/>
        <v>1</v>
      </c>
      <c r="J74" s="9">
        <f t="shared" si="8"/>
        <v>2.7481875000000002</v>
      </c>
      <c r="K74" s="10">
        <f t="shared" si="9"/>
        <v>3</v>
      </c>
      <c r="O74" s="36">
        <f>'DHS25'!C73</f>
        <v>11111</v>
      </c>
      <c r="P74" s="37">
        <f>'DHS25'!D73</f>
        <v>75</v>
      </c>
      <c r="Q74" s="37">
        <f>'DHS25'!E73</f>
        <v>2986</v>
      </c>
      <c r="R74" s="38">
        <v>140.38999999999999</v>
      </c>
      <c r="S74" s="39">
        <f t="shared" si="10"/>
        <v>419.20454000000001</v>
      </c>
    </row>
    <row r="75" spans="1:19">
      <c r="A75" s="67">
        <v>45661</v>
      </c>
      <c r="B75" s="25" t="s">
        <v>8</v>
      </c>
      <c r="C75" s="4">
        <v>8694</v>
      </c>
      <c r="D75" s="5">
        <v>6545</v>
      </c>
      <c r="E75" s="4">
        <v>4023</v>
      </c>
      <c r="F75" s="4">
        <v>5552</v>
      </c>
      <c r="G75" s="4">
        <f t="shared" si="7"/>
        <v>6203.5</v>
      </c>
      <c r="H75" s="7">
        <f t="shared" si="6"/>
        <v>1.550875</v>
      </c>
      <c r="I75" s="9">
        <f t="shared" si="11"/>
        <v>1</v>
      </c>
      <c r="J75" s="9">
        <f t="shared" si="8"/>
        <v>2.550875</v>
      </c>
      <c r="K75" s="10">
        <f t="shared" si="9"/>
        <v>3</v>
      </c>
      <c r="O75" s="36">
        <f>'DHS25'!C74</f>
        <v>11705</v>
      </c>
      <c r="P75" s="37">
        <f>'DHS25'!D74</f>
        <v>93</v>
      </c>
      <c r="Q75" s="37">
        <f>'DHS25'!E74</f>
        <v>2998</v>
      </c>
      <c r="R75" s="38">
        <v>104.08</v>
      </c>
      <c r="S75" s="39">
        <f t="shared" si="10"/>
        <v>312.03184000000005</v>
      </c>
    </row>
    <row r="76" spans="1:19">
      <c r="A76" s="67">
        <v>45661</v>
      </c>
      <c r="B76" s="25" t="s">
        <v>9</v>
      </c>
      <c r="C76" s="4">
        <v>11317</v>
      </c>
      <c r="D76" s="5">
        <v>7306</v>
      </c>
      <c r="E76" s="4">
        <v>5938</v>
      </c>
      <c r="F76" s="4">
        <v>4227</v>
      </c>
      <c r="G76" s="4">
        <f t="shared" si="7"/>
        <v>7197</v>
      </c>
      <c r="H76" s="7">
        <f t="shared" si="6"/>
        <v>1.79925</v>
      </c>
      <c r="I76" s="9">
        <f t="shared" si="11"/>
        <v>1</v>
      </c>
      <c r="J76" s="9">
        <f t="shared" si="8"/>
        <v>2.7992499999999998</v>
      </c>
      <c r="K76" s="10">
        <f t="shared" si="9"/>
        <v>3</v>
      </c>
      <c r="O76" s="36">
        <f>'DHS25'!C75</f>
        <v>10472</v>
      </c>
      <c r="P76" s="37">
        <f>'DHS25'!D75</f>
        <v>908</v>
      </c>
      <c r="Q76" s="37">
        <f>'DHS25'!E75</f>
        <v>2994</v>
      </c>
      <c r="R76" s="38">
        <v>101.53</v>
      </c>
      <c r="S76" s="39">
        <f t="shared" si="10"/>
        <v>303.98082000000005</v>
      </c>
    </row>
    <row r="77" spans="1:19">
      <c r="A77" s="67">
        <v>45661</v>
      </c>
      <c r="B77" s="25" t="s">
        <v>10</v>
      </c>
      <c r="C77" s="4">
        <v>12217</v>
      </c>
      <c r="D77" s="5">
        <v>7860</v>
      </c>
      <c r="E77" s="4">
        <v>6900</v>
      </c>
      <c r="F77" s="4">
        <v>6654</v>
      </c>
      <c r="G77" s="4">
        <f t="shared" si="7"/>
        <v>8407.75</v>
      </c>
      <c r="H77" s="7">
        <f t="shared" si="6"/>
        <v>2.1019375</v>
      </c>
      <c r="I77" s="9">
        <f t="shared" si="11"/>
        <v>1</v>
      </c>
      <c r="J77" s="9">
        <f t="shared" si="8"/>
        <v>3.1019375</v>
      </c>
      <c r="K77" s="10">
        <f t="shared" si="9"/>
        <v>4</v>
      </c>
      <c r="O77" s="36">
        <f>'DHS25'!C76</f>
        <v>14524</v>
      </c>
      <c r="P77" s="37">
        <f>'DHS25'!D76</f>
        <v>76</v>
      </c>
      <c r="Q77" s="37">
        <f>'DHS25'!E76</f>
        <v>3998</v>
      </c>
      <c r="R77" s="38">
        <v>103.54</v>
      </c>
      <c r="S77" s="39">
        <f t="shared" si="10"/>
        <v>413.95292000000006</v>
      </c>
    </row>
    <row r="78" spans="1:19">
      <c r="A78" s="67">
        <v>45661</v>
      </c>
      <c r="B78" s="25" t="s">
        <v>11</v>
      </c>
      <c r="C78" s="4">
        <v>13852</v>
      </c>
      <c r="D78" s="5">
        <v>9222</v>
      </c>
      <c r="E78" s="4">
        <v>8844</v>
      </c>
      <c r="F78" s="4">
        <v>9561</v>
      </c>
      <c r="G78" s="4">
        <f t="shared" si="7"/>
        <v>10369.75</v>
      </c>
      <c r="H78" s="7">
        <f t="shared" si="6"/>
        <v>2.5924375</v>
      </c>
      <c r="I78" s="9">
        <f t="shared" si="11"/>
        <v>1</v>
      </c>
      <c r="J78" s="9">
        <f t="shared" si="8"/>
        <v>3.5924375</v>
      </c>
      <c r="K78" s="10">
        <f t="shared" si="9"/>
        <v>4</v>
      </c>
      <c r="O78" s="36">
        <f>'DHS25'!C77</f>
        <v>14777</v>
      </c>
      <c r="P78" s="37">
        <f>'DHS25'!D77</f>
        <v>46</v>
      </c>
      <c r="Q78" s="37">
        <f>'DHS25'!E77</f>
        <v>4035</v>
      </c>
      <c r="R78" s="38">
        <v>100.71</v>
      </c>
      <c r="S78" s="39">
        <f t="shared" si="10"/>
        <v>406.36484999999999</v>
      </c>
    </row>
    <row r="79" spans="1:19">
      <c r="A79" s="67">
        <v>45661</v>
      </c>
      <c r="B79" s="25" t="s">
        <v>12</v>
      </c>
      <c r="C79" s="4">
        <v>21771</v>
      </c>
      <c r="D79" s="5">
        <v>15120</v>
      </c>
      <c r="E79" s="4">
        <v>15599</v>
      </c>
      <c r="F79" s="4">
        <v>14036</v>
      </c>
      <c r="G79" s="4">
        <f t="shared" si="7"/>
        <v>16631.5</v>
      </c>
      <c r="H79" s="7">
        <f t="shared" si="6"/>
        <v>4.1578749999999998</v>
      </c>
      <c r="I79" s="9">
        <f t="shared" si="11"/>
        <v>1</v>
      </c>
      <c r="J79" s="9">
        <f t="shared" si="8"/>
        <v>5.1578749999999998</v>
      </c>
      <c r="K79" s="10">
        <f t="shared" si="9"/>
        <v>6</v>
      </c>
      <c r="O79" s="36">
        <f>'DHS25'!C78</f>
        <v>19702</v>
      </c>
      <c r="P79" s="37">
        <f>'DHS25'!D78</f>
        <v>21</v>
      </c>
      <c r="Q79" s="37">
        <f>'DHS25'!E78</f>
        <v>5955</v>
      </c>
      <c r="R79" s="38">
        <v>101.1</v>
      </c>
      <c r="S79" s="39">
        <f t="shared" si="10"/>
        <v>602.05049999999994</v>
      </c>
    </row>
    <row r="80" spans="1:19">
      <c r="A80" s="67">
        <v>45661</v>
      </c>
      <c r="B80" s="25" t="s">
        <v>13</v>
      </c>
      <c r="C80" s="4">
        <v>20246</v>
      </c>
      <c r="D80" s="5">
        <v>17097</v>
      </c>
      <c r="E80" s="4">
        <v>15876</v>
      </c>
      <c r="F80" s="4">
        <v>14895</v>
      </c>
      <c r="G80" s="4">
        <f t="shared" si="7"/>
        <v>17028.5</v>
      </c>
      <c r="H80" s="7">
        <f t="shared" si="6"/>
        <v>4.2571250000000003</v>
      </c>
      <c r="I80" s="9">
        <f t="shared" si="11"/>
        <v>1</v>
      </c>
      <c r="J80" s="9">
        <f t="shared" si="8"/>
        <v>5.2571250000000003</v>
      </c>
      <c r="K80" s="10">
        <f t="shared" si="9"/>
        <v>6</v>
      </c>
      <c r="O80" s="36">
        <f>'DHS25'!C79</f>
        <v>18990</v>
      </c>
      <c r="P80" s="37">
        <f>'DHS25'!D79</f>
        <v>22</v>
      </c>
      <c r="Q80" s="37">
        <f>'DHS25'!E79</f>
        <v>5960</v>
      </c>
      <c r="R80" s="38">
        <v>106.1</v>
      </c>
      <c r="S80" s="39">
        <f t="shared" si="10"/>
        <v>632.35599999999999</v>
      </c>
    </row>
    <row r="81" spans="1:19">
      <c r="A81" s="67">
        <v>45661</v>
      </c>
      <c r="B81" s="25" t="s">
        <v>14</v>
      </c>
      <c r="C81" s="4">
        <v>21888</v>
      </c>
      <c r="D81" s="5">
        <v>15605</v>
      </c>
      <c r="E81" s="4">
        <v>16092</v>
      </c>
      <c r="F81" s="4">
        <v>15013</v>
      </c>
      <c r="G81" s="4">
        <f t="shared" si="7"/>
        <v>17149.5</v>
      </c>
      <c r="H81" s="7">
        <f t="shared" si="6"/>
        <v>4.2873749999999999</v>
      </c>
      <c r="I81" s="9">
        <f t="shared" si="11"/>
        <v>1</v>
      </c>
      <c r="J81" s="9">
        <f t="shared" si="8"/>
        <v>5.2873749999999999</v>
      </c>
      <c r="K81" s="10">
        <f t="shared" si="9"/>
        <v>6</v>
      </c>
      <c r="O81" s="36">
        <f>'DHS25'!C80</f>
        <v>19456</v>
      </c>
      <c r="P81" s="37">
        <f>'DHS25'!D80</f>
        <v>47</v>
      </c>
      <c r="Q81" s="37">
        <f>'DHS25'!E80</f>
        <v>6008</v>
      </c>
      <c r="R81" s="38">
        <v>112.47</v>
      </c>
      <c r="S81" s="39">
        <f t="shared" si="10"/>
        <v>675.71975999999995</v>
      </c>
    </row>
    <row r="82" spans="1:19">
      <c r="A82" s="67">
        <v>45661</v>
      </c>
      <c r="B82" s="25" t="s">
        <v>15</v>
      </c>
      <c r="C82" s="4">
        <v>17500</v>
      </c>
      <c r="D82" s="5">
        <v>13322</v>
      </c>
      <c r="E82" s="4">
        <v>15826</v>
      </c>
      <c r="F82" s="4">
        <v>15618</v>
      </c>
      <c r="G82" s="4">
        <f t="shared" si="7"/>
        <v>15566.5</v>
      </c>
      <c r="H82" s="7">
        <f t="shared" si="6"/>
        <v>3.8916249999999999</v>
      </c>
      <c r="I82" s="9">
        <f t="shared" si="11"/>
        <v>1</v>
      </c>
      <c r="J82" s="9">
        <f t="shared" si="8"/>
        <v>4.8916249999999994</v>
      </c>
      <c r="K82" s="10">
        <f t="shared" si="9"/>
        <v>5</v>
      </c>
      <c r="O82" s="36">
        <f>'DHS25'!C81</f>
        <v>19356</v>
      </c>
      <c r="P82" s="37">
        <f>'DHS25'!D81</f>
        <v>93</v>
      </c>
      <c r="Q82" s="37">
        <f>'DHS25'!E81</f>
        <v>5880</v>
      </c>
      <c r="R82" s="38">
        <v>117.14</v>
      </c>
      <c r="S82" s="39">
        <f t="shared" si="10"/>
        <v>688.78319999999997</v>
      </c>
    </row>
    <row r="83" spans="1:19">
      <c r="A83" s="67">
        <v>45661</v>
      </c>
      <c r="B83" s="25" t="s">
        <v>16</v>
      </c>
      <c r="C83" s="4">
        <v>18132</v>
      </c>
      <c r="D83" s="5">
        <v>14287</v>
      </c>
      <c r="E83" s="4">
        <v>15660</v>
      </c>
      <c r="F83" s="4">
        <v>13956</v>
      </c>
      <c r="G83" s="4">
        <f t="shared" si="7"/>
        <v>15508.75</v>
      </c>
      <c r="H83" s="7">
        <f t="shared" si="6"/>
        <v>3.8771874999999998</v>
      </c>
      <c r="I83" s="9">
        <f t="shared" si="11"/>
        <v>1</v>
      </c>
      <c r="J83" s="9">
        <f t="shared" si="8"/>
        <v>4.8771874999999998</v>
      </c>
      <c r="K83" s="10">
        <f t="shared" si="9"/>
        <v>5</v>
      </c>
      <c r="O83" s="36">
        <f>'DHS25'!C82</f>
        <v>16484</v>
      </c>
      <c r="P83" s="37">
        <f>'DHS25'!D82</f>
        <v>74</v>
      </c>
      <c r="Q83" s="37">
        <f>'DHS25'!E82</f>
        <v>4993</v>
      </c>
      <c r="R83" s="38">
        <v>128.38999999999999</v>
      </c>
      <c r="S83" s="39">
        <f t="shared" si="10"/>
        <v>641.05126999999993</v>
      </c>
    </row>
    <row r="84" spans="1:19">
      <c r="A84" s="67">
        <v>45661</v>
      </c>
      <c r="B84" s="25" t="s">
        <v>17</v>
      </c>
      <c r="C84" s="4">
        <v>19528</v>
      </c>
      <c r="D84" s="5">
        <v>14318</v>
      </c>
      <c r="E84" s="4">
        <v>15320</v>
      </c>
      <c r="F84" s="4">
        <v>13526</v>
      </c>
      <c r="G84" s="4">
        <f t="shared" si="7"/>
        <v>15673</v>
      </c>
      <c r="H84" s="7">
        <f t="shared" si="6"/>
        <v>3.91825</v>
      </c>
      <c r="I84" s="9">
        <f t="shared" si="11"/>
        <v>1</v>
      </c>
      <c r="J84" s="9">
        <f t="shared" si="8"/>
        <v>4.9182500000000005</v>
      </c>
      <c r="K84" s="10">
        <f t="shared" si="9"/>
        <v>5</v>
      </c>
      <c r="O84" s="36">
        <f>'DHS25'!C83</f>
        <v>17695</v>
      </c>
      <c r="P84" s="37">
        <f>'DHS25'!D83</f>
        <v>177</v>
      </c>
      <c r="Q84" s="37">
        <f>'DHS25'!E83</f>
        <v>5482</v>
      </c>
      <c r="R84" s="38">
        <v>130.75</v>
      </c>
      <c r="S84" s="39">
        <f t="shared" si="10"/>
        <v>716.77150000000006</v>
      </c>
    </row>
    <row r="85" spans="1:19">
      <c r="A85" s="67">
        <v>45661</v>
      </c>
      <c r="B85" s="25" t="s">
        <v>18</v>
      </c>
      <c r="C85" s="4">
        <v>18537</v>
      </c>
      <c r="D85" s="5">
        <v>14547</v>
      </c>
      <c r="E85" s="4">
        <v>15033</v>
      </c>
      <c r="F85" s="4">
        <v>13528</v>
      </c>
      <c r="G85" s="4">
        <f t="shared" si="7"/>
        <v>15411.25</v>
      </c>
      <c r="H85" s="7">
        <f t="shared" si="6"/>
        <v>3.8528125000000002</v>
      </c>
      <c r="I85" s="9">
        <f t="shared" si="11"/>
        <v>1</v>
      </c>
      <c r="J85" s="9">
        <f t="shared" si="8"/>
        <v>4.8528125000000006</v>
      </c>
      <c r="K85" s="10">
        <f t="shared" si="9"/>
        <v>5</v>
      </c>
      <c r="O85" s="36">
        <f>'DHS25'!C84</f>
        <v>18713</v>
      </c>
      <c r="P85" s="37">
        <f>'DHS25'!D84</f>
        <v>123</v>
      </c>
      <c r="Q85" s="37">
        <f>'DHS25'!E84</f>
        <v>5588</v>
      </c>
      <c r="R85" s="38">
        <v>130.34</v>
      </c>
      <c r="S85" s="39">
        <f t="shared" si="10"/>
        <v>728.33992000000001</v>
      </c>
    </row>
    <row r="86" spans="1:19">
      <c r="A86" s="67">
        <v>45661</v>
      </c>
      <c r="B86" s="25" t="s">
        <v>19</v>
      </c>
      <c r="C86" s="4">
        <v>18950</v>
      </c>
      <c r="D86" s="5">
        <v>14017</v>
      </c>
      <c r="E86" s="4">
        <v>11423</v>
      </c>
      <c r="F86" s="4">
        <v>13756</v>
      </c>
      <c r="G86" s="4">
        <f t="shared" si="7"/>
        <v>14536.5</v>
      </c>
      <c r="H86" s="7">
        <f t="shared" si="6"/>
        <v>3.634125</v>
      </c>
      <c r="I86" s="9">
        <f t="shared" si="11"/>
        <v>1</v>
      </c>
      <c r="J86" s="9">
        <f t="shared" si="8"/>
        <v>4.634125</v>
      </c>
      <c r="K86" s="10">
        <f t="shared" si="9"/>
        <v>5</v>
      </c>
      <c r="O86" s="36">
        <f>'DHS25'!C85</f>
        <v>17747</v>
      </c>
      <c r="P86" s="37">
        <f>'DHS25'!D85</f>
        <v>113</v>
      </c>
      <c r="Q86" s="37">
        <f>'DHS25'!E85</f>
        <v>5409</v>
      </c>
      <c r="R86" s="38">
        <v>128.29</v>
      </c>
      <c r="S86" s="39">
        <f t="shared" si="10"/>
        <v>693.9206099999999</v>
      </c>
    </row>
    <row r="87" spans="1:19">
      <c r="A87" s="67">
        <v>45661</v>
      </c>
      <c r="B87" s="25" t="s">
        <v>20</v>
      </c>
      <c r="C87" s="4">
        <v>18510</v>
      </c>
      <c r="D87" s="5">
        <v>12875</v>
      </c>
      <c r="E87" s="4">
        <v>12720</v>
      </c>
      <c r="F87" s="4">
        <v>13527</v>
      </c>
      <c r="G87" s="4">
        <f t="shared" si="7"/>
        <v>14408</v>
      </c>
      <c r="H87" s="7">
        <f t="shared" si="6"/>
        <v>3.6019999999999999</v>
      </c>
      <c r="I87" s="9">
        <f t="shared" si="11"/>
        <v>1</v>
      </c>
      <c r="J87" s="9">
        <f t="shared" si="8"/>
        <v>4.6020000000000003</v>
      </c>
      <c r="K87" s="10">
        <f t="shared" si="9"/>
        <v>5</v>
      </c>
      <c r="O87" s="36">
        <f>'DHS25'!C86</f>
        <v>16531</v>
      </c>
      <c r="P87" s="37">
        <f>'DHS25'!D86</f>
        <v>42</v>
      </c>
      <c r="Q87" s="37">
        <f>'DHS25'!E86</f>
        <v>5003</v>
      </c>
      <c r="R87" s="38">
        <v>130.03</v>
      </c>
      <c r="S87" s="39">
        <f t="shared" si="10"/>
        <v>650.54008999999996</v>
      </c>
    </row>
    <row r="88" spans="1:19">
      <c r="A88" s="67">
        <v>45661</v>
      </c>
      <c r="B88" s="25" t="s">
        <v>21</v>
      </c>
      <c r="C88" s="4">
        <v>19687</v>
      </c>
      <c r="D88" s="5">
        <v>13874</v>
      </c>
      <c r="E88" s="4">
        <v>11875</v>
      </c>
      <c r="F88" s="4">
        <v>11631</v>
      </c>
      <c r="G88" s="4">
        <f t="shared" si="7"/>
        <v>14266.75</v>
      </c>
      <c r="H88" s="7">
        <f t="shared" si="6"/>
        <v>3.5666875</v>
      </c>
      <c r="I88" s="9">
        <f t="shared" si="11"/>
        <v>1</v>
      </c>
      <c r="J88" s="9">
        <f t="shared" si="8"/>
        <v>4.5666875000000005</v>
      </c>
      <c r="K88" s="10">
        <f t="shared" si="9"/>
        <v>5</v>
      </c>
      <c r="O88" s="36">
        <f>'DHS25'!C87</f>
        <v>16246</v>
      </c>
      <c r="P88" s="37">
        <f>'DHS25'!D87</f>
        <v>22</v>
      </c>
      <c r="Q88" s="37">
        <f>'DHS25'!E87</f>
        <v>5001</v>
      </c>
      <c r="R88" s="38">
        <v>129.85</v>
      </c>
      <c r="S88" s="39">
        <f t="shared" si="10"/>
        <v>649.37985000000003</v>
      </c>
    </row>
    <row r="89" spans="1:19">
      <c r="A89" s="67">
        <v>45661</v>
      </c>
      <c r="B89" s="25" t="s">
        <v>22</v>
      </c>
      <c r="C89" s="4">
        <v>20029</v>
      </c>
      <c r="D89" s="5">
        <v>13445</v>
      </c>
      <c r="E89" s="4">
        <v>11861</v>
      </c>
      <c r="F89" s="4">
        <v>10568</v>
      </c>
      <c r="G89" s="4">
        <f t="shared" si="7"/>
        <v>13975.75</v>
      </c>
      <c r="H89" s="7">
        <f t="shared" si="6"/>
        <v>3.4939374999999999</v>
      </c>
      <c r="I89" s="9">
        <f t="shared" si="11"/>
        <v>1</v>
      </c>
      <c r="J89" s="9">
        <f t="shared" si="8"/>
        <v>4.4939374999999995</v>
      </c>
      <c r="K89" s="10">
        <f t="shared" si="9"/>
        <v>5</v>
      </c>
      <c r="O89" s="36">
        <f>'DHS25'!C88</f>
        <v>16217</v>
      </c>
      <c r="P89" s="37">
        <f>'DHS25'!D88</f>
        <v>73</v>
      </c>
      <c r="Q89" s="37">
        <f>'DHS25'!E88</f>
        <v>5006</v>
      </c>
      <c r="R89" s="38">
        <v>136.4</v>
      </c>
      <c r="S89" s="39">
        <f t="shared" si="10"/>
        <v>682.81840000000011</v>
      </c>
    </row>
    <row r="90" spans="1:19">
      <c r="A90" s="67">
        <v>45661</v>
      </c>
      <c r="B90" s="25" t="s">
        <v>23</v>
      </c>
      <c r="C90" s="4">
        <v>19161</v>
      </c>
      <c r="D90" s="5">
        <v>12394</v>
      </c>
      <c r="E90" s="4">
        <v>11601</v>
      </c>
      <c r="F90" s="4">
        <v>11704</v>
      </c>
      <c r="G90" s="4">
        <f t="shared" si="7"/>
        <v>13715</v>
      </c>
      <c r="H90" s="7">
        <f t="shared" si="6"/>
        <v>3.42875</v>
      </c>
      <c r="I90" s="9">
        <f t="shared" si="11"/>
        <v>1</v>
      </c>
      <c r="J90" s="9">
        <f t="shared" si="8"/>
        <v>4.42875</v>
      </c>
      <c r="K90" s="10">
        <f t="shared" si="9"/>
        <v>5</v>
      </c>
      <c r="O90" s="36">
        <f>'DHS25'!C89</f>
        <v>16756</v>
      </c>
      <c r="P90" s="37">
        <f>'DHS25'!D89</f>
        <v>201</v>
      </c>
      <c r="Q90" s="37">
        <f>'DHS25'!E89</f>
        <v>5001</v>
      </c>
      <c r="R90" s="38">
        <v>137.13999999999999</v>
      </c>
      <c r="S90" s="39">
        <f t="shared" si="10"/>
        <v>685.83713999999998</v>
      </c>
    </row>
    <row r="91" spans="1:19">
      <c r="A91" s="67">
        <v>45661</v>
      </c>
      <c r="B91" s="25" t="s">
        <v>24</v>
      </c>
      <c r="C91" s="4">
        <v>19775</v>
      </c>
      <c r="D91" s="5">
        <v>13139</v>
      </c>
      <c r="E91" s="4">
        <v>12151</v>
      </c>
      <c r="F91" s="4">
        <v>11531</v>
      </c>
      <c r="G91" s="4">
        <f t="shared" si="7"/>
        <v>14149</v>
      </c>
      <c r="H91" s="7">
        <f t="shared" si="6"/>
        <v>3.5372499999999998</v>
      </c>
      <c r="I91" s="9">
        <f t="shared" si="11"/>
        <v>1</v>
      </c>
      <c r="J91" s="9">
        <f t="shared" si="8"/>
        <v>4.5372500000000002</v>
      </c>
      <c r="K91" s="10">
        <f t="shared" si="9"/>
        <v>5</v>
      </c>
      <c r="O91" s="36">
        <f>'DHS25'!C90</f>
        <v>16677</v>
      </c>
      <c r="P91" s="37">
        <f>'DHS25'!D90</f>
        <v>70</v>
      </c>
      <c r="Q91" s="37">
        <f>'DHS25'!E90</f>
        <v>5198</v>
      </c>
      <c r="R91" s="38">
        <v>153.4</v>
      </c>
      <c r="S91" s="39">
        <f t="shared" si="10"/>
        <v>797.37320000000011</v>
      </c>
    </row>
    <row r="92" spans="1:19">
      <c r="A92" s="67">
        <v>45661</v>
      </c>
      <c r="B92" s="25" t="s">
        <v>25</v>
      </c>
      <c r="C92" s="4">
        <v>19891</v>
      </c>
      <c r="D92" s="5">
        <v>14392</v>
      </c>
      <c r="E92" s="4">
        <v>12329</v>
      </c>
      <c r="F92" s="4">
        <v>11680</v>
      </c>
      <c r="G92" s="4">
        <f t="shared" si="7"/>
        <v>14573</v>
      </c>
      <c r="H92" s="7">
        <f t="shared" si="6"/>
        <v>3.6432500000000001</v>
      </c>
      <c r="I92" s="9">
        <f t="shared" si="11"/>
        <v>1</v>
      </c>
      <c r="J92" s="9">
        <f t="shared" si="8"/>
        <v>4.6432500000000001</v>
      </c>
      <c r="K92" s="10">
        <f t="shared" si="9"/>
        <v>5</v>
      </c>
      <c r="O92" s="36">
        <f>'DHS25'!C91</f>
        <v>17491</v>
      </c>
      <c r="P92" s="37">
        <f>'DHS25'!D91</f>
        <v>74</v>
      </c>
      <c r="Q92" s="37">
        <f>'DHS25'!E91</f>
        <v>5498</v>
      </c>
      <c r="R92" s="38">
        <v>137.66</v>
      </c>
      <c r="S92" s="39">
        <f t="shared" si="10"/>
        <v>756.85468000000003</v>
      </c>
    </row>
    <row r="93" spans="1:19">
      <c r="A93" s="67">
        <v>45661</v>
      </c>
      <c r="B93" s="25" t="s">
        <v>26</v>
      </c>
      <c r="C93" s="4">
        <v>19315</v>
      </c>
      <c r="D93" s="5">
        <v>14444</v>
      </c>
      <c r="E93" s="4">
        <v>13231</v>
      </c>
      <c r="F93" s="4">
        <v>13094</v>
      </c>
      <c r="G93" s="4">
        <f t="shared" si="7"/>
        <v>15021</v>
      </c>
      <c r="H93" s="7">
        <f t="shared" si="6"/>
        <v>3.7552500000000002</v>
      </c>
      <c r="I93" s="9">
        <f t="shared" si="11"/>
        <v>1</v>
      </c>
      <c r="J93" s="9">
        <f t="shared" si="8"/>
        <v>4.7552500000000002</v>
      </c>
      <c r="K93" s="10">
        <f t="shared" si="9"/>
        <v>5</v>
      </c>
      <c r="O93" s="36">
        <f>'DHS25'!C92</f>
        <v>19247</v>
      </c>
      <c r="P93" s="37">
        <f>'DHS25'!D92</f>
        <v>108</v>
      </c>
      <c r="Q93" s="37">
        <f>'DHS25'!E92</f>
        <v>6018</v>
      </c>
      <c r="R93" s="38">
        <v>129.51</v>
      </c>
      <c r="S93" s="39">
        <f t="shared" si="10"/>
        <v>779.39117999999996</v>
      </c>
    </row>
    <row r="94" spans="1:19">
      <c r="A94" s="67">
        <v>45661</v>
      </c>
      <c r="B94" s="25" t="s">
        <v>27</v>
      </c>
      <c r="C94" s="4">
        <v>19896</v>
      </c>
      <c r="D94" s="5">
        <v>14510</v>
      </c>
      <c r="E94" s="4">
        <v>11273</v>
      </c>
      <c r="F94" s="4">
        <v>13501</v>
      </c>
      <c r="G94" s="4">
        <f t="shared" si="7"/>
        <v>14795</v>
      </c>
      <c r="H94" s="7">
        <f t="shared" si="6"/>
        <v>3.69875</v>
      </c>
      <c r="I94" s="9">
        <f t="shared" si="11"/>
        <v>1</v>
      </c>
      <c r="J94" s="9">
        <f t="shared" si="8"/>
        <v>4.6987500000000004</v>
      </c>
      <c r="K94" s="10">
        <f t="shared" si="9"/>
        <v>5</v>
      </c>
      <c r="O94" s="36">
        <f>'DHS25'!C93</f>
        <v>19771</v>
      </c>
      <c r="P94" s="37">
        <f>'DHS25'!D93</f>
        <v>42</v>
      </c>
      <c r="Q94" s="37">
        <f>'DHS25'!E93</f>
        <v>6205</v>
      </c>
      <c r="R94" s="38">
        <v>120.89</v>
      </c>
      <c r="S94" s="39">
        <f t="shared" si="10"/>
        <v>750.12244999999996</v>
      </c>
    </row>
    <row r="95" spans="1:19">
      <c r="A95" s="67">
        <v>45661</v>
      </c>
      <c r="B95" s="25" t="s">
        <v>28</v>
      </c>
      <c r="C95" s="4">
        <v>19396</v>
      </c>
      <c r="D95" s="5">
        <v>14759</v>
      </c>
      <c r="E95" s="4">
        <v>12490</v>
      </c>
      <c r="F95" s="4">
        <v>12851</v>
      </c>
      <c r="G95" s="4">
        <f t="shared" si="7"/>
        <v>14874</v>
      </c>
      <c r="H95" s="7">
        <f t="shared" si="6"/>
        <v>3.7185000000000001</v>
      </c>
      <c r="I95" s="9">
        <f t="shared" si="11"/>
        <v>1</v>
      </c>
      <c r="J95" s="9">
        <f t="shared" si="8"/>
        <v>4.7185000000000006</v>
      </c>
      <c r="K95" s="10">
        <f t="shared" si="9"/>
        <v>5</v>
      </c>
      <c r="O95" s="36">
        <f>'DHS25'!C94</f>
        <v>19469</v>
      </c>
      <c r="P95" s="37">
        <f>'DHS25'!D94</f>
        <v>36</v>
      </c>
      <c r="Q95" s="37">
        <f>'DHS25'!E94</f>
        <v>6224</v>
      </c>
      <c r="R95" s="38">
        <v>119.97</v>
      </c>
      <c r="S95" s="39">
        <f t="shared" si="10"/>
        <v>746.69328000000007</v>
      </c>
    </row>
    <row r="96" spans="1:19">
      <c r="A96" s="67">
        <v>45661</v>
      </c>
      <c r="B96" s="25" t="s">
        <v>29</v>
      </c>
      <c r="C96" s="4">
        <v>19258</v>
      </c>
      <c r="D96" s="5">
        <v>14642</v>
      </c>
      <c r="E96" s="4">
        <v>13527</v>
      </c>
      <c r="F96" s="4">
        <v>13667</v>
      </c>
      <c r="G96" s="4">
        <f t="shared" si="7"/>
        <v>15273.5</v>
      </c>
      <c r="H96" s="7">
        <f t="shared" si="6"/>
        <v>3.8183750000000001</v>
      </c>
      <c r="I96" s="9">
        <f t="shared" si="11"/>
        <v>1</v>
      </c>
      <c r="J96" s="9">
        <f t="shared" si="8"/>
        <v>4.8183749999999996</v>
      </c>
      <c r="K96" s="10">
        <f t="shared" si="9"/>
        <v>5</v>
      </c>
      <c r="O96" s="36">
        <f>'DHS25'!C95</f>
        <v>19897</v>
      </c>
      <c r="P96" s="37">
        <f>'DHS25'!D95</f>
        <v>75</v>
      </c>
      <c r="Q96" s="37">
        <f>'DHS25'!E95</f>
        <v>6190</v>
      </c>
      <c r="R96" s="38">
        <v>113.48</v>
      </c>
      <c r="S96" s="39">
        <f t="shared" si="10"/>
        <v>702.44120000000009</v>
      </c>
    </row>
    <row r="97" spans="1:19">
      <c r="A97" s="67">
        <v>45661</v>
      </c>
      <c r="B97" s="25" t="s">
        <v>30</v>
      </c>
      <c r="C97" s="4">
        <v>17536</v>
      </c>
      <c r="D97" s="5">
        <v>12966</v>
      </c>
      <c r="E97" s="4">
        <v>11707</v>
      </c>
      <c r="F97" s="4">
        <v>11845</v>
      </c>
      <c r="G97" s="4">
        <f t="shared" si="7"/>
        <v>13513.5</v>
      </c>
      <c r="H97" s="7">
        <f t="shared" si="6"/>
        <v>3.3783750000000001</v>
      </c>
      <c r="I97" s="9">
        <f t="shared" si="11"/>
        <v>1</v>
      </c>
      <c r="J97" s="9">
        <f t="shared" si="8"/>
        <v>4.3783750000000001</v>
      </c>
      <c r="K97" s="10">
        <f t="shared" si="9"/>
        <v>5</v>
      </c>
      <c r="O97" s="36">
        <f>'DHS25'!C96</f>
        <v>18570</v>
      </c>
      <c r="P97" s="37">
        <f>'DHS25'!D96</f>
        <v>699</v>
      </c>
      <c r="Q97" s="37">
        <f>'DHS25'!E96</f>
        <v>6005</v>
      </c>
      <c r="R97" s="38">
        <v>109.21</v>
      </c>
      <c r="S97" s="39">
        <f t="shared" si="10"/>
        <v>655.80604999999991</v>
      </c>
    </row>
    <row r="98" spans="1:19">
      <c r="A98" s="67">
        <v>45661</v>
      </c>
      <c r="B98" s="25" t="s">
        <v>31</v>
      </c>
      <c r="C98" s="4">
        <v>8378</v>
      </c>
      <c r="D98" s="5">
        <v>6757</v>
      </c>
      <c r="E98" s="4">
        <v>5282</v>
      </c>
      <c r="F98" s="4">
        <v>6076</v>
      </c>
      <c r="G98" s="4">
        <f t="shared" si="7"/>
        <v>6623.25</v>
      </c>
      <c r="H98" s="7">
        <f t="shared" si="6"/>
        <v>1.6558124999999999</v>
      </c>
      <c r="I98" s="9">
        <f t="shared" si="11"/>
        <v>1</v>
      </c>
      <c r="J98" s="9">
        <f t="shared" si="8"/>
        <v>2.6558124999999997</v>
      </c>
      <c r="K98" s="10">
        <f t="shared" si="9"/>
        <v>3</v>
      </c>
      <c r="O98" s="36">
        <f>'DHS25'!C97</f>
        <v>14403</v>
      </c>
      <c r="P98" s="37">
        <f>'DHS25'!D97</f>
        <v>1598</v>
      </c>
      <c r="Q98" s="37">
        <f>'DHS25'!E97</f>
        <v>4497</v>
      </c>
      <c r="R98" s="38">
        <v>105.45</v>
      </c>
      <c r="S98" s="39">
        <f t="shared" si="10"/>
        <v>474.20864999999998</v>
      </c>
    </row>
    <row r="99" spans="1:19">
      <c r="A99" s="66">
        <v>45662</v>
      </c>
      <c r="B99" s="24" t="s">
        <v>8</v>
      </c>
      <c r="C99" s="4">
        <v>9294</v>
      </c>
      <c r="D99" s="5">
        <v>5306</v>
      </c>
      <c r="E99" s="4">
        <v>4037</v>
      </c>
      <c r="F99" s="4">
        <v>8097</v>
      </c>
      <c r="G99" s="4">
        <f t="shared" si="7"/>
        <v>6683.5</v>
      </c>
      <c r="H99" s="7">
        <f t="shared" si="6"/>
        <v>1.6708750000000001</v>
      </c>
      <c r="I99" s="9">
        <f t="shared" si="11"/>
        <v>1</v>
      </c>
      <c r="J99" s="9">
        <f t="shared" si="8"/>
        <v>2.6708750000000001</v>
      </c>
      <c r="K99" s="10">
        <f t="shared" si="9"/>
        <v>3</v>
      </c>
      <c r="O99" s="36">
        <f>'DHS25'!C98</f>
        <v>13916</v>
      </c>
      <c r="P99" s="37">
        <f>'DHS25'!D98</f>
        <v>1865</v>
      </c>
      <c r="Q99" s="37">
        <f>'DHS25'!E98</f>
        <v>4501</v>
      </c>
      <c r="R99" s="38">
        <v>112.98</v>
      </c>
      <c r="S99" s="39">
        <f t="shared" si="10"/>
        <v>508.52298000000008</v>
      </c>
    </row>
    <row r="100" spans="1:19">
      <c r="A100" s="66">
        <v>45662</v>
      </c>
      <c r="B100" s="24" t="s">
        <v>9</v>
      </c>
      <c r="C100" s="4">
        <v>11596</v>
      </c>
      <c r="D100" s="5">
        <v>4341</v>
      </c>
      <c r="E100" s="4">
        <v>3980</v>
      </c>
      <c r="F100" s="4">
        <v>7414</v>
      </c>
      <c r="G100" s="4">
        <f t="shared" si="7"/>
        <v>6832.75</v>
      </c>
      <c r="H100" s="7">
        <f t="shared" si="6"/>
        <v>1.7081875</v>
      </c>
      <c r="I100" s="9">
        <f t="shared" si="11"/>
        <v>1</v>
      </c>
      <c r="J100" s="9">
        <f t="shared" si="8"/>
        <v>2.7081875000000002</v>
      </c>
      <c r="K100" s="10">
        <f t="shared" si="9"/>
        <v>3</v>
      </c>
      <c r="O100" s="36">
        <f>'DHS25'!C99</f>
        <v>13103</v>
      </c>
      <c r="P100" s="37">
        <f>'DHS25'!D99</f>
        <v>1731</v>
      </c>
      <c r="Q100" s="37">
        <f>'DHS25'!E99</f>
        <v>3995</v>
      </c>
      <c r="R100" s="38">
        <v>99.55</v>
      </c>
      <c r="S100" s="39">
        <f t="shared" si="10"/>
        <v>397.70224999999999</v>
      </c>
    </row>
    <row r="101" spans="1:19">
      <c r="A101" s="66">
        <v>45662</v>
      </c>
      <c r="B101" s="24" t="s">
        <v>10</v>
      </c>
      <c r="C101" s="4">
        <v>12346</v>
      </c>
      <c r="D101" s="5">
        <v>5316</v>
      </c>
      <c r="E101" s="4">
        <v>3487</v>
      </c>
      <c r="F101" s="4">
        <v>7427</v>
      </c>
      <c r="G101" s="4">
        <f t="shared" si="7"/>
        <v>7144</v>
      </c>
      <c r="H101" s="7">
        <f t="shared" si="6"/>
        <v>1.786</v>
      </c>
      <c r="I101" s="9">
        <f t="shared" si="11"/>
        <v>1</v>
      </c>
      <c r="J101" s="9">
        <f t="shared" si="8"/>
        <v>2.786</v>
      </c>
      <c r="K101" s="10">
        <f t="shared" si="9"/>
        <v>3</v>
      </c>
      <c r="O101" s="36">
        <f>'DHS25'!C100</f>
        <v>15580</v>
      </c>
      <c r="P101" s="37">
        <f>'DHS25'!D100</f>
        <v>1253</v>
      </c>
      <c r="Q101" s="37">
        <f>'DHS25'!E100</f>
        <v>4790</v>
      </c>
      <c r="R101" s="38">
        <v>95.92</v>
      </c>
      <c r="S101" s="39">
        <f t="shared" si="10"/>
        <v>459.45679999999999</v>
      </c>
    </row>
    <row r="102" spans="1:19">
      <c r="A102" s="66">
        <v>45662</v>
      </c>
      <c r="B102" s="24" t="s">
        <v>11</v>
      </c>
      <c r="C102" s="4">
        <v>13319</v>
      </c>
      <c r="D102" s="5">
        <v>7010</v>
      </c>
      <c r="E102" s="4">
        <v>5273</v>
      </c>
      <c r="F102" s="4">
        <v>9960</v>
      </c>
      <c r="G102" s="4">
        <f t="shared" si="7"/>
        <v>8890.5</v>
      </c>
      <c r="H102" s="7">
        <f t="shared" si="6"/>
        <v>2.2226249999999999</v>
      </c>
      <c r="I102" s="9">
        <f t="shared" si="11"/>
        <v>1</v>
      </c>
      <c r="J102" s="9">
        <f t="shared" si="8"/>
        <v>3.2226249999999999</v>
      </c>
      <c r="K102" s="10">
        <f t="shared" si="9"/>
        <v>4</v>
      </c>
      <c r="O102" s="36">
        <f>'DHS25'!C101</f>
        <v>17063</v>
      </c>
      <c r="P102" s="37">
        <f>'DHS25'!D101</f>
        <v>1595</v>
      </c>
      <c r="Q102" s="37">
        <f>'DHS25'!E101</f>
        <v>5195</v>
      </c>
      <c r="R102" s="38">
        <v>95.31</v>
      </c>
      <c r="S102" s="39">
        <f t="shared" si="10"/>
        <v>495.13545000000005</v>
      </c>
    </row>
    <row r="103" spans="1:19">
      <c r="A103" s="66">
        <v>45662</v>
      </c>
      <c r="B103" s="24" t="s">
        <v>12</v>
      </c>
      <c r="C103" s="4">
        <v>20120</v>
      </c>
      <c r="D103" s="5">
        <v>17977</v>
      </c>
      <c r="E103" s="4">
        <v>15779</v>
      </c>
      <c r="F103" s="4">
        <v>11819</v>
      </c>
      <c r="G103" s="4">
        <f t="shared" si="7"/>
        <v>16423.75</v>
      </c>
      <c r="H103" s="7">
        <f t="shared" si="6"/>
        <v>4.1059374999999996</v>
      </c>
      <c r="I103" s="9">
        <f t="shared" si="11"/>
        <v>1</v>
      </c>
      <c r="J103" s="9">
        <f t="shared" si="8"/>
        <v>5.1059374999999996</v>
      </c>
      <c r="K103" s="10">
        <f t="shared" si="9"/>
        <v>6</v>
      </c>
      <c r="O103" s="36">
        <f>'DHS25'!C102</f>
        <v>17280</v>
      </c>
      <c r="P103" s="37">
        <f>'DHS25'!D102</f>
        <v>1335</v>
      </c>
      <c r="Q103" s="37">
        <f>'DHS25'!E102</f>
        <v>5713</v>
      </c>
      <c r="R103" s="38">
        <v>93.59</v>
      </c>
      <c r="S103" s="39">
        <f t="shared" si="10"/>
        <v>534.67966999999999</v>
      </c>
    </row>
    <row r="104" spans="1:19">
      <c r="A104" s="66">
        <v>45662</v>
      </c>
      <c r="B104" s="24" t="s">
        <v>13</v>
      </c>
      <c r="C104" s="4">
        <v>18458</v>
      </c>
      <c r="D104" s="5">
        <v>17522</v>
      </c>
      <c r="E104" s="4">
        <v>15547</v>
      </c>
      <c r="F104" s="4">
        <v>12331</v>
      </c>
      <c r="G104" s="4">
        <f t="shared" si="7"/>
        <v>15964.5</v>
      </c>
      <c r="H104" s="7">
        <f t="shared" si="6"/>
        <v>3.9911249999999998</v>
      </c>
      <c r="I104" s="9">
        <f t="shared" si="11"/>
        <v>1</v>
      </c>
      <c r="J104" s="9">
        <f t="shared" si="8"/>
        <v>4.9911250000000003</v>
      </c>
      <c r="K104" s="10">
        <f t="shared" si="9"/>
        <v>5</v>
      </c>
      <c r="O104" s="36">
        <f>'DHS25'!C103</f>
        <v>18580</v>
      </c>
      <c r="P104" s="37">
        <f>'DHS25'!D103</f>
        <v>1392</v>
      </c>
      <c r="Q104" s="37">
        <f>'DHS25'!E103</f>
        <v>6201</v>
      </c>
      <c r="R104" s="38">
        <v>89.66</v>
      </c>
      <c r="S104" s="39">
        <f t="shared" si="10"/>
        <v>555.98165999999992</v>
      </c>
    </row>
    <row r="105" spans="1:19">
      <c r="A105" s="66">
        <v>45662</v>
      </c>
      <c r="B105" s="24" t="s">
        <v>14</v>
      </c>
      <c r="C105" s="4">
        <v>19944</v>
      </c>
      <c r="D105" s="5">
        <v>16349</v>
      </c>
      <c r="E105" s="4">
        <v>13486</v>
      </c>
      <c r="F105" s="4">
        <v>14056</v>
      </c>
      <c r="G105" s="4">
        <f t="shared" si="7"/>
        <v>15958.75</v>
      </c>
      <c r="H105" s="7">
        <f t="shared" si="6"/>
        <v>3.9896875000000001</v>
      </c>
      <c r="I105" s="9">
        <f t="shared" si="11"/>
        <v>1</v>
      </c>
      <c r="J105" s="9">
        <f t="shared" si="8"/>
        <v>4.9896875000000005</v>
      </c>
      <c r="K105" s="10">
        <f t="shared" si="9"/>
        <v>5</v>
      </c>
      <c r="O105" s="36">
        <f>'DHS25'!C104</f>
        <v>18665</v>
      </c>
      <c r="P105" s="37">
        <f>'DHS25'!D104</f>
        <v>1379</v>
      </c>
      <c r="Q105" s="37">
        <f>'DHS25'!E104</f>
        <v>6187</v>
      </c>
      <c r="R105" s="38">
        <v>90.92</v>
      </c>
      <c r="S105" s="39">
        <f t="shared" si="10"/>
        <v>562.52204000000006</v>
      </c>
    </row>
    <row r="106" spans="1:19">
      <c r="A106" s="66">
        <v>45662</v>
      </c>
      <c r="B106" s="24" t="s">
        <v>15</v>
      </c>
      <c r="C106" s="4">
        <v>18035</v>
      </c>
      <c r="D106" s="5">
        <v>14218</v>
      </c>
      <c r="E106" s="4">
        <v>11578</v>
      </c>
      <c r="F106" s="4">
        <v>13210</v>
      </c>
      <c r="G106" s="4">
        <f t="shared" si="7"/>
        <v>14260.25</v>
      </c>
      <c r="H106" s="7">
        <f t="shared" si="6"/>
        <v>3.5650624999999998</v>
      </c>
      <c r="I106" s="9">
        <f t="shared" si="11"/>
        <v>1</v>
      </c>
      <c r="J106" s="9">
        <f t="shared" si="8"/>
        <v>4.5650624999999998</v>
      </c>
      <c r="K106" s="10">
        <f t="shared" si="9"/>
        <v>5</v>
      </c>
      <c r="O106" s="36">
        <f>'DHS25'!C105</f>
        <v>18939</v>
      </c>
      <c r="P106" s="37">
        <f>'DHS25'!D105</f>
        <v>1538</v>
      </c>
      <c r="Q106" s="37">
        <f>'DHS25'!E105</f>
        <v>6200</v>
      </c>
      <c r="R106" s="38">
        <v>89.57</v>
      </c>
      <c r="S106" s="39">
        <f t="shared" si="10"/>
        <v>555.33399999999995</v>
      </c>
    </row>
    <row r="107" spans="1:19">
      <c r="A107" s="66">
        <v>45662</v>
      </c>
      <c r="B107" s="24" t="s">
        <v>16</v>
      </c>
      <c r="C107" s="4">
        <v>18038</v>
      </c>
      <c r="D107" s="5">
        <v>15017</v>
      </c>
      <c r="E107" s="4">
        <v>11986</v>
      </c>
      <c r="F107" s="4">
        <v>12902</v>
      </c>
      <c r="G107" s="4">
        <f t="shared" si="7"/>
        <v>14485.75</v>
      </c>
      <c r="H107" s="7">
        <f t="shared" si="6"/>
        <v>3.6214374999999999</v>
      </c>
      <c r="I107" s="9">
        <f t="shared" si="11"/>
        <v>1</v>
      </c>
      <c r="J107" s="9">
        <f t="shared" si="8"/>
        <v>4.6214374999999999</v>
      </c>
      <c r="K107" s="10">
        <f t="shared" si="9"/>
        <v>5</v>
      </c>
      <c r="O107" s="36">
        <f>'DHS25'!C106</f>
        <v>18454</v>
      </c>
      <c r="P107" s="37">
        <f>'DHS25'!D106</f>
        <v>1334</v>
      </c>
      <c r="Q107" s="37">
        <f>'DHS25'!E106</f>
        <v>6199</v>
      </c>
      <c r="R107" s="38">
        <v>97.39</v>
      </c>
      <c r="S107" s="39">
        <f t="shared" si="10"/>
        <v>603.72060999999997</v>
      </c>
    </row>
    <row r="108" spans="1:19">
      <c r="A108" s="66">
        <v>45662</v>
      </c>
      <c r="B108" s="24" t="s">
        <v>17</v>
      </c>
      <c r="C108" s="4">
        <v>18737</v>
      </c>
      <c r="D108" s="5">
        <v>14953</v>
      </c>
      <c r="E108" s="4">
        <v>13069</v>
      </c>
      <c r="F108" s="4">
        <v>14679</v>
      </c>
      <c r="G108" s="4">
        <f t="shared" si="7"/>
        <v>15359.5</v>
      </c>
      <c r="H108" s="7">
        <f t="shared" si="6"/>
        <v>3.8398750000000001</v>
      </c>
      <c r="I108" s="9">
        <f t="shared" si="11"/>
        <v>1</v>
      </c>
      <c r="J108" s="9">
        <f t="shared" si="8"/>
        <v>4.8398750000000001</v>
      </c>
      <c r="K108" s="10">
        <f t="shared" si="9"/>
        <v>5</v>
      </c>
      <c r="O108" s="36">
        <f>'DHS25'!C107</f>
        <v>19217</v>
      </c>
      <c r="P108" s="37">
        <f>'DHS25'!D107</f>
        <v>1332</v>
      </c>
      <c r="Q108" s="37">
        <f>'DHS25'!E107</f>
        <v>6403</v>
      </c>
      <c r="R108" s="38">
        <v>98.94</v>
      </c>
      <c r="S108" s="39">
        <f t="shared" si="10"/>
        <v>633.51281999999992</v>
      </c>
    </row>
    <row r="109" spans="1:19">
      <c r="A109" s="66">
        <v>45662</v>
      </c>
      <c r="B109" s="24" t="s">
        <v>18</v>
      </c>
      <c r="C109" s="4">
        <v>18683</v>
      </c>
      <c r="D109" s="5">
        <v>15607</v>
      </c>
      <c r="E109" s="4">
        <v>12290</v>
      </c>
      <c r="F109" s="4">
        <v>14046</v>
      </c>
      <c r="G109" s="4">
        <f t="shared" si="7"/>
        <v>15156.5</v>
      </c>
      <c r="H109" s="7">
        <f t="shared" si="6"/>
        <v>3.7891249999999999</v>
      </c>
      <c r="I109" s="9">
        <f t="shared" si="11"/>
        <v>1</v>
      </c>
      <c r="J109" s="9">
        <f t="shared" si="8"/>
        <v>4.7891250000000003</v>
      </c>
      <c r="K109" s="10">
        <f t="shared" si="9"/>
        <v>5</v>
      </c>
      <c r="O109" s="36">
        <f>'DHS25'!C108</f>
        <v>19561</v>
      </c>
      <c r="P109" s="37">
        <f>'DHS25'!D108</f>
        <v>1279</v>
      </c>
      <c r="Q109" s="37">
        <f>'DHS25'!E108</f>
        <v>6400</v>
      </c>
      <c r="R109" s="38">
        <v>94.62</v>
      </c>
      <c r="S109" s="39">
        <f t="shared" si="10"/>
        <v>605.5680000000001</v>
      </c>
    </row>
    <row r="110" spans="1:19">
      <c r="A110" s="66">
        <v>45662</v>
      </c>
      <c r="B110" s="24" t="s">
        <v>19</v>
      </c>
      <c r="C110" s="4">
        <v>18477</v>
      </c>
      <c r="D110" s="5">
        <v>15029</v>
      </c>
      <c r="E110" s="4">
        <v>11784</v>
      </c>
      <c r="F110" s="4">
        <v>13130</v>
      </c>
      <c r="G110" s="4">
        <f t="shared" si="7"/>
        <v>14605</v>
      </c>
      <c r="H110" s="7">
        <f t="shared" si="6"/>
        <v>3.6512500000000001</v>
      </c>
      <c r="I110" s="9">
        <f t="shared" si="11"/>
        <v>1</v>
      </c>
      <c r="J110" s="9">
        <f t="shared" si="8"/>
        <v>4.6512500000000001</v>
      </c>
      <c r="K110" s="10">
        <f t="shared" si="9"/>
        <v>5</v>
      </c>
      <c r="O110" s="36">
        <f>'DHS25'!C109</f>
        <v>18757</v>
      </c>
      <c r="P110" s="37">
        <f>'DHS25'!D109</f>
        <v>1228</v>
      </c>
      <c r="Q110" s="37">
        <f>'DHS25'!E109</f>
        <v>6210</v>
      </c>
      <c r="R110" s="38">
        <v>98.94</v>
      </c>
      <c r="S110" s="39">
        <f t="shared" si="10"/>
        <v>614.41739999999993</v>
      </c>
    </row>
    <row r="111" spans="1:19">
      <c r="A111" s="66">
        <v>45662</v>
      </c>
      <c r="B111" s="24" t="s">
        <v>20</v>
      </c>
      <c r="C111" s="4">
        <v>18566</v>
      </c>
      <c r="D111" s="5">
        <v>14684</v>
      </c>
      <c r="E111" s="4">
        <v>12164</v>
      </c>
      <c r="F111" s="4">
        <v>13526</v>
      </c>
      <c r="G111" s="4">
        <f t="shared" si="7"/>
        <v>14735</v>
      </c>
      <c r="H111" s="7">
        <f t="shared" si="6"/>
        <v>3.6837499999999999</v>
      </c>
      <c r="I111" s="9">
        <f t="shared" si="11"/>
        <v>1</v>
      </c>
      <c r="J111" s="9">
        <f t="shared" si="8"/>
        <v>4.6837499999999999</v>
      </c>
      <c r="K111" s="10">
        <f t="shared" si="9"/>
        <v>5</v>
      </c>
      <c r="O111" s="36">
        <f>'DHS25'!C110</f>
        <v>16420</v>
      </c>
      <c r="P111" s="37">
        <f>'DHS25'!D110</f>
        <v>162</v>
      </c>
      <c r="Q111" s="37">
        <f>'DHS25'!E110</f>
        <v>5002</v>
      </c>
      <c r="R111" s="38">
        <v>94.81</v>
      </c>
      <c r="S111" s="39">
        <f t="shared" si="10"/>
        <v>474.23962</v>
      </c>
    </row>
    <row r="112" spans="1:19">
      <c r="A112" s="66">
        <v>45662</v>
      </c>
      <c r="B112" s="24" t="s">
        <v>21</v>
      </c>
      <c r="C112" s="4">
        <v>17643</v>
      </c>
      <c r="D112" s="5">
        <v>14464</v>
      </c>
      <c r="E112" s="4">
        <v>11060</v>
      </c>
      <c r="F112" s="4">
        <v>12709</v>
      </c>
      <c r="G112" s="4">
        <f t="shared" si="7"/>
        <v>13969</v>
      </c>
      <c r="H112" s="7">
        <f t="shared" si="6"/>
        <v>3.4922499999999999</v>
      </c>
      <c r="I112" s="9">
        <f t="shared" si="11"/>
        <v>1</v>
      </c>
      <c r="J112" s="9">
        <f t="shared" si="8"/>
        <v>4.4922500000000003</v>
      </c>
      <c r="K112" s="10">
        <f t="shared" si="9"/>
        <v>5</v>
      </c>
      <c r="O112" s="36">
        <f>'DHS25'!C111</f>
        <v>16396</v>
      </c>
      <c r="P112" s="37">
        <f>'DHS25'!D111</f>
        <v>33</v>
      </c>
      <c r="Q112" s="37">
        <f>'DHS25'!E111</f>
        <v>4996</v>
      </c>
      <c r="R112" s="38">
        <v>103.45</v>
      </c>
      <c r="S112" s="39">
        <f t="shared" si="10"/>
        <v>516.83620000000008</v>
      </c>
    </row>
    <row r="113" spans="1:19">
      <c r="A113" s="66">
        <v>45662</v>
      </c>
      <c r="B113" s="24" t="s">
        <v>22</v>
      </c>
      <c r="C113" s="4">
        <v>18444</v>
      </c>
      <c r="D113" s="5">
        <v>14125</v>
      </c>
      <c r="E113" s="4">
        <v>9625</v>
      </c>
      <c r="F113" s="4">
        <v>10976</v>
      </c>
      <c r="G113" s="4">
        <f t="shared" si="7"/>
        <v>13292.5</v>
      </c>
      <c r="H113" s="7">
        <f t="shared" si="6"/>
        <v>3.3231250000000001</v>
      </c>
      <c r="I113" s="9">
        <f t="shared" si="11"/>
        <v>1</v>
      </c>
      <c r="J113" s="9">
        <f t="shared" si="8"/>
        <v>4.3231250000000001</v>
      </c>
      <c r="K113" s="10">
        <f t="shared" si="9"/>
        <v>5</v>
      </c>
      <c r="O113" s="36">
        <f>'DHS25'!C112</f>
        <v>16247</v>
      </c>
      <c r="P113" s="37">
        <f>'DHS25'!D112</f>
        <v>20</v>
      </c>
      <c r="Q113" s="37">
        <f>'DHS25'!E112</f>
        <v>5007</v>
      </c>
      <c r="R113" s="38">
        <v>116.45</v>
      </c>
      <c r="S113" s="39">
        <f t="shared" si="10"/>
        <v>583.06515000000002</v>
      </c>
    </row>
    <row r="114" spans="1:19">
      <c r="A114" s="66">
        <v>45662</v>
      </c>
      <c r="B114" s="24" t="s">
        <v>23</v>
      </c>
      <c r="C114" s="4">
        <v>18433</v>
      </c>
      <c r="D114" s="5">
        <v>14380</v>
      </c>
      <c r="E114" s="4">
        <v>10546</v>
      </c>
      <c r="F114" s="4">
        <v>12336</v>
      </c>
      <c r="G114" s="4">
        <f t="shared" si="7"/>
        <v>13923.75</v>
      </c>
      <c r="H114" s="7">
        <f t="shared" si="6"/>
        <v>3.4809375</v>
      </c>
      <c r="I114" s="9">
        <f t="shared" si="11"/>
        <v>1</v>
      </c>
      <c r="J114" s="9">
        <f t="shared" si="8"/>
        <v>4.4809374999999996</v>
      </c>
      <c r="K114" s="10">
        <f t="shared" si="9"/>
        <v>5</v>
      </c>
      <c r="O114" s="36">
        <f>'DHS25'!C113</f>
        <v>17938</v>
      </c>
      <c r="P114" s="37">
        <f>'DHS25'!D113</f>
        <v>229</v>
      </c>
      <c r="Q114" s="37">
        <f>'DHS25'!E113</f>
        <v>5398</v>
      </c>
      <c r="R114" s="38">
        <v>128.01</v>
      </c>
      <c r="S114" s="39">
        <f t="shared" si="10"/>
        <v>690.99797999999987</v>
      </c>
    </row>
    <row r="115" spans="1:19">
      <c r="A115" s="66">
        <v>45662</v>
      </c>
      <c r="B115" s="24" t="s">
        <v>24</v>
      </c>
      <c r="C115" s="4">
        <v>18518</v>
      </c>
      <c r="D115" s="5">
        <v>14019</v>
      </c>
      <c r="E115" s="4">
        <v>10944</v>
      </c>
      <c r="F115" s="4">
        <v>12579</v>
      </c>
      <c r="G115" s="4">
        <f t="shared" si="7"/>
        <v>14015</v>
      </c>
      <c r="H115" s="7">
        <f t="shared" si="6"/>
        <v>3.5037500000000001</v>
      </c>
      <c r="I115" s="9">
        <f t="shared" si="11"/>
        <v>1</v>
      </c>
      <c r="J115" s="9">
        <f t="shared" si="8"/>
        <v>4.5037500000000001</v>
      </c>
      <c r="K115" s="10">
        <f t="shared" si="9"/>
        <v>5</v>
      </c>
      <c r="O115" s="36">
        <f>'DHS25'!C114</f>
        <v>18568</v>
      </c>
      <c r="P115" s="37">
        <f>'DHS25'!D114</f>
        <v>104</v>
      </c>
      <c r="Q115" s="37">
        <f>'DHS25'!E114</f>
        <v>5603</v>
      </c>
      <c r="R115" s="38">
        <v>154.74</v>
      </c>
      <c r="S115" s="39">
        <f t="shared" si="10"/>
        <v>867.00822000000005</v>
      </c>
    </row>
    <row r="116" spans="1:19">
      <c r="A116" s="66">
        <v>45662</v>
      </c>
      <c r="B116" s="24" t="s">
        <v>25</v>
      </c>
      <c r="C116" s="4">
        <v>19946</v>
      </c>
      <c r="D116" s="5">
        <v>14193</v>
      </c>
      <c r="E116" s="4">
        <v>12006</v>
      </c>
      <c r="F116" s="4">
        <v>13581</v>
      </c>
      <c r="G116" s="4">
        <f t="shared" si="7"/>
        <v>14931.5</v>
      </c>
      <c r="H116" s="7">
        <f t="shared" si="6"/>
        <v>3.7328749999999999</v>
      </c>
      <c r="I116" s="9">
        <f t="shared" si="11"/>
        <v>1</v>
      </c>
      <c r="J116" s="9">
        <f t="shared" si="8"/>
        <v>4.7328749999999999</v>
      </c>
      <c r="K116" s="10">
        <f t="shared" si="9"/>
        <v>5</v>
      </c>
      <c r="O116" s="36">
        <f>'DHS25'!C115</f>
        <v>17963</v>
      </c>
      <c r="P116" s="37">
        <f>'DHS25'!D115</f>
        <v>96</v>
      </c>
      <c r="Q116" s="37">
        <f>'DHS25'!E115</f>
        <v>5601</v>
      </c>
      <c r="R116" s="38">
        <v>117.45</v>
      </c>
      <c r="S116" s="39">
        <f t="shared" si="10"/>
        <v>657.83744999999999</v>
      </c>
    </row>
    <row r="117" spans="1:19">
      <c r="A117" s="66">
        <v>45662</v>
      </c>
      <c r="B117" s="24" t="s">
        <v>26</v>
      </c>
      <c r="C117" s="4">
        <v>15995</v>
      </c>
      <c r="D117" s="5">
        <v>14863</v>
      </c>
      <c r="E117" s="4">
        <v>11945</v>
      </c>
      <c r="F117" s="4">
        <v>12655</v>
      </c>
      <c r="G117" s="4">
        <f t="shared" si="7"/>
        <v>13864.5</v>
      </c>
      <c r="H117" s="7">
        <f t="shared" si="6"/>
        <v>3.4661249999999999</v>
      </c>
      <c r="I117" s="9">
        <f t="shared" si="11"/>
        <v>1</v>
      </c>
      <c r="J117" s="9">
        <f t="shared" si="8"/>
        <v>4.4661249999999999</v>
      </c>
      <c r="K117" s="10">
        <f t="shared" si="9"/>
        <v>5</v>
      </c>
      <c r="O117" s="36">
        <f>'DHS25'!C116</f>
        <v>17955</v>
      </c>
      <c r="P117" s="37">
        <f>'DHS25'!D116</f>
        <v>171</v>
      </c>
      <c r="Q117" s="37">
        <f>'DHS25'!E116</f>
        <v>5596</v>
      </c>
      <c r="R117" s="38">
        <v>109.04</v>
      </c>
      <c r="S117" s="39">
        <f t="shared" si="10"/>
        <v>610.18784000000005</v>
      </c>
    </row>
    <row r="118" spans="1:19">
      <c r="A118" s="66">
        <v>45662</v>
      </c>
      <c r="B118" s="24" t="s">
        <v>27</v>
      </c>
      <c r="C118" s="4">
        <v>19505</v>
      </c>
      <c r="D118" s="5">
        <v>14287</v>
      </c>
      <c r="E118" s="4">
        <v>12690</v>
      </c>
      <c r="F118" s="4">
        <v>13768</v>
      </c>
      <c r="G118" s="4">
        <f t="shared" si="7"/>
        <v>15062.5</v>
      </c>
      <c r="H118" s="7">
        <f t="shared" si="6"/>
        <v>3.765625</v>
      </c>
      <c r="I118" s="9">
        <f t="shared" si="11"/>
        <v>1</v>
      </c>
      <c r="J118" s="9">
        <f t="shared" si="8"/>
        <v>4.765625</v>
      </c>
      <c r="K118" s="10">
        <f t="shared" si="9"/>
        <v>5</v>
      </c>
      <c r="O118" s="36">
        <f>'DHS25'!C117</f>
        <v>17069</v>
      </c>
      <c r="P118" s="37">
        <f>'DHS25'!D117</f>
        <v>16</v>
      </c>
      <c r="Q118" s="37">
        <f>'DHS25'!E117</f>
        <v>5294</v>
      </c>
      <c r="R118" s="38">
        <v>199.05</v>
      </c>
      <c r="S118" s="39">
        <f t="shared" si="10"/>
        <v>1053.7707</v>
      </c>
    </row>
    <row r="119" spans="1:19">
      <c r="A119" s="66">
        <v>45662</v>
      </c>
      <c r="B119" s="24" t="s">
        <v>28</v>
      </c>
      <c r="C119" s="4">
        <v>18443</v>
      </c>
      <c r="D119" s="5">
        <v>14345</v>
      </c>
      <c r="E119" s="4">
        <v>12204</v>
      </c>
      <c r="F119" s="4">
        <v>15206</v>
      </c>
      <c r="G119" s="4">
        <f t="shared" si="7"/>
        <v>15049.5</v>
      </c>
      <c r="H119" s="7">
        <f t="shared" si="6"/>
        <v>3.762375</v>
      </c>
      <c r="I119" s="9">
        <f t="shared" si="11"/>
        <v>1</v>
      </c>
      <c r="J119" s="9">
        <f t="shared" si="8"/>
        <v>4.7623750000000005</v>
      </c>
      <c r="K119" s="10">
        <f t="shared" si="9"/>
        <v>5</v>
      </c>
      <c r="O119" s="36">
        <f>'DHS25'!C118</f>
        <v>16712</v>
      </c>
      <c r="P119" s="37">
        <f>'DHS25'!D118</f>
        <v>84</v>
      </c>
      <c r="Q119" s="37">
        <f>'DHS25'!E118</f>
        <v>5195</v>
      </c>
      <c r="R119" s="38">
        <v>140</v>
      </c>
      <c r="S119" s="39">
        <f t="shared" si="10"/>
        <v>727.30000000000007</v>
      </c>
    </row>
    <row r="120" spans="1:19">
      <c r="A120" s="66">
        <v>45662</v>
      </c>
      <c r="B120" s="24" t="s">
        <v>29</v>
      </c>
      <c r="C120" s="4">
        <v>18150</v>
      </c>
      <c r="D120" s="5">
        <v>14530</v>
      </c>
      <c r="E120" s="4">
        <v>11585</v>
      </c>
      <c r="F120" s="4">
        <v>12993</v>
      </c>
      <c r="G120" s="4">
        <f t="shared" si="7"/>
        <v>14314.5</v>
      </c>
      <c r="H120" s="7">
        <f t="shared" si="6"/>
        <v>3.5786250000000002</v>
      </c>
      <c r="I120" s="9">
        <f t="shared" si="11"/>
        <v>1</v>
      </c>
      <c r="J120" s="9">
        <f t="shared" si="8"/>
        <v>4.5786250000000006</v>
      </c>
      <c r="K120" s="10">
        <f t="shared" si="9"/>
        <v>5</v>
      </c>
      <c r="O120" s="36">
        <f>'DHS25'!C119</f>
        <v>16184</v>
      </c>
      <c r="P120" s="37">
        <f>'DHS25'!D119</f>
        <v>19</v>
      </c>
      <c r="Q120" s="37">
        <f>'DHS25'!E119</f>
        <v>5006</v>
      </c>
      <c r="R120" s="38">
        <v>125.46</v>
      </c>
      <c r="S120" s="39">
        <f t="shared" si="10"/>
        <v>628.05276000000003</v>
      </c>
    </row>
    <row r="121" spans="1:19">
      <c r="A121" s="66">
        <v>45662</v>
      </c>
      <c r="B121" s="24" t="s">
        <v>30</v>
      </c>
      <c r="C121" s="4">
        <v>17197</v>
      </c>
      <c r="D121" s="5">
        <v>12652</v>
      </c>
      <c r="E121" s="4">
        <v>10375</v>
      </c>
      <c r="F121" s="4">
        <v>9954</v>
      </c>
      <c r="G121" s="4">
        <f t="shared" si="7"/>
        <v>12544.5</v>
      </c>
      <c r="H121" s="7">
        <f t="shared" si="6"/>
        <v>3.1361249999999998</v>
      </c>
      <c r="I121" s="9">
        <f t="shared" si="11"/>
        <v>1</v>
      </c>
      <c r="J121" s="9">
        <f t="shared" si="8"/>
        <v>4.1361249999999998</v>
      </c>
      <c r="K121" s="10">
        <f t="shared" si="9"/>
        <v>5</v>
      </c>
      <c r="O121" s="36">
        <f>'DHS25'!C120</f>
        <v>16150</v>
      </c>
      <c r="P121" s="37">
        <f>'DHS25'!D120</f>
        <v>19</v>
      </c>
      <c r="Q121" s="37">
        <f>'DHS25'!E120</f>
        <v>4991</v>
      </c>
      <c r="R121" s="38">
        <v>107.14</v>
      </c>
      <c r="S121" s="39">
        <f t="shared" si="10"/>
        <v>534.73573999999996</v>
      </c>
    </row>
    <row r="122" spans="1:19">
      <c r="A122" s="66">
        <v>45662</v>
      </c>
      <c r="B122" s="24" t="s">
        <v>31</v>
      </c>
      <c r="C122" s="4">
        <v>8257</v>
      </c>
      <c r="D122" s="5">
        <v>6839</v>
      </c>
      <c r="E122" s="4">
        <v>5097</v>
      </c>
      <c r="F122" s="4">
        <v>6356</v>
      </c>
      <c r="G122" s="4">
        <f t="shared" si="7"/>
        <v>6637.25</v>
      </c>
      <c r="H122" s="7">
        <f t="shared" si="6"/>
        <v>1.6593125</v>
      </c>
      <c r="I122" s="9">
        <f t="shared" si="11"/>
        <v>1</v>
      </c>
      <c r="J122" s="9">
        <f t="shared" si="8"/>
        <v>2.6593125</v>
      </c>
      <c r="K122" s="10">
        <f t="shared" si="9"/>
        <v>3</v>
      </c>
      <c r="O122" s="36">
        <f>'DHS25'!C121</f>
        <v>8650</v>
      </c>
      <c r="P122" s="37">
        <f>'DHS25'!D121</f>
        <v>4768</v>
      </c>
      <c r="Q122" s="37">
        <f>'DHS25'!E121</f>
        <v>3587</v>
      </c>
      <c r="R122" s="38">
        <v>78.56</v>
      </c>
      <c r="S122" s="39">
        <f t="shared" si="10"/>
        <v>281.79472000000004</v>
      </c>
    </row>
    <row r="123" spans="1:19">
      <c r="A123" s="67">
        <v>45663</v>
      </c>
      <c r="B123" s="25" t="s">
        <v>8</v>
      </c>
      <c r="C123" s="4">
        <v>7998</v>
      </c>
      <c r="D123" s="5">
        <v>5850</v>
      </c>
      <c r="E123" s="4">
        <v>1763</v>
      </c>
      <c r="F123" s="4">
        <v>8128</v>
      </c>
      <c r="G123" s="4">
        <f t="shared" si="7"/>
        <v>5934.75</v>
      </c>
      <c r="H123" s="7">
        <f t="shared" si="6"/>
        <v>1.4836875</v>
      </c>
      <c r="I123" s="9">
        <f t="shared" si="11"/>
        <v>1</v>
      </c>
      <c r="J123" s="9">
        <f t="shared" si="8"/>
        <v>2.4836875000000003</v>
      </c>
      <c r="K123" s="10">
        <f t="shared" si="9"/>
        <v>3</v>
      </c>
      <c r="O123" s="36">
        <f>'DHS25'!C122</f>
        <v>8631</v>
      </c>
      <c r="P123" s="37">
        <f>'DHS25'!D122</f>
        <v>3319</v>
      </c>
      <c r="Q123" s="37">
        <f>'DHS25'!E122</f>
        <v>3008</v>
      </c>
      <c r="R123" s="38">
        <v>107.63</v>
      </c>
      <c r="S123" s="39">
        <f t="shared" si="10"/>
        <v>323.75103999999999</v>
      </c>
    </row>
    <row r="124" spans="1:19">
      <c r="A124" s="67">
        <v>45663</v>
      </c>
      <c r="B124" s="25" t="s">
        <v>9</v>
      </c>
      <c r="C124" s="4">
        <v>10100</v>
      </c>
      <c r="D124" s="5">
        <v>6815</v>
      </c>
      <c r="E124" s="4">
        <v>1932</v>
      </c>
      <c r="F124" s="4">
        <v>8167</v>
      </c>
      <c r="G124" s="4">
        <f t="shared" si="7"/>
        <v>6753.5</v>
      </c>
      <c r="H124" s="7">
        <f t="shared" si="6"/>
        <v>1.688375</v>
      </c>
      <c r="I124" s="9">
        <f t="shared" si="11"/>
        <v>1</v>
      </c>
      <c r="J124" s="9">
        <f t="shared" si="8"/>
        <v>2.6883749999999997</v>
      </c>
      <c r="K124" s="10">
        <f t="shared" si="9"/>
        <v>3</v>
      </c>
      <c r="O124" s="36">
        <f>'DHS25'!C123</f>
        <v>10663</v>
      </c>
      <c r="P124" s="37">
        <f>'DHS25'!D123</f>
        <v>179</v>
      </c>
      <c r="Q124" s="37">
        <f>'DHS25'!E123</f>
        <v>2995</v>
      </c>
      <c r="R124" s="38">
        <v>94.76</v>
      </c>
      <c r="S124" s="39">
        <f t="shared" si="10"/>
        <v>283.80620000000005</v>
      </c>
    </row>
    <row r="125" spans="1:19">
      <c r="A125" s="67">
        <v>45663</v>
      </c>
      <c r="B125" s="25" t="s">
        <v>10</v>
      </c>
      <c r="C125" s="4">
        <v>12440</v>
      </c>
      <c r="D125" s="5">
        <v>7665</v>
      </c>
      <c r="E125" s="4">
        <v>2688</v>
      </c>
      <c r="F125" s="4">
        <v>7630</v>
      </c>
      <c r="G125" s="4">
        <f t="shared" si="7"/>
        <v>7605.75</v>
      </c>
      <c r="H125" s="7">
        <f t="shared" si="6"/>
        <v>1.9014374999999999</v>
      </c>
      <c r="I125" s="9">
        <f t="shared" si="11"/>
        <v>1</v>
      </c>
      <c r="J125" s="9">
        <f t="shared" si="8"/>
        <v>2.9014375000000001</v>
      </c>
      <c r="K125" s="10">
        <f t="shared" si="9"/>
        <v>3</v>
      </c>
      <c r="O125" s="36">
        <f>'DHS25'!C124</f>
        <v>11959</v>
      </c>
      <c r="P125" s="37">
        <f>'DHS25'!D124</f>
        <v>103</v>
      </c>
      <c r="Q125" s="37">
        <f>'DHS25'!E124</f>
        <v>2999</v>
      </c>
      <c r="R125" s="38">
        <v>78.09</v>
      </c>
      <c r="S125" s="39">
        <f t="shared" si="10"/>
        <v>234.19191000000001</v>
      </c>
    </row>
    <row r="126" spans="1:19">
      <c r="A126" s="67">
        <v>45663</v>
      </c>
      <c r="B126" s="25" t="s">
        <v>11</v>
      </c>
      <c r="C126" s="4">
        <v>15011</v>
      </c>
      <c r="D126" s="5">
        <v>8285</v>
      </c>
      <c r="E126" s="4">
        <v>2550</v>
      </c>
      <c r="F126" s="4">
        <v>9336</v>
      </c>
      <c r="G126" s="4">
        <f t="shared" si="7"/>
        <v>8795.5</v>
      </c>
      <c r="H126" s="7">
        <f t="shared" si="6"/>
        <v>2.1988750000000001</v>
      </c>
      <c r="I126" s="9">
        <f t="shared" si="11"/>
        <v>1</v>
      </c>
      <c r="J126" s="9">
        <f t="shared" si="8"/>
        <v>3.1988750000000001</v>
      </c>
      <c r="K126" s="10">
        <f t="shared" si="9"/>
        <v>4</v>
      </c>
      <c r="O126" s="36">
        <f>'DHS25'!C125</f>
        <v>13335</v>
      </c>
      <c r="P126" s="37">
        <f>'DHS25'!D125</f>
        <v>62</v>
      </c>
      <c r="Q126" s="37">
        <f>'DHS25'!E125</f>
        <v>3578</v>
      </c>
      <c r="R126" s="38">
        <v>74.489999999999995</v>
      </c>
      <c r="S126" s="39">
        <f t="shared" si="10"/>
        <v>266.52521999999999</v>
      </c>
    </row>
    <row r="127" spans="1:19">
      <c r="A127" s="67">
        <v>45663</v>
      </c>
      <c r="B127" s="25" t="s">
        <v>12</v>
      </c>
      <c r="C127" s="4">
        <v>23954</v>
      </c>
      <c r="D127" s="5">
        <v>14982</v>
      </c>
      <c r="E127" s="4">
        <v>14674</v>
      </c>
      <c r="F127" s="4">
        <v>11378</v>
      </c>
      <c r="G127" s="4">
        <f t="shared" si="7"/>
        <v>16247</v>
      </c>
      <c r="H127" s="7">
        <f t="shared" si="6"/>
        <v>4.06175</v>
      </c>
      <c r="I127" s="9">
        <f t="shared" si="11"/>
        <v>1</v>
      </c>
      <c r="J127" s="9">
        <f t="shared" si="8"/>
        <v>5.06175</v>
      </c>
      <c r="K127" s="10">
        <f t="shared" si="9"/>
        <v>6</v>
      </c>
      <c r="O127" s="36">
        <f>'DHS25'!C126</f>
        <v>19287</v>
      </c>
      <c r="P127" s="37">
        <f>'DHS25'!D126</f>
        <v>173</v>
      </c>
      <c r="Q127" s="37">
        <f>'DHS25'!E126</f>
        <v>5758</v>
      </c>
      <c r="R127" s="38">
        <v>75.47</v>
      </c>
      <c r="S127" s="39">
        <f t="shared" si="10"/>
        <v>434.55626000000001</v>
      </c>
    </row>
    <row r="128" spans="1:19">
      <c r="A128" s="67">
        <v>45663</v>
      </c>
      <c r="B128" s="25" t="s">
        <v>13</v>
      </c>
      <c r="C128" s="4">
        <v>23798</v>
      </c>
      <c r="D128" s="5">
        <v>17117</v>
      </c>
      <c r="E128" s="4">
        <v>15642</v>
      </c>
      <c r="F128" s="4">
        <v>10720</v>
      </c>
      <c r="G128" s="4">
        <f t="shared" si="7"/>
        <v>16819.25</v>
      </c>
      <c r="H128" s="7">
        <f t="shared" si="6"/>
        <v>4.2048125000000001</v>
      </c>
      <c r="I128" s="9">
        <f t="shared" si="11"/>
        <v>1</v>
      </c>
      <c r="J128" s="9">
        <f t="shared" si="8"/>
        <v>5.2048125000000001</v>
      </c>
      <c r="K128" s="10">
        <f t="shared" si="9"/>
        <v>6</v>
      </c>
      <c r="O128" s="36">
        <f>'DHS25'!C127</f>
        <v>11743</v>
      </c>
      <c r="P128" s="37">
        <f>'DHS25'!D127</f>
        <v>5584</v>
      </c>
      <c r="Q128" s="37">
        <f>'DHS25'!E127</f>
        <v>5929</v>
      </c>
      <c r="R128" s="38">
        <v>100.98</v>
      </c>
      <c r="S128" s="39">
        <f t="shared" si="10"/>
        <v>598.71042</v>
      </c>
    </row>
    <row r="129" spans="1:19">
      <c r="A129" s="67">
        <v>45663</v>
      </c>
      <c r="B129" s="25" t="s">
        <v>14</v>
      </c>
      <c r="C129" s="4">
        <v>24011</v>
      </c>
      <c r="D129" s="5">
        <v>17420</v>
      </c>
      <c r="E129" s="4">
        <v>15599</v>
      </c>
      <c r="F129" s="4">
        <v>12180</v>
      </c>
      <c r="G129" s="4">
        <f t="shared" si="7"/>
        <v>17302.5</v>
      </c>
      <c r="H129" s="7">
        <f t="shared" si="6"/>
        <v>4.3256249999999996</v>
      </c>
      <c r="I129" s="9">
        <f t="shared" si="11"/>
        <v>1</v>
      </c>
      <c r="J129" s="9">
        <f t="shared" si="8"/>
        <v>5.3256249999999996</v>
      </c>
      <c r="K129" s="10">
        <f t="shared" si="9"/>
        <v>6</v>
      </c>
      <c r="O129" s="36">
        <f>'DHS25'!C128</f>
        <v>18873</v>
      </c>
      <c r="P129" s="37">
        <f>'DHS25'!D128</f>
        <v>1162</v>
      </c>
      <c r="Q129" s="37">
        <f>'DHS25'!E128</f>
        <v>5986</v>
      </c>
      <c r="R129" s="38">
        <v>101.31</v>
      </c>
      <c r="S129" s="39">
        <f t="shared" si="10"/>
        <v>606.44165999999996</v>
      </c>
    </row>
    <row r="130" spans="1:19">
      <c r="A130" s="67">
        <v>45663</v>
      </c>
      <c r="B130" s="25" t="s">
        <v>15</v>
      </c>
      <c r="C130" s="4">
        <v>16733</v>
      </c>
      <c r="D130" s="5">
        <v>13147</v>
      </c>
      <c r="E130" s="4">
        <v>15322</v>
      </c>
      <c r="F130" s="4">
        <v>10837</v>
      </c>
      <c r="G130" s="4">
        <f t="shared" si="7"/>
        <v>14009.75</v>
      </c>
      <c r="H130" s="7">
        <f t="shared" si="6"/>
        <v>3.5024375000000001</v>
      </c>
      <c r="I130" s="9">
        <f t="shared" si="11"/>
        <v>1</v>
      </c>
      <c r="J130" s="9">
        <f t="shared" si="8"/>
        <v>4.5024375000000001</v>
      </c>
      <c r="K130" s="10">
        <f t="shared" si="9"/>
        <v>5</v>
      </c>
      <c r="O130" s="36">
        <f>'DHS25'!C129</f>
        <v>13463</v>
      </c>
      <c r="P130" s="37">
        <f>'DHS25'!D129</f>
        <v>3752</v>
      </c>
      <c r="Q130" s="37">
        <f>'DHS25'!E129</f>
        <v>5243</v>
      </c>
      <c r="R130" s="38">
        <v>140.38</v>
      </c>
      <c r="S130" s="39">
        <f t="shared" si="10"/>
        <v>736.01233999999999</v>
      </c>
    </row>
    <row r="131" spans="1:19">
      <c r="A131" s="67">
        <v>45663</v>
      </c>
      <c r="B131" s="25" t="s">
        <v>16</v>
      </c>
      <c r="C131" s="4">
        <v>20453</v>
      </c>
      <c r="D131" s="5">
        <v>14008</v>
      </c>
      <c r="E131" s="4">
        <v>11870</v>
      </c>
      <c r="F131" s="4">
        <v>12534</v>
      </c>
      <c r="G131" s="4">
        <f t="shared" si="7"/>
        <v>14716.25</v>
      </c>
      <c r="H131" s="7">
        <f t="shared" ref="H131:H194" si="12">G131/$M$2/1000</f>
        <v>3.6790625000000001</v>
      </c>
      <c r="I131" s="9">
        <f t="shared" si="11"/>
        <v>1</v>
      </c>
      <c r="J131" s="9">
        <f t="shared" si="8"/>
        <v>4.6790625000000006</v>
      </c>
      <c r="K131" s="10">
        <f t="shared" si="9"/>
        <v>5</v>
      </c>
      <c r="O131" s="36">
        <f>'DHS25'!C130</f>
        <v>14997</v>
      </c>
      <c r="P131" s="37">
        <f>'DHS25'!D130</f>
        <v>1175</v>
      </c>
      <c r="Q131" s="37">
        <f>'DHS25'!E130</f>
        <v>5013</v>
      </c>
      <c r="R131" s="38">
        <v>147.16</v>
      </c>
      <c r="S131" s="39">
        <f t="shared" si="10"/>
        <v>737.71307999999999</v>
      </c>
    </row>
    <row r="132" spans="1:19">
      <c r="A132" s="67">
        <v>45663</v>
      </c>
      <c r="B132" s="25" t="s">
        <v>17</v>
      </c>
      <c r="C132" s="4">
        <v>20012</v>
      </c>
      <c r="D132" s="5">
        <v>13906</v>
      </c>
      <c r="E132" s="4">
        <v>12077</v>
      </c>
      <c r="F132" s="4">
        <v>13799</v>
      </c>
      <c r="G132" s="4">
        <f t="shared" ref="G132:G195" si="13">AVERAGE(C132:F132)</f>
        <v>14948.5</v>
      </c>
      <c r="H132" s="7">
        <f t="shared" si="12"/>
        <v>3.7371249999999998</v>
      </c>
      <c r="I132" s="9">
        <f t="shared" si="11"/>
        <v>1</v>
      </c>
      <c r="J132" s="9">
        <f t="shared" ref="J132:J195" si="14">H132+I132</f>
        <v>4.7371249999999998</v>
      </c>
      <c r="K132" s="10">
        <f t="shared" ref="K132:K195" si="15">ROUNDUP(J132,0)</f>
        <v>5</v>
      </c>
      <c r="O132" s="36">
        <f>'DHS25'!C131</f>
        <v>16935</v>
      </c>
      <c r="P132" s="37">
        <f>'DHS25'!D131</f>
        <v>242</v>
      </c>
      <c r="Q132" s="37">
        <f>'DHS25'!E131</f>
        <v>4997</v>
      </c>
      <c r="R132" s="38">
        <v>125.92</v>
      </c>
      <c r="S132" s="39">
        <f t="shared" ref="S132:S195" si="16">(Q132/1000)*R132</f>
        <v>629.22223999999994</v>
      </c>
    </row>
    <row r="133" spans="1:19">
      <c r="A133" s="67">
        <v>45663</v>
      </c>
      <c r="B133" s="25" t="s">
        <v>18</v>
      </c>
      <c r="C133" s="4">
        <v>18371</v>
      </c>
      <c r="D133" s="5">
        <v>15368</v>
      </c>
      <c r="E133" s="4">
        <v>13208</v>
      </c>
      <c r="F133" s="4">
        <v>13357</v>
      </c>
      <c r="G133" s="4">
        <f t="shared" si="13"/>
        <v>15076</v>
      </c>
      <c r="H133" s="7">
        <f t="shared" si="12"/>
        <v>3.7690000000000001</v>
      </c>
      <c r="I133" s="9">
        <f t="shared" ref="I133:I196" si="17">I132</f>
        <v>1</v>
      </c>
      <c r="J133" s="9">
        <f t="shared" si="14"/>
        <v>4.7690000000000001</v>
      </c>
      <c r="K133" s="10">
        <f t="shared" si="15"/>
        <v>5</v>
      </c>
      <c r="O133" s="36">
        <f>'DHS25'!C132</f>
        <v>16506</v>
      </c>
      <c r="P133" s="37">
        <f>'DHS25'!D132</f>
        <v>257</v>
      </c>
      <c r="Q133" s="37">
        <f>'DHS25'!E132</f>
        <v>4996</v>
      </c>
      <c r="R133" s="38">
        <v>105.16</v>
      </c>
      <c r="S133" s="39">
        <f t="shared" si="16"/>
        <v>525.37936000000002</v>
      </c>
    </row>
    <row r="134" spans="1:19">
      <c r="A134" s="67">
        <v>45663</v>
      </c>
      <c r="B134" s="25" t="s">
        <v>19</v>
      </c>
      <c r="C134" s="4">
        <v>17332</v>
      </c>
      <c r="D134" s="5">
        <v>14348</v>
      </c>
      <c r="E134" s="4">
        <v>13092</v>
      </c>
      <c r="F134" s="4">
        <v>14041</v>
      </c>
      <c r="G134" s="4">
        <f t="shared" si="13"/>
        <v>14703.25</v>
      </c>
      <c r="H134" s="7">
        <f t="shared" si="12"/>
        <v>3.6758125000000001</v>
      </c>
      <c r="I134" s="9">
        <f t="shared" si="17"/>
        <v>1</v>
      </c>
      <c r="J134" s="9">
        <f t="shared" si="14"/>
        <v>4.6758125000000001</v>
      </c>
      <c r="K134" s="10">
        <f t="shared" si="15"/>
        <v>5</v>
      </c>
      <c r="O134" s="36">
        <f>'DHS25'!C133</f>
        <v>16495</v>
      </c>
      <c r="P134" s="37">
        <f>'DHS25'!D133</f>
        <v>24</v>
      </c>
      <c r="Q134" s="37">
        <f>'DHS25'!E133</f>
        <v>4994</v>
      </c>
      <c r="R134" s="38">
        <v>80.11</v>
      </c>
      <c r="S134" s="39">
        <f t="shared" si="16"/>
        <v>400.06933999999995</v>
      </c>
    </row>
    <row r="135" spans="1:19">
      <c r="A135" s="67">
        <v>45663</v>
      </c>
      <c r="B135" s="25" t="s">
        <v>20</v>
      </c>
      <c r="C135" s="4">
        <v>17216</v>
      </c>
      <c r="D135" s="5">
        <v>14484</v>
      </c>
      <c r="E135" s="4">
        <v>12488</v>
      </c>
      <c r="F135" s="4">
        <v>12481</v>
      </c>
      <c r="G135" s="4">
        <f t="shared" si="13"/>
        <v>14167.25</v>
      </c>
      <c r="H135" s="7">
        <f t="shared" si="12"/>
        <v>3.5418124999999998</v>
      </c>
      <c r="I135" s="9">
        <f t="shared" si="17"/>
        <v>1</v>
      </c>
      <c r="J135" s="9">
        <f t="shared" si="14"/>
        <v>4.5418124999999998</v>
      </c>
      <c r="K135" s="10">
        <f t="shared" si="15"/>
        <v>5</v>
      </c>
      <c r="O135" s="36">
        <f>'DHS25'!C134</f>
        <v>16104</v>
      </c>
      <c r="P135" s="37">
        <f>'DHS25'!D134</f>
        <v>21</v>
      </c>
      <c r="Q135" s="37">
        <f>'DHS25'!E134</f>
        <v>4997</v>
      </c>
      <c r="R135" s="38">
        <v>86.48</v>
      </c>
      <c r="S135" s="39">
        <f t="shared" si="16"/>
        <v>432.14055999999999</v>
      </c>
    </row>
    <row r="136" spans="1:19">
      <c r="A136" s="67">
        <v>45663</v>
      </c>
      <c r="B136" s="25" t="s">
        <v>21</v>
      </c>
      <c r="C136" s="4">
        <v>17742</v>
      </c>
      <c r="D136" s="5">
        <v>14810</v>
      </c>
      <c r="E136" s="4">
        <v>12401</v>
      </c>
      <c r="F136" s="4">
        <v>10754</v>
      </c>
      <c r="G136" s="4">
        <f t="shared" si="13"/>
        <v>13926.75</v>
      </c>
      <c r="H136" s="7">
        <f t="shared" si="12"/>
        <v>3.4816875</v>
      </c>
      <c r="I136" s="9">
        <f t="shared" si="17"/>
        <v>1</v>
      </c>
      <c r="J136" s="9">
        <f t="shared" si="14"/>
        <v>4.4816874999999996</v>
      </c>
      <c r="K136" s="10">
        <f t="shared" si="15"/>
        <v>5</v>
      </c>
      <c r="O136" s="36">
        <f>'DHS25'!C135</f>
        <v>15942</v>
      </c>
      <c r="P136" s="37">
        <f>'DHS25'!D135</f>
        <v>25</v>
      </c>
      <c r="Q136" s="37">
        <f>'DHS25'!E135</f>
        <v>4996</v>
      </c>
      <c r="R136" s="38">
        <v>111.71</v>
      </c>
      <c r="S136" s="39">
        <f t="shared" si="16"/>
        <v>558.10316</v>
      </c>
    </row>
    <row r="137" spans="1:19">
      <c r="A137" s="67">
        <v>45663</v>
      </c>
      <c r="B137" s="25" t="s">
        <v>22</v>
      </c>
      <c r="C137" s="4">
        <v>18436</v>
      </c>
      <c r="D137" s="5">
        <v>14540</v>
      </c>
      <c r="E137" s="4">
        <v>11493</v>
      </c>
      <c r="F137" s="4">
        <v>12694</v>
      </c>
      <c r="G137" s="4">
        <f t="shared" si="13"/>
        <v>14290.75</v>
      </c>
      <c r="H137" s="7">
        <f t="shared" si="12"/>
        <v>3.5726874999999998</v>
      </c>
      <c r="I137" s="9">
        <f t="shared" si="17"/>
        <v>1</v>
      </c>
      <c r="J137" s="9">
        <f t="shared" si="14"/>
        <v>4.5726874999999998</v>
      </c>
      <c r="K137" s="10">
        <f t="shared" si="15"/>
        <v>5</v>
      </c>
      <c r="O137" s="36">
        <f>'DHS25'!C136</f>
        <v>16076</v>
      </c>
      <c r="P137" s="37">
        <f>'DHS25'!D136</f>
        <v>26</v>
      </c>
      <c r="Q137" s="37">
        <f>'DHS25'!E136</f>
        <v>4986</v>
      </c>
      <c r="R137" s="38">
        <v>119.08</v>
      </c>
      <c r="S137" s="39">
        <f t="shared" si="16"/>
        <v>593.73287999999991</v>
      </c>
    </row>
    <row r="138" spans="1:19">
      <c r="A138" s="67">
        <v>45663</v>
      </c>
      <c r="B138" s="25" t="s">
        <v>23</v>
      </c>
      <c r="C138" s="4">
        <v>18418</v>
      </c>
      <c r="D138" s="5">
        <v>14253</v>
      </c>
      <c r="E138" s="4">
        <v>12015</v>
      </c>
      <c r="F138" s="4">
        <v>12679</v>
      </c>
      <c r="G138" s="4">
        <f t="shared" si="13"/>
        <v>14341.25</v>
      </c>
      <c r="H138" s="7">
        <f t="shared" si="12"/>
        <v>3.5853125000000001</v>
      </c>
      <c r="I138" s="9">
        <f t="shared" si="17"/>
        <v>1</v>
      </c>
      <c r="J138" s="9">
        <f t="shared" si="14"/>
        <v>4.5853125000000006</v>
      </c>
      <c r="K138" s="10">
        <f t="shared" si="15"/>
        <v>5</v>
      </c>
      <c r="O138" s="36">
        <f>'DHS25'!C137</f>
        <v>16575</v>
      </c>
      <c r="P138" s="37">
        <f>'DHS25'!D137</f>
        <v>80</v>
      </c>
      <c r="Q138" s="37">
        <f>'DHS25'!E137</f>
        <v>5007</v>
      </c>
      <c r="R138" s="38">
        <v>118</v>
      </c>
      <c r="S138" s="39">
        <f t="shared" si="16"/>
        <v>590.82599999999991</v>
      </c>
    </row>
    <row r="139" spans="1:19">
      <c r="A139" s="67">
        <v>45663</v>
      </c>
      <c r="B139" s="25" t="s">
        <v>24</v>
      </c>
      <c r="C139" s="4">
        <v>19147</v>
      </c>
      <c r="D139" s="5">
        <v>14875</v>
      </c>
      <c r="E139" s="4">
        <v>12149</v>
      </c>
      <c r="F139" s="4">
        <v>11474</v>
      </c>
      <c r="G139" s="4">
        <f t="shared" si="13"/>
        <v>14411.25</v>
      </c>
      <c r="H139" s="7">
        <f t="shared" si="12"/>
        <v>3.6028125000000002</v>
      </c>
      <c r="I139" s="9">
        <f t="shared" si="17"/>
        <v>1</v>
      </c>
      <c r="J139" s="9">
        <f t="shared" si="14"/>
        <v>4.6028125000000006</v>
      </c>
      <c r="K139" s="10">
        <f t="shared" si="15"/>
        <v>5</v>
      </c>
      <c r="O139" s="36">
        <f>'DHS25'!C138</f>
        <v>16641</v>
      </c>
      <c r="P139" s="37">
        <f>'DHS25'!D138</f>
        <v>165</v>
      </c>
      <c r="Q139" s="37">
        <f>'DHS25'!E138</f>
        <v>5007</v>
      </c>
      <c r="R139" s="38">
        <v>134.4</v>
      </c>
      <c r="S139" s="39">
        <f t="shared" si="16"/>
        <v>672.94079999999997</v>
      </c>
    </row>
    <row r="140" spans="1:19">
      <c r="A140" s="67">
        <v>45663</v>
      </c>
      <c r="B140" s="25" t="s">
        <v>25</v>
      </c>
      <c r="C140" s="4">
        <v>20306</v>
      </c>
      <c r="D140" s="5">
        <v>14453</v>
      </c>
      <c r="E140" s="4">
        <v>12617</v>
      </c>
      <c r="F140" s="4">
        <v>13006</v>
      </c>
      <c r="G140" s="4">
        <f t="shared" si="13"/>
        <v>15095.5</v>
      </c>
      <c r="H140" s="7">
        <f t="shared" si="12"/>
        <v>3.7738749999999999</v>
      </c>
      <c r="I140" s="9">
        <f t="shared" si="17"/>
        <v>1</v>
      </c>
      <c r="J140" s="9">
        <f t="shared" si="14"/>
        <v>4.7738750000000003</v>
      </c>
      <c r="K140" s="10">
        <f t="shared" si="15"/>
        <v>5</v>
      </c>
      <c r="O140" s="36">
        <f>'DHS25'!C139</f>
        <v>16323</v>
      </c>
      <c r="P140" s="37">
        <f>'DHS25'!D139</f>
        <v>78</v>
      </c>
      <c r="Q140" s="37">
        <f>'DHS25'!E139</f>
        <v>4995</v>
      </c>
      <c r="R140" s="38">
        <v>157.07</v>
      </c>
      <c r="S140" s="39">
        <f t="shared" si="16"/>
        <v>784.56465000000003</v>
      </c>
    </row>
    <row r="141" spans="1:19">
      <c r="A141" s="67">
        <v>45663</v>
      </c>
      <c r="B141" s="25" t="s">
        <v>26</v>
      </c>
      <c r="C141" s="4">
        <v>21043</v>
      </c>
      <c r="D141" s="5">
        <v>14310</v>
      </c>
      <c r="E141" s="4">
        <v>13057</v>
      </c>
      <c r="F141" s="4">
        <v>13099</v>
      </c>
      <c r="G141" s="4">
        <f t="shared" si="13"/>
        <v>15377.25</v>
      </c>
      <c r="H141" s="7">
        <f t="shared" si="12"/>
        <v>3.8443125</v>
      </c>
      <c r="I141" s="9">
        <f t="shared" si="17"/>
        <v>1</v>
      </c>
      <c r="J141" s="9">
        <f t="shared" si="14"/>
        <v>4.8443125</v>
      </c>
      <c r="K141" s="10">
        <f t="shared" si="15"/>
        <v>5</v>
      </c>
      <c r="O141" s="36">
        <f>'DHS25'!C140</f>
        <v>16086</v>
      </c>
      <c r="P141" s="37">
        <f>'DHS25'!D140</f>
        <v>196</v>
      </c>
      <c r="Q141" s="37">
        <f>'DHS25'!E140</f>
        <v>5005</v>
      </c>
      <c r="R141" s="38">
        <v>153.35</v>
      </c>
      <c r="S141" s="39">
        <f t="shared" si="16"/>
        <v>767.51675</v>
      </c>
    </row>
    <row r="142" spans="1:19">
      <c r="A142" s="67">
        <v>45663</v>
      </c>
      <c r="B142" s="25" t="s">
        <v>27</v>
      </c>
      <c r="C142" s="4">
        <v>21854</v>
      </c>
      <c r="D142" s="5">
        <v>14412</v>
      </c>
      <c r="E142" s="4">
        <v>12490</v>
      </c>
      <c r="F142" s="4">
        <v>11814</v>
      </c>
      <c r="G142" s="4">
        <f t="shared" si="13"/>
        <v>15142.5</v>
      </c>
      <c r="H142" s="7">
        <f t="shared" si="12"/>
        <v>3.785625</v>
      </c>
      <c r="I142" s="9">
        <f t="shared" si="17"/>
        <v>1</v>
      </c>
      <c r="J142" s="9">
        <f t="shared" si="14"/>
        <v>4.7856249999999996</v>
      </c>
      <c r="K142" s="10">
        <f t="shared" si="15"/>
        <v>5</v>
      </c>
      <c r="O142" s="36">
        <f>'DHS25'!C141</f>
        <v>14308</v>
      </c>
      <c r="P142" s="37">
        <f>'DHS25'!D141</f>
        <v>2150</v>
      </c>
      <c r="Q142" s="37">
        <f>'DHS25'!E141</f>
        <v>5001</v>
      </c>
      <c r="R142" s="38">
        <v>161.34</v>
      </c>
      <c r="S142" s="39">
        <f t="shared" si="16"/>
        <v>806.86134000000004</v>
      </c>
    </row>
    <row r="143" spans="1:19">
      <c r="A143" s="67">
        <v>45663</v>
      </c>
      <c r="B143" s="25" t="s">
        <v>28</v>
      </c>
      <c r="C143" s="4">
        <v>21972</v>
      </c>
      <c r="D143" s="5">
        <v>15095</v>
      </c>
      <c r="E143" s="4">
        <v>12293</v>
      </c>
      <c r="F143" s="4">
        <v>12926</v>
      </c>
      <c r="G143" s="4">
        <f t="shared" si="13"/>
        <v>15571.5</v>
      </c>
      <c r="H143" s="7">
        <f t="shared" si="12"/>
        <v>3.8928750000000001</v>
      </c>
      <c r="I143" s="9">
        <f t="shared" si="17"/>
        <v>1</v>
      </c>
      <c r="J143" s="9">
        <f t="shared" si="14"/>
        <v>4.8928750000000001</v>
      </c>
      <c r="K143" s="10">
        <f t="shared" si="15"/>
        <v>5</v>
      </c>
      <c r="O143" s="36">
        <f>'DHS25'!C142</f>
        <v>15049</v>
      </c>
      <c r="P143" s="37">
        <f>'DHS25'!D142</f>
        <v>1162</v>
      </c>
      <c r="Q143" s="37">
        <f>'DHS25'!E142</f>
        <v>5000</v>
      </c>
      <c r="R143" s="38">
        <v>155.22</v>
      </c>
      <c r="S143" s="39">
        <f t="shared" si="16"/>
        <v>776.1</v>
      </c>
    </row>
    <row r="144" spans="1:19">
      <c r="A144" s="67">
        <v>45663</v>
      </c>
      <c r="B144" s="25" t="s">
        <v>29</v>
      </c>
      <c r="C144" s="4">
        <v>22578</v>
      </c>
      <c r="D144" s="5">
        <v>15251</v>
      </c>
      <c r="E144" s="4">
        <v>12322</v>
      </c>
      <c r="F144" s="4">
        <v>13038</v>
      </c>
      <c r="G144" s="4">
        <f t="shared" si="13"/>
        <v>15797.25</v>
      </c>
      <c r="H144" s="7">
        <f t="shared" si="12"/>
        <v>3.9493125</v>
      </c>
      <c r="I144" s="9">
        <f t="shared" si="17"/>
        <v>1</v>
      </c>
      <c r="J144" s="9">
        <f t="shared" si="14"/>
        <v>4.9493124999999996</v>
      </c>
      <c r="K144" s="10">
        <f t="shared" si="15"/>
        <v>5</v>
      </c>
      <c r="O144" s="36">
        <f>'DHS25'!C143</f>
        <v>15247</v>
      </c>
      <c r="P144" s="37">
        <f>'DHS25'!D143</f>
        <v>1066</v>
      </c>
      <c r="Q144" s="37">
        <f>'DHS25'!E143</f>
        <v>4994</v>
      </c>
      <c r="R144" s="38">
        <v>144.47</v>
      </c>
      <c r="S144" s="39">
        <f t="shared" si="16"/>
        <v>721.48317999999995</v>
      </c>
    </row>
    <row r="145" spans="1:19">
      <c r="A145" s="67">
        <v>45663</v>
      </c>
      <c r="B145" s="25" t="s">
        <v>30</v>
      </c>
      <c r="C145" s="4">
        <v>17941</v>
      </c>
      <c r="D145" s="5">
        <v>13219</v>
      </c>
      <c r="E145" s="4">
        <v>11092</v>
      </c>
      <c r="F145" s="4">
        <v>10569</v>
      </c>
      <c r="G145" s="4">
        <f t="shared" si="13"/>
        <v>13205.25</v>
      </c>
      <c r="H145" s="7">
        <f t="shared" si="12"/>
        <v>3.3013124999999999</v>
      </c>
      <c r="I145" s="9">
        <f t="shared" si="17"/>
        <v>1</v>
      </c>
      <c r="J145" s="9">
        <f t="shared" si="14"/>
        <v>4.3013124999999999</v>
      </c>
      <c r="K145" s="10">
        <f t="shared" si="15"/>
        <v>5</v>
      </c>
      <c r="O145" s="36">
        <f>'DHS25'!C144</f>
        <v>12182</v>
      </c>
      <c r="P145" s="37">
        <f>'DHS25'!D144</f>
        <v>2165</v>
      </c>
      <c r="Q145" s="37">
        <f>'DHS25'!E144</f>
        <v>4959</v>
      </c>
      <c r="R145" s="38">
        <v>138.81</v>
      </c>
      <c r="S145" s="39">
        <f t="shared" si="16"/>
        <v>688.35879</v>
      </c>
    </row>
    <row r="146" spans="1:19">
      <c r="A146" s="67">
        <v>45663</v>
      </c>
      <c r="B146" s="25" t="s">
        <v>31</v>
      </c>
      <c r="C146" s="4">
        <v>10153</v>
      </c>
      <c r="D146" s="5">
        <v>7041</v>
      </c>
      <c r="E146" s="4">
        <v>4989</v>
      </c>
      <c r="F146" s="4">
        <v>6887</v>
      </c>
      <c r="G146" s="4">
        <f t="shared" si="13"/>
        <v>7267.5</v>
      </c>
      <c r="H146" s="7">
        <f t="shared" si="12"/>
        <v>1.816875</v>
      </c>
      <c r="I146" s="9">
        <f t="shared" si="17"/>
        <v>1</v>
      </c>
      <c r="J146" s="9">
        <f t="shared" si="14"/>
        <v>2.816875</v>
      </c>
      <c r="K146" s="10">
        <f t="shared" si="15"/>
        <v>3</v>
      </c>
      <c r="O146" s="36">
        <f>'DHS25'!C145</f>
        <v>6940</v>
      </c>
      <c r="P146" s="37">
        <f>'DHS25'!D145</f>
        <v>6905</v>
      </c>
      <c r="Q146" s="37">
        <f>'DHS25'!E145</f>
        <v>3875</v>
      </c>
      <c r="R146" s="38">
        <v>91.93</v>
      </c>
      <c r="S146" s="39">
        <f t="shared" si="16"/>
        <v>356.22875000000005</v>
      </c>
    </row>
    <row r="147" spans="1:19">
      <c r="A147" s="66">
        <v>45664</v>
      </c>
      <c r="B147" s="24" t="s">
        <v>8</v>
      </c>
      <c r="C147" s="4">
        <v>12149</v>
      </c>
      <c r="D147" s="5">
        <v>5996</v>
      </c>
      <c r="E147" s="4">
        <v>4574</v>
      </c>
      <c r="F147" s="4">
        <v>7311</v>
      </c>
      <c r="G147" s="4">
        <f t="shared" si="13"/>
        <v>7507.5</v>
      </c>
      <c r="H147" s="7">
        <f t="shared" si="12"/>
        <v>1.8768750000000001</v>
      </c>
      <c r="I147" s="9">
        <f t="shared" si="17"/>
        <v>1</v>
      </c>
      <c r="J147" s="9">
        <f t="shared" si="14"/>
        <v>2.8768750000000001</v>
      </c>
      <c r="K147" s="10">
        <f t="shared" si="15"/>
        <v>3</v>
      </c>
      <c r="O147" s="36">
        <f>'DHS25'!C146</f>
        <v>6014</v>
      </c>
      <c r="P147" s="37">
        <f>'DHS25'!D146</f>
        <v>5451</v>
      </c>
      <c r="Q147" s="37">
        <f>'DHS25'!E146</f>
        <v>3000</v>
      </c>
      <c r="R147" s="38">
        <v>36.369999999999997</v>
      </c>
      <c r="S147" s="39">
        <f t="shared" si="16"/>
        <v>109.10999999999999</v>
      </c>
    </row>
    <row r="148" spans="1:19">
      <c r="A148" s="66">
        <v>45664</v>
      </c>
      <c r="B148" s="24" t="s">
        <v>9</v>
      </c>
      <c r="C148" s="4">
        <v>14661</v>
      </c>
      <c r="D148" s="5">
        <v>6456</v>
      </c>
      <c r="E148" s="4">
        <v>5984</v>
      </c>
      <c r="F148" s="4">
        <v>10524</v>
      </c>
      <c r="G148" s="4">
        <f t="shared" si="13"/>
        <v>9406.25</v>
      </c>
      <c r="H148" s="7">
        <f t="shared" si="12"/>
        <v>2.3515625</v>
      </c>
      <c r="I148" s="9">
        <f t="shared" si="17"/>
        <v>1</v>
      </c>
      <c r="J148" s="9">
        <f t="shared" si="14"/>
        <v>3.3515625</v>
      </c>
      <c r="K148" s="10">
        <f t="shared" si="15"/>
        <v>4</v>
      </c>
      <c r="O148" s="36">
        <f>'DHS25'!C147</f>
        <v>6409</v>
      </c>
      <c r="P148" s="37">
        <f>'DHS25'!D147</f>
        <v>6085</v>
      </c>
      <c r="Q148" s="37">
        <f>'DHS25'!E147</f>
        <v>3908</v>
      </c>
      <c r="R148" s="38">
        <v>64.290000000000006</v>
      </c>
      <c r="S148" s="39">
        <f t="shared" si="16"/>
        <v>251.24532000000002</v>
      </c>
    </row>
    <row r="149" spans="1:19">
      <c r="A149" s="66">
        <v>45664</v>
      </c>
      <c r="B149" s="24" t="s">
        <v>10</v>
      </c>
      <c r="C149" s="4">
        <v>15563</v>
      </c>
      <c r="D149" s="5">
        <v>7509</v>
      </c>
      <c r="E149" s="4">
        <v>5872</v>
      </c>
      <c r="F149" s="4">
        <v>7189</v>
      </c>
      <c r="G149" s="4">
        <f t="shared" si="13"/>
        <v>9033.25</v>
      </c>
      <c r="H149" s="7">
        <f t="shared" si="12"/>
        <v>2.2583125000000002</v>
      </c>
      <c r="I149" s="9">
        <f t="shared" si="17"/>
        <v>1</v>
      </c>
      <c r="J149" s="9">
        <f t="shared" si="14"/>
        <v>3.2583125000000002</v>
      </c>
      <c r="K149" s="10">
        <f t="shared" si="15"/>
        <v>4</v>
      </c>
      <c r="O149" s="36">
        <f>'DHS25'!C148</f>
        <v>9393</v>
      </c>
      <c r="P149" s="37">
        <f>'DHS25'!D148</f>
        <v>3937</v>
      </c>
      <c r="Q149" s="37">
        <f>'DHS25'!E148</f>
        <v>3990</v>
      </c>
      <c r="R149" s="38">
        <v>58.63</v>
      </c>
      <c r="S149" s="39">
        <f t="shared" si="16"/>
        <v>233.93370000000002</v>
      </c>
    </row>
    <row r="150" spans="1:19">
      <c r="A150" s="66">
        <v>45664</v>
      </c>
      <c r="B150" s="24" t="s">
        <v>11</v>
      </c>
      <c r="C150" s="4">
        <v>17175</v>
      </c>
      <c r="D150" s="5">
        <v>8742</v>
      </c>
      <c r="E150" s="4">
        <v>7122</v>
      </c>
      <c r="F150" s="4">
        <v>10328</v>
      </c>
      <c r="G150" s="4">
        <f t="shared" si="13"/>
        <v>10841.75</v>
      </c>
      <c r="H150" s="7">
        <f t="shared" si="12"/>
        <v>2.7104374999999998</v>
      </c>
      <c r="I150" s="9">
        <f t="shared" si="17"/>
        <v>1</v>
      </c>
      <c r="J150" s="9">
        <f t="shared" si="14"/>
        <v>3.7104374999999998</v>
      </c>
      <c r="K150" s="10">
        <f t="shared" si="15"/>
        <v>4</v>
      </c>
      <c r="O150" s="36">
        <f>'DHS25'!C149</f>
        <v>9986</v>
      </c>
      <c r="P150" s="37">
        <f>'DHS25'!D149</f>
        <v>4211</v>
      </c>
      <c r="Q150" s="37">
        <f>'DHS25'!E149</f>
        <v>3994</v>
      </c>
      <c r="R150" s="38">
        <v>14.38</v>
      </c>
      <c r="S150" s="39">
        <f t="shared" si="16"/>
        <v>57.433720000000008</v>
      </c>
    </row>
    <row r="151" spans="1:19">
      <c r="A151" s="66">
        <v>45664</v>
      </c>
      <c r="B151" s="24" t="s">
        <v>12</v>
      </c>
      <c r="C151" s="4">
        <v>24085</v>
      </c>
      <c r="D151" s="5">
        <v>16195</v>
      </c>
      <c r="E151" s="4">
        <v>16196</v>
      </c>
      <c r="F151" s="4">
        <v>11985</v>
      </c>
      <c r="G151" s="4">
        <f t="shared" si="13"/>
        <v>17115.25</v>
      </c>
      <c r="H151" s="7">
        <f t="shared" si="12"/>
        <v>4.2788124999999999</v>
      </c>
      <c r="I151" s="9">
        <f t="shared" si="17"/>
        <v>1</v>
      </c>
      <c r="J151" s="9">
        <f t="shared" si="14"/>
        <v>5.2788124999999999</v>
      </c>
      <c r="K151" s="10">
        <f t="shared" si="15"/>
        <v>6</v>
      </c>
      <c r="O151" s="36">
        <f>'DHS25'!C150</f>
        <v>15266</v>
      </c>
      <c r="P151" s="37">
        <f>'DHS25'!D150</f>
        <v>1529</v>
      </c>
      <c r="Q151" s="37">
        <f>'DHS25'!E150</f>
        <v>5430</v>
      </c>
      <c r="R151" s="38">
        <v>73.900000000000006</v>
      </c>
      <c r="S151" s="39">
        <f t="shared" si="16"/>
        <v>401.27699999999999</v>
      </c>
    </row>
    <row r="152" spans="1:19">
      <c r="A152" s="66">
        <v>45664</v>
      </c>
      <c r="B152" s="24" t="s">
        <v>13</v>
      </c>
      <c r="C152" s="4">
        <v>24127</v>
      </c>
      <c r="D152" s="5">
        <v>17414</v>
      </c>
      <c r="E152" s="4">
        <v>15940</v>
      </c>
      <c r="F152" s="4">
        <v>11951</v>
      </c>
      <c r="G152" s="4">
        <f t="shared" si="13"/>
        <v>17358</v>
      </c>
      <c r="H152" s="7">
        <f t="shared" si="12"/>
        <v>4.3395000000000001</v>
      </c>
      <c r="I152" s="9">
        <f t="shared" si="17"/>
        <v>1</v>
      </c>
      <c r="J152" s="9">
        <f t="shared" si="14"/>
        <v>5.3395000000000001</v>
      </c>
      <c r="K152" s="10">
        <f t="shared" si="15"/>
        <v>6</v>
      </c>
      <c r="O152" s="36">
        <f>'DHS25'!C151</f>
        <v>16798</v>
      </c>
      <c r="P152" s="37">
        <f>'DHS25'!D151</f>
        <v>1906</v>
      </c>
      <c r="Q152" s="37">
        <f>'DHS25'!E151</f>
        <v>5981</v>
      </c>
      <c r="R152" s="38">
        <v>92.16</v>
      </c>
      <c r="S152" s="39">
        <f t="shared" si="16"/>
        <v>551.20895999999993</v>
      </c>
    </row>
    <row r="153" spans="1:19">
      <c r="A153" s="66">
        <v>45664</v>
      </c>
      <c r="B153" s="24" t="s">
        <v>14</v>
      </c>
      <c r="C153" s="4">
        <v>24122</v>
      </c>
      <c r="D153" s="5">
        <v>17793</v>
      </c>
      <c r="E153" s="4">
        <v>13170</v>
      </c>
      <c r="F153" s="4">
        <v>14940</v>
      </c>
      <c r="G153" s="4">
        <f t="shared" si="13"/>
        <v>17506.25</v>
      </c>
      <c r="H153" s="7">
        <f t="shared" si="12"/>
        <v>4.3765625000000004</v>
      </c>
      <c r="I153" s="9">
        <f t="shared" si="17"/>
        <v>1</v>
      </c>
      <c r="J153" s="9">
        <f t="shared" si="14"/>
        <v>5.3765625000000004</v>
      </c>
      <c r="K153" s="10">
        <f t="shared" si="15"/>
        <v>6</v>
      </c>
      <c r="O153" s="36">
        <f>'DHS25'!C152</f>
        <v>12461</v>
      </c>
      <c r="P153" s="37">
        <f>'DHS25'!D152</f>
        <v>5840</v>
      </c>
      <c r="Q153" s="37">
        <f>'DHS25'!E152</f>
        <v>5993</v>
      </c>
      <c r="R153" s="38">
        <v>150.47999999999999</v>
      </c>
      <c r="S153" s="39">
        <f t="shared" si="16"/>
        <v>901.82664</v>
      </c>
    </row>
    <row r="154" spans="1:19">
      <c r="A154" s="66">
        <v>45664</v>
      </c>
      <c r="B154" s="24" t="s">
        <v>15</v>
      </c>
      <c r="C154" s="4">
        <v>24246</v>
      </c>
      <c r="D154" s="5">
        <v>13955</v>
      </c>
      <c r="E154" s="4">
        <v>10746</v>
      </c>
      <c r="F154" s="4">
        <v>14882</v>
      </c>
      <c r="G154" s="4">
        <f t="shared" si="13"/>
        <v>15957.25</v>
      </c>
      <c r="H154" s="7">
        <f t="shared" si="12"/>
        <v>3.9893125</v>
      </c>
      <c r="I154" s="9">
        <f t="shared" si="17"/>
        <v>1</v>
      </c>
      <c r="J154" s="9">
        <f t="shared" si="14"/>
        <v>4.9893125000000005</v>
      </c>
      <c r="K154" s="10">
        <f t="shared" si="15"/>
        <v>5</v>
      </c>
      <c r="O154" s="36">
        <f>'DHS25'!C153</f>
        <v>13702</v>
      </c>
      <c r="P154" s="37">
        <f>'DHS25'!D153</f>
        <v>4350</v>
      </c>
      <c r="Q154" s="37">
        <f>'DHS25'!E153</f>
        <v>5343</v>
      </c>
      <c r="R154" s="38">
        <v>160.29</v>
      </c>
      <c r="S154" s="39">
        <f t="shared" si="16"/>
        <v>856.42946999999992</v>
      </c>
    </row>
    <row r="155" spans="1:19">
      <c r="A155" s="66">
        <v>45664</v>
      </c>
      <c r="B155" s="24" t="s">
        <v>16</v>
      </c>
      <c r="C155" s="4">
        <v>22796</v>
      </c>
      <c r="D155" s="5">
        <v>14986</v>
      </c>
      <c r="E155" s="4">
        <v>10076</v>
      </c>
      <c r="F155" s="4">
        <v>14947</v>
      </c>
      <c r="G155" s="4">
        <f t="shared" si="13"/>
        <v>15701.25</v>
      </c>
      <c r="H155" s="7">
        <f t="shared" si="12"/>
        <v>3.9253125</v>
      </c>
      <c r="I155" s="9">
        <f t="shared" si="17"/>
        <v>1</v>
      </c>
      <c r="J155" s="9">
        <f t="shared" si="14"/>
        <v>4.9253125000000004</v>
      </c>
      <c r="K155" s="10">
        <f t="shared" si="15"/>
        <v>5</v>
      </c>
      <c r="O155" s="36">
        <f>'DHS25'!C154</f>
        <v>14706</v>
      </c>
      <c r="P155" s="37">
        <f>'DHS25'!D154</f>
        <v>1400</v>
      </c>
      <c r="Q155" s="37">
        <f>'DHS25'!E154</f>
        <v>4999</v>
      </c>
      <c r="R155" s="38">
        <v>130</v>
      </c>
      <c r="S155" s="39">
        <f t="shared" si="16"/>
        <v>649.87</v>
      </c>
    </row>
    <row r="156" spans="1:19">
      <c r="A156" s="66">
        <v>45664</v>
      </c>
      <c r="B156" s="24" t="s">
        <v>17</v>
      </c>
      <c r="C156" s="4">
        <v>23344</v>
      </c>
      <c r="D156" s="5">
        <v>14412</v>
      </c>
      <c r="E156" s="4">
        <v>13501</v>
      </c>
      <c r="F156" s="4">
        <v>15036</v>
      </c>
      <c r="G156" s="4">
        <f t="shared" si="13"/>
        <v>16573.25</v>
      </c>
      <c r="H156" s="7">
        <f t="shared" si="12"/>
        <v>4.1433125000000004</v>
      </c>
      <c r="I156" s="9">
        <f t="shared" si="17"/>
        <v>1</v>
      </c>
      <c r="J156" s="9">
        <f t="shared" si="14"/>
        <v>5.1433125000000004</v>
      </c>
      <c r="K156" s="10">
        <f t="shared" si="15"/>
        <v>6</v>
      </c>
      <c r="O156" s="36">
        <f>'DHS25'!C155</f>
        <v>14366</v>
      </c>
      <c r="P156" s="37">
        <f>'DHS25'!D155</f>
        <v>6369</v>
      </c>
      <c r="Q156" s="37">
        <f>'DHS25'!E155</f>
        <v>6024</v>
      </c>
      <c r="R156" s="38">
        <v>134.47</v>
      </c>
      <c r="S156" s="39">
        <f t="shared" si="16"/>
        <v>810.04728</v>
      </c>
    </row>
    <row r="157" spans="1:19">
      <c r="A157" s="66">
        <v>45664</v>
      </c>
      <c r="B157" s="24" t="s">
        <v>18</v>
      </c>
      <c r="C157" s="4">
        <v>21398</v>
      </c>
      <c r="D157" s="5">
        <v>15780</v>
      </c>
      <c r="E157" s="4">
        <v>13471</v>
      </c>
      <c r="F157" s="4">
        <v>15529</v>
      </c>
      <c r="G157" s="4">
        <f t="shared" si="13"/>
        <v>16544.5</v>
      </c>
      <c r="H157" s="7">
        <f t="shared" si="12"/>
        <v>4.1361249999999998</v>
      </c>
      <c r="I157" s="9">
        <f t="shared" si="17"/>
        <v>1</v>
      </c>
      <c r="J157" s="9">
        <f t="shared" si="14"/>
        <v>5.1361249999999998</v>
      </c>
      <c r="K157" s="10">
        <f t="shared" si="15"/>
        <v>6</v>
      </c>
      <c r="O157" s="36">
        <f>'DHS25'!C156</f>
        <v>14725</v>
      </c>
      <c r="P157" s="37">
        <f>'DHS25'!D156</f>
        <v>4157</v>
      </c>
      <c r="Q157" s="37">
        <f>'DHS25'!E156</f>
        <v>6008</v>
      </c>
      <c r="R157" s="38">
        <v>123.19</v>
      </c>
      <c r="S157" s="39">
        <f t="shared" si="16"/>
        <v>740.12551999999994</v>
      </c>
    </row>
    <row r="158" spans="1:19">
      <c r="A158" s="66">
        <v>45664</v>
      </c>
      <c r="B158" s="24" t="s">
        <v>19</v>
      </c>
      <c r="C158" s="4">
        <v>19425</v>
      </c>
      <c r="D158" s="5">
        <v>14913</v>
      </c>
      <c r="E158" s="4">
        <v>13105</v>
      </c>
      <c r="F158" s="4">
        <v>16551</v>
      </c>
      <c r="G158" s="4">
        <f t="shared" si="13"/>
        <v>15998.5</v>
      </c>
      <c r="H158" s="7">
        <f t="shared" si="12"/>
        <v>3.999625</v>
      </c>
      <c r="I158" s="9">
        <f t="shared" si="17"/>
        <v>1</v>
      </c>
      <c r="J158" s="9">
        <f t="shared" si="14"/>
        <v>4.999625</v>
      </c>
      <c r="K158" s="10">
        <f t="shared" si="15"/>
        <v>5</v>
      </c>
      <c r="O158" s="36">
        <f>'DHS25'!C157</f>
        <v>13246</v>
      </c>
      <c r="P158" s="37">
        <f>'DHS25'!D157</f>
        <v>1510</v>
      </c>
      <c r="Q158" s="37">
        <f>'DHS25'!E157</f>
        <v>4976</v>
      </c>
      <c r="R158" s="38">
        <v>123.1</v>
      </c>
      <c r="S158" s="39">
        <f t="shared" si="16"/>
        <v>612.54559999999992</v>
      </c>
    </row>
    <row r="159" spans="1:19">
      <c r="A159" s="66">
        <v>45664</v>
      </c>
      <c r="B159" s="24" t="s">
        <v>20</v>
      </c>
      <c r="C159" s="4">
        <v>19131</v>
      </c>
      <c r="D159" s="5">
        <v>15701</v>
      </c>
      <c r="E159" s="4">
        <v>13085</v>
      </c>
      <c r="F159" s="4">
        <v>16936</v>
      </c>
      <c r="G159" s="4">
        <f t="shared" si="13"/>
        <v>16213.25</v>
      </c>
      <c r="H159" s="7">
        <f t="shared" si="12"/>
        <v>4.0533124999999997</v>
      </c>
      <c r="I159" s="9">
        <f t="shared" si="17"/>
        <v>1</v>
      </c>
      <c r="J159" s="9">
        <f t="shared" si="14"/>
        <v>5.0533124999999997</v>
      </c>
      <c r="K159" s="10">
        <f t="shared" si="15"/>
        <v>6</v>
      </c>
      <c r="O159" s="36">
        <f>'DHS25'!C158</f>
        <v>12582</v>
      </c>
      <c r="P159" s="37">
        <f>'DHS25'!D158</f>
        <v>7013</v>
      </c>
      <c r="Q159" s="37">
        <f>'DHS25'!E158</f>
        <v>6015</v>
      </c>
      <c r="R159" s="38">
        <v>124.95</v>
      </c>
      <c r="S159" s="39">
        <f t="shared" si="16"/>
        <v>751.57425000000001</v>
      </c>
    </row>
    <row r="160" spans="1:19">
      <c r="A160" s="66">
        <v>45664</v>
      </c>
      <c r="B160" s="24" t="s">
        <v>21</v>
      </c>
      <c r="C160" s="4">
        <v>20157</v>
      </c>
      <c r="D160" s="5">
        <v>15939</v>
      </c>
      <c r="E160" s="4">
        <v>12821</v>
      </c>
      <c r="F160" s="4">
        <v>17883</v>
      </c>
      <c r="G160" s="4">
        <f t="shared" si="13"/>
        <v>16700</v>
      </c>
      <c r="H160" s="7">
        <f t="shared" si="12"/>
        <v>4.1749999999999998</v>
      </c>
      <c r="I160" s="9">
        <f t="shared" si="17"/>
        <v>1</v>
      </c>
      <c r="J160" s="9">
        <f t="shared" si="14"/>
        <v>5.1749999999999998</v>
      </c>
      <c r="K160" s="10">
        <f t="shared" si="15"/>
        <v>6</v>
      </c>
      <c r="O160" s="36">
        <f>'DHS25'!C159</f>
        <v>11969</v>
      </c>
      <c r="P160" s="37">
        <f>'DHS25'!D159</f>
        <v>7020</v>
      </c>
      <c r="Q160" s="37">
        <f>'DHS25'!E159</f>
        <v>6002</v>
      </c>
      <c r="R160" s="38">
        <v>136.77000000000001</v>
      </c>
      <c r="S160" s="39">
        <f t="shared" si="16"/>
        <v>820.89354000000003</v>
      </c>
    </row>
    <row r="161" spans="1:19">
      <c r="A161" s="66">
        <v>45664</v>
      </c>
      <c r="B161" s="24" t="s">
        <v>22</v>
      </c>
      <c r="C161" s="4">
        <v>20251</v>
      </c>
      <c r="D161" s="5">
        <v>15196</v>
      </c>
      <c r="E161" s="4">
        <v>12793</v>
      </c>
      <c r="F161" s="4">
        <v>18453</v>
      </c>
      <c r="G161" s="4">
        <f t="shared" si="13"/>
        <v>16673.25</v>
      </c>
      <c r="H161" s="7">
        <f t="shared" si="12"/>
        <v>4.1683124999999999</v>
      </c>
      <c r="I161" s="9">
        <f t="shared" si="17"/>
        <v>1</v>
      </c>
      <c r="J161" s="9">
        <f t="shared" si="14"/>
        <v>5.1683124999999999</v>
      </c>
      <c r="K161" s="10">
        <f t="shared" si="15"/>
        <v>6</v>
      </c>
      <c r="O161" s="36">
        <f>'DHS25'!C160</f>
        <v>13010</v>
      </c>
      <c r="P161" s="37">
        <f>'DHS25'!D160</f>
        <v>5404</v>
      </c>
      <c r="Q161" s="37">
        <f>'DHS25'!E160</f>
        <v>5992</v>
      </c>
      <c r="R161" s="38">
        <v>141.21</v>
      </c>
      <c r="S161" s="39">
        <f t="shared" si="16"/>
        <v>846.1303200000001</v>
      </c>
    </row>
    <row r="162" spans="1:19">
      <c r="A162" s="66">
        <v>45664</v>
      </c>
      <c r="B162" s="24" t="s">
        <v>23</v>
      </c>
      <c r="C162" s="4">
        <v>19701</v>
      </c>
      <c r="D162" s="5">
        <v>14996</v>
      </c>
      <c r="E162" s="4">
        <v>12413</v>
      </c>
      <c r="F162" s="4">
        <v>18900</v>
      </c>
      <c r="G162" s="4">
        <f t="shared" si="13"/>
        <v>16502.5</v>
      </c>
      <c r="H162" s="7">
        <f t="shared" si="12"/>
        <v>4.1256250000000003</v>
      </c>
      <c r="I162" s="9">
        <f t="shared" si="17"/>
        <v>1</v>
      </c>
      <c r="J162" s="9">
        <f t="shared" si="14"/>
        <v>5.1256250000000003</v>
      </c>
      <c r="K162" s="10">
        <f t="shared" si="15"/>
        <v>6</v>
      </c>
      <c r="O162" s="36">
        <f>'DHS25'!C161</f>
        <v>13472</v>
      </c>
      <c r="P162" s="37">
        <f>'DHS25'!D161</f>
        <v>4806</v>
      </c>
      <c r="Q162" s="37">
        <f>'DHS25'!E161</f>
        <v>5996</v>
      </c>
      <c r="R162" s="38">
        <v>142.29</v>
      </c>
      <c r="S162" s="39">
        <f t="shared" si="16"/>
        <v>853.17084</v>
      </c>
    </row>
    <row r="163" spans="1:19">
      <c r="A163" s="66">
        <v>45664</v>
      </c>
      <c r="B163" s="24" t="s">
        <v>24</v>
      </c>
      <c r="C163" s="4">
        <v>21163</v>
      </c>
      <c r="D163" s="5">
        <v>15407</v>
      </c>
      <c r="E163" s="4">
        <v>12563</v>
      </c>
      <c r="F163" s="4">
        <v>17902</v>
      </c>
      <c r="G163" s="4">
        <f t="shared" si="13"/>
        <v>16758.75</v>
      </c>
      <c r="H163" s="7">
        <f t="shared" si="12"/>
        <v>4.1896874999999998</v>
      </c>
      <c r="I163" s="9">
        <f t="shared" si="17"/>
        <v>1</v>
      </c>
      <c r="J163" s="9">
        <f t="shared" si="14"/>
        <v>5.1896874999999998</v>
      </c>
      <c r="K163" s="10">
        <f t="shared" si="15"/>
        <v>6</v>
      </c>
      <c r="O163" s="36">
        <f>'DHS25'!C162</f>
        <v>13331</v>
      </c>
      <c r="P163" s="37">
        <f>'DHS25'!D162</f>
        <v>4782</v>
      </c>
      <c r="Q163" s="37">
        <f>'DHS25'!E162</f>
        <v>6002</v>
      </c>
      <c r="R163" s="38">
        <v>167.75</v>
      </c>
      <c r="S163" s="39">
        <f t="shared" si="16"/>
        <v>1006.8354999999999</v>
      </c>
    </row>
    <row r="164" spans="1:19">
      <c r="A164" s="66">
        <v>45664</v>
      </c>
      <c r="B164" s="24" t="s">
        <v>25</v>
      </c>
      <c r="C164" s="4">
        <v>21591</v>
      </c>
      <c r="D164" s="5">
        <v>15266</v>
      </c>
      <c r="E164" s="4">
        <v>13355</v>
      </c>
      <c r="F164" s="4">
        <v>15930</v>
      </c>
      <c r="G164" s="4">
        <f t="shared" si="13"/>
        <v>16535.5</v>
      </c>
      <c r="H164" s="7">
        <f t="shared" si="12"/>
        <v>4.1338749999999997</v>
      </c>
      <c r="I164" s="9">
        <f t="shared" si="17"/>
        <v>1</v>
      </c>
      <c r="J164" s="9">
        <f t="shared" si="14"/>
        <v>5.1338749999999997</v>
      </c>
      <c r="K164" s="10">
        <f t="shared" si="15"/>
        <v>6</v>
      </c>
      <c r="O164" s="36">
        <f>'DHS25'!C163</f>
        <v>13779</v>
      </c>
      <c r="P164" s="37">
        <f>'DHS25'!D163</f>
        <v>4443</v>
      </c>
      <c r="Q164" s="37">
        <f>'DHS25'!E163</f>
        <v>5992</v>
      </c>
      <c r="R164" s="38">
        <v>135</v>
      </c>
      <c r="S164" s="39">
        <f t="shared" si="16"/>
        <v>808.92</v>
      </c>
    </row>
    <row r="165" spans="1:19">
      <c r="A165" s="66">
        <v>45664</v>
      </c>
      <c r="B165" s="24" t="s">
        <v>26</v>
      </c>
      <c r="C165" s="4">
        <v>21603</v>
      </c>
      <c r="D165" s="5">
        <v>16096</v>
      </c>
      <c r="E165" s="4">
        <v>12946</v>
      </c>
      <c r="F165" s="4">
        <v>17648</v>
      </c>
      <c r="G165" s="4">
        <f t="shared" si="13"/>
        <v>17073.25</v>
      </c>
      <c r="H165" s="7">
        <f t="shared" si="12"/>
        <v>4.2683125000000004</v>
      </c>
      <c r="I165" s="9">
        <f t="shared" si="17"/>
        <v>1</v>
      </c>
      <c r="J165" s="9">
        <f t="shared" si="14"/>
        <v>5.2683125000000004</v>
      </c>
      <c r="K165" s="10">
        <f t="shared" si="15"/>
        <v>6</v>
      </c>
      <c r="O165" s="36">
        <f>'DHS25'!C164</f>
        <v>14163</v>
      </c>
      <c r="P165" s="37">
        <f>'DHS25'!D164</f>
        <v>4457</v>
      </c>
      <c r="Q165" s="37">
        <f>'DHS25'!E164</f>
        <v>5995</v>
      </c>
      <c r="R165" s="38">
        <v>140</v>
      </c>
      <c r="S165" s="39">
        <f t="shared" si="16"/>
        <v>839.30000000000007</v>
      </c>
    </row>
    <row r="166" spans="1:19">
      <c r="A166" s="66">
        <v>45664</v>
      </c>
      <c r="B166" s="24" t="s">
        <v>27</v>
      </c>
      <c r="C166" s="4">
        <v>21052</v>
      </c>
      <c r="D166" s="5">
        <v>16098</v>
      </c>
      <c r="E166" s="4">
        <v>12848</v>
      </c>
      <c r="F166" s="4">
        <v>18268</v>
      </c>
      <c r="G166" s="4">
        <f t="shared" si="13"/>
        <v>17066.5</v>
      </c>
      <c r="H166" s="7">
        <f t="shared" si="12"/>
        <v>4.2666250000000003</v>
      </c>
      <c r="I166" s="9">
        <f t="shared" si="17"/>
        <v>1</v>
      </c>
      <c r="J166" s="9">
        <f t="shared" si="14"/>
        <v>5.2666250000000003</v>
      </c>
      <c r="K166" s="10">
        <f t="shared" si="15"/>
        <v>6</v>
      </c>
      <c r="O166" s="36">
        <f>'DHS25'!C165</f>
        <v>13583</v>
      </c>
      <c r="P166" s="37">
        <f>'DHS25'!D165</f>
        <v>4278</v>
      </c>
      <c r="Q166" s="37">
        <f>'DHS25'!E165</f>
        <v>5997</v>
      </c>
      <c r="R166" s="38">
        <v>177.08</v>
      </c>
      <c r="S166" s="39">
        <f t="shared" si="16"/>
        <v>1061.94876</v>
      </c>
    </row>
    <row r="167" spans="1:19">
      <c r="A167" s="66">
        <v>45664</v>
      </c>
      <c r="B167" s="24" t="s">
        <v>28</v>
      </c>
      <c r="C167" s="4">
        <v>22090</v>
      </c>
      <c r="D167" s="5">
        <v>15971</v>
      </c>
      <c r="E167" s="4">
        <v>13645</v>
      </c>
      <c r="F167" s="4">
        <v>19028</v>
      </c>
      <c r="G167" s="4">
        <f t="shared" si="13"/>
        <v>17683.5</v>
      </c>
      <c r="H167" s="7">
        <f t="shared" si="12"/>
        <v>4.4208749999999997</v>
      </c>
      <c r="I167" s="9">
        <f t="shared" si="17"/>
        <v>1</v>
      </c>
      <c r="J167" s="9">
        <f t="shared" si="14"/>
        <v>5.4208749999999997</v>
      </c>
      <c r="K167" s="10">
        <f t="shared" si="15"/>
        <v>6</v>
      </c>
      <c r="O167" s="36">
        <f>'DHS25'!C166</f>
        <v>14759</v>
      </c>
      <c r="P167" s="37">
        <f>'DHS25'!D166</f>
        <v>4179</v>
      </c>
      <c r="Q167" s="37">
        <f>'DHS25'!E166</f>
        <v>5990</v>
      </c>
      <c r="R167" s="38">
        <v>170.61</v>
      </c>
      <c r="S167" s="39">
        <f t="shared" si="16"/>
        <v>1021.9539000000001</v>
      </c>
    </row>
    <row r="168" spans="1:19">
      <c r="A168" s="66">
        <v>45664</v>
      </c>
      <c r="B168" s="24" t="s">
        <v>29</v>
      </c>
      <c r="C168" s="4">
        <v>22734</v>
      </c>
      <c r="D168" s="5">
        <v>15323</v>
      </c>
      <c r="E168" s="4">
        <v>14937</v>
      </c>
      <c r="F168" s="4">
        <v>19766</v>
      </c>
      <c r="G168" s="4">
        <f t="shared" si="13"/>
        <v>18190</v>
      </c>
      <c r="H168" s="7">
        <f t="shared" si="12"/>
        <v>4.5475000000000003</v>
      </c>
      <c r="I168" s="9">
        <f t="shared" si="17"/>
        <v>1</v>
      </c>
      <c r="J168" s="9">
        <f t="shared" si="14"/>
        <v>5.5475000000000003</v>
      </c>
      <c r="K168" s="10">
        <f t="shared" si="15"/>
        <v>6</v>
      </c>
      <c r="O168" s="36">
        <f>'DHS25'!C167</f>
        <v>16750</v>
      </c>
      <c r="P168" s="37">
        <f>'DHS25'!D167</f>
        <v>2303</v>
      </c>
      <c r="Q168" s="37">
        <f>'DHS25'!E167</f>
        <v>6011</v>
      </c>
      <c r="R168" s="38">
        <v>154.11000000000001</v>
      </c>
      <c r="S168" s="39">
        <f t="shared" si="16"/>
        <v>926.35521000000006</v>
      </c>
    </row>
    <row r="169" spans="1:19">
      <c r="A169" s="66">
        <v>45664</v>
      </c>
      <c r="B169" s="24" t="s">
        <v>30</v>
      </c>
      <c r="C169" s="4">
        <v>19939</v>
      </c>
      <c r="D169" s="5">
        <v>15005</v>
      </c>
      <c r="E169" s="4">
        <v>9990</v>
      </c>
      <c r="F169" s="4">
        <v>16584</v>
      </c>
      <c r="G169" s="4">
        <f t="shared" si="13"/>
        <v>15379.5</v>
      </c>
      <c r="H169" s="7">
        <f t="shared" si="12"/>
        <v>3.844875</v>
      </c>
      <c r="I169" s="9">
        <f t="shared" si="17"/>
        <v>1</v>
      </c>
      <c r="J169" s="9">
        <f t="shared" si="14"/>
        <v>4.844875</v>
      </c>
      <c r="K169" s="10">
        <f t="shared" si="15"/>
        <v>5</v>
      </c>
      <c r="O169" s="36">
        <f>'DHS25'!C168</f>
        <v>14422</v>
      </c>
      <c r="P169" s="37">
        <f>'DHS25'!D168</f>
        <v>2430</v>
      </c>
      <c r="Q169" s="37">
        <f>'DHS25'!E168</f>
        <v>5128</v>
      </c>
      <c r="R169" s="38">
        <v>138.85</v>
      </c>
      <c r="S169" s="39">
        <f t="shared" si="16"/>
        <v>712.02279999999996</v>
      </c>
    </row>
    <row r="170" spans="1:19">
      <c r="A170" s="66">
        <v>45664</v>
      </c>
      <c r="B170" s="24" t="s">
        <v>31</v>
      </c>
      <c r="C170" s="4">
        <v>9063</v>
      </c>
      <c r="D170" s="5">
        <v>7720</v>
      </c>
      <c r="E170" s="4">
        <v>5304</v>
      </c>
      <c r="F170" s="4">
        <v>11059</v>
      </c>
      <c r="G170" s="4">
        <f t="shared" si="13"/>
        <v>8286.5</v>
      </c>
      <c r="H170" s="7">
        <f t="shared" si="12"/>
        <v>2.071625</v>
      </c>
      <c r="I170" s="9">
        <f t="shared" si="17"/>
        <v>1</v>
      </c>
      <c r="J170" s="9">
        <f t="shared" si="14"/>
        <v>3.071625</v>
      </c>
      <c r="K170" s="10">
        <f t="shared" si="15"/>
        <v>4</v>
      </c>
      <c r="O170" s="36">
        <f>'DHS25'!C169</f>
        <v>5624</v>
      </c>
      <c r="P170" s="37">
        <f>'DHS25'!D169</f>
        <v>5734</v>
      </c>
      <c r="Q170" s="37">
        <f>'DHS25'!E169</f>
        <v>4037</v>
      </c>
      <c r="R170" s="38">
        <v>99.83</v>
      </c>
      <c r="S170" s="39">
        <f t="shared" si="16"/>
        <v>403.01371</v>
      </c>
    </row>
    <row r="171" spans="1:19">
      <c r="A171" s="67">
        <v>45665</v>
      </c>
      <c r="B171" s="25" t="s">
        <v>8</v>
      </c>
      <c r="C171" s="4">
        <v>10316</v>
      </c>
      <c r="D171" s="5">
        <v>7333</v>
      </c>
      <c r="E171" s="4">
        <v>4176</v>
      </c>
      <c r="F171" s="4">
        <v>10235</v>
      </c>
      <c r="G171" s="4">
        <f t="shared" si="13"/>
        <v>8015</v>
      </c>
      <c r="H171" s="7">
        <f t="shared" si="12"/>
        <v>2.0037500000000001</v>
      </c>
      <c r="I171" s="9">
        <f t="shared" si="17"/>
        <v>1</v>
      </c>
      <c r="J171" s="9">
        <f t="shared" si="14"/>
        <v>3.0037500000000001</v>
      </c>
      <c r="K171" s="10">
        <f t="shared" si="15"/>
        <v>4</v>
      </c>
      <c r="O171" s="36">
        <f>'DHS25'!C170</f>
        <v>6367</v>
      </c>
      <c r="P171" s="37">
        <f>'DHS25'!D170</f>
        <v>7010</v>
      </c>
      <c r="Q171" s="37">
        <f>'DHS25'!E170</f>
        <v>4003</v>
      </c>
      <c r="R171" s="38">
        <v>85.1</v>
      </c>
      <c r="S171" s="39">
        <f t="shared" si="16"/>
        <v>340.65530000000001</v>
      </c>
    </row>
    <row r="172" spans="1:19">
      <c r="A172" s="67">
        <v>45665</v>
      </c>
      <c r="B172" s="25" t="s">
        <v>9</v>
      </c>
      <c r="C172" s="4">
        <v>14218</v>
      </c>
      <c r="D172" s="5">
        <v>7972</v>
      </c>
      <c r="E172" s="4">
        <v>5464</v>
      </c>
      <c r="F172" s="4">
        <v>14350</v>
      </c>
      <c r="G172" s="4">
        <f t="shared" si="13"/>
        <v>10501</v>
      </c>
      <c r="H172" s="7">
        <f t="shared" si="12"/>
        <v>2.6252499999999999</v>
      </c>
      <c r="I172" s="9">
        <f t="shared" si="17"/>
        <v>1</v>
      </c>
      <c r="J172" s="9">
        <f t="shared" si="14"/>
        <v>3.6252499999999999</v>
      </c>
      <c r="K172" s="10">
        <f t="shared" si="15"/>
        <v>4</v>
      </c>
      <c r="O172" s="36">
        <f>'DHS25'!C171</f>
        <v>6657</v>
      </c>
      <c r="P172" s="37">
        <f>'DHS25'!D171</f>
        <v>4731</v>
      </c>
      <c r="Q172" s="37">
        <f>'DHS25'!E171</f>
        <v>3957</v>
      </c>
      <c r="R172" s="38">
        <v>74.81</v>
      </c>
      <c r="S172" s="39">
        <f t="shared" si="16"/>
        <v>296.02316999999999</v>
      </c>
    </row>
    <row r="173" spans="1:19">
      <c r="A173" s="67">
        <v>45665</v>
      </c>
      <c r="B173" s="25" t="s">
        <v>10</v>
      </c>
      <c r="C173" s="4">
        <v>14136</v>
      </c>
      <c r="D173" s="5">
        <v>9571</v>
      </c>
      <c r="E173" s="4">
        <v>5968</v>
      </c>
      <c r="F173" s="4">
        <v>13768</v>
      </c>
      <c r="G173" s="4">
        <f t="shared" si="13"/>
        <v>10860.75</v>
      </c>
      <c r="H173" s="7">
        <f t="shared" si="12"/>
        <v>2.7151874999999999</v>
      </c>
      <c r="I173" s="9">
        <f t="shared" si="17"/>
        <v>1</v>
      </c>
      <c r="J173" s="9">
        <f t="shared" si="14"/>
        <v>3.7151874999999999</v>
      </c>
      <c r="K173" s="10">
        <f t="shared" si="15"/>
        <v>4</v>
      </c>
      <c r="O173" s="36">
        <f>'DHS25'!C172</f>
        <v>9495</v>
      </c>
      <c r="P173" s="37">
        <f>'DHS25'!D172</f>
        <v>4234</v>
      </c>
      <c r="Q173" s="37">
        <f>'DHS25'!E172</f>
        <v>3991</v>
      </c>
      <c r="R173" s="38">
        <v>72.83</v>
      </c>
      <c r="S173" s="39">
        <f t="shared" si="16"/>
        <v>290.66453000000001</v>
      </c>
    </row>
    <row r="174" spans="1:19">
      <c r="A174" s="67">
        <v>45665</v>
      </c>
      <c r="B174" s="25" t="s">
        <v>11</v>
      </c>
      <c r="C174" s="4">
        <v>14548</v>
      </c>
      <c r="D174" s="5">
        <v>10365</v>
      </c>
      <c r="E174" s="4">
        <v>6657</v>
      </c>
      <c r="F174" s="4">
        <v>15288</v>
      </c>
      <c r="G174" s="4">
        <f t="shared" si="13"/>
        <v>11714.5</v>
      </c>
      <c r="H174" s="7">
        <f t="shared" si="12"/>
        <v>2.9286249999999998</v>
      </c>
      <c r="I174" s="9">
        <f t="shared" si="17"/>
        <v>1</v>
      </c>
      <c r="J174" s="9">
        <f t="shared" si="14"/>
        <v>3.9286249999999998</v>
      </c>
      <c r="K174" s="10">
        <f t="shared" si="15"/>
        <v>4</v>
      </c>
      <c r="O174" s="36">
        <f>'DHS25'!C173</f>
        <v>9808</v>
      </c>
      <c r="P174" s="37">
        <f>'DHS25'!D173</f>
        <v>4490</v>
      </c>
      <c r="Q174" s="37">
        <f>'DHS25'!E173</f>
        <v>4015</v>
      </c>
      <c r="R174" s="38">
        <v>70.87</v>
      </c>
      <c r="S174" s="39">
        <f t="shared" si="16"/>
        <v>284.54304999999999</v>
      </c>
    </row>
    <row r="175" spans="1:19">
      <c r="A175" s="67">
        <v>45665</v>
      </c>
      <c r="B175" s="25" t="s">
        <v>12</v>
      </c>
      <c r="C175" s="4">
        <v>22696</v>
      </c>
      <c r="D175" s="5">
        <v>18710</v>
      </c>
      <c r="E175" s="4">
        <v>16188</v>
      </c>
      <c r="F175" s="4">
        <v>16333</v>
      </c>
      <c r="G175" s="4">
        <f t="shared" si="13"/>
        <v>18481.75</v>
      </c>
      <c r="H175" s="7">
        <f t="shared" si="12"/>
        <v>4.6204375000000004</v>
      </c>
      <c r="I175" s="9">
        <f t="shared" si="17"/>
        <v>1</v>
      </c>
      <c r="J175" s="9">
        <f t="shared" si="14"/>
        <v>5.6204375000000004</v>
      </c>
      <c r="K175" s="10">
        <f t="shared" si="15"/>
        <v>6</v>
      </c>
      <c r="O175" s="36">
        <f>'DHS25'!C174</f>
        <v>18989</v>
      </c>
      <c r="P175" s="37">
        <f>'DHS25'!D174</f>
        <v>281</v>
      </c>
      <c r="Q175" s="37">
        <f>'DHS25'!E174</f>
        <v>5975</v>
      </c>
      <c r="R175" s="38">
        <v>83.18</v>
      </c>
      <c r="S175" s="39">
        <f t="shared" si="16"/>
        <v>497.00049999999999</v>
      </c>
    </row>
    <row r="176" spans="1:19">
      <c r="A176" s="67">
        <v>45665</v>
      </c>
      <c r="B176" s="25" t="s">
        <v>13</v>
      </c>
      <c r="C176" s="4">
        <v>23574</v>
      </c>
      <c r="D176" s="5">
        <v>18789</v>
      </c>
      <c r="E176" s="4">
        <v>16540</v>
      </c>
      <c r="F176" s="4">
        <v>20589</v>
      </c>
      <c r="G176" s="4">
        <f t="shared" si="13"/>
        <v>19873</v>
      </c>
      <c r="H176" s="7">
        <f t="shared" si="12"/>
        <v>4.9682500000000003</v>
      </c>
      <c r="I176" s="9">
        <f t="shared" si="17"/>
        <v>1</v>
      </c>
      <c r="J176" s="9">
        <f t="shared" si="14"/>
        <v>5.9682500000000003</v>
      </c>
      <c r="K176" s="10">
        <f t="shared" si="15"/>
        <v>6</v>
      </c>
      <c r="O176" s="36">
        <f>'DHS25'!C175</f>
        <v>18716</v>
      </c>
      <c r="P176" s="37">
        <f>'DHS25'!D175</f>
        <v>76</v>
      </c>
      <c r="Q176" s="37">
        <f>'DHS25'!E175</f>
        <v>5994</v>
      </c>
      <c r="R176" s="38">
        <v>120.17</v>
      </c>
      <c r="S176" s="39">
        <f t="shared" si="16"/>
        <v>720.29898000000003</v>
      </c>
    </row>
    <row r="177" spans="1:19">
      <c r="A177" s="67">
        <v>45665</v>
      </c>
      <c r="B177" s="25" t="s">
        <v>14</v>
      </c>
      <c r="C177" s="4">
        <v>23862</v>
      </c>
      <c r="D177" s="5">
        <v>18595</v>
      </c>
      <c r="E177" s="4">
        <v>12302</v>
      </c>
      <c r="F177" s="4">
        <v>21789</v>
      </c>
      <c r="G177" s="4">
        <f t="shared" si="13"/>
        <v>19137</v>
      </c>
      <c r="H177" s="7">
        <f t="shared" si="12"/>
        <v>4.7842500000000001</v>
      </c>
      <c r="I177" s="9">
        <f t="shared" si="17"/>
        <v>1</v>
      </c>
      <c r="J177" s="9">
        <f t="shared" si="14"/>
        <v>5.7842500000000001</v>
      </c>
      <c r="K177" s="10">
        <f t="shared" si="15"/>
        <v>6</v>
      </c>
      <c r="O177" s="36">
        <f>'DHS25'!C176</f>
        <v>21593</v>
      </c>
      <c r="P177" s="37">
        <f>'DHS25'!D176</f>
        <v>3172</v>
      </c>
      <c r="Q177" s="37">
        <f>'DHS25'!E176</f>
        <v>7667</v>
      </c>
      <c r="R177" s="38">
        <v>137.36000000000001</v>
      </c>
      <c r="S177" s="39">
        <f t="shared" si="16"/>
        <v>1053.13912</v>
      </c>
    </row>
    <row r="178" spans="1:19">
      <c r="A178" s="67">
        <v>45665</v>
      </c>
      <c r="B178" s="25" t="s">
        <v>15</v>
      </c>
      <c r="C178" s="4">
        <v>23445</v>
      </c>
      <c r="D178" s="5">
        <v>15627</v>
      </c>
      <c r="E178" s="4">
        <v>11913</v>
      </c>
      <c r="F178" s="4">
        <v>21039</v>
      </c>
      <c r="G178" s="4">
        <f t="shared" si="13"/>
        <v>18006</v>
      </c>
      <c r="H178" s="7">
        <f t="shared" si="12"/>
        <v>4.5015000000000001</v>
      </c>
      <c r="I178" s="9">
        <f t="shared" si="17"/>
        <v>1</v>
      </c>
      <c r="J178" s="9">
        <f t="shared" si="14"/>
        <v>5.5015000000000001</v>
      </c>
      <c r="K178" s="10">
        <f t="shared" si="15"/>
        <v>6</v>
      </c>
      <c r="O178" s="36">
        <f>'DHS25'!C177</f>
        <v>18128</v>
      </c>
      <c r="P178" s="37">
        <f>'DHS25'!D177</f>
        <v>4810</v>
      </c>
      <c r="Q178" s="37">
        <f>'DHS25'!E177</f>
        <v>7378</v>
      </c>
      <c r="R178" s="38">
        <v>170.1</v>
      </c>
      <c r="S178" s="39">
        <f t="shared" si="16"/>
        <v>1254.9977999999999</v>
      </c>
    </row>
    <row r="179" spans="1:19">
      <c r="A179" s="67">
        <v>45665</v>
      </c>
      <c r="B179" s="25" t="s">
        <v>16</v>
      </c>
      <c r="C179" s="4">
        <v>20351</v>
      </c>
      <c r="D179" s="5">
        <v>16009</v>
      </c>
      <c r="E179" s="4">
        <v>12008</v>
      </c>
      <c r="F179" s="4">
        <v>19923</v>
      </c>
      <c r="G179" s="4">
        <f t="shared" si="13"/>
        <v>17072.75</v>
      </c>
      <c r="H179" s="7">
        <f t="shared" si="12"/>
        <v>4.2681874999999998</v>
      </c>
      <c r="I179" s="9">
        <f t="shared" si="17"/>
        <v>1</v>
      </c>
      <c r="J179" s="9">
        <f t="shared" si="14"/>
        <v>5.2681874999999998</v>
      </c>
      <c r="K179" s="10">
        <f t="shared" si="15"/>
        <v>6</v>
      </c>
      <c r="O179" s="36">
        <f>'DHS25'!C178</f>
        <v>16172</v>
      </c>
      <c r="P179" s="37">
        <f>'DHS25'!D178</f>
        <v>7498</v>
      </c>
      <c r="Q179" s="37">
        <f>'DHS25'!E178</f>
        <v>8004</v>
      </c>
      <c r="R179" s="38">
        <v>160</v>
      </c>
      <c r="S179" s="39">
        <f t="shared" si="16"/>
        <v>1280.6399999999999</v>
      </c>
    </row>
    <row r="180" spans="1:19">
      <c r="A180" s="67">
        <v>45665</v>
      </c>
      <c r="B180" s="25" t="s">
        <v>17</v>
      </c>
      <c r="C180" s="4">
        <v>20988</v>
      </c>
      <c r="D180" s="5">
        <v>15815</v>
      </c>
      <c r="E180" s="4">
        <v>12794</v>
      </c>
      <c r="F180" s="4">
        <v>22243</v>
      </c>
      <c r="G180" s="4">
        <f t="shared" si="13"/>
        <v>17960</v>
      </c>
      <c r="H180" s="7">
        <f t="shared" si="12"/>
        <v>4.49</v>
      </c>
      <c r="I180" s="9">
        <f t="shared" si="17"/>
        <v>1</v>
      </c>
      <c r="J180" s="9">
        <f t="shared" si="14"/>
        <v>5.49</v>
      </c>
      <c r="K180" s="10">
        <f t="shared" si="15"/>
        <v>6</v>
      </c>
      <c r="O180" s="36">
        <f>'DHS25'!C179</f>
        <v>18014</v>
      </c>
      <c r="P180" s="37">
        <f>'DHS25'!D179</f>
        <v>3330</v>
      </c>
      <c r="Q180" s="37">
        <f>'DHS25'!E179</f>
        <v>6960</v>
      </c>
      <c r="R180" s="38">
        <v>125.56</v>
      </c>
      <c r="S180" s="39">
        <f t="shared" si="16"/>
        <v>873.89760000000001</v>
      </c>
    </row>
    <row r="181" spans="1:19">
      <c r="A181" s="67">
        <v>45665</v>
      </c>
      <c r="B181" s="25" t="s">
        <v>18</v>
      </c>
      <c r="C181" s="4">
        <v>19986</v>
      </c>
      <c r="D181" s="5">
        <v>16103</v>
      </c>
      <c r="E181" s="4">
        <v>12727</v>
      </c>
      <c r="F181" s="4">
        <v>21006</v>
      </c>
      <c r="G181" s="4">
        <f t="shared" si="13"/>
        <v>17455.5</v>
      </c>
      <c r="H181" s="7">
        <f t="shared" si="12"/>
        <v>4.3638750000000002</v>
      </c>
      <c r="I181" s="9">
        <f t="shared" si="17"/>
        <v>1</v>
      </c>
      <c r="J181" s="9">
        <f t="shared" si="14"/>
        <v>5.3638750000000002</v>
      </c>
      <c r="K181" s="10">
        <f t="shared" si="15"/>
        <v>6</v>
      </c>
      <c r="O181" s="36">
        <f>'DHS25'!C180</f>
        <v>16098</v>
      </c>
      <c r="P181" s="37">
        <f>'DHS25'!D180</f>
        <v>2873</v>
      </c>
      <c r="Q181" s="37">
        <f>'DHS25'!E180</f>
        <v>6006</v>
      </c>
      <c r="R181" s="38">
        <v>107.04</v>
      </c>
      <c r="S181" s="39">
        <f t="shared" si="16"/>
        <v>642.88224000000002</v>
      </c>
    </row>
    <row r="182" spans="1:19">
      <c r="A182" s="67">
        <v>45665</v>
      </c>
      <c r="B182" s="25" t="s">
        <v>19</v>
      </c>
      <c r="C182" s="4">
        <v>19262</v>
      </c>
      <c r="D182" s="5">
        <v>16196</v>
      </c>
      <c r="E182" s="4">
        <v>13232</v>
      </c>
      <c r="F182" s="4">
        <v>20112</v>
      </c>
      <c r="G182" s="4">
        <f t="shared" si="13"/>
        <v>17200.5</v>
      </c>
      <c r="H182" s="7">
        <f t="shared" si="12"/>
        <v>4.3001250000000004</v>
      </c>
      <c r="I182" s="9">
        <f t="shared" si="17"/>
        <v>1</v>
      </c>
      <c r="J182" s="9">
        <f t="shared" si="14"/>
        <v>5.3001250000000004</v>
      </c>
      <c r="K182" s="10">
        <f t="shared" si="15"/>
        <v>6</v>
      </c>
      <c r="O182" s="36">
        <f>'DHS25'!C181</f>
        <v>13711</v>
      </c>
      <c r="P182" s="37">
        <f>'DHS25'!D181</f>
        <v>5559</v>
      </c>
      <c r="Q182" s="37">
        <f>'DHS25'!E181</f>
        <v>6015</v>
      </c>
      <c r="R182" s="38">
        <v>102.11</v>
      </c>
      <c r="S182" s="39">
        <f t="shared" si="16"/>
        <v>614.19164999999998</v>
      </c>
    </row>
    <row r="183" spans="1:19">
      <c r="A183" s="67">
        <v>45665</v>
      </c>
      <c r="B183" s="25" t="s">
        <v>20</v>
      </c>
      <c r="C183" s="4">
        <v>18279</v>
      </c>
      <c r="D183" s="5">
        <v>15339</v>
      </c>
      <c r="E183" s="4">
        <v>13057</v>
      </c>
      <c r="F183" s="4">
        <v>19306</v>
      </c>
      <c r="G183" s="4">
        <f t="shared" si="13"/>
        <v>16495.25</v>
      </c>
      <c r="H183" s="7">
        <f t="shared" si="12"/>
        <v>4.1238124999999997</v>
      </c>
      <c r="I183" s="9">
        <f t="shared" si="17"/>
        <v>1</v>
      </c>
      <c r="J183" s="9">
        <f t="shared" si="14"/>
        <v>5.1238124999999997</v>
      </c>
      <c r="K183" s="10">
        <f t="shared" si="15"/>
        <v>6</v>
      </c>
      <c r="O183" s="36">
        <f>'DHS25'!C182</f>
        <v>13655</v>
      </c>
      <c r="P183" s="37">
        <f>'DHS25'!D182</f>
        <v>4780</v>
      </c>
      <c r="Q183" s="37">
        <f>'DHS25'!E182</f>
        <v>6013</v>
      </c>
      <c r="R183" s="38">
        <v>103.82</v>
      </c>
      <c r="S183" s="39">
        <f t="shared" si="16"/>
        <v>624.26965999999993</v>
      </c>
    </row>
    <row r="184" spans="1:19">
      <c r="A184" s="67">
        <v>45665</v>
      </c>
      <c r="B184" s="25" t="s">
        <v>21</v>
      </c>
      <c r="C184" s="4">
        <v>18702</v>
      </c>
      <c r="D184" s="5">
        <v>14758</v>
      </c>
      <c r="E184" s="4">
        <v>13253</v>
      </c>
      <c r="F184" s="4">
        <v>20446</v>
      </c>
      <c r="G184" s="4">
        <f t="shared" si="13"/>
        <v>16789.75</v>
      </c>
      <c r="H184" s="7">
        <f t="shared" si="12"/>
        <v>4.1974375000000004</v>
      </c>
      <c r="I184" s="9">
        <f t="shared" si="17"/>
        <v>1</v>
      </c>
      <c r="J184" s="9">
        <f t="shared" si="14"/>
        <v>5.1974375000000004</v>
      </c>
      <c r="K184" s="10">
        <f t="shared" si="15"/>
        <v>6</v>
      </c>
      <c r="O184" s="36">
        <f>'DHS25'!C183</f>
        <v>14479</v>
      </c>
      <c r="P184" s="37">
        <f>'DHS25'!D183</f>
        <v>4726</v>
      </c>
      <c r="Q184" s="37">
        <f>'DHS25'!E183</f>
        <v>5995</v>
      </c>
      <c r="R184" s="38">
        <v>113.88</v>
      </c>
      <c r="S184" s="39">
        <f t="shared" si="16"/>
        <v>682.7106</v>
      </c>
    </row>
    <row r="185" spans="1:19">
      <c r="A185" s="67">
        <v>45665</v>
      </c>
      <c r="B185" s="25" t="s">
        <v>22</v>
      </c>
      <c r="C185" s="4">
        <v>18702</v>
      </c>
      <c r="D185" s="5">
        <v>15125</v>
      </c>
      <c r="E185" s="4">
        <v>12918</v>
      </c>
      <c r="F185" s="4">
        <v>22148</v>
      </c>
      <c r="G185" s="4">
        <f t="shared" si="13"/>
        <v>17223.25</v>
      </c>
      <c r="H185" s="7">
        <f t="shared" si="12"/>
        <v>4.3058125</v>
      </c>
      <c r="I185" s="9">
        <f t="shared" si="17"/>
        <v>1</v>
      </c>
      <c r="J185" s="9">
        <f t="shared" si="14"/>
        <v>5.3058125</v>
      </c>
      <c r="K185" s="10">
        <f t="shared" si="15"/>
        <v>6</v>
      </c>
      <c r="O185" s="36">
        <f>'DHS25'!C184</f>
        <v>13147</v>
      </c>
      <c r="P185" s="37">
        <f>'DHS25'!D184</f>
        <v>5476</v>
      </c>
      <c r="Q185" s="37">
        <f>'DHS25'!E184</f>
        <v>6001</v>
      </c>
      <c r="R185" s="38">
        <v>123.86</v>
      </c>
      <c r="S185" s="39">
        <f t="shared" si="16"/>
        <v>743.28386</v>
      </c>
    </row>
    <row r="186" spans="1:19">
      <c r="A186" s="67">
        <v>45665</v>
      </c>
      <c r="B186" s="25" t="s">
        <v>23</v>
      </c>
      <c r="C186" s="4">
        <v>18738</v>
      </c>
      <c r="D186" s="5">
        <v>15102</v>
      </c>
      <c r="E186" s="4">
        <v>12979</v>
      </c>
      <c r="F186" s="4">
        <v>19539</v>
      </c>
      <c r="G186" s="4">
        <f t="shared" si="13"/>
        <v>16589.5</v>
      </c>
      <c r="H186" s="7">
        <f t="shared" si="12"/>
        <v>4.1473750000000003</v>
      </c>
      <c r="I186" s="9">
        <f t="shared" si="17"/>
        <v>1</v>
      </c>
      <c r="J186" s="9">
        <f t="shared" si="14"/>
        <v>5.1473750000000003</v>
      </c>
      <c r="K186" s="10">
        <f t="shared" si="15"/>
        <v>6</v>
      </c>
      <c r="O186" s="36">
        <f>'DHS25'!C185</f>
        <v>12974</v>
      </c>
      <c r="P186" s="37">
        <f>'DHS25'!D185</f>
        <v>8211</v>
      </c>
      <c r="Q186" s="37">
        <f>'DHS25'!E185</f>
        <v>7004</v>
      </c>
      <c r="R186" s="38">
        <v>140.54</v>
      </c>
      <c r="S186" s="39">
        <f t="shared" si="16"/>
        <v>984.34215999999992</v>
      </c>
    </row>
    <row r="187" spans="1:19">
      <c r="A187" s="67">
        <v>45665</v>
      </c>
      <c r="B187" s="25" t="s">
        <v>24</v>
      </c>
      <c r="C187" s="4">
        <v>19651</v>
      </c>
      <c r="D187" s="5">
        <v>15198</v>
      </c>
      <c r="E187" s="4">
        <v>12743</v>
      </c>
      <c r="F187" s="4">
        <v>19347</v>
      </c>
      <c r="G187" s="4">
        <f t="shared" si="13"/>
        <v>16734.75</v>
      </c>
      <c r="H187" s="7">
        <f t="shared" si="12"/>
        <v>4.1836874999999996</v>
      </c>
      <c r="I187" s="9">
        <f t="shared" si="17"/>
        <v>1</v>
      </c>
      <c r="J187" s="9">
        <f t="shared" si="14"/>
        <v>5.1836874999999996</v>
      </c>
      <c r="K187" s="10">
        <f t="shared" si="15"/>
        <v>6</v>
      </c>
      <c r="O187" s="36">
        <f>'DHS25'!C186</f>
        <v>15685</v>
      </c>
      <c r="P187" s="37">
        <f>'DHS25'!D186</f>
        <v>8470</v>
      </c>
      <c r="Q187" s="37">
        <f>'DHS25'!E186</f>
        <v>8006</v>
      </c>
      <c r="R187" s="38">
        <v>150.83000000000001</v>
      </c>
      <c r="S187" s="39">
        <f t="shared" si="16"/>
        <v>1207.5449800000001</v>
      </c>
    </row>
    <row r="188" spans="1:19">
      <c r="A188" s="67">
        <v>45665</v>
      </c>
      <c r="B188" s="25" t="s">
        <v>25</v>
      </c>
      <c r="C188" s="4">
        <v>21800</v>
      </c>
      <c r="D188" s="5">
        <v>15418</v>
      </c>
      <c r="E188" s="4">
        <v>12749</v>
      </c>
      <c r="F188" s="4">
        <v>19749</v>
      </c>
      <c r="G188" s="4">
        <f t="shared" si="13"/>
        <v>17429</v>
      </c>
      <c r="H188" s="7">
        <f t="shared" si="12"/>
        <v>4.3572499999999996</v>
      </c>
      <c r="I188" s="9">
        <f t="shared" si="17"/>
        <v>1</v>
      </c>
      <c r="J188" s="9">
        <f t="shared" si="14"/>
        <v>5.3572499999999996</v>
      </c>
      <c r="K188" s="10">
        <f t="shared" si="15"/>
        <v>6</v>
      </c>
      <c r="O188" s="36">
        <f>'DHS25'!C187</f>
        <v>15699</v>
      </c>
      <c r="P188" s="37">
        <f>'DHS25'!D187</f>
        <v>8916</v>
      </c>
      <c r="Q188" s="37">
        <f>'DHS25'!E187</f>
        <v>7996</v>
      </c>
      <c r="R188" s="38">
        <v>153.27000000000001</v>
      </c>
      <c r="S188" s="39">
        <f t="shared" si="16"/>
        <v>1225.5469200000002</v>
      </c>
    </row>
    <row r="189" spans="1:19">
      <c r="A189" s="67">
        <v>45665</v>
      </c>
      <c r="B189" s="25" t="s">
        <v>26</v>
      </c>
      <c r="C189" s="4">
        <v>22238</v>
      </c>
      <c r="D189" s="5">
        <v>16231</v>
      </c>
      <c r="E189" s="4">
        <v>13468</v>
      </c>
      <c r="F189" s="4">
        <v>21344</v>
      </c>
      <c r="G189" s="4">
        <f t="shared" si="13"/>
        <v>18320.25</v>
      </c>
      <c r="H189" s="7">
        <f t="shared" si="12"/>
        <v>4.5800625000000004</v>
      </c>
      <c r="I189" s="9">
        <f t="shared" si="17"/>
        <v>1</v>
      </c>
      <c r="J189" s="9">
        <f t="shared" si="14"/>
        <v>5.5800625000000004</v>
      </c>
      <c r="K189" s="10">
        <f t="shared" si="15"/>
        <v>6</v>
      </c>
      <c r="O189" s="36">
        <f>'DHS25'!C188</f>
        <v>14540</v>
      </c>
      <c r="P189" s="37">
        <f>'DHS25'!D188</f>
        <v>9622</v>
      </c>
      <c r="Q189" s="37">
        <f>'DHS25'!E188</f>
        <v>7984</v>
      </c>
      <c r="R189" s="38">
        <v>147.87</v>
      </c>
      <c r="S189" s="39">
        <f t="shared" si="16"/>
        <v>1180.5940800000001</v>
      </c>
    </row>
    <row r="190" spans="1:19">
      <c r="A190" s="67">
        <v>45665</v>
      </c>
      <c r="B190" s="25" t="s">
        <v>27</v>
      </c>
      <c r="C190" s="4">
        <v>20538</v>
      </c>
      <c r="D190" s="5">
        <v>16827</v>
      </c>
      <c r="E190" s="4">
        <v>13280</v>
      </c>
      <c r="F190" s="4">
        <v>22600</v>
      </c>
      <c r="G190" s="4">
        <f t="shared" si="13"/>
        <v>18311.25</v>
      </c>
      <c r="H190" s="7">
        <f t="shared" si="12"/>
        <v>4.5778125000000003</v>
      </c>
      <c r="I190" s="9">
        <f t="shared" si="17"/>
        <v>1</v>
      </c>
      <c r="J190" s="9">
        <f t="shared" si="14"/>
        <v>5.5778125000000003</v>
      </c>
      <c r="K190" s="10">
        <f t="shared" si="15"/>
        <v>6</v>
      </c>
      <c r="O190" s="36">
        <f>'DHS25'!C189</f>
        <v>14342</v>
      </c>
      <c r="P190" s="37">
        <f>'DHS25'!D189</f>
        <v>9477</v>
      </c>
      <c r="Q190" s="37">
        <f>'DHS25'!E189</f>
        <v>7786</v>
      </c>
      <c r="R190" s="38">
        <v>149.19999999999999</v>
      </c>
      <c r="S190" s="39">
        <f t="shared" si="16"/>
        <v>1161.6711999999998</v>
      </c>
    </row>
    <row r="191" spans="1:19">
      <c r="A191" s="67">
        <v>45665</v>
      </c>
      <c r="B191" s="25" t="s">
        <v>28</v>
      </c>
      <c r="C191" s="4">
        <v>20012</v>
      </c>
      <c r="D191" s="5">
        <v>16175</v>
      </c>
      <c r="E191" s="4">
        <v>13407</v>
      </c>
      <c r="F191" s="4">
        <v>21346</v>
      </c>
      <c r="G191" s="4">
        <f t="shared" si="13"/>
        <v>17735</v>
      </c>
      <c r="H191" s="7">
        <f t="shared" si="12"/>
        <v>4.4337499999999999</v>
      </c>
      <c r="I191" s="9">
        <f t="shared" si="17"/>
        <v>1</v>
      </c>
      <c r="J191" s="9">
        <f t="shared" si="14"/>
        <v>5.4337499999999999</v>
      </c>
      <c r="K191" s="10">
        <f t="shared" si="15"/>
        <v>6</v>
      </c>
      <c r="O191" s="36">
        <f>'DHS25'!C190</f>
        <v>14767</v>
      </c>
      <c r="P191" s="37">
        <f>'DHS25'!D190</f>
        <v>8860</v>
      </c>
      <c r="Q191" s="37">
        <f>'DHS25'!E190</f>
        <v>8000</v>
      </c>
      <c r="R191" s="38">
        <v>135.75</v>
      </c>
      <c r="S191" s="39">
        <f t="shared" si="16"/>
        <v>1086</v>
      </c>
    </row>
    <row r="192" spans="1:19">
      <c r="A192" s="67">
        <v>45665</v>
      </c>
      <c r="B192" s="25" t="s">
        <v>29</v>
      </c>
      <c r="C192" s="4">
        <v>20758</v>
      </c>
      <c r="D192" s="5">
        <v>16342</v>
      </c>
      <c r="E192" s="4">
        <v>13374</v>
      </c>
      <c r="F192" s="4">
        <v>22383</v>
      </c>
      <c r="G192" s="4">
        <f t="shared" si="13"/>
        <v>18214.25</v>
      </c>
      <c r="H192" s="7">
        <f t="shared" si="12"/>
        <v>4.5535625</v>
      </c>
      <c r="I192" s="9">
        <f t="shared" si="17"/>
        <v>1</v>
      </c>
      <c r="J192" s="9">
        <f t="shared" si="14"/>
        <v>5.5535625</v>
      </c>
      <c r="K192" s="10">
        <f t="shared" si="15"/>
        <v>6</v>
      </c>
      <c r="O192" s="36">
        <f>'DHS25'!C191</f>
        <v>16668</v>
      </c>
      <c r="P192" s="37">
        <f>'DHS25'!D191</f>
        <v>1705</v>
      </c>
      <c r="Q192" s="37">
        <f>'DHS25'!E191</f>
        <v>6054</v>
      </c>
      <c r="R192" s="38">
        <v>126.64</v>
      </c>
      <c r="S192" s="39">
        <f t="shared" si="16"/>
        <v>766.67856000000006</v>
      </c>
    </row>
    <row r="193" spans="1:19">
      <c r="A193" s="67">
        <v>45665</v>
      </c>
      <c r="B193" s="25" t="s">
        <v>30</v>
      </c>
      <c r="C193" s="4">
        <v>17474</v>
      </c>
      <c r="D193" s="5">
        <v>15104</v>
      </c>
      <c r="E193" s="4">
        <v>10594</v>
      </c>
      <c r="F193" s="4">
        <v>21359</v>
      </c>
      <c r="G193" s="4">
        <f t="shared" si="13"/>
        <v>16132.75</v>
      </c>
      <c r="H193" s="7">
        <f t="shared" si="12"/>
        <v>4.0331875000000004</v>
      </c>
      <c r="I193" s="9">
        <f t="shared" si="17"/>
        <v>1</v>
      </c>
      <c r="J193" s="9">
        <f t="shared" si="14"/>
        <v>5.0331875000000004</v>
      </c>
      <c r="K193" s="10">
        <f t="shared" si="15"/>
        <v>6</v>
      </c>
      <c r="O193" s="36">
        <f>'DHS25'!C192</f>
        <v>14071</v>
      </c>
      <c r="P193" s="37">
        <f>'DHS25'!D192</f>
        <v>4721</v>
      </c>
      <c r="Q193" s="37">
        <f>'DHS25'!E192</f>
        <v>6001</v>
      </c>
      <c r="R193" s="38">
        <v>116.31</v>
      </c>
      <c r="S193" s="39">
        <f t="shared" si="16"/>
        <v>697.97631000000001</v>
      </c>
    </row>
    <row r="194" spans="1:19">
      <c r="A194" s="67">
        <v>45665</v>
      </c>
      <c r="B194" s="25" t="s">
        <v>31</v>
      </c>
      <c r="C194" s="4">
        <v>9640</v>
      </c>
      <c r="D194" s="5">
        <v>8246</v>
      </c>
      <c r="E194" s="4">
        <v>5584</v>
      </c>
      <c r="F194" s="4">
        <v>14719</v>
      </c>
      <c r="G194" s="4">
        <f t="shared" si="13"/>
        <v>9547.25</v>
      </c>
      <c r="H194" s="7">
        <f t="shared" si="12"/>
        <v>2.3868125</v>
      </c>
      <c r="I194" s="9">
        <f t="shared" si="17"/>
        <v>1</v>
      </c>
      <c r="J194" s="9">
        <f t="shared" si="14"/>
        <v>3.3868125</v>
      </c>
      <c r="K194" s="10">
        <f t="shared" si="15"/>
        <v>4</v>
      </c>
      <c r="O194" s="36">
        <f>'DHS25'!C193</f>
        <v>6902</v>
      </c>
      <c r="P194" s="37">
        <f>'DHS25'!D193</f>
        <v>4867</v>
      </c>
      <c r="Q194" s="37">
        <f>'DHS25'!E193</f>
        <v>4073</v>
      </c>
      <c r="R194" s="38">
        <v>105.61</v>
      </c>
      <c r="S194" s="39">
        <f t="shared" si="16"/>
        <v>430.14953000000003</v>
      </c>
    </row>
    <row r="195" spans="1:19">
      <c r="A195" s="66">
        <v>45666</v>
      </c>
      <c r="B195" s="24" t="s">
        <v>8</v>
      </c>
      <c r="C195" s="4">
        <v>9897</v>
      </c>
      <c r="D195" s="5">
        <v>7456</v>
      </c>
      <c r="E195" s="4">
        <v>2424</v>
      </c>
      <c r="F195" s="4">
        <v>11181</v>
      </c>
      <c r="G195" s="4">
        <f t="shared" si="13"/>
        <v>7739.5</v>
      </c>
      <c r="H195" s="7">
        <f t="shared" ref="H195:H258" si="18">G195/$M$2/1000</f>
        <v>1.9348749999999999</v>
      </c>
      <c r="I195" s="9">
        <f t="shared" si="17"/>
        <v>1</v>
      </c>
      <c r="J195" s="9">
        <f t="shared" si="14"/>
        <v>2.9348749999999999</v>
      </c>
      <c r="K195" s="10">
        <f t="shared" si="15"/>
        <v>3</v>
      </c>
      <c r="O195" s="36">
        <f>'DHS25'!C194</f>
        <v>6500</v>
      </c>
      <c r="P195" s="37">
        <f>'DHS25'!D194</f>
        <v>5883</v>
      </c>
      <c r="Q195" s="37">
        <f>'DHS25'!E194</f>
        <v>3678</v>
      </c>
      <c r="R195" s="38">
        <v>104.5</v>
      </c>
      <c r="S195" s="39">
        <f t="shared" si="16"/>
        <v>384.351</v>
      </c>
    </row>
    <row r="196" spans="1:19">
      <c r="A196" s="66">
        <v>45666</v>
      </c>
      <c r="B196" s="24" t="s">
        <v>9</v>
      </c>
      <c r="C196" s="4">
        <v>12422</v>
      </c>
      <c r="D196" s="5">
        <v>8764</v>
      </c>
      <c r="E196" s="4">
        <v>2943</v>
      </c>
      <c r="F196" s="4">
        <v>13636</v>
      </c>
      <c r="G196" s="4">
        <f t="shared" ref="G196:G259" si="19">AVERAGE(C196:F196)</f>
        <v>9441.25</v>
      </c>
      <c r="H196" s="7">
        <f t="shared" si="18"/>
        <v>2.3603125</v>
      </c>
      <c r="I196" s="9">
        <f t="shared" si="17"/>
        <v>1</v>
      </c>
      <c r="J196" s="9">
        <f t="shared" ref="J196:J259" si="20">H196+I196</f>
        <v>3.3603125</v>
      </c>
      <c r="K196" s="10">
        <f t="shared" ref="K196:K259" si="21">ROUNDUP(J196,0)</f>
        <v>4</v>
      </c>
      <c r="O196" s="36">
        <f>'DHS25'!C195</f>
        <v>6930</v>
      </c>
      <c r="P196" s="37">
        <f>'DHS25'!D195</f>
        <v>6221</v>
      </c>
      <c r="Q196" s="37">
        <f>'DHS25'!E195</f>
        <v>3876</v>
      </c>
      <c r="R196" s="38">
        <v>103.91</v>
      </c>
      <c r="S196" s="39">
        <f t="shared" ref="S196:S259" si="22">(Q196/1000)*R196</f>
        <v>402.75515999999999</v>
      </c>
    </row>
    <row r="197" spans="1:19">
      <c r="A197" s="66">
        <v>45666</v>
      </c>
      <c r="B197" s="24" t="s">
        <v>10</v>
      </c>
      <c r="C197" s="4">
        <v>13446</v>
      </c>
      <c r="D197" s="5">
        <v>9952</v>
      </c>
      <c r="E197" s="4">
        <v>2467</v>
      </c>
      <c r="F197" s="4">
        <v>17169</v>
      </c>
      <c r="G197" s="4">
        <f t="shared" si="19"/>
        <v>10758.5</v>
      </c>
      <c r="H197" s="7">
        <f t="shared" si="18"/>
        <v>2.6896249999999999</v>
      </c>
      <c r="I197" s="9">
        <f t="shared" ref="I197:I260" si="23">I196</f>
        <v>1</v>
      </c>
      <c r="J197" s="9">
        <f t="shared" si="20"/>
        <v>3.6896249999999999</v>
      </c>
      <c r="K197" s="10">
        <f t="shared" si="21"/>
        <v>4</v>
      </c>
      <c r="O197" s="36">
        <f>'DHS25'!C196</f>
        <v>9569</v>
      </c>
      <c r="P197" s="37">
        <f>'DHS25'!D196</f>
        <v>4446</v>
      </c>
      <c r="Q197" s="37">
        <f>'DHS25'!E196</f>
        <v>4002</v>
      </c>
      <c r="R197" s="38">
        <v>101.87</v>
      </c>
      <c r="S197" s="39">
        <f t="shared" si="22"/>
        <v>407.68374</v>
      </c>
    </row>
    <row r="198" spans="1:19">
      <c r="A198" s="66">
        <v>45666</v>
      </c>
      <c r="B198" s="24" t="s">
        <v>11</v>
      </c>
      <c r="C198" s="4">
        <v>14168</v>
      </c>
      <c r="D198" s="5">
        <v>10420</v>
      </c>
      <c r="E198" s="4">
        <v>2560</v>
      </c>
      <c r="F198" s="4">
        <v>16196</v>
      </c>
      <c r="G198" s="4">
        <f t="shared" si="19"/>
        <v>10836</v>
      </c>
      <c r="H198" s="7">
        <f t="shared" si="18"/>
        <v>2.7090000000000001</v>
      </c>
      <c r="I198" s="9">
        <f t="shared" si="23"/>
        <v>1</v>
      </c>
      <c r="J198" s="9">
        <f t="shared" si="20"/>
        <v>3.7090000000000001</v>
      </c>
      <c r="K198" s="10">
        <f t="shared" si="21"/>
        <v>4</v>
      </c>
      <c r="O198" s="36">
        <f>'DHS25'!C197</f>
        <v>10374</v>
      </c>
      <c r="P198" s="37">
        <f>'DHS25'!D197</f>
        <v>3055</v>
      </c>
      <c r="Q198" s="37">
        <f>'DHS25'!E197</f>
        <v>3982</v>
      </c>
      <c r="R198" s="38">
        <v>99.72</v>
      </c>
      <c r="S198" s="39">
        <f t="shared" si="22"/>
        <v>397.08503999999999</v>
      </c>
    </row>
    <row r="199" spans="1:19">
      <c r="A199" s="66">
        <v>45666</v>
      </c>
      <c r="B199" s="24" t="s">
        <v>12</v>
      </c>
      <c r="C199" s="4">
        <v>21694</v>
      </c>
      <c r="D199" s="5">
        <v>19450</v>
      </c>
      <c r="E199" s="4">
        <v>13000</v>
      </c>
      <c r="F199" s="4">
        <v>20686</v>
      </c>
      <c r="G199" s="4">
        <f t="shared" si="19"/>
        <v>18707.5</v>
      </c>
      <c r="H199" s="7">
        <f t="shared" si="18"/>
        <v>4.6768749999999999</v>
      </c>
      <c r="I199" s="9">
        <f t="shared" si="23"/>
        <v>1</v>
      </c>
      <c r="J199" s="9">
        <f t="shared" si="20"/>
        <v>5.6768749999999999</v>
      </c>
      <c r="K199" s="10">
        <f t="shared" si="21"/>
        <v>6</v>
      </c>
      <c r="O199" s="36">
        <f>'DHS25'!C198</f>
        <v>18408</v>
      </c>
      <c r="P199" s="37">
        <f>'DHS25'!D198</f>
        <v>639</v>
      </c>
      <c r="Q199" s="37">
        <f>'DHS25'!E198</f>
        <v>6006</v>
      </c>
      <c r="R199" s="38">
        <v>103.7</v>
      </c>
      <c r="S199" s="39">
        <f t="shared" si="22"/>
        <v>622.82220000000007</v>
      </c>
    </row>
    <row r="200" spans="1:19">
      <c r="A200" s="66">
        <v>45666</v>
      </c>
      <c r="B200" s="24" t="s">
        <v>13</v>
      </c>
      <c r="C200" s="4">
        <v>22884</v>
      </c>
      <c r="D200" s="5">
        <v>19269</v>
      </c>
      <c r="E200" s="4">
        <v>15618</v>
      </c>
      <c r="F200" s="4">
        <v>22402</v>
      </c>
      <c r="G200" s="4">
        <f t="shared" si="19"/>
        <v>20043.25</v>
      </c>
      <c r="H200" s="7">
        <f t="shared" si="18"/>
        <v>5.0108125000000001</v>
      </c>
      <c r="I200" s="9">
        <f t="shared" si="23"/>
        <v>1</v>
      </c>
      <c r="J200" s="9">
        <f t="shared" si="20"/>
        <v>6.0108125000000001</v>
      </c>
      <c r="K200" s="10">
        <f t="shared" si="21"/>
        <v>7</v>
      </c>
      <c r="O200" s="36">
        <f>'DHS25'!C199</f>
        <v>19503</v>
      </c>
      <c r="P200" s="37">
        <f>'DHS25'!D199</f>
        <v>1818</v>
      </c>
      <c r="Q200" s="37">
        <f>'DHS25'!E199</f>
        <v>6979</v>
      </c>
      <c r="R200" s="38">
        <v>107.19</v>
      </c>
      <c r="S200" s="39">
        <f t="shared" si="22"/>
        <v>748.07901000000004</v>
      </c>
    </row>
    <row r="201" spans="1:19">
      <c r="A201" s="66">
        <v>45666</v>
      </c>
      <c r="B201" s="24" t="s">
        <v>14</v>
      </c>
      <c r="C201" s="4">
        <v>22856</v>
      </c>
      <c r="D201" s="5">
        <v>19064</v>
      </c>
      <c r="E201" s="4">
        <v>15353</v>
      </c>
      <c r="F201" s="4">
        <v>24212</v>
      </c>
      <c r="G201" s="4">
        <f t="shared" si="19"/>
        <v>20371.25</v>
      </c>
      <c r="H201" s="7">
        <f t="shared" si="18"/>
        <v>5.0928125</v>
      </c>
      <c r="I201" s="9">
        <f t="shared" si="23"/>
        <v>1</v>
      </c>
      <c r="J201" s="9">
        <f t="shared" si="20"/>
        <v>6.0928125</v>
      </c>
      <c r="K201" s="10">
        <f t="shared" si="21"/>
        <v>7</v>
      </c>
      <c r="O201" s="36">
        <f>'DHS25'!C200</f>
        <v>19037</v>
      </c>
      <c r="P201" s="37">
        <f>'DHS25'!D200</f>
        <v>2767</v>
      </c>
      <c r="Q201" s="37">
        <f>'DHS25'!E200</f>
        <v>7008</v>
      </c>
      <c r="R201" s="38">
        <v>127.43</v>
      </c>
      <c r="S201" s="39">
        <f t="shared" si="22"/>
        <v>893.02944000000002</v>
      </c>
    </row>
    <row r="202" spans="1:19">
      <c r="A202" s="66">
        <v>45666</v>
      </c>
      <c r="B202" s="24" t="s">
        <v>15</v>
      </c>
      <c r="C202" s="4">
        <v>22169</v>
      </c>
      <c r="D202" s="5">
        <v>15249</v>
      </c>
      <c r="E202" s="4">
        <v>13918</v>
      </c>
      <c r="F202" s="4">
        <v>23163</v>
      </c>
      <c r="G202" s="4">
        <f t="shared" si="19"/>
        <v>18624.75</v>
      </c>
      <c r="H202" s="7">
        <f t="shared" si="18"/>
        <v>4.6561874999999997</v>
      </c>
      <c r="I202" s="9">
        <f t="shared" si="23"/>
        <v>1</v>
      </c>
      <c r="J202" s="9">
        <f t="shared" si="20"/>
        <v>5.6561874999999997</v>
      </c>
      <c r="K202" s="10">
        <f t="shared" si="21"/>
        <v>6</v>
      </c>
      <c r="O202" s="36">
        <f>'DHS25'!C201</f>
        <v>14208</v>
      </c>
      <c r="P202" s="37">
        <f>'DHS25'!D201</f>
        <v>10434</v>
      </c>
      <c r="Q202" s="37">
        <f>'DHS25'!E201</f>
        <v>7987</v>
      </c>
      <c r="R202" s="38">
        <v>146.05000000000001</v>
      </c>
      <c r="S202" s="39">
        <f t="shared" si="22"/>
        <v>1166.50135</v>
      </c>
    </row>
    <row r="203" spans="1:19">
      <c r="A203" s="66">
        <v>45666</v>
      </c>
      <c r="B203" s="24" t="s">
        <v>16</v>
      </c>
      <c r="C203" s="4">
        <v>20525</v>
      </c>
      <c r="D203" s="5">
        <v>16109</v>
      </c>
      <c r="E203" s="4">
        <v>12619</v>
      </c>
      <c r="F203" s="4">
        <v>22199</v>
      </c>
      <c r="G203" s="4">
        <f t="shared" si="19"/>
        <v>17863</v>
      </c>
      <c r="H203" s="7">
        <f t="shared" si="18"/>
        <v>4.4657499999999999</v>
      </c>
      <c r="I203" s="9">
        <f t="shared" si="23"/>
        <v>1</v>
      </c>
      <c r="J203" s="9">
        <f t="shared" si="20"/>
        <v>5.4657499999999999</v>
      </c>
      <c r="K203" s="10">
        <f t="shared" si="21"/>
        <v>6</v>
      </c>
      <c r="O203" s="36">
        <f>'DHS25'!C202</f>
        <v>14668</v>
      </c>
      <c r="P203" s="37">
        <f>'DHS25'!D202</f>
        <v>9264</v>
      </c>
      <c r="Q203" s="37">
        <f>'DHS25'!E202</f>
        <v>7993</v>
      </c>
      <c r="R203" s="38">
        <v>159.74</v>
      </c>
      <c r="S203" s="39">
        <f t="shared" si="22"/>
        <v>1276.8018200000001</v>
      </c>
    </row>
    <row r="204" spans="1:19">
      <c r="A204" s="66">
        <v>45666</v>
      </c>
      <c r="B204" s="24" t="s">
        <v>17</v>
      </c>
      <c r="C204" s="4">
        <v>20916</v>
      </c>
      <c r="D204" s="5">
        <v>17418</v>
      </c>
      <c r="E204" s="4">
        <v>14150</v>
      </c>
      <c r="F204" s="4">
        <v>23454</v>
      </c>
      <c r="G204" s="4">
        <f t="shared" si="19"/>
        <v>18984.5</v>
      </c>
      <c r="H204" s="7">
        <f t="shared" si="18"/>
        <v>4.7461250000000001</v>
      </c>
      <c r="I204" s="9">
        <f t="shared" si="23"/>
        <v>1</v>
      </c>
      <c r="J204" s="9">
        <f t="shared" si="20"/>
        <v>5.7461250000000001</v>
      </c>
      <c r="K204" s="10">
        <f t="shared" si="21"/>
        <v>6</v>
      </c>
      <c r="O204" s="36">
        <f>'DHS25'!C203</f>
        <v>14803</v>
      </c>
      <c r="P204" s="37">
        <f>'DHS25'!D203</f>
        <v>9247</v>
      </c>
      <c r="Q204" s="37">
        <f>'DHS25'!E203</f>
        <v>7969</v>
      </c>
      <c r="R204" s="38">
        <v>151.83000000000001</v>
      </c>
      <c r="S204" s="39">
        <f t="shared" si="22"/>
        <v>1209.9332700000002</v>
      </c>
    </row>
    <row r="205" spans="1:19">
      <c r="A205" s="66">
        <v>45666</v>
      </c>
      <c r="B205" s="24" t="s">
        <v>18</v>
      </c>
      <c r="C205" s="4">
        <v>20552</v>
      </c>
      <c r="D205" s="5">
        <v>17033</v>
      </c>
      <c r="E205" s="4">
        <v>13190</v>
      </c>
      <c r="F205" s="4">
        <v>23209</v>
      </c>
      <c r="G205" s="4">
        <f t="shared" si="19"/>
        <v>18496</v>
      </c>
      <c r="H205" s="7">
        <f t="shared" si="18"/>
        <v>4.6239999999999997</v>
      </c>
      <c r="I205" s="9">
        <f t="shared" si="23"/>
        <v>1</v>
      </c>
      <c r="J205" s="9">
        <f t="shared" si="20"/>
        <v>5.6239999999999997</v>
      </c>
      <c r="K205" s="10">
        <f t="shared" si="21"/>
        <v>6</v>
      </c>
      <c r="O205" s="36">
        <f>'DHS25'!C204</f>
        <v>14474</v>
      </c>
      <c r="P205" s="37">
        <f>'DHS25'!D204</f>
        <v>10292</v>
      </c>
      <c r="Q205" s="37">
        <f>'DHS25'!E204</f>
        <v>8003</v>
      </c>
      <c r="R205" s="38">
        <v>143.62</v>
      </c>
      <c r="S205" s="39">
        <f t="shared" si="22"/>
        <v>1149.39086</v>
      </c>
    </row>
    <row r="206" spans="1:19">
      <c r="A206" s="66">
        <v>45666</v>
      </c>
      <c r="B206" s="24" t="s">
        <v>19</v>
      </c>
      <c r="C206" s="4">
        <v>17849</v>
      </c>
      <c r="D206" s="5">
        <v>16354</v>
      </c>
      <c r="E206" s="4">
        <v>12349</v>
      </c>
      <c r="F206" s="4">
        <v>23409</v>
      </c>
      <c r="G206" s="4">
        <f t="shared" si="19"/>
        <v>17490.25</v>
      </c>
      <c r="H206" s="7">
        <f t="shared" si="18"/>
        <v>4.3725624999999999</v>
      </c>
      <c r="I206" s="9">
        <f t="shared" si="23"/>
        <v>1</v>
      </c>
      <c r="J206" s="9">
        <f t="shared" si="20"/>
        <v>5.3725624999999999</v>
      </c>
      <c r="K206" s="10">
        <f t="shared" si="21"/>
        <v>6</v>
      </c>
      <c r="O206" s="36">
        <f>'DHS25'!C205</f>
        <v>13623</v>
      </c>
      <c r="P206" s="37">
        <f>'DHS25'!D205</f>
        <v>10196</v>
      </c>
      <c r="Q206" s="37">
        <f>'DHS25'!E205</f>
        <v>7980</v>
      </c>
      <c r="R206" s="38">
        <v>136.22999999999999</v>
      </c>
      <c r="S206" s="39">
        <f t="shared" si="22"/>
        <v>1087.1153999999999</v>
      </c>
    </row>
    <row r="207" spans="1:19">
      <c r="A207" s="66">
        <v>45666</v>
      </c>
      <c r="B207" s="24" t="s">
        <v>20</v>
      </c>
      <c r="C207" s="4">
        <v>17864</v>
      </c>
      <c r="D207" s="5">
        <v>16097</v>
      </c>
      <c r="E207" s="4">
        <v>12452</v>
      </c>
      <c r="F207" s="4">
        <v>19874</v>
      </c>
      <c r="G207" s="4">
        <f t="shared" si="19"/>
        <v>16571.75</v>
      </c>
      <c r="H207" s="7">
        <f t="shared" si="18"/>
        <v>4.1429375000000004</v>
      </c>
      <c r="I207" s="9">
        <f t="shared" si="23"/>
        <v>1</v>
      </c>
      <c r="J207" s="9">
        <f t="shared" si="20"/>
        <v>5.1429375000000004</v>
      </c>
      <c r="K207" s="10">
        <f t="shared" si="21"/>
        <v>6</v>
      </c>
      <c r="O207" s="36">
        <f>'DHS25'!C206</f>
        <v>14236</v>
      </c>
      <c r="P207" s="37">
        <f>'DHS25'!D206</f>
        <v>9805</v>
      </c>
      <c r="Q207" s="37">
        <f>'DHS25'!E206</f>
        <v>8003</v>
      </c>
      <c r="R207" s="38">
        <v>125.51</v>
      </c>
      <c r="S207" s="39">
        <f t="shared" si="22"/>
        <v>1004.45653</v>
      </c>
    </row>
    <row r="208" spans="1:19">
      <c r="A208" s="66">
        <v>45666</v>
      </c>
      <c r="B208" s="24" t="s">
        <v>21</v>
      </c>
      <c r="C208" s="4">
        <v>18230</v>
      </c>
      <c r="D208" s="5">
        <v>15720</v>
      </c>
      <c r="E208" s="4">
        <v>12495</v>
      </c>
      <c r="F208" s="4">
        <v>17046</v>
      </c>
      <c r="G208" s="4">
        <f t="shared" si="19"/>
        <v>15872.75</v>
      </c>
      <c r="H208" s="7">
        <f t="shared" si="18"/>
        <v>3.9681875</v>
      </c>
      <c r="I208" s="9">
        <f t="shared" si="23"/>
        <v>1</v>
      </c>
      <c r="J208" s="9">
        <f t="shared" si="20"/>
        <v>4.9681875</v>
      </c>
      <c r="K208" s="10">
        <f t="shared" si="21"/>
        <v>5</v>
      </c>
      <c r="O208" s="36">
        <f>'DHS25'!C207</f>
        <v>13789</v>
      </c>
      <c r="P208" s="37">
        <f>'DHS25'!D207</f>
        <v>10869</v>
      </c>
      <c r="Q208" s="37">
        <f>'DHS25'!E207</f>
        <v>8026</v>
      </c>
      <c r="R208" s="38">
        <v>122.52</v>
      </c>
      <c r="S208" s="39">
        <f t="shared" si="22"/>
        <v>983.34551999999996</v>
      </c>
    </row>
    <row r="209" spans="1:19">
      <c r="A209" s="66">
        <v>45666</v>
      </c>
      <c r="B209" s="24" t="s">
        <v>22</v>
      </c>
      <c r="C209" s="4">
        <v>18296</v>
      </c>
      <c r="D209" s="5">
        <v>15305</v>
      </c>
      <c r="E209" s="4">
        <v>11703</v>
      </c>
      <c r="F209" s="4">
        <v>16643</v>
      </c>
      <c r="G209" s="4">
        <f t="shared" si="19"/>
        <v>15486.75</v>
      </c>
      <c r="H209" s="7">
        <f t="shared" si="18"/>
        <v>3.8716875000000002</v>
      </c>
      <c r="I209" s="9">
        <f t="shared" si="23"/>
        <v>1</v>
      </c>
      <c r="J209" s="9">
        <f t="shared" si="20"/>
        <v>4.8716875000000002</v>
      </c>
      <c r="K209" s="10">
        <f t="shared" si="21"/>
        <v>5</v>
      </c>
      <c r="O209" s="36">
        <f>'DHS25'!C208</f>
        <v>12292</v>
      </c>
      <c r="P209" s="37">
        <f>'DHS25'!D208</f>
        <v>12378</v>
      </c>
      <c r="Q209" s="37">
        <f>'DHS25'!E208</f>
        <v>8002</v>
      </c>
      <c r="R209" s="38">
        <v>127.43</v>
      </c>
      <c r="S209" s="39">
        <f t="shared" si="22"/>
        <v>1019.6948600000002</v>
      </c>
    </row>
    <row r="210" spans="1:19">
      <c r="A210" s="66">
        <v>45666</v>
      </c>
      <c r="B210" s="24" t="s">
        <v>23</v>
      </c>
      <c r="C210" s="4">
        <v>18529</v>
      </c>
      <c r="D210" s="5">
        <v>15946</v>
      </c>
      <c r="E210" s="4">
        <v>11634</v>
      </c>
      <c r="F210" s="4">
        <v>18034</v>
      </c>
      <c r="G210" s="4">
        <f t="shared" si="19"/>
        <v>16035.75</v>
      </c>
      <c r="H210" s="7">
        <f t="shared" si="18"/>
        <v>4.0089375</v>
      </c>
      <c r="I210" s="9">
        <f t="shared" si="23"/>
        <v>1</v>
      </c>
      <c r="J210" s="9">
        <f t="shared" si="20"/>
        <v>5.0089375</v>
      </c>
      <c r="K210" s="10">
        <f t="shared" si="21"/>
        <v>6</v>
      </c>
      <c r="O210" s="36">
        <f>'DHS25'!C209</f>
        <v>13295</v>
      </c>
      <c r="P210" s="37">
        <f>'DHS25'!D209</f>
        <v>11479</v>
      </c>
      <c r="Q210" s="37">
        <f>'DHS25'!E209</f>
        <v>7998</v>
      </c>
      <c r="R210" s="38">
        <v>134.31</v>
      </c>
      <c r="S210" s="39">
        <f t="shared" si="22"/>
        <v>1074.21138</v>
      </c>
    </row>
    <row r="211" spans="1:19">
      <c r="A211" s="66">
        <v>45666</v>
      </c>
      <c r="B211" s="24" t="s">
        <v>24</v>
      </c>
      <c r="C211" s="4">
        <v>19115</v>
      </c>
      <c r="D211" s="5">
        <v>17030</v>
      </c>
      <c r="E211" s="4">
        <v>12292</v>
      </c>
      <c r="F211" s="4">
        <v>16872</v>
      </c>
      <c r="G211" s="4">
        <f t="shared" si="19"/>
        <v>16327.25</v>
      </c>
      <c r="H211" s="7">
        <f t="shared" si="18"/>
        <v>4.0818124999999998</v>
      </c>
      <c r="I211" s="9">
        <f t="shared" si="23"/>
        <v>1</v>
      </c>
      <c r="J211" s="9">
        <f t="shared" si="20"/>
        <v>5.0818124999999998</v>
      </c>
      <c r="K211" s="10">
        <f t="shared" si="21"/>
        <v>6</v>
      </c>
      <c r="O211" s="36">
        <f>'DHS25'!C210</f>
        <v>14021</v>
      </c>
      <c r="P211" s="37">
        <f>'DHS25'!D210</f>
        <v>10082</v>
      </c>
      <c r="Q211" s="37">
        <f>'DHS25'!E210</f>
        <v>7999</v>
      </c>
      <c r="R211" s="38">
        <v>146.58000000000001</v>
      </c>
      <c r="S211" s="39">
        <f t="shared" si="22"/>
        <v>1172.49342</v>
      </c>
    </row>
    <row r="212" spans="1:19">
      <c r="A212" s="66">
        <v>45666</v>
      </c>
      <c r="B212" s="24" t="s">
        <v>25</v>
      </c>
      <c r="C212" s="4">
        <v>19971</v>
      </c>
      <c r="D212" s="5">
        <v>17246</v>
      </c>
      <c r="E212" s="4">
        <v>12337</v>
      </c>
      <c r="F212" s="4">
        <v>18799</v>
      </c>
      <c r="G212" s="4">
        <f t="shared" si="19"/>
        <v>17088.25</v>
      </c>
      <c r="H212" s="7">
        <f t="shared" si="18"/>
        <v>4.2720624999999997</v>
      </c>
      <c r="I212" s="9">
        <f t="shared" si="23"/>
        <v>1</v>
      </c>
      <c r="J212" s="9">
        <f t="shared" si="20"/>
        <v>5.2720624999999997</v>
      </c>
      <c r="K212" s="10">
        <f t="shared" si="21"/>
        <v>6</v>
      </c>
      <c r="O212" s="36">
        <f>'DHS25'!C211</f>
        <v>13896</v>
      </c>
      <c r="P212" s="37">
        <f>'DHS25'!D211</f>
        <v>10375</v>
      </c>
      <c r="Q212" s="37">
        <f>'DHS25'!E211</f>
        <v>7989</v>
      </c>
      <c r="R212" s="38">
        <v>122.83</v>
      </c>
      <c r="S212" s="39">
        <f t="shared" si="22"/>
        <v>981.28886999999997</v>
      </c>
    </row>
    <row r="213" spans="1:19">
      <c r="A213" s="66">
        <v>45666</v>
      </c>
      <c r="B213" s="24" t="s">
        <v>26</v>
      </c>
      <c r="C213" s="4">
        <v>19773</v>
      </c>
      <c r="D213" s="5">
        <v>16634</v>
      </c>
      <c r="E213" s="4">
        <v>9603</v>
      </c>
      <c r="F213" s="4">
        <v>21045</v>
      </c>
      <c r="G213" s="4">
        <f t="shared" si="19"/>
        <v>16763.75</v>
      </c>
      <c r="H213" s="7">
        <f t="shared" si="18"/>
        <v>4.1909375000000004</v>
      </c>
      <c r="I213" s="9">
        <f t="shared" si="23"/>
        <v>1</v>
      </c>
      <c r="J213" s="9">
        <f t="shared" si="20"/>
        <v>5.1909375000000004</v>
      </c>
      <c r="K213" s="10">
        <f t="shared" si="21"/>
        <v>6</v>
      </c>
      <c r="O213" s="36">
        <f>'DHS25'!C212</f>
        <v>13218</v>
      </c>
      <c r="P213" s="37">
        <f>'DHS25'!D212</f>
        <v>11125</v>
      </c>
      <c r="Q213" s="37">
        <f>'DHS25'!E212</f>
        <v>7995</v>
      </c>
      <c r="R213" s="38">
        <v>126.64</v>
      </c>
      <c r="S213" s="39">
        <f t="shared" si="22"/>
        <v>1012.4868</v>
      </c>
    </row>
    <row r="214" spans="1:19">
      <c r="A214" s="66">
        <v>45666</v>
      </c>
      <c r="B214" s="24" t="s">
        <v>27</v>
      </c>
      <c r="C214" s="4">
        <v>22596</v>
      </c>
      <c r="D214" s="5">
        <v>16810</v>
      </c>
      <c r="E214" s="4">
        <v>12167</v>
      </c>
      <c r="F214" s="4">
        <v>20653</v>
      </c>
      <c r="G214" s="4">
        <f t="shared" si="19"/>
        <v>18056.5</v>
      </c>
      <c r="H214" s="7">
        <f t="shared" si="18"/>
        <v>4.5141249999999999</v>
      </c>
      <c r="I214" s="9">
        <f t="shared" si="23"/>
        <v>1</v>
      </c>
      <c r="J214" s="9">
        <f t="shared" si="20"/>
        <v>5.5141249999999999</v>
      </c>
      <c r="K214" s="10">
        <f t="shared" si="21"/>
        <v>6</v>
      </c>
      <c r="O214" s="36">
        <f>'DHS25'!C213</f>
        <v>13706</v>
      </c>
      <c r="P214" s="37">
        <f>'DHS25'!D213</f>
        <v>10577</v>
      </c>
      <c r="Q214" s="37">
        <f>'DHS25'!E213</f>
        <v>7967</v>
      </c>
      <c r="R214" s="38">
        <v>153.84</v>
      </c>
      <c r="S214" s="39">
        <f t="shared" si="22"/>
        <v>1225.64328</v>
      </c>
    </row>
    <row r="215" spans="1:19">
      <c r="A215" s="66">
        <v>45666</v>
      </c>
      <c r="B215" s="24" t="s">
        <v>28</v>
      </c>
      <c r="C215" s="4">
        <v>20340</v>
      </c>
      <c r="D215" s="5">
        <v>16856</v>
      </c>
      <c r="E215" s="4">
        <v>12295</v>
      </c>
      <c r="F215" s="4">
        <v>22747</v>
      </c>
      <c r="G215" s="4">
        <f t="shared" si="19"/>
        <v>18059.5</v>
      </c>
      <c r="H215" s="7">
        <f t="shared" si="18"/>
        <v>4.514875</v>
      </c>
      <c r="I215" s="9">
        <f t="shared" si="23"/>
        <v>1</v>
      </c>
      <c r="J215" s="9">
        <f t="shared" si="20"/>
        <v>5.514875</v>
      </c>
      <c r="K215" s="10">
        <f t="shared" si="21"/>
        <v>6</v>
      </c>
      <c r="O215" s="36">
        <f>'DHS25'!C214</f>
        <v>13721</v>
      </c>
      <c r="P215" s="37">
        <f>'DHS25'!D214</f>
        <v>10657</v>
      </c>
      <c r="Q215" s="37">
        <f>'DHS25'!E214</f>
        <v>8029</v>
      </c>
      <c r="R215" s="38">
        <v>144.31</v>
      </c>
      <c r="S215" s="39">
        <f t="shared" si="22"/>
        <v>1158.66499</v>
      </c>
    </row>
    <row r="216" spans="1:19">
      <c r="A216" s="66">
        <v>45666</v>
      </c>
      <c r="B216" s="24" t="s">
        <v>29</v>
      </c>
      <c r="C216" s="4">
        <v>20158</v>
      </c>
      <c r="D216" s="5">
        <v>17505</v>
      </c>
      <c r="E216" s="4">
        <v>12121</v>
      </c>
      <c r="F216" s="4">
        <v>21683</v>
      </c>
      <c r="G216" s="4">
        <f t="shared" si="19"/>
        <v>17866.75</v>
      </c>
      <c r="H216" s="7">
        <f t="shared" si="18"/>
        <v>4.4666874999999999</v>
      </c>
      <c r="I216" s="9">
        <f t="shared" si="23"/>
        <v>1</v>
      </c>
      <c r="J216" s="9">
        <f t="shared" si="20"/>
        <v>5.4666874999999999</v>
      </c>
      <c r="K216" s="10">
        <f t="shared" si="21"/>
        <v>6</v>
      </c>
      <c r="O216" s="36">
        <f>'DHS25'!C215</f>
        <v>13029</v>
      </c>
      <c r="P216" s="37">
        <f>'DHS25'!D215</f>
        <v>9847</v>
      </c>
      <c r="Q216" s="37">
        <f>'DHS25'!E215</f>
        <v>7531</v>
      </c>
      <c r="R216" s="38">
        <v>125.33</v>
      </c>
      <c r="S216" s="39">
        <f t="shared" si="22"/>
        <v>943.86023</v>
      </c>
    </row>
    <row r="217" spans="1:19">
      <c r="A217" s="66">
        <v>45666</v>
      </c>
      <c r="B217" s="24" t="s">
        <v>30</v>
      </c>
      <c r="C217" s="4">
        <v>18040</v>
      </c>
      <c r="D217" s="5">
        <v>15857</v>
      </c>
      <c r="E217" s="4">
        <v>10417</v>
      </c>
      <c r="F217" s="4">
        <v>21865</v>
      </c>
      <c r="G217" s="4">
        <f t="shared" si="19"/>
        <v>16544.75</v>
      </c>
      <c r="H217" s="7">
        <f t="shared" si="18"/>
        <v>4.1361875000000001</v>
      </c>
      <c r="I217" s="9">
        <f t="shared" si="23"/>
        <v>1</v>
      </c>
      <c r="J217" s="9">
        <f t="shared" si="20"/>
        <v>5.1361875000000001</v>
      </c>
      <c r="K217" s="10">
        <f t="shared" si="21"/>
        <v>6</v>
      </c>
      <c r="O217" s="36">
        <f>'DHS25'!C216</f>
        <v>11449</v>
      </c>
      <c r="P217" s="37">
        <f>'DHS25'!D216</f>
        <v>8013</v>
      </c>
      <c r="Q217" s="37">
        <f>'DHS25'!E216</f>
        <v>6122</v>
      </c>
      <c r="R217" s="38">
        <v>105.54</v>
      </c>
      <c r="S217" s="39">
        <f t="shared" si="22"/>
        <v>646.11588000000006</v>
      </c>
    </row>
    <row r="218" spans="1:19">
      <c r="A218" s="66">
        <v>45666</v>
      </c>
      <c r="B218" s="24" t="s">
        <v>31</v>
      </c>
      <c r="C218" s="4">
        <v>9663</v>
      </c>
      <c r="D218" s="5">
        <v>8067</v>
      </c>
      <c r="E218" s="4">
        <v>5281</v>
      </c>
      <c r="F218" s="4">
        <v>20107</v>
      </c>
      <c r="G218" s="4">
        <f t="shared" si="19"/>
        <v>10779.5</v>
      </c>
      <c r="H218" s="7">
        <f t="shared" si="18"/>
        <v>2.6948750000000001</v>
      </c>
      <c r="I218" s="9">
        <f t="shared" si="23"/>
        <v>1</v>
      </c>
      <c r="J218" s="9">
        <f t="shared" si="20"/>
        <v>3.6948750000000001</v>
      </c>
      <c r="K218" s="10">
        <f t="shared" si="21"/>
        <v>4</v>
      </c>
      <c r="O218" s="36">
        <f>'DHS25'!C217</f>
        <v>5128</v>
      </c>
      <c r="P218" s="37">
        <f>'DHS25'!D217</f>
        <v>12292</v>
      </c>
      <c r="Q218" s="37">
        <f>'DHS25'!E217</f>
        <v>5516</v>
      </c>
      <c r="R218" s="38">
        <v>89.22</v>
      </c>
      <c r="S218" s="39">
        <f t="shared" si="22"/>
        <v>492.13751999999999</v>
      </c>
    </row>
    <row r="219" spans="1:19">
      <c r="A219" s="67">
        <v>45667</v>
      </c>
      <c r="B219" s="25" t="s">
        <v>8</v>
      </c>
      <c r="C219" s="4">
        <v>9244</v>
      </c>
      <c r="D219" s="5">
        <v>7871</v>
      </c>
      <c r="E219" s="4">
        <v>1745</v>
      </c>
      <c r="F219" s="4">
        <v>17358</v>
      </c>
      <c r="G219" s="4">
        <f t="shared" si="19"/>
        <v>9054.5</v>
      </c>
      <c r="H219" s="7">
        <f t="shared" si="18"/>
        <v>2.2636250000000002</v>
      </c>
      <c r="I219" s="9">
        <f t="shared" si="23"/>
        <v>1</v>
      </c>
      <c r="J219" s="9">
        <f t="shared" si="20"/>
        <v>3.2636250000000002</v>
      </c>
      <c r="K219" s="10">
        <f t="shared" si="21"/>
        <v>4</v>
      </c>
      <c r="O219" s="36">
        <f>'DHS25'!C218</f>
        <v>3335</v>
      </c>
      <c r="P219" s="37">
        <f>'DHS25'!D218</f>
        <v>9840</v>
      </c>
      <c r="Q219" s="37">
        <f>'DHS25'!E218</f>
        <v>3993</v>
      </c>
      <c r="R219" s="38">
        <v>88.05</v>
      </c>
      <c r="S219" s="39">
        <f t="shared" si="22"/>
        <v>351.58364999999998</v>
      </c>
    </row>
    <row r="220" spans="1:19">
      <c r="A220" s="67">
        <v>45667</v>
      </c>
      <c r="B220" s="25" t="s">
        <v>9</v>
      </c>
      <c r="C220" s="4">
        <v>11505</v>
      </c>
      <c r="D220" s="5">
        <v>9636</v>
      </c>
      <c r="E220" s="4">
        <v>1683</v>
      </c>
      <c r="F220" s="4">
        <v>16605</v>
      </c>
      <c r="G220" s="4">
        <f t="shared" si="19"/>
        <v>9857.25</v>
      </c>
      <c r="H220" s="7">
        <f t="shared" si="18"/>
        <v>2.4643125000000001</v>
      </c>
      <c r="I220" s="9">
        <f t="shared" si="23"/>
        <v>1</v>
      </c>
      <c r="J220" s="9">
        <f t="shared" si="20"/>
        <v>3.4643125000000001</v>
      </c>
      <c r="K220" s="10">
        <f t="shared" si="21"/>
        <v>4</v>
      </c>
      <c r="O220" s="36">
        <f>'DHS25'!C219</f>
        <v>3653</v>
      </c>
      <c r="P220" s="37">
        <f>'DHS25'!D219</f>
        <v>9511</v>
      </c>
      <c r="Q220" s="37">
        <f>'DHS25'!E219</f>
        <v>4004</v>
      </c>
      <c r="R220" s="38">
        <v>80.44</v>
      </c>
      <c r="S220" s="39">
        <f t="shared" si="22"/>
        <v>322.08175999999997</v>
      </c>
    </row>
    <row r="221" spans="1:19">
      <c r="A221" s="67">
        <v>45667</v>
      </c>
      <c r="B221" s="25" t="s">
        <v>10</v>
      </c>
      <c r="C221" s="4">
        <v>12658</v>
      </c>
      <c r="D221" s="5">
        <v>11178</v>
      </c>
      <c r="E221" s="4">
        <v>2142</v>
      </c>
      <c r="F221" s="4">
        <v>15394</v>
      </c>
      <c r="G221" s="4">
        <f t="shared" si="19"/>
        <v>10343</v>
      </c>
      <c r="H221" s="7">
        <f t="shared" si="18"/>
        <v>2.58575</v>
      </c>
      <c r="I221" s="9">
        <f t="shared" si="23"/>
        <v>1</v>
      </c>
      <c r="J221" s="9">
        <f t="shared" si="20"/>
        <v>3.58575</v>
      </c>
      <c r="K221" s="10">
        <f t="shared" si="21"/>
        <v>4</v>
      </c>
      <c r="O221" s="36">
        <f>'DHS25'!C220</f>
        <v>3621</v>
      </c>
      <c r="P221" s="37">
        <f>'DHS25'!D220</f>
        <v>10093</v>
      </c>
      <c r="Q221" s="37">
        <f>'DHS25'!E220</f>
        <v>4004</v>
      </c>
      <c r="R221" s="38">
        <v>78.48</v>
      </c>
      <c r="S221" s="39">
        <f t="shared" si="22"/>
        <v>314.23391999999996</v>
      </c>
    </row>
    <row r="222" spans="1:19">
      <c r="A222" s="67">
        <v>45667</v>
      </c>
      <c r="B222" s="25" t="s">
        <v>11</v>
      </c>
      <c r="C222" s="4">
        <v>14125</v>
      </c>
      <c r="D222" s="5">
        <v>10957</v>
      </c>
      <c r="E222" s="4">
        <v>2435</v>
      </c>
      <c r="F222" s="4">
        <v>18363</v>
      </c>
      <c r="G222" s="4">
        <f t="shared" si="19"/>
        <v>11470</v>
      </c>
      <c r="H222" s="7">
        <f t="shared" si="18"/>
        <v>2.8675000000000002</v>
      </c>
      <c r="I222" s="9">
        <f t="shared" si="23"/>
        <v>1</v>
      </c>
      <c r="J222" s="9">
        <f t="shared" si="20"/>
        <v>3.8675000000000002</v>
      </c>
      <c r="K222" s="10">
        <f t="shared" si="21"/>
        <v>4</v>
      </c>
      <c r="O222" s="36">
        <f>'DHS25'!C221</f>
        <v>3694</v>
      </c>
      <c r="P222" s="37">
        <f>'DHS25'!D221</f>
        <v>9626</v>
      </c>
      <c r="Q222" s="37">
        <f>'DHS25'!E221</f>
        <v>3990</v>
      </c>
      <c r="R222" s="38">
        <v>76.86</v>
      </c>
      <c r="S222" s="39">
        <f t="shared" si="22"/>
        <v>306.67140000000001</v>
      </c>
    </row>
    <row r="223" spans="1:19">
      <c r="A223" s="67">
        <v>45667</v>
      </c>
      <c r="B223" s="25" t="s">
        <v>12</v>
      </c>
      <c r="C223" s="4">
        <v>22353</v>
      </c>
      <c r="D223" s="5">
        <v>19796</v>
      </c>
      <c r="E223" s="4">
        <v>9357</v>
      </c>
      <c r="F223" s="4">
        <v>19124</v>
      </c>
      <c r="G223" s="4">
        <f t="shared" si="19"/>
        <v>17657.5</v>
      </c>
      <c r="H223" s="7">
        <f t="shared" si="18"/>
        <v>4.4143749999999997</v>
      </c>
      <c r="I223" s="9">
        <f t="shared" si="23"/>
        <v>1</v>
      </c>
      <c r="J223" s="9">
        <f t="shared" si="20"/>
        <v>5.4143749999999997</v>
      </c>
      <c r="K223" s="10">
        <f t="shared" si="21"/>
        <v>6</v>
      </c>
      <c r="O223" s="36">
        <f>'DHS25'!C222</f>
        <v>7022</v>
      </c>
      <c r="P223" s="37">
        <f>'DHS25'!D222</f>
        <v>10175</v>
      </c>
      <c r="Q223" s="37">
        <f>'DHS25'!E222</f>
        <v>5910</v>
      </c>
      <c r="R223" s="38">
        <v>71.5</v>
      </c>
      <c r="S223" s="39">
        <f t="shared" si="22"/>
        <v>422.565</v>
      </c>
    </row>
    <row r="224" spans="1:19">
      <c r="A224" s="67">
        <v>45667</v>
      </c>
      <c r="B224" s="25" t="s">
        <v>13</v>
      </c>
      <c r="C224" s="4">
        <v>21901</v>
      </c>
      <c r="D224" s="5">
        <v>19874</v>
      </c>
      <c r="E224" s="4">
        <v>15679</v>
      </c>
      <c r="F224" s="4">
        <v>21288</v>
      </c>
      <c r="G224" s="4">
        <f t="shared" si="19"/>
        <v>19685.5</v>
      </c>
      <c r="H224" s="7">
        <f t="shared" si="18"/>
        <v>4.9213750000000003</v>
      </c>
      <c r="I224" s="9">
        <f t="shared" si="23"/>
        <v>1</v>
      </c>
      <c r="J224" s="9">
        <f t="shared" si="20"/>
        <v>5.9213750000000003</v>
      </c>
      <c r="K224" s="10">
        <f t="shared" si="21"/>
        <v>6</v>
      </c>
      <c r="O224" s="36">
        <f>'DHS25'!C223</f>
        <v>15181</v>
      </c>
      <c r="P224" s="37">
        <f>'DHS25'!D223</f>
        <v>3496</v>
      </c>
      <c r="Q224" s="37">
        <f>'DHS25'!E223</f>
        <v>5993</v>
      </c>
      <c r="R224" s="38">
        <v>109.41</v>
      </c>
      <c r="S224" s="39">
        <f t="shared" si="22"/>
        <v>655.69412999999997</v>
      </c>
    </row>
    <row r="225" spans="1:19">
      <c r="A225" s="67">
        <v>45667</v>
      </c>
      <c r="B225" s="25" t="s">
        <v>14</v>
      </c>
      <c r="C225" s="4">
        <v>22690</v>
      </c>
      <c r="D225" s="5">
        <v>19302</v>
      </c>
      <c r="E225" s="4">
        <v>15210</v>
      </c>
      <c r="F225" s="4">
        <v>21671</v>
      </c>
      <c r="G225" s="4">
        <f t="shared" si="19"/>
        <v>19718.25</v>
      </c>
      <c r="H225" s="7">
        <f t="shared" si="18"/>
        <v>4.9295625000000003</v>
      </c>
      <c r="I225" s="9">
        <f t="shared" si="23"/>
        <v>1</v>
      </c>
      <c r="J225" s="9">
        <f t="shared" si="20"/>
        <v>5.9295625000000003</v>
      </c>
      <c r="K225" s="10">
        <f t="shared" si="21"/>
        <v>6</v>
      </c>
      <c r="O225" s="36">
        <f>'DHS25'!C224</f>
        <v>18852</v>
      </c>
      <c r="P225" s="37">
        <f>'DHS25'!D224</f>
        <v>4842</v>
      </c>
      <c r="Q225" s="37">
        <f>'DHS25'!E224</f>
        <v>7883</v>
      </c>
      <c r="R225" s="38">
        <v>151.83000000000001</v>
      </c>
      <c r="S225" s="39">
        <f t="shared" si="22"/>
        <v>1196.87589</v>
      </c>
    </row>
    <row r="226" spans="1:19">
      <c r="A226" s="67">
        <v>45667</v>
      </c>
      <c r="B226" s="25" t="s">
        <v>15</v>
      </c>
      <c r="C226" s="4">
        <v>22887</v>
      </c>
      <c r="D226" s="5">
        <v>15941</v>
      </c>
      <c r="E226" s="4">
        <v>13750</v>
      </c>
      <c r="F226" s="4">
        <v>22437</v>
      </c>
      <c r="G226" s="4">
        <f t="shared" si="19"/>
        <v>18753.75</v>
      </c>
      <c r="H226" s="7">
        <f t="shared" si="18"/>
        <v>4.6884375</v>
      </c>
      <c r="I226" s="9">
        <f t="shared" si="23"/>
        <v>1</v>
      </c>
      <c r="J226" s="9">
        <f t="shared" si="20"/>
        <v>5.6884375</v>
      </c>
      <c r="K226" s="10">
        <f t="shared" si="21"/>
        <v>6</v>
      </c>
      <c r="O226" s="36">
        <f>'DHS25'!C225</f>
        <v>17672</v>
      </c>
      <c r="P226" s="37">
        <f>'DHS25'!D225</f>
        <v>6609</v>
      </c>
      <c r="Q226" s="37">
        <f>'DHS25'!E225</f>
        <v>7936</v>
      </c>
      <c r="R226" s="38">
        <v>147.94999999999999</v>
      </c>
      <c r="S226" s="39">
        <f t="shared" si="22"/>
        <v>1174.1311999999998</v>
      </c>
    </row>
    <row r="227" spans="1:19">
      <c r="A227" s="67">
        <v>45667</v>
      </c>
      <c r="B227" s="25" t="s">
        <v>16</v>
      </c>
      <c r="C227" s="4">
        <v>17856</v>
      </c>
      <c r="D227" s="5">
        <v>17612</v>
      </c>
      <c r="E227" s="4">
        <v>13801</v>
      </c>
      <c r="F227" s="4">
        <v>23144</v>
      </c>
      <c r="G227" s="4">
        <f t="shared" si="19"/>
        <v>18103.25</v>
      </c>
      <c r="H227" s="7">
        <f t="shared" si="18"/>
        <v>4.5258124999999998</v>
      </c>
      <c r="I227" s="9">
        <f t="shared" si="23"/>
        <v>1</v>
      </c>
      <c r="J227" s="9">
        <f t="shared" si="20"/>
        <v>5.5258124999999998</v>
      </c>
      <c r="K227" s="10">
        <f t="shared" si="21"/>
        <v>6</v>
      </c>
      <c r="O227" s="36">
        <f>'DHS25'!C226</f>
        <v>16996</v>
      </c>
      <c r="P227" s="37">
        <f>'DHS25'!D226</f>
        <v>7337</v>
      </c>
      <c r="Q227" s="37">
        <f>'DHS25'!E226</f>
        <v>8006</v>
      </c>
      <c r="R227" s="38">
        <v>135.51</v>
      </c>
      <c r="S227" s="39">
        <f t="shared" si="22"/>
        <v>1084.8930599999999</v>
      </c>
    </row>
    <row r="228" spans="1:19">
      <c r="A228" s="67">
        <v>45667</v>
      </c>
      <c r="B228" s="25" t="s">
        <v>17</v>
      </c>
      <c r="C228" s="4">
        <v>22607</v>
      </c>
      <c r="D228" s="5">
        <v>17846</v>
      </c>
      <c r="E228" s="4">
        <v>14270</v>
      </c>
      <c r="F228" s="4">
        <v>23245</v>
      </c>
      <c r="G228" s="4">
        <f t="shared" si="19"/>
        <v>19492</v>
      </c>
      <c r="H228" s="7">
        <f t="shared" si="18"/>
        <v>4.8730000000000002</v>
      </c>
      <c r="I228" s="9">
        <f t="shared" si="23"/>
        <v>1</v>
      </c>
      <c r="J228" s="9">
        <f t="shared" si="20"/>
        <v>5.8730000000000002</v>
      </c>
      <c r="K228" s="10">
        <f t="shared" si="21"/>
        <v>6</v>
      </c>
      <c r="O228" s="36">
        <f>'DHS25'!C227</f>
        <v>16894</v>
      </c>
      <c r="P228" s="37">
        <f>'DHS25'!D227</f>
        <v>7170</v>
      </c>
      <c r="Q228" s="37">
        <f>'DHS25'!E227</f>
        <v>8003</v>
      </c>
      <c r="R228" s="38">
        <v>143.4</v>
      </c>
      <c r="S228" s="39">
        <f t="shared" si="22"/>
        <v>1147.6302000000001</v>
      </c>
    </row>
    <row r="229" spans="1:19">
      <c r="A229" s="67">
        <v>45667</v>
      </c>
      <c r="B229" s="25" t="s">
        <v>18</v>
      </c>
      <c r="C229" s="4">
        <v>18324</v>
      </c>
      <c r="D229" s="5">
        <v>17138</v>
      </c>
      <c r="E229" s="4">
        <v>13330</v>
      </c>
      <c r="F229" s="4">
        <v>22212</v>
      </c>
      <c r="G229" s="4">
        <f t="shared" si="19"/>
        <v>17751</v>
      </c>
      <c r="H229" s="7">
        <f t="shared" si="18"/>
        <v>4.4377500000000003</v>
      </c>
      <c r="I229" s="9">
        <f t="shared" si="23"/>
        <v>1</v>
      </c>
      <c r="J229" s="9">
        <f t="shared" si="20"/>
        <v>5.4377500000000003</v>
      </c>
      <c r="K229" s="10">
        <f t="shared" si="21"/>
        <v>6</v>
      </c>
      <c r="O229" s="36">
        <f>'DHS25'!C228</f>
        <v>17110</v>
      </c>
      <c r="P229" s="37">
        <f>'DHS25'!D228</f>
        <v>4835</v>
      </c>
      <c r="Q229" s="37">
        <f>'DHS25'!E228</f>
        <v>7487</v>
      </c>
      <c r="R229" s="38">
        <v>123.57</v>
      </c>
      <c r="S229" s="39">
        <f t="shared" si="22"/>
        <v>925.16858999999999</v>
      </c>
    </row>
    <row r="230" spans="1:19">
      <c r="A230" s="67">
        <v>45667</v>
      </c>
      <c r="B230" s="25" t="s">
        <v>19</v>
      </c>
      <c r="C230" s="4">
        <v>19602</v>
      </c>
      <c r="D230" s="5">
        <v>17177</v>
      </c>
      <c r="E230" s="4">
        <v>13415</v>
      </c>
      <c r="F230" s="4">
        <v>21226</v>
      </c>
      <c r="G230" s="4">
        <f t="shared" si="19"/>
        <v>17855</v>
      </c>
      <c r="H230" s="7">
        <f t="shared" si="18"/>
        <v>4.4637500000000001</v>
      </c>
      <c r="I230" s="9">
        <f t="shared" si="23"/>
        <v>1</v>
      </c>
      <c r="J230" s="9">
        <f t="shared" si="20"/>
        <v>5.4637500000000001</v>
      </c>
      <c r="K230" s="10">
        <f t="shared" si="21"/>
        <v>6</v>
      </c>
      <c r="O230" s="36">
        <f>'DHS25'!C229</f>
        <v>16662</v>
      </c>
      <c r="P230" s="37">
        <f>'DHS25'!D229</f>
        <v>1787</v>
      </c>
      <c r="Q230" s="37">
        <f>'DHS25'!E229</f>
        <v>6001</v>
      </c>
      <c r="R230" s="38">
        <v>113.59</v>
      </c>
      <c r="S230" s="39">
        <f t="shared" si="22"/>
        <v>681.65359000000001</v>
      </c>
    </row>
    <row r="231" spans="1:19">
      <c r="A231" s="67">
        <v>45667</v>
      </c>
      <c r="B231" s="25" t="s">
        <v>20</v>
      </c>
      <c r="C231" s="4">
        <v>19965</v>
      </c>
      <c r="D231" s="5">
        <v>17440</v>
      </c>
      <c r="E231" s="4">
        <v>13335</v>
      </c>
      <c r="F231" s="4">
        <v>17381</v>
      </c>
      <c r="G231" s="4">
        <f t="shared" si="19"/>
        <v>17030.25</v>
      </c>
      <c r="H231" s="7">
        <f t="shared" si="18"/>
        <v>4.2575624999999997</v>
      </c>
      <c r="I231" s="9">
        <f t="shared" si="23"/>
        <v>1</v>
      </c>
      <c r="J231" s="9">
        <f t="shared" si="20"/>
        <v>5.2575624999999997</v>
      </c>
      <c r="K231" s="10">
        <f t="shared" si="21"/>
        <v>6</v>
      </c>
      <c r="O231" s="36">
        <f>'DHS25'!C230</f>
        <v>16629</v>
      </c>
      <c r="P231" s="37">
        <f>'DHS25'!D230</f>
        <v>2273</v>
      </c>
      <c r="Q231" s="37">
        <f>'DHS25'!E230</f>
        <v>6030</v>
      </c>
      <c r="R231" s="38">
        <v>107.43</v>
      </c>
      <c r="S231" s="39">
        <f t="shared" si="22"/>
        <v>647.80290000000002</v>
      </c>
    </row>
    <row r="232" spans="1:19">
      <c r="A232" s="67">
        <v>45667</v>
      </c>
      <c r="B232" s="25" t="s">
        <v>21</v>
      </c>
      <c r="C232" s="4">
        <v>19787</v>
      </c>
      <c r="D232" s="5">
        <v>17834</v>
      </c>
      <c r="E232" s="4">
        <v>14109</v>
      </c>
      <c r="F232" s="4">
        <v>16646</v>
      </c>
      <c r="G232" s="4">
        <f t="shared" si="19"/>
        <v>17094</v>
      </c>
      <c r="H232" s="7">
        <f t="shared" si="18"/>
        <v>4.2735000000000003</v>
      </c>
      <c r="I232" s="9">
        <f t="shared" si="23"/>
        <v>1</v>
      </c>
      <c r="J232" s="9">
        <f t="shared" si="20"/>
        <v>5.2735000000000003</v>
      </c>
      <c r="K232" s="10">
        <f t="shared" si="21"/>
        <v>6</v>
      </c>
      <c r="O232" s="36">
        <f>'DHS25'!C231</f>
        <v>16739</v>
      </c>
      <c r="P232" s="37">
        <f>'DHS25'!D231</f>
        <v>2309</v>
      </c>
      <c r="Q232" s="37">
        <f>'DHS25'!E231</f>
        <v>5991</v>
      </c>
      <c r="R232" s="38">
        <v>105.01</v>
      </c>
      <c r="S232" s="39">
        <f t="shared" si="22"/>
        <v>629.11491000000001</v>
      </c>
    </row>
    <row r="233" spans="1:19">
      <c r="A233" s="67">
        <v>45667</v>
      </c>
      <c r="B233" s="25" t="s">
        <v>22</v>
      </c>
      <c r="C233" s="4">
        <v>18066</v>
      </c>
      <c r="D233" s="5">
        <v>17453</v>
      </c>
      <c r="E233" s="4">
        <v>13293</v>
      </c>
      <c r="F233" s="4">
        <v>17140</v>
      </c>
      <c r="G233" s="4">
        <f t="shared" si="19"/>
        <v>16488</v>
      </c>
      <c r="H233" s="7">
        <f t="shared" si="18"/>
        <v>4.1219999999999999</v>
      </c>
      <c r="I233" s="9">
        <f t="shared" si="23"/>
        <v>1</v>
      </c>
      <c r="J233" s="9">
        <f t="shared" si="20"/>
        <v>5.1219999999999999</v>
      </c>
      <c r="K233" s="10">
        <f t="shared" si="21"/>
        <v>6</v>
      </c>
      <c r="O233" s="36">
        <f>'DHS25'!C232</f>
        <v>17136</v>
      </c>
      <c r="P233" s="37">
        <f>'DHS25'!D232</f>
        <v>2018</v>
      </c>
      <c r="Q233" s="37">
        <f>'DHS25'!E232</f>
        <v>6004</v>
      </c>
      <c r="R233" s="38">
        <v>110.01</v>
      </c>
      <c r="S233" s="39">
        <f t="shared" si="22"/>
        <v>660.50004000000001</v>
      </c>
    </row>
    <row r="234" spans="1:19">
      <c r="A234" s="67">
        <v>45667</v>
      </c>
      <c r="B234" s="25" t="s">
        <v>23</v>
      </c>
      <c r="C234" s="4">
        <v>18633</v>
      </c>
      <c r="D234" s="5">
        <v>17056</v>
      </c>
      <c r="E234" s="4">
        <v>13527</v>
      </c>
      <c r="F234" s="4">
        <v>18916</v>
      </c>
      <c r="G234" s="4">
        <f t="shared" si="19"/>
        <v>17033</v>
      </c>
      <c r="H234" s="7">
        <f t="shared" si="18"/>
        <v>4.2582500000000003</v>
      </c>
      <c r="I234" s="9">
        <f t="shared" si="23"/>
        <v>1</v>
      </c>
      <c r="J234" s="9">
        <f t="shared" si="20"/>
        <v>5.2582500000000003</v>
      </c>
      <c r="K234" s="10">
        <f t="shared" si="21"/>
        <v>6</v>
      </c>
      <c r="O234" s="36">
        <f>'DHS25'!C233</f>
        <v>15564</v>
      </c>
      <c r="P234" s="37">
        <f>'DHS25'!D233</f>
        <v>3408</v>
      </c>
      <c r="Q234" s="37">
        <f>'DHS25'!E233</f>
        <v>6009</v>
      </c>
      <c r="R234" s="38">
        <v>128.69</v>
      </c>
      <c r="S234" s="39">
        <f t="shared" si="22"/>
        <v>773.29821000000004</v>
      </c>
    </row>
    <row r="235" spans="1:19">
      <c r="A235" s="67">
        <v>45667</v>
      </c>
      <c r="B235" s="25" t="s">
        <v>24</v>
      </c>
      <c r="C235" s="4">
        <v>18797</v>
      </c>
      <c r="D235" s="5">
        <v>16816</v>
      </c>
      <c r="E235" s="4">
        <v>13671</v>
      </c>
      <c r="F235" s="4">
        <v>19062</v>
      </c>
      <c r="G235" s="4">
        <f t="shared" si="19"/>
        <v>17086.5</v>
      </c>
      <c r="H235" s="7">
        <f t="shared" si="18"/>
        <v>4.2716250000000002</v>
      </c>
      <c r="I235" s="9">
        <f t="shared" si="23"/>
        <v>1</v>
      </c>
      <c r="J235" s="9">
        <f t="shared" si="20"/>
        <v>5.2716250000000002</v>
      </c>
      <c r="K235" s="10">
        <f t="shared" si="21"/>
        <v>6</v>
      </c>
      <c r="O235" s="36">
        <f>'DHS25'!C234</f>
        <v>16382</v>
      </c>
      <c r="P235" s="37">
        <f>'DHS25'!D234</f>
        <v>8603</v>
      </c>
      <c r="Q235" s="37">
        <f>'DHS25'!E234</f>
        <v>7808</v>
      </c>
      <c r="R235" s="38">
        <v>126.3</v>
      </c>
      <c r="S235" s="39">
        <f t="shared" si="22"/>
        <v>986.15039999999999</v>
      </c>
    </row>
    <row r="236" spans="1:19">
      <c r="A236" s="67">
        <v>45667</v>
      </c>
      <c r="B236" s="25" t="s">
        <v>25</v>
      </c>
      <c r="C236" s="4">
        <v>19534</v>
      </c>
      <c r="D236" s="5">
        <v>16756</v>
      </c>
      <c r="E236" s="4">
        <v>13181</v>
      </c>
      <c r="F236" s="4">
        <v>17983</v>
      </c>
      <c r="G236" s="4">
        <f t="shared" si="19"/>
        <v>16863.5</v>
      </c>
      <c r="H236" s="7">
        <f t="shared" si="18"/>
        <v>4.2158749999999996</v>
      </c>
      <c r="I236" s="9">
        <f t="shared" si="23"/>
        <v>1</v>
      </c>
      <c r="J236" s="9">
        <f t="shared" si="20"/>
        <v>5.2158749999999996</v>
      </c>
      <c r="K236" s="10">
        <f t="shared" si="21"/>
        <v>6</v>
      </c>
      <c r="O236" s="36">
        <f>'DHS25'!C235</f>
        <v>16834</v>
      </c>
      <c r="P236" s="37">
        <f>'DHS25'!D235</f>
        <v>7420</v>
      </c>
      <c r="Q236" s="37">
        <f>'DHS25'!E235</f>
        <v>7994</v>
      </c>
      <c r="R236" s="38">
        <v>139.97</v>
      </c>
      <c r="S236" s="39">
        <f t="shared" si="22"/>
        <v>1118.9201799999998</v>
      </c>
    </row>
    <row r="237" spans="1:19">
      <c r="A237" s="67">
        <v>45667</v>
      </c>
      <c r="B237" s="25" t="s">
        <v>26</v>
      </c>
      <c r="C237" s="4">
        <v>19007</v>
      </c>
      <c r="D237" s="5">
        <v>17784</v>
      </c>
      <c r="E237" s="4">
        <v>13569</v>
      </c>
      <c r="F237" s="4">
        <v>21081</v>
      </c>
      <c r="G237" s="4">
        <f t="shared" si="19"/>
        <v>17860.25</v>
      </c>
      <c r="H237" s="7">
        <f t="shared" si="18"/>
        <v>4.4650625000000002</v>
      </c>
      <c r="I237" s="9">
        <f t="shared" si="23"/>
        <v>1</v>
      </c>
      <c r="J237" s="9">
        <f t="shared" si="20"/>
        <v>5.4650625000000002</v>
      </c>
      <c r="K237" s="10">
        <f t="shared" si="21"/>
        <v>6</v>
      </c>
      <c r="O237" s="36">
        <f>'DHS25'!C236</f>
        <v>16692</v>
      </c>
      <c r="P237" s="37">
        <f>'DHS25'!D236</f>
        <v>7925</v>
      </c>
      <c r="Q237" s="37">
        <f>'DHS25'!E236</f>
        <v>7993</v>
      </c>
      <c r="R237" s="38">
        <v>142.16</v>
      </c>
      <c r="S237" s="39">
        <f t="shared" si="22"/>
        <v>1136.2848799999999</v>
      </c>
    </row>
    <row r="238" spans="1:19">
      <c r="A238" s="67">
        <v>45667</v>
      </c>
      <c r="B238" s="25" t="s">
        <v>27</v>
      </c>
      <c r="C238" s="4">
        <v>18694</v>
      </c>
      <c r="D238" s="5">
        <v>18999</v>
      </c>
      <c r="E238" s="4">
        <v>13466</v>
      </c>
      <c r="F238" s="4">
        <v>20844</v>
      </c>
      <c r="G238" s="4">
        <f t="shared" si="19"/>
        <v>18000.75</v>
      </c>
      <c r="H238" s="7">
        <f t="shared" si="18"/>
        <v>4.5001875</v>
      </c>
      <c r="I238" s="9">
        <f t="shared" si="23"/>
        <v>1</v>
      </c>
      <c r="J238" s="9">
        <f t="shared" si="20"/>
        <v>5.5001875</v>
      </c>
      <c r="K238" s="10">
        <f t="shared" si="21"/>
        <v>6</v>
      </c>
      <c r="O238" s="36">
        <f>'DHS25'!C237</f>
        <v>16942</v>
      </c>
      <c r="P238" s="37">
        <f>'DHS25'!D237</f>
        <v>7586</v>
      </c>
      <c r="Q238" s="37">
        <f>'DHS25'!E237</f>
        <v>7994</v>
      </c>
      <c r="R238" s="38">
        <v>138.41</v>
      </c>
      <c r="S238" s="39">
        <f t="shared" si="22"/>
        <v>1106.4495399999998</v>
      </c>
    </row>
    <row r="239" spans="1:19">
      <c r="A239" s="67">
        <v>45667</v>
      </c>
      <c r="B239" s="25" t="s">
        <v>28</v>
      </c>
      <c r="C239" s="4">
        <v>19135</v>
      </c>
      <c r="D239" s="5">
        <v>18580</v>
      </c>
      <c r="E239" s="4">
        <v>13541</v>
      </c>
      <c r="F239" s="4">
        <v>21191</v>
      </c>
      <c r="G239" s="4">
        <f t="shared" si="19"/>
        <v>18111.75</v>
      </c>
      <c r="H239" s="7">
        <f t="shared" si="18"/>
        <v>4.5279375000000002</v>
      </c>
      <c r="I239" s="9">
        <f t="shared" si="23"/>
        <v>1</v>
      </c>
      <c r="J239" s="9">
        <f t="shared" si="20"/>
        <v>5.5279375000000002</v>
      </c>
      <c r="K239" s="10">
        <f t="shared" si="21"/>
        <v>6</v>
      </c>
      <c r="O239" s="36">
        <f>'DHS25'!C238</f>
        <v>16912</v>
      </c>
      <c r="P239" s="37">
        <f>'DHS25'!D238</f>
        <v>7708</v>
      </c>
      <c r="Q239" s="37">
        <f>'DHS25'!E238</f>
        <v>7995</v>
      </c>
      <c r="R239" s="38">
        <v>135.11000000000001</v>
      </c>
      <c r="S239" s="39">
        <f t="shared" si="22"/>
        <v>1080.2044500000002</v>
      </c>
    </row>
    <row r="240" spans="1:19">
      <c r="A240" s="67">
        <v>45667</v>
      </c>
      <c r="B240" s="25" t="s">
        <v>29</v>
      </c>
      <c r="C240" s="4">
        <v>19635</v>
      </c>
      <c r="D240" s="5">
        <v>19853</v>
      </c>
      <c r="E240" s="4">
        <v>13597</v>
      </c>
      <c r="F240" s="4">
        <v>20994</v>
      </c>
      <c r="G240" s="4">
        <f t="shared" si="19"/>
        <v>18519.75</v>
      </c>
      <c r="H240" s="7">
        <f t="shared" si="18"/>
        <v>4.6299374999999996</v>
      </c>
      <c r="I240" s="9">
        <f t="shared" si="23"/>
        <v>1</v>
      </c>
      <c r="J240" s="9">
        <f t="shared" si="20"/>
        <v>5.6299374999999996</v>
      </c>
      <c r="K240" s="10">
        <f t="shared" si="21"/>
        <v>6</v>
      </c>
      <c r="O240" s="36">
        <f>'DHS25'!C239</f>
        <v>18215</v>
      </c>
      <c r="P240" s="37">
        <f>'DHS25'!D239</f>
        <v>3843</v>
      </c>
      <c r="Q240" s="37">
        <f>'DHS25'!E239</f>
        <v>7157</v>
      </c>
      <c r="R240" s="38">
        <v>122.51</v>
      </c>
      <c r="S240" s="39">
        <f t="shared" si="22"/>
        <v>876.80407000000002</v>
      </c>
    </row>
    <row r="241" spans="1:19">
      <c r="A241" s="67">
        <v>45667</v>
      </c>
      <c r="B241" s="25" t="s">
        <v>30</v>
      </c>
      <c r="C241" s="4">
        <v>16509</v>
      </c>
      <c r="D241" s="5">
        <v>16791</v>
      </c>
      <c r="E241" s="4">
        <v>11316</v>
      </c>
      <c r="F241" s="4">
        <v>20055</v>
      </c>
      <c r="G241" s="4">
        <f t="shared" si="19"/>
        <v>16167.75</v>
      </c>
      <c r="H241" s="7">
        <f t="shared" si="18"/>
        <v>4.0419375000000004</v>
      </c>
      <c r="I241" s="9">
        <f t="shared" si="23"/>
        <v>1</v>
      </c>
      <c r="J241" s="9">
        <f t="shared" si="20"/>
        <v>5.0419375000000004</v>
      </c>
      <c r="K241" s="10">
        <f t="shared" si="21"/>
        <v>6</v>
      </c>
      <c r="O241" s="36">
        <f>'DHS25'!C240</f>
        <v>15280</v>
      </c>
      <c r="P241" s="37">
        <f>'DHS25'!D240</f>
        <v>3257</v>
      </c>
      <c r="Q241" s="37">
        <f>'DHS25'!E240</f>
        <v>5986</v>
      </c>
      <c r="R241" s="38">
        <v>119.95</v>
      </c>
      <c r="S241" s="39">
        <f t="shared" si="22"/>
        <v>718.02070000000003</v>
      </c>
    </row>
    <row r="242" spans="1:19">
      <c r="A242" s="67">
        <v>45667</v>
      </c>
      <c r="B242" s="25" t="s">
        <v>31</v>
      </c>
      <c r="C242" s="4">
        <v>8924</v>
      </c>
      <c r="D242" s="5">
        <v>9647</v>
      </c>
      <c r="E242" s="4">
        <v>5563</v>
      </c>
      <c r="F242" s="4">
        <v>13841</v>
      </c>
      <c r="G242" s="4">
        <f t="shared" si="19"/>
        <v>9493.75</v>
      </c>
      <c r="H242" s="7">
        <f t="shared" si="18"/>
        <v>2.3734375000000001</v>
      </c>
      <c r="I242" s="9">
        <f t="shared" si="23"/>
        <v>1</v>
      </c>
      <c r="J242" s="9">
        <f t="shared" si="20"/>
        <v>3.3734375000000001</v>
      </c>
      <c r="K242" s="10">
        <f t="shared" si="21"/>
        <v>4</v>
      </c>
      <c r="O242" s="36">
        <f>'DHS25'!C241</f>
        <v>9401</v>
      </c>
      <c r="P242" s="37">
        <f>'DHS25'!D241</f>
        <v>4992</v>
      </c>
      <c r="Q242" s="37">
        <f>'DHS25'!E241</f>
        <v>5429</v>
      </c>
      <c r="R242" s="38">
        <v>114.2</v>
      </c>
      <c r="S242" s="39">
        <f t="shared" si="22"/>
        <v>619.99180000000001</v>
      </c>
    </row>
    <row r="243" spans="1:19">
      <c r="A243" s="66">
        <v>45668</v>
      </c>
      <c r="B243" s="24" t="s">
        <v>8</v>
      </c>
      <c r="C243" s="4">
        <v>8464</v>
      </c>
      <c r="D243" s="5">
        <v>9617</v>
      </c>
      <c r="E243" s="4">
        <v>4293</v>
      </c>
      <c r="F243" s="4">
        <v>13832</v>
      </c>
      <c r="G243" s="4">
        <f t="shared" si="19"/>
        <v>9051.5</v>
      </c>
      <c r="H243" s="7">
        <f t="shared" si="18"/>
        <v>2.2628750000000002</v>
      </c>
      <c r="I243" s="9">
        <f t="shared" si="23"/>
        <v>1</v>
      </c>
      <c r="J243" s="9">
        <f t="shared" si="20"/>
        <v>3.2628750000000002</v>
      </c>
      <c r="K243" s="10">
        <f t="shared" si="21"/>
        <v>4</v>
      </c>
      <c r="O243" s="36">
        <f>'DHS25'!C242</f>
        <v>10213</v>
      </c>
      <c r="P243" s="37">
        <f>'DHS25'!D242</f>
        <v>3880</v>
      </c>
      <c r="Q243" s="37">
        <f>'DHS25'!E242</f>
        <v>3992</v>
      </c>
      <c r="R243" s="38">
        <v>108.67</v>
      </c>
      <c r="S243" s="39">
        <f t="shared" si="22"/>
        <v>433.81063999999998</v>
      </c>
    </row>
    <row r="244" spans="1:19">
      <c r="A244" s="66">
        <v>45668</v>
      </c>
      <c r="B244" s="24" t="s">
        <v>9</v>
      </c>
      <c r="C244" s="4">
        <v>10489</v>
      </c>
      <c r="D244" s="5">
        <v>10042</v>
      </c>
      <c r="E244" s="4">
        <v>5566</v>
      </c>
      <c r="F244" s="4">
        <v>14423</v>
      </c>
      <c r="G244" s="4">
        <f t="shared" si="19"/>
        <v>10130</v>
      </c>
      <c r="H244" s="7">
        <f t="shared" si="18"/>
        <v>2.5325000000000002</v>
      </c>
      <c r="I244" s="9">
        <f t="shared" si="23"/>
        <v>1</v>
      </c>
      <c r="J244" s="9">
        <f t="shared" si="20"/>
        <v>3.5325000000000002</v>
      </c>
      <c r="K244" s="10">
        <f t="shared" si="21"/>
        <v>4</v>
      </c>
      <c r="O244" s="36">
        <f>'DHS25'!C243</f>
        <v>10769</v>
      </c>
      <c r="P244" s="37">
        <f>'DHS25'!D243</f>
        <v>3030</v>
      </c>
      <c r="Q244" s="37">
        <f>'DHS25'!E243</f>
        <v>4004</v>
      </c>
      <c r="R244" s="38">
        <v>99.83</v>
      </c>
      <c r="S244" s="39">
        <f t="shared" si="22"/>
        <v>399.71931999999993</v>
      </c>
    </row>
    <row r="245" spans="1:19">
      <c r="A245" s="66">
        <v>45668</v>
      </c>
      <c r="B245" s="24" t="s">
        <v>10</v>
      </c>
      <c r="C245" s="4">
        <v>11686</v>
      </c>
      <c r="D245" s="5">
        <v>10885</v>
      </c>
      <c r="E245" s="4">
        <v>4349</v>
      </c>
      <c r="F245" s="4">
        <v>14587</v>
      </c>
      <c r="G245" s="4">
        <f t="shared" si="19"/>
        <v>10376.75</v>
      </c>
      <c r="H245" s="7">
        <f t="shared" si="18"/>
        <v>2.5941874999999999</v>
      </c>
      <c r="I245" s="9">
        <f t="shared" si="23"/>
        <v>1</v>
      </c>
      <c r="J245" s="9">
        <f t="shared" si="20"/>
        <v>3.5941874999999999</v>
      </c>
      <c r="K245" s="10">
        <f t="shared" si="21"/>
        <v>4</v>
      </c>
      <c r="O245" s="36">
        <f>'DHS25'!C244</f>
        <v>13047</v>
      </c>
      <c r="P245" s="37">
        <f>'DHS25'!D244</f>
        <v>1246</v>
      </c>
      <c r="Q245" s="37">
        <f>'DHS25'!E244</f>
        <v>4003</v>
      </c>
      <c r="R245" s="38">
        <v>96.21</v>
      </c>
      <c r="S245" s="39">
        <f t="shared" si="22"/>
        <v>385.12862999999999</v>
      </c>
    </row>
    <row r="246" spans="1:19">
      <c r="A246" s="66">
        <v>45668</v>
      </c>
      <c r="B246" s="24" t="s">
        <v>11</v>
      </c>
      <c r="C246" s="4">
        <v>13078</v>
      </c>
      <c r="D246" s="5">
        <v>11522</v>
      </c>
      <c r="E246" s="4">
        <v>5716</v>
      </c>
      <c r="F246" s="4">
        <v>19746</v>
      </c>
      <c r="G246" s="4">
        <f t="shared" si="19"/>
        <v>12515.5</v>
      </c>
      <c r="H246" s="7">
        <f t="shared" si="18"/>
        <v>3.1288749999999999</v>
      </c>
      <c r="I246" s="9">
        <f t="shared" si="23"/>
        <v>1</v>
      </c>
      <c r="J246" s="9">
        <f t="shared" si="20"/>
        <v>4.1288749999999999</v>
      </c>
      <c r="K246" s="10">
        <f t="shared" si="21"/>
        <v>5</v>
      </c>
      <c r="O246" s="36">
        <f>'DHS25'!C245</f>
        <v>12728</v>
      </c>
      <c r="P246" s="37">
        <f>'DHS25'!D245</f>
        <v>4187</v>
      </c>
      <c r="Q246" s="37">
        <f>'DHS25'!E245</f>
        <v>4988</v>
      </c>
      <c r="R246" s="38">
        <v>92.39</v>
      </c>
      <c r="S246" s="39">
        <f t="shared" si="22"/>
        <v>460.84132000000005</v>
      </c>
    </row>
    <row r="247" spans="1:19">
      <c r="A247" s="66">
        <v>45668</v>
      </c>
      <c r="B247" s="24" t="s">
        <v>12</v>
      </c>
      <c r="C247" s="4">
        <v>22272</v>
      </c>
      <c r="D247" s="5">
        <v>20068</v>
      </c>
      <c r="E247" s="4">
        <v>15706</v>
      </c>
      <c r="F247" s="4">
        <v>18662</v>
      </c>
      <c r="G247" s="4">
        <f t="shared" si="19"/>
        <v>19177</v>
      </c>
      <c r="H247" s="7">
        <f t="shared" si="18"/>
        <v>4.7942499999999999</v>
      </c>
      <c r="I247" s="9">
        <f t="shared" si="23"/>
        <v>1</v>
      </c>
      <c r="J247" s="9">
        <f t="shared" si="20"/>
        <v>5.7942499999999999</v>
      </c>
      <c r="K247" s="10">
        <f t="shared" si="21"/>
        <v>6</v>
      </c>
      <c r="O247" s="36">
        <f>'DHS25'!C246</f>
        <v>19534</v>
      </c>
      <c r="P247" s="37">
        <f>'DHS25'!D246</f>
        <v>222</v>
      </c>
      <c r="Q247" s="37">
        <f>'DHS25'!E246</f>
        <v>6008</v>
      </c>
      <c r="R247" s="38">
        <v>91.63</v>
      </c>
      <c r="S247" s="39">
        <f t="shared" si="22"/>
        <v>550.51303999999993</v>
      </c>
    </row>
    <row r="248" spans="1:19">
      <c r="A248" s="66">
        <v>45668</v>
      </c>
      <c r="B248" s="24" t="s">
        <v>13</v>
      </c>
      <c r="C248" s="4">
        <v>19838</v>
      </c>
      <c r="D248" s="5">
        <v>20878</v>
      </c>
      <c r="E248" s="4">
        <v>16269</v>
      </c>
      <c r="F248" s="4">
        <v>21285</v>
      </c>
      <c r="G248" s="4">
        <f t="shared" si="19"/>
        <v>19567.5</v>
      </c>
      <c r="H248" s="7">
        <f t="shared" si="18"/>
        <v>4.8918749999999998</v>
      </c>
      <c r="I248" s="9">
        <f t="shared" si="23"/>
        <v>1</v>
      </c>
      <c r="J248" s="9">
        <f t="shared" si="20"/>
        <v>5.8918749999999998</v>
      </c>
      <c r="K248" s="10">
        <f t="shared" si="21"/>
        <v>6</v>
      </c>
      <c r="O248" s="36">
        <f>'DHS25'!C247</f>
        <v>19223</v>
      </c>
      <c r="P248" s="37">
        <f>'DHS25'!D247</f>
        <v>143</v>
      </c>
      <c r="Q248" s="37">
        <f>'DHS25'!E247</f>
        <v>5999</v>
      </c>
      <c r="R248" s="38">
        <v>93.15</v>
      </c>
      <c r="S248" s="39">
        <f t="shared" si="22"/>
        <v>558.80685000000005</v>
      </c>
    </row>
    <row r="249" spans="1:19">
      <c r="A249" s="66">
        <v>45668</v>
      </c>
      <c r="B249" s="24" t="s">
        <v>14</v>
      </c>
      <c r="C249" s="4">
        <v>20997</v>
      </c>
      <c r="D249" s="5">
        <v>20922</v>
      </c>
      <c r="E249" s="4">
        <v>15393</v>
      </c>
      <c r="F249" s="4">
        <v>22095</v>
      </c>
      <c r="G249" s="4">
        <f t="shared" si="19"/>
        <v>19851.75</v>
      </c>
      <c r="H249" s="7">
        <f t="shared" si="18"/>
        <v>4.9629374999999998</v>
      </c>
      <c r="I249" s="9">
        <f t="shared" si="23"/>
        <v>1</v>
      </c>
      <c r="J249" s="9">
        <f t="shared" si="20"/>
        <v>5.9629374999999998</v>
      </c>
      <c r="K249" s="10">
        <f t="shared" si="21"/>
        <v>6</v>
      </c>
      <c r="O249" s="36">
        <f>'DHS25'!C248</f>
        <v>19816</v>
      </c>
      <c r="P249" s="37">
        <f>'DHS25'!D248</f>
        <v>22</v>
      </c>
      <c r="Q249" s="37">
        <f>'DHS25'!E248</f>
        <v>6189</v>
      </c>
      <c r="R249" s="38">
        <v>94.88</v>
      </c>
      <c r="S249" s="39">
        <f t="shared" si="22"/>
        <v>587.21231999999998</v>
      </c>
    </row>
    <row r="250" spans="1:19">
      <c r="A250" s="66">
        <v>45668</v>
      </c>
      <c r="B250" s="24" t="s">
        <v>15</v>
      </c>
      <c r="C250" s="4">
        <v>16795</v>
      </c>
      <c r="D250" s="5">
        <v>16991</v>
      </c>
      <c r="E250" s="4">
        <v>15349</v>
      </c>
      <c r="F250" s="4">
        <v>24022</v>
      </c>
      <c r="G250" s="4">
        <f t="shared" si="19"/>
        <v>18289.25</v>
      </c>
      <c r="H250" s="7">
        <f t="shared" si="18"/>
        <v>4.5723124999999998</v>
      </c>
      <c r="I250" s="9">
        <f t="shared" si="23"/>
        <v>1</v>
      </c>
      <c r="J250" s="9">
        <f t="shared" si="20"/>
        <v>5.5723124999999998</v>
      </c>
      <c r="K250" s="10">
        <f t="shared" si="21"/>
        <v>6</v>
      </c>
      <c r="O250" s="36">
        <f>'DHS25'!C249</f>
        <v>19796</v>
      </c>
      <c r="P250" s="37">
        <f>'DHS25'!D249</f>
        <v>65</v>
      </c>
      <c r="Q250" s="37">
        <f>'DHS25'!E249</f>
        <v>6210</v>
      </c>
      <c r="R250" s="38">
        <v>114.54</v>
      </c>
      <c r="S250" s="39">
        <f t="shared" si="22"/>
        <v>711.29340000000002</v>
      </c>
    </row>
    <row r="251" spans="1:19">
      <c r="A251" s="66">
        <v>45668</v>
      </c>
      <c r="B251" s="24" t="s">
        <v>16</v>
      </c>
      <c r="C251" s="4">
        <v>17748</v>
      </c>
      <c r="D251" s="5">
        <v>18597</v>
      </c>
      <c r="E251" s="4">
        <v>14377</v>
      </c>
      <c r="F251" s="4">
        <v>24310</v>
      </c>
      <c r="G251" s="4">
        <f t="shared" si="19"/>
        <v>18758</v>
      </c>
      <c r="H251" s="7">
        <f t="shared" si="18"/>
        <v>4.6894999999999998</v>
      </c>
      <c r="I251" s="9">
        <f t="shared" si="23"/>
        <v>1</v>
      </c>
      <c r="J251" s="9">
        <f t="shared" si="20"/>
        <v>5.6894999999999998</v>
      </c>
      <c r="K251" s="10">
        <f t="shared" si="21"/>
        <v>6</v>
      </c>
      <c r="O251" s="36">
        <f>'DHS25'!C250</f>
        <v>18657</v>
      </c>
      <c r="P251" s="37">
        <f>'DHS25'!D250</f>
        <v>21</v>
      </c>
      <c r="Q251" s="37">
        <f>'DHS25'!E250</f>
        <v>5986</v>
      </c>
      <c r="R251" s="38">
        <v>107.5</v>
      </c>
      <c r="S251" s="39">
        <f t="shared" si="22"/>
        <v>643.495</v>
      </c>
    </row>
    <row r="252" spans="1:19">
      <c r="A252" s="66">
        <v>45668</v>
      </c>
      <c r="B252" s="24" t="s">
        <v>17</v>
      </c>
      <c r="C252" s="4">
        <v>18488</v>
      </c>
      <c r="D252" s="5">
        <v>18250</v>
      </c>
      <c r="E252" s="4">
        <v>14608</v>
      </c>
      <c r="F252" s="4">
        <v>22350</v>
      </c>
      <c r="G252" s="4">
        <f t="shared" si="19"/>
        <v>18424</v>
      </c>
      <c r="H252" s="7">
        <f t="shared" si="18"/>
        <v>4.6059999999999999</v>
      </c>
      <c r="I252" s="9">
        <f t="shared" si="23"/>
        <v>1</v>
      </c>
      <c r="J252" s="9">
        <f t="shared" si="20"/>
        <v>5.6059999999999999</v>
      </c>
      <c r="K252" s="10">
        <f t="shared" si="21"/>
        <v>6</v>
      </c>
      <c r="O252" s="36">
        <f>'DHS25'!C251</f>
        <v>18208</v>
      </c>
      <c r="P252" s="37">
        <f>'DHS25'!D251</f>
        <v>1088</v>
      </c>
      <c r="Q252" s="37">
        <f>'DHS25'!E251</f>
        <v>6011</v>
      </c>
      <c r="R252" s="38">
        <v>106</v>
      </c>
      <c r="S252" s="39">
        <f t="shared" si="22"/>
        <v>637.16600000000005</v>
      </c>
    </row>
    <row r="253" spans="1:19">
      <c r="A253" s="66">
        <v>45668</v>
      </c>
      <c r="B253" s="24" t="s">
        <v>18</v>
      </c>
      <c r="C253" s="4">
        <v>19017</v>
      </c>
      <c r="D253" s="5">
        <v>18164</v>
      </c>
      <c r="E253" s="4">
        <v>13604</v>
      </c>
      <c r="F253" s="4">
        <v>20694</v>
      </c>
      <c r="G253" s="4">
        <f t="shared" si="19"/>
        <v>17869.75</v>
      </c>
      <c r="H253" s="7">
        <f t="shared" si="18"/>
        <v>4.4674375</v>
      </c>
      <c r="I253" s="9">
        <f t="shared" si="23"/>
        <v>1</v>
      </c>
      <c r="J253" s="9">
        <f t="shared" si="20"/>
        <v>5.4674375</v>
      </c>
      <c r="K253" s="10">
        <f t="shared" si="21"/>
        <v>6</v>
      </c>
      <c r="O253" s="36">
        <f>'DHS25'!C252</f>
        <v>16389</v>
      </c>
      <c r="P253" s="37">
        <f>'DHS25'!D252</f>
        <v>2894</v>
      </c>
      <c r="Q253" s="37">
        <f>'DHS25'!E252</f>
        <v>6013</v>
      </c>
      <c r="R253" s="38">
        <v>103.82</v>
      </c>
      <c r="S253" s="39">
        <f t="shared" si="22"/>
        <v>624.26965999999993</v>
      </c>
    </row>
    <row r="254" spans="1:19">
      <c r="A254" s="66">
        <v>45668</v>
      </c>
      <c r="B254" s="24" t="s">
        <v>19</v>
      </c>
      <c r="C254" s="4">
        <v>19016</v>
      </c>
      <c r="D254" s="5">
        <v>15648</v>
      </c>
      <c r="E254" s="4">
        <v>10023</v>
      </c>
      <c r="F254" s="4">
        <v>14300</v>
      </c>
      <c r="G254" s="4">
        <f t="shared" si="19"/>
        <v>14746.75</v>
      </c>
      <c r="H254" s="7">
        <f t="shared" si="18"/>
        <v>3.6866875000000001</v>
      </c>
      <c r="I254" s="9">
        <f t="shared" si="23"/>
        <v>1</v>
      </c>
      <c r="J254" s="9">
        <f t="shared" si="20"/>
        <v>4.6866874999999997</v>
      </c>
      <c r="K254" s="10">
        <f t="shared" si="21"/>
        <v>5</v>
      </c>
      <c r="O254" s="36">
        <f>'DHS25'!C253</f>
        <v>14839</v>
      </c>
      <c r="P254" s="37">
        <f>'DHS25'!D253</f>
        <v>1226</v>
      </c>
      <c r="Q254" s="37">
        <f>'DHS25'!E253</f>
        <v>5206</v>
      </c>
      <c r="R254" s="38">
        <v>99.76</v>
      </c>
      <c r="S254" s="39">
        <f t="shared" si="22"/>
        <v>519.35056000000009</v>
      </c>
    </row>
    <row r="255" spans="1:19">
      <c r="A255" s="66">
        <v>45668</v>
      </c>
      <c r="B255" s="24" t="s">
        <v>20</v>
      </c>
      <c r="C255" s="4">
        <v>17404</v>
      </c>
      <c r="D255" s="5">
        <v>16249</v>
      </c>
      <c r="E255" s="4">
        <v>13243</v>
      </c>
      <c r="F255" s="4">
        <v>17086</v>
      </c>
      <c r="G255" s="4">
        <f t="shared" si="19"/>
        <v>15995.5</v>
      </c>
      <c r="H255" s="7">
        <f t="shared" si="18"/>
        <v>3.998875</v>
      </c>
      <c r="I255" s="9">
        <f t="shared" si="23"/>
        <v>1</v>
      </c>
      <c r="J255" s="9">
        <f t="shared" si="20"/>
        <v>4.998875</v>
      </c>
      <c r="K255" s="10">
        <f t="shared" si="21"/>
        <v>5</v>
      </c>
      <c r="O255" s="36">
        <f>'DHS25'!C254</f>
        <v>16097</v>
      </c>
      <c r="P255" s="37">
        <f>'DHS25'!D254</f>
        <v>24</v>
      </c>
      <c r="Q255" s="37">
        <f>'DHS25'!E254</f>
        <v>4994</v>
      </c>
      <c r="R255" s="38">
        <v>96.82</v>
      </c>
      <c r="S255" s="39">
        <f t="shared" si="22"/>
        <v>483.51907999999992</v>
      </c>
    </row>
    <row r="256" spans="1:19">
      <c r="A256" s="66">
        <v>45668</v>
      </c>
      <c r="B256" s="24" t="s">
        <v>21</v>
      </c>
      <c r="C256" s="4">
        <v>19746</v>
      </c>
      <c r="D256" s="5">
        <v>15974</v>
      </c>
      <c r="E256" s="4">
        <v>12118</v>
      </c>
      <c r="F256" s="4">
        <v>18553</v>
      </c>
      <c r="G256" s="4">
        <f t="shared" si="19"/>
        <v>16597.75</v>
      </c>
      <c r="H256" s="7">
        <f t="shared" si="18"/>
        <v>4.1494375000000003</v>
      </c>
      <c r="I256" s="9">
        <f t="shared" si="23"/>
        <v>1</v>
      </c>
      <c r="J256" s="9">
        <f t="shared" si="20"/>
        <v>5.1494375000000003</v>
      </c>
      <c r="K256" s="10">
        <f t="shared" si="21"/>
        <v>6</v>
      </c>
      <c r="O256" s="36">
        <f>'DHS25'!C255</f>
        <v>14699</v>
      </c>
      <c r="P256" s="37">
        <f>'DHS25'!D255</f>
        <v>3465</v>
      </c>
      <c r="Q256" s="37">
        <f>'DHS25'!E255</f>
        <v>6022</v>
      </c>
      <c r="R256" s="38">
        <v>93.15</v>
      </c>
      <c r="S256" s="39">
        <f t="shared" si="22"/>
        <v>560.94930000000011</v>
      </c>
    </row>
    <row r="257" spans="1:19">
      <c r="A257" s="66">
        <v>45668</v>
      </c>
      <c r="B257" s="24" t="s">
        <v>22</v>
      </c>
      <c r="C257" s="4">
        <v>18322</v>
      </c>
      <c r="D257" s="5">
        <v>17077</v>
      </c>
      <c r="E257" s="4">
        <v>12526</v>
      </c>
      <c r="F257" s="4">
        <v>18471</v>
      </c>
      <c r="G257" s="4">
        <f t="shared" si="19"/>
        <v>16599</v>
      </c>
      <c r="H257" s="7">
        <f t="shared" si="18"/>
        <v>4.14975</v>
      </c>
      <c r="I257" s="9">
        <f t="shared" si="23"/>
        <v>1</v>
      </c>
      <c r="J257" s="9">
        <f t="shared" si="20"/>
        <v>5.14975</v>
      </c>
      <c r="K257" s="10">
        <f t="shared" si="21"/>
        <v>6</v>
      </c>
      <c r="O257" s="36">
        <f>'DHS25'!C256</f>
        <v>16099</v>
      </c>
      <c r="P257" s="37">
        <f>'DHS25'!D256</f>
        <v>3211</v>
      </c>
      <c r="Q257" s="37">
        <f>'DHS25'!E256</f>
        <v>5997</v>
      </c>
      <c r="R257" s="38">
        <v>98.45</v>
      </c>
      <c r="S257" s="39">
        <f t="shared" si="22"/>
        <v>590.40465000000006</v>
      </c>
    </row>
    <row r="258" spans="1:19">
      <c r="A258" s="66">
        <v>45668</v>
      </c>
      <c r="B258" s="24" t="s">
        <v>23</v>
      </c>
      <c r="C258" s="4">
        <v>18480</v>
      </c>
      <c r="D258" s="5">
        <v>17100</v>
      </c>
      <c r="E258" s="4">
        <v>12953</v>
      </c>
      <c r="F258" s="4">
        <v>19240</v>
      </c>
      <c r="G258" s="4">
        <f t="shared" si="19"/>
        <v>16943.25</v>
      </c>
      <c r="H258" s="7">
        <f t="shared" si="18"/>
        <v>4.2358124999999998</v>
      </c>
      <c r="I258" s="9">
        <f t="shared" si="23"/>
        <v>1</v>
      </c>
      <c r="J258" s="9">
        <f t="shared" si="20"/>
        <v>5.2358124999999998</v>
      </c>
      <c r="K258" s="10">
        <f t="shared" si="21"/>
        <v>6</v>
      </c>
      <c r="O258" s="36">
        <f>'DHS25'!C257</f>
        <v>16721</v>
      </c>
      <c r="P258" s="37">
        <f>'DHS25'!D257</f>
        <v>2077</v>
      </c>
      <c r="Q258" s="37">
        <f>'DHS25'!E257</f>
        <v>6010</v>
      </c>
      <c r="R258" s="38">
        <v>104.56</v>
      </c>
      <c r="S258" s="39">
        <f t="shared" si="22"/>
        <v>628.40559999999994</v>
      </c>
    </row>
    <row r="259" spans="1:19">
      <c r="A259" s="66">
        <v>45668</v>
      </c>
      <c r="B259" s="24" t="s">
        <v>24</v>
      </c>
      <c r="C259" s="4">
        <v>18112</v>
      </c>
      <c r="D259" s="5">
        <v>17326</v>
      </c>
      <c r="E259" s="4">
        <v>12726</v>
      </c>
      <c r="F259" s="4">
        <v>20124</v>
      </c>
      <c r="G259" s="4">
        <f t="shared" si="19"/>
        <v>17072</v>
      </c>
      <c r="H259" s="7">
        <f t="shared" ref="H259:H322" si="24">G259/$M$2/1000</f>
        <v>4.2679999999999998</v>
      </c>
      <c r="I259" s="9">
        <f t="shared" si="23"/>
        <v>1</v>
      </c>
      <c r="J259" s="9">
        <f t="shared" si="20"/>
        <v>5.2679999999999998</v>
      </c>
      <c r="K259" s="10">
        <f t="shared" si="21"/>
        <v>6</v>
      </c>
      <c r="O259" s="36">
        <f>'DHS25'!C258</f>
        <v>17835</v>
      </c>
      <c r="P259" s="37">
        <f>'DHS25'!D258</f>
        <v>1927</v>
      </c>
      <c r="Q259" s="37">
        <f>'DHS25'!E258</f>
        <v>5990</v>
      </c>
      <c r="R259" s="38">
        <v>100.03</v>
      </c>
      <c r="S259" s="39">
        <f t="shared" si="22"/>
        <v>599.17970000000003</v>
      </c>
    </row>
    <row r="260" spans="1:19">
      <c r="A260" s="66">
        <v>45668</v>
      </c>
      <c r="B260" s="24" t="s">
        <v>25</v>
      </c>
      <c r="C260" s="4">
        <v>18934</v>
      </c>
      <c r="D260" s="5">
        <v>19596</v>
      </c>
      <c r="E260" s="4">
        <v>13501</v>
      </c>
      <c r="F260" s="4">
        <v>18006</v>
      </c>
      <c r="G260" s="4">
        <f t="shared" ref="G260:G323" si="25">AVERAGE(C260:F260)</f>
        <v>17509.25</v>
      </c>
      <c r="H260" s="7">
        <f t="shared" si="24"/>
        <v>4.3773125000000004</v>
      </c>
      <c r="I260" s="9">
        <f t="shared" si="23"/>
        <v>1</v>
      </c>
      <c r="J260" s="9">
        <f t="shared" ref="J260:J323" si="26">H260+I260</f>
        <v>5.3773125000000004</v>
      </c>
      <c r="K260" s="10">
        <f t="shared" ref="K260:K323" si="27">ROUNDUP(J260,0)</f>
        <v>6</v>
      </c>
      <c r="O260" s="36">
        <f>'DHS25'!C259</f>
        <v>17437</v>
      </c>
      <c r="P260" s="37">
        <f>'DHS25'!D259</f>
        <v>1636</v>
      </c>
      <c r="Q260" s="37">
        <f>'DHS25'!E259</f>
        <v>6017</v>
      </c>
      <c r="R260" s="38">
        <v>106.64</v>
      </c>
      <c r="S260" s="39">
        <f t="shared" ref="S260:S323" si="28">(Q260/1000)*R260</f>
        <v>641.6528800000001</v>
      </c>
    </row>
    <row r="261" spans="1:19">
      <c r="A261" s="66">
        <v>45668</v>
      </c>
      <c r="B261" s="24" t="s">
        <v>26</v>
      </c>
      <c r="C261" s="4">
        <v>17553</v>
      </c>
      <c r="D261" s="5">
        <v>19971</v>
      </c>
      <c r="E261" s="4">
        <v>14859</v>
      </c>
      <c r="F261" s="4">
        <v>17635</v>
      </c>
      <c r="G261" s="4">
        <f t="shared" si="25"/>
        <v>17504.5</v>
      </c>
      <c r="H261" s="7">
        <f t="shared" si="24"/>
        <v>4.376125</v>
      </c>
      <c r="I261" s="9">
        <f t="shared" ref="I261:I324" si="29">I260</f>
        <v>1</v>
      </c>
      <c r="J261" s="9">
        <f t="shared" si="26"/>
        <v>5.376125</v>
      </c>
      <c r="K261" s="10">
        <f t="shared" si="27"/>
        <v>6</v>
      </c>
      <c r="O261" s="36">
        <f>'DHS25'!C260</f>
        <v>17499</v>
      </c>
      <c r="P261" s="37">
        <f>'DHS25'!D260</f>
        <v>1379</v>
      </c>
      <c r="Q261" s="37">
        <f>'DHS25'!E260</f>
        <v>6003</v>
      </c>
      <c r="R261" s="38">
        <v>110.34</v>
      </c>
      <c r="S261" s="39">
        <f t="shared" si="28"/>
        <v>662.37102000000004</v>
      </c>
    </row>
    <row r="262" spans="1:19">
      <c r="A262" s="66">
        <v>45668</v>
      </c>
      <c r="B262" s="24" t="s">
        <v>27</v>
      </c>
      <c r="C262" s="4">
        <v>17839</v>
      </c>
      <c r="D262" s="5">
        <v>20739</v>
      </c>
      <c r="E262" s="4">
        <v>14071</v>
      </c>
      <c r="F262" s="4">
        <v>19593</v>
      </c>
      <c r="G262" s="4">
        <f t="shared" si="25"/>
        <v>18060.5</v>
      </c>
      <c r="H262" s="7">
        <f t="shared" si="24"/>
        <v>4.5151250000000003</v>
      </c>
      <c r="I262" s="9">
        <f t="shared" si="29"/>
        <v>1</v>
      </c>
      <c r="J262" s="9">
        <f t="shared" si="26"/>
        <v>5.5151250000000003</v>
      </c>
      <c r="K262" s="10">
        <f t="shared" si="27"/>
        <v>6</v>
      </c>
      <c r="O262" s="36">
        <f>'DHS25'!C261</f>
        <v>17452</v>
      </c>
      <c r="P262" s="37">
        <f>'DHS25'!D261</f>
        <v>1615</v>
      </c>
      <c r="Q262" s="37">
        <f>'DHS25'!E261</f>
        <v>5996</v>
      </c>
      <c r="R262" s="38">
        <v>105.45</v>
      </c>
      <c r="S262" s="39">
        <f t="shared" si="28"/>
        <v>632.27820000000008</v>
      </c>
    </row>
    <row r="263" spans="1:19">
      <c r="A263" s="66">
        <v>45668</v>
      </c>
      <c r="B263" s="24" t="s">
        <v>28</v>
      </c>
      <c r="C263" s="4">
        <v>18133</v>
      </c>
      <c r="D263" s="5">
        <v>19697</v>
      </c>
      <c r="E263" s="4">
        <v>14764</v>
      </c>
      <c r="F263" s="4">
        <v>19012</v>
      </c>
      <c r="G263" s="4">
        <f t="shared" si="25"/>
        <v>17901.5</v>
      </c>
      <c r="H263" s="7">
        <f t="shared" si="24"/>
        <v>4.4753749999999997</v>
      </c>
      <c r="I263" s="9">
        <f t="shared" si="29"/>
        <v>1</v>
      </c>
      <c r="J263" s="9">
        <f t="shared" si="26"/>
        <v>5.4753749999999997</v>
      </c>
      <c r="K263" s="10">
        <f t="shared" si="27"/>
        <v>6</v>
      </c>
      <c r="O263" s="36">
        <f>'DHS25'!C262</f>
        <v>17500</v>
      </c>
      <c r="P263" s="37">
        <f>'DHS25'!D262</f>
        <v>1300</v>
      </c>
      <c r="Q263" s="37">
        <f>'DHS25'!E262</f>
        <v>5993</v>
      </c>
      <c r="R263" s="38">
        <v>103.83</v>
      </c>
      <c r="S263" s="39">
        <f t="shared" si="28"/>
        <v>622.25319000000002</v>
      </c>
    </row>
    <row r="264" spans="1:19">
      <c r="A264" s="66">
        <v>45668</v>
      </c>
      <c r="B264" s="24" t="s">
        <v>29</v>
      </c>
      <c r="C264" s="4">
        <v>18693</v>
      </c>
      <c r="D264" s="5">
        <v>20008</v>
      </c>
      <c r="E264" s="4">
        <v>15186</v>
      </c>
      <c r="F264" s="4">
        <v>18390</v>
      </c>
      <c r="G264" s="4">
        <f t="shared" si="25"/>
        <v>18069.25</v>
      </c>
      <c r="H264" s="7">
        <f t="shared" si="24"/>
        <v>4.5173125000000001</v>
      </c>
      <c r="I264" s="9">
        <f t="shared" si="29"/>
        <v>1</v>
      </c>
      <c r="J264" s="9">
        <f t="shared" si="26"/>
        <v>5.5173125000000001</v>
      </c>
      <c r="K264" s="10">
        <f t="shared" si="27"/>
        <v>6</v>
      </c>
      <c r="O264" s="36">
        <f>'DHS25'!C263</f>
        <v>17628</v>
      </c>
      <c r="P264" s="37">
        <f>'DHS25'!D263</f>
        <v>1289</v>
      </c>
      <c r="Q264" s="37">
        <f>'DHS25'!E263</f>
        <v>5999</v>
      </c>
      <c r="R264" s="38">
        <v>102.15</v>
      </c>
      <c r="S264" s="39">
        <f t="shared" si="28"/>
        <v>612.79785000000004</v>
      </c>
    </row>
    <row r="265" spans="1:19">
      <c r="A265" s="66">
        <v>45668</v>
      </c>
      <c r="B265" s="24" t="s">
        <v>30</v>
      </c>
      <c r="C265" s="4">
        <v>15855</v>
      </c>
      <c r="D265" s="5">
        <v>18575</v>
      </c>
      <c r="E265" s="4">
        <v>13356</v>
      </c>
      <c r="F265" s="4">
        <v>15670</v>
      </c>
      <c r="G265" s="4">
        <f t="shared" si="25"/>
        <v>15864</v>
      </c>
      <c r="H265" s="7">
        <f t="shared" si="24"/>
        <v>3.9660000000000002</v>
      </c>
      <c r="I265" s="9">
        <f t="shared" si="29"/>
        <v>1</v>
      </c>
      <c r="J265" s="9">
        <f t="shared" si="26"/>
        <v>4.9660000000000002</v>
      </c>
      <c r="K265" s="10">
        <f t="shared" si="27"/>
        <v>5</v>
      </c>
      <c r="O265" s="36">
        <f>'DHS25'!C264</f>
        <v>15727</v>
      </c>
      <c r="P265" s="37">
        <f>'DHS25'!D264</f>
        <v>1408</v>
      </c>
      <c r="Q265" s="37">
        <f>'DHS25'!E264</f>
        <v>5056</v>
      </c>
      <c r="R265" s="38">
        <v>103.75</v>
      </c>
      <c r="S265" s="39">
        <f t="shared" si="28"/>
        <v>524.56000000000006</v>
      </c>
    </row>
    <row r="266" spans="1:19">
      <c r="A266" s="66">
        <v>45668</v>
      </c>
      <c r="B266" s="24" t="s">
        <v>31</v>
      </c>
      <c r="C266" s="4">
        <v>7231</v>
      </c>
      <c r="D266" s="5">
        <v>10799</v>
      </c>
      <c r="E266" s="4">
        <v>7306</v>
      </c>
      <c r="F266" s="4">
        <v>14649</v>
      </c>
      <c r="G266" s="4">
        <f t="shared" si="25"/>
        <v>9996.25</v>
      </c>
      <c r="H266" s="7">
        <f t="shared" si="24"/>
        <v>2.4990625</v>
      </c>
      <c r="I266" s="9">
        <f t="shared" si="29"/>
        <v>1</v>
      </c>
      <c r="J266" s="9">
        <f t="shared" si="26"/>
        <v>3.4990625</v>
      </c>
      <c r="K266" s="10">
        <f t="shared" si="27"/>
        <v>4</v>
      </c>
      <c r="O266" s="36">
        <f>'DHS25'!C265</f>
        <v>9608</v>
      </c>
      <c r="P266" s="37">
        <f>'DHS25'!D265</f>
        <v>5069</v>
      </c>
      <c r="Q266" s="37">
        <f>'DHS25'!E265</f>
        <v>4196</v>
      </c>
      <c r="R266" s="38">
        <v>105.98</v>
      </c>
      <c r="S266" s="39">
        <f t="shared" si="28"/>
        <v>444.69207999999998</v>
      </c>
    </row>
    <row r="267" spans="1:19">
      <c r="A267" s="67">
        <v>45669</v>
      </c>
      <c r="B267" s="25" t="s">
        <v>8</v>
      </c>
      <c r="C267" s="4">
        <v>7910</v>
      </c>
      <c r="D267" s="5">
        <v>11712</v>
      </c>
      <c r="E267" s="4">
        <v>6372</v>
      </c>
      <c r="F267" s="4">
        <v>13005</v>
      </c>
      <c r="G267" s="4">
        <f t="shared" si="25"/>
        <v>9749.75</v>
      </c>
      <c r="H267" s="7">
        <f t="shared" si="24"/>
        <v>2.4374375000000001</v>
      </c>
      <c r="I267" s="9">
        <f t="shared" si="29"/>
        <v>1</v>
      </c>
      <c r="J267" s="9">
        <f t="shared" si="26"/>
        <v>3.4374375000000001</v>
      </c>
      <c r="K267" s="10">
        <f t="shared" si="27"/>
        <v>4</v>
      </c>
      <c r="O267" s="36">
        <f>'DHS25'!C266</f>
        <v>8848</v>
      </c>
      <c r="P267" s="37">
        <f>'DHS25'!D266</f>
        <v>3675</v>
      </c>
      <c r="Q267" s="37">
        <f>'DHS25'!E266</f>
        <v>4006</v>
      </c>
      <c r="R267" s="38">
        <v>87.22</v>
      </c>
      <c r="S267" s="39">
        <f t="shared" si="28"/>
        <v>349.40332000000001</v>
      </c>
    </row>
    <row r="268" spans="1:19">
      <c r="A268" s="67">
        <v>45669</v>
      </c>
      <c r="B268" s="25" t="s">
        <v>9</v>
      </c>
      <c r="C268" s="4">
        <v>10579</v>
      </c>
      <c r="D268" s="5">
        <v>13180</v>
      </c>
      <c r="E268" s="4">
        <v>6632</v>
      </c>
      <c r="F268" s="4">
        <v>11558</v>
      </c>
      <c r="G268" s="4">
        <f t="shared" si="25"/>
        <v>10487.25</v>
      </c>
      <c r="H268" s="7">
        <f t="shared" si="24"/>
        <v>2.6218124999999999</v>
      </c>
      <c r="I268" s="9">
        <f t="shared" si="29"/>
        <v>1</v>
      </c>
      <c r="J268" s="9">
        <f t="shared" si="26"/>
        <v>3.6218124999999999</v>
      </c>
      <c r="K268" s="10">
        <f t="shared" si="27"/>
        <v>4</v>
      </c>
      <c r="O268" s="36">
        <f>'DHS25'!C267</f>
        <v>10143</v>
      </c>
      <c r="P268" s="37">
        <f>'DHS25'!D267</f>
        <v>3448</v>
      </c>
      <c r="Q268" s="37">
        <f>'DHS25'!E267</f>
        <v>4005</v>
      </c>
      <c r="R268" s="38">
        <v>86.15</v>
      </c>
      <c r="S268" s="39">
        <f t="shared" si="28"/>
        <v>345.03075000000001</v>
      </c>
    </row>
    <row r="269" spans="1:19">
      <c r="A269" s="67">
        <v>45669</v>
      </c>
      <c r="B269" s="25" t="s">
        <v>10</v>
      </c>
      <c r="C269" s="4">
        <v>12757</v>
      </c>
      <c r="D269" s="5">
        <v>12746</v>
      </c>
      <c r="E269" s="4">
        <v>7653</v>
      </c>
      <c r="F269" s="4">
        <v>11939</v>
      </c>
      <c r="G269" s="4">
        <f t="shared" si="25"/>
        <v>11273.75</v>
      </c>
      <c r="H269" s="7">
        <f t="shared" si="24"/>
        <v>2.8184374999999999</v>
      </c>
      <c r="I269" s="9">
        <f t="shared" si="29"/>
        <v>1</v>
      </c>
      <c r="J269" s="9">
        <f t="shared" si="26"/>
        <v>3.8184374999999999</v>
      </c>
      <c r="K269" s="10">
        <f t="shared" si="27"/>
        <v>4</v>
      </c>
      <c r="O269" s="36">
        <f>'DHS25'!C268</f>
        <v>12484</v>
      </c>
      <c r="P269" s="37">
        <f>'DHS25'!D268</f>
        <v>2015</v>
      </c>
      <c r="Q269" s="37">
        <f>'DHS25'!E268</f>
        <v>4016</v>
      </c>
      <c r="R269" s="38">
        <v>89.43</v>
      </c>
      <c r="S269" s="39">
        <f t="shared" si="28"/>
        <v>359.15088000000003</v>
      </c>
    </row>
    <row r="270" spans="1:19">
      <c r="A270" s="67">
        <v>45669</v>
      </c>
      <c r="B270" s="25" t="s">
        <v>11</v>
      </c>
      <c r="C270" s="4">
        <v>13506</v>
      </c>
      <c r="D270" s="5">
        <v>14327</v>
      </c>
      <c r="E270" s="4">
        <v>8770</v>
      </c>
      <c r="F270" s="4">
        <v>13172</v>
      </c>
      <c r="G270" s="4">
        <f t="shared" si="25"/>
        <v>12443.75</v>
      </c>
      <c r="H270" s="7">
        <f t="shared" si="24"/>
        <v>3.1109374999999999</v>
      </c>
      <c r="I270" s="9">
        <f t="shared" si="29"/>
        <v>1</v>
      </c>
      <c r="J270" s="9">
        <f t="shared" si="26"/>
        <v>4.1109375000000004</v>
      </c>
      <c r="K270" s="10">
        <f t="shared" si="27"/>
        <v>5</v>
      </c>
      <c r="O270" s="36">
        <f>'DHS25'!C269</f>
        <v>12558</v>
      </c>
      <c r="P270" s="37">
        <f>'DHS25'!D269</f>
        <v>4378</v>
      </c>
      <c r="Q270" s="37">
        <f>'DHS25'!E269</f>
        <v>4986</v>
      </c>
      <c r="R270" s="38">
        <v>85.35</v>
      </c>
      <c r="S270" s="39">
        <f t="shared" si="28"/>
        <v>425.55509999999992</v>
      </c>
    </row>
    <row r="271" spans="1:19">
      <c r="A271" s="67">
        <v>45669</v>
      </c>
      <c r="B271" s="25" t="s">
        <v>12</v>
      </c>
      <c r="C271" s="4">
        <v>21509</v>
      </c>
      <c r="D271" s="5">
        <v>21780</v>
      </c>
      <c r="E271" s="4">
        <v>15911</v>
      </c>
      <c r="F271" s="4">
        <v>13519</v>
      </c>
      <c r="G271" s="4">
        <f t="shared" si="25"/>
        <v>18179.75</v>
      </c>
      <c r="H271" s="7">
        <f t="shared" si="24"/>
        <v>4.5449374999999996</v>
      </c>
      <c r="I271" s="9">
        <f t="shared" si="29"/>
        <v>1</v>
      </c>
      <c r="J271" s="9">
        <f t="shared" si="26"/>
        <v>5.5449374999999996</v>
      </c>
      <c r="K271" s="10">
        <f t="shared" si="27"/>
        <v>6</v>
      </c>
      <c r="O271" s="36">
        <f>'DHS25'!C270</f>
        <v>18765</v>
      </c>
      <c r="P271" s="37">
        <f>'DHS25'!D270</f>
        <v>870</v>
      </c>
      <c r="Q271" s="37">
        <f>'DHS25'!E270</f>
        <v>5956</v>
      </c>
      <c r="R271" s="38">
        <v>85</v>
      </c>
      <c r="S271" s="39">
        <f t="shared" si="28"/>
        <v>506.26000000000005</v>
      </c>
    </row>
    <row r="272" spans="1:19">
      <c r="A272" s="67">
        <v>45669</v>
      </c>
      <c r="B272" s="25" t="s">
        <v>13</v>
      </c>
      <c r="C272" s="4">
        <v>20054</v>
      </c>
      <c r="D272" s="5">
        <v>21813</v>
      </c>
      <c r="E272" s="4">
        <v>15665</v>
      </c>
      <c r="F272" s="4">
        <v>15487</v>
      </c>
      <c r="G272" s="4">
        <f t="shared" si="25"/>
        <v>18254.75</v>
      </c>
      <c r="H272" s="7">
        <f t="shared" si="24"/>
        <v>4.5636875000000003</v>
      </c>
      <c r="I272" s="9">
        <f t="shared" si="29"/>
        <v>1</v>
      </c>
      <c r="J272" s="9">
        <f t="shared" si="26"/>
        <v>5.5636875000000003</v>
      </c>
      <c r="K272" s="10">
        <f t="shared" si="27"/>
        <v>6</v>
      </c>
      <c r="O272" s="36">
        <f>'DHS25'!C271</f>
        <v>18992</v>
      </c>
      <c r="P272" s="37">
        <f>'DHS25'!D271</f>
        <v>26</v>
      </c>
      <c r="Q272" s="37">
        <f>'DHS25'!E271</f>
        <v>6004</v>
      </c>
      <c r="R272" s="38">
        <v>85.23</v>
      </c>
      <c r="S272" s="39">
        <f t="shared" si="28"/>
        <v>511.72091999999998</v>
      </c>
    </row>
    <row r="273" spans="1:19">
      <c r="A273" s="67">
        <v>45669</v>
      </c>
      <c r="B273" s="25" t="s">
        <v>14</v>
      </c>
      <c r="C273" s="4">
        <v>21869</v>
      </c>
      <c r="D273" s="5">
        <v>23186</v>
      </c>
      <c r="E273" s="4">
        <v>15334</v>
      </c>
      <c r="F273" s="4">
        <v>18682</v>
      </c>
      <c r="G273" s="4">
        <f t="shared" si="25"/>
        <v>19767.75</v>
      </c>
      <c r="H273" s="7">
        <f t="shared" si="24"/>
        <v>4.9419374999999999</v>
      </c>
      <c r="I273" s="9">
        <f t="shared" si="29"/>
        <v>1</v>
      </c>
      <c r="J273" s="9">
        <f t="shared" si="26"/>
        <v>5.9419374999999999</v>
      </c>
      <c r="K273" s="10">
        <f t="shared" si="27"/>
        <v>6</v>
      </c>
      <c r="O273" s="36">
        <f>'DHS25'!C272</f>
        <v>19227</v>
      </c>
      <c r="P273" s="37">
        <f>'DHS25'!D272</f>
        <v>111</v>
      </c>
      <c r="Q273" s="37">
        <f>'DHS25'!E272</f>
        <v>5998</v>
      </c>
      <c r="R273" s="38">
        <v>87.46</v>
      </c>
      <c r="S273" s="39">
        <f t="shared" si="28"/>
        <v>524.58507999999995</v>
      </c>
    </row>
    <row r="274" spans="1:19">
      <c r="A274" s="67">
        <v>45669</v>
      </c>
      <c r="B274" s="25" t="s">
        <v>15</v>
      </c>
      <c r="C274" s="4">
        <v>17818</v>
      </c>
      <c r="D274" s="5">
        <v>22261</v>
      </c>
      <c r="E274" s="4">
        <v>15253</v>
      </c>
      <c r="F274" s="4">
        <v>19790</v>
      </c>
      <c r="G274" s="4">
        <f t="shared" si="25"/>
        <v>18780.5</v>
      </c>
      <c r="H274" s="7">
        <f t="shared" si="24"/>
        <v>4.695125</v>
      </c>
      <c r="I274" s="9">
        <f t="shared" si="29"/>
        <v>1</v>
      </c>
      <c r="J274" s="9">
        <f t="shared" si="26"/>
        <v>5.695125</v>
      </c>
      <c r="K274" s="10">
        <f t="shared" si="27"/>
        <v>6</v>
      </c>
      <c r="O274" s="36">
        <f>'DHS25'!C273</f>
        <v>16380</v>
      </c>
      <c r="P274" s="37">
        <f>'DHS25'!D273</f>
        <v>3113</v>
      </c>
      <c r="Q274" s="37">
        <f>'DHS25'!E273</f>
        <v>6016</v>
      </c>
      <c r="R274" s="38">
        <v>101.75</v>
      </c>
      <c r="S274" s="39">
        <f t="shared" si="28"/>
        <v>612.12800000000004</v>
      </c>
    </row>
    <row r="275" spans="1:19">
      <c r="A275" s="67">
        <v>45669</v>
      </c>
      <c r="B275" s="25" t="s">
        <v>16</v>
      </c>
      <c r="C275" s="4">
        <v>17975</v>
      </c>
      <c r="D275" s="5">
        <v>21379</v>
      </c>
      <c r="E275" s="4">
        <v>15609</v>
      </c>
      <c r="F275" s="4">
        <v>19180</v>
      </c>
      <c r="G275" s="4">
        <f t="shared" si="25"/>
        <v>18535.75</v>
      </c>
      <c r="H275" s="7">
        <f t="shared" si="24"/>
        <v>4.6339375</v>
      </c>
      <c r="I275" s="9">
        <f t="shared" si="29"/>
        <v>1</v>
      </c>
      <c r="J275" s="9">
        <f t="shared" si="26"/>
        <v>5.6339375</v>
      </c>
      <c r="K275" s="10">
        <f t="shared" si="27"/>
        <v>6</v>
      </c>
      <c r="O275" s="36">
        <f>'DHS25'!C274</f>
        <v>15250</v>
      </c>
      <c r="P275" s="37">
        <f>'DHS25'!D274</f>
        <v>3470</v>
      </c>
      <c r="Q275" s="37">
        <f>'DHS25'!E274</f>
        <v>5995</v>
      </c>
      <c r="R275" s="38">
        <v>117.19</v>
      </c>
      <c r="S275" s="39">
        <f t="shared" si="28"/>
        <v>702.55404999999996</v>
      </c>
    </row>
    <row r="276" spans="1:19">
      <c r="A276" s="67">
        <v>45669</v>
      </c>
      <c r="B276" s="25" t="s">
        <v>17</v>
      </c>
      <c r="C276" s="4">
        <v>20628</v>
      </c>
      <c r="D276" s="5">
        <v>21817</v>
      </c>
      <c r="E276" s="4">
        <v>15342</v>
      </c>
      <c r="F276" s="4">
        <v>19280</v>
      </c>
      <c r="G276" s="4">
        <f t="shared" si="25"/>
        <v>19266.75</v>
      </c>
      <c r="H276" s="7">
        <f t="shared" si="24"/>
        <v>4.8166874999999996</v>
      </c>
      <c r="I276" s="9">
        <f t="shared" si="29"/>
        <v>1</v>
      </c>
      <c r="J276" s="9">
        <f t="shared" si="26"/>
        <v>5.8166874999999996</v>
      </c>
      <c r="K276" s="10">
        <f t="shared" si="27"/>
        <v>6</v>
      </c>
      <c r="O276" s="36">
        <f>'DHS25'!C275</f>
        <v>16818</v>
      </c>
      <c r="P276" s="37">
        <f>'DHS25'!D275</f>
        <v>2752</v>
      </c>
      <c r="Q276" s="37">
        <f>'DHS25'!E275</f>
        <v>6010</v>
      </c>
      <c r="R276" s="38">
        <v>120.07</v>
      </c>
      <c r="S276" s="39">
        <f t="shared" si="28"/>
        <v>721.62069999999994</v>
      </c>
    </row>
    <row r="277" spans="1:19">
      <c r="A277" s="67">
        <v>45669</v>
      </c>
      <c r="B277" s="25" t="s">
        <v>18</v>
      </c>
      <c r="C277" s="4">
        <v>18840</v>
      </c>
      <c r="D277" s="5">
        <v>16588</v>
      </c>
      <c r="E277" s="4">
        <v>15413</v>
      </c>
      <c r="F277" s="4">
        <v>18216</v>
      </c>
      <c r="G277" s="4">
        <f t="shared" si="25"/>
        <v>17264.25</v>
      </c>
      <c r="H277" s="7">
        <f t="shared" si="24"/>
        <v>4.3160625000000001</v>
      </c>
      <c r="I277" s="9">
        <f t="shared" si="29"/>
        <v>1</v>
      </c>
      <c r="J277" s="9">
        <f t="shared" si="26"/>
        <v>5.3160625000000001</v>
      </c>
      <c r="K277" s="10">
        <f t="shared" si="27"/>
        <v>6</v>
      </c>
      <c r="O277" s="36">
        <f>'DHS25'!C276</f>
        <v>17008</v>
      </c>
      <c r="P277" s="37">
        <f>'DHS25'!D276</f>
        <v>1560</v>
      </c>
      <c r="Q277" s="37">
        <f>'DHS25'!E276</f>
        <v>5994</v>
      </c>
      <c r="R277" s="38">
        <v>117.77</v>
      </c>
      <c r="S277" s="39">
        <f t="shared" si="28"/>
        <v>705.91337999999996</v>
      </c>
    </row>
    <row r="278" spans="1:19">
      <c r="A278" s="67">
        <v>45669</v>
      </c>
      <c r="B278" s="25" t="s">
        <v>19</v>
      </c>
      <c r="C278" s="4">
        <v>18915</v>
      </c>
      <c r="D278" s="5">
        <v>14284</v>
      </c>
      <c r="E278" s="4">
        <v>14294</v>
      </c>
      <c r="F278" s="4">
        <v>17799</v>
      </c>
      <c r="G278" s="4">
        <f t="shared" si="25"/>
        <v>16323</v>
      </c>
      <c r="H278" s="7">
        <f t="shared" si="24"/>
        <v>4.0807500000000001</v>
      </c>
      <c r="I278" s="9">
        <f t="shared" si="29"/>
        <v>1</v>
      </c>
      <c r="J278" s="9">
        <f t="shared" si="26"/>
        <v>5.0807500000000001</v>
      </c>
      <c r="K278" s="10">
        <f t="shared" si="27"/>
        <v>6</v>
      </c>
      <c r="O278" s="36">
        <f>'DHS25'!C277</f>
        <v>16180</v>
      </c>
      <c r="P278" s="37">
        <f>'DHS25'!D277</f>
        <v>2726</v>
      </c>
      <c r="Q278" s="37">
        <f>'DHS25'!E277</f>
        <v>5994</v>
      </c>
      <c r="R278" s="38">
        <v>105.61</v>
      </c>
      <c r="S278" s="39">
        <f t="shared" si="28"/>
        <v>633.02634</v>
      </c>
    </row>
    <row r="279" spans="1:19">
      <c r="A279" s="67">
        <v>45669</v>
      </c>
      <c r="B279" s="25" t="s">
        <v>20</v>
      </c>
      <c r="C279" s="4">
        <v>18111</v>
      </c>
      <c r="D279" s="5">
        <v>16439</v>
      </c>
      <c r="E279" s="4">
        <v>12852</v>
      </c>
      <c r="F279" s="4">
        <v>18232</v>
      </c>
      <c r="G279" s="4">
        <f t="shared" si="25"/>
        <v>16408.5</v>
      </c>
      <c r="H279" s="7">
        <f t="shared" si="24"/>
        <v>4.102125</v>
      </c>
      <c r="I279" s="9">
        <f t="shared" si="29"/>
        <v>1</v>
      </c>
      <c r="J279" s="9">
        <f t="shared" si="26"/>
        <v>5.102125</v>
      </c>
      <c r="K279" s="10">
        <f t="shared" si="27"/>
        <v>6</v>
      </c>
      <c r="O279" s="36">
        <f>'DHS25'!C278</f>
        <v>16944</v>
      </c>
      <c r="P279" s="37">
        <f>'DHS25'!D278</f>
        <v>1747</v>
      </c>
      <c r="Q279" s="37">
        <f>'DHS25'!E278</f>
        <v>5997</v>
      </c>
      <c r="R279" s="38">
        <v>102.99</v>
      </c>
      <c r="S279" s="39">
        <f t="shared" si="28"/>
        <v>617.63103000000001</v>
      </c>
    </row>
    <row r="280" spans="1:19">
      <c r="A280" s="67">
        <v>45669</v>
      </c>
      <c r="B280" s="25" t="s">
        <v>21</v>
      </c>
      <c r="C280" s="4">
        <v>16212</v>
      </c>
      <c r="D280" s="5">
        <v>15779</v>
      </c>
      <c r="E280" s="4">
        <v>12609</v>
      </c>
      <c r="F280" s="4">
        <v>16603</v>
      </c>
      <c r="G280" s="4">
        <f t="shared" si="25"/>
        <v>15300.75</v>
      </c>
      <c r="H280" s="7">
        <f t="shared" si="24"/>
        <v>3.8251875000000002</v>
      </c>
      <c r="I280" s="9">
        <f t="shared" si="29"/>
        <v>1</v>
      </c>
      <c r="J280" s="9">
        <f t="shared" si="26"/>
        <v>4.8251875000000002</v>
      </c>
      <c r="K280" s="10">
        <f t="shared" si="27"/>
        <v>5</v>
      </c>
      <c r="O280" s="36">
        <f>'DHS25'!C279</f>
        <v>15688</v>
      </c>
      <c r="P280" s="37">
        <f>'DHS25'!D279</f>
        <v>3063</v>
      </c>
      <c r="Q280" s="37">
        <f>'DHS25'!E279</f>
        <v>5993</v>
      </c>
      <c r="R280" s="38">
        <v>99.61</v>
      </c>
      <c r="S280" s="39">
        <f t="shared" si="28"/>
        <v>596.96273000000008</v>
      </c>
    </row>
    <row r="281" spans="1:19">
      <c r="A281" s="67">
        <v>45669</v>
      </c>
      <c r="B281" s="25" t="s">
        <v>22</v>
      </c>
      <c r="C281" s="4">
        <v>18440</v>
      </c>
      <c r="D281" s="5">
        <v>16213</v>
      </c>
      <c r="E281" s="4">
        <v>13489</v>
      </c>
      <c r="F281" s="4">
        <v>16739</v>
      </c>
      <c r="G281" s="4">
        <f t="shared" si="25"/>
        <v>16220.25</v>
      </c>
      <c r="H281" s="7">
        <f t="shared" si="24"/>
        <v>4.0550625</v>
      </c>
      <c r="I281" s="9">
        <f t="shared" si="29"/>
        <v>1</v>
      </c>
      <c r="J281" s="9">
        <f t="shared" si="26"/>
        <v>5.0550625</v>
      </c>
      <c r="K281" s="10">
        <f t="shared" si="27"/>
        <v>6</v>
      </c>
      <c r="O281" s="36">
        <f>'DHS25'!C280</f>
        <v>16676</v>
      </c>
      <c r="P281" s="37">
        <f>'DHS25'!D280</f>
        <v>3898</v>
      </c>
      <c r="Q281" s="37">
        <f>'DHS25'!E280</f>
        <v>6015</v>
      </c>
      <c r="R281" s="38">
        <v>105.2</v>
      </c>
      <c r="S281" s="39">
        <f t="shared" si="28"/>
        <v>632.77800000000002</v>
      </c>
    </row>
    <row r="282" spans="1:19">
      <c r="A282" s="67">
        <v>45669</v>
      </c>
      <c r="B282" s="25" t="s">
        <v>23</v>
      </c>
      <c r="C282" s="4">
        <v>17881</v>
      </c>
      <c r="D282" s="5">
        <v>16907</v>
      </c>
      <c r="E282" s="4">
        <v>13270</v>
      </c>
      <c r="F282" s="4">
        <v>18066</v>
      </c>
      <c r="G282" s="4">
        <f t="shared" si="25"/>
        <v>16531</v>
      </c>
      <c r="H282" s="7">
        <f t="shared" si="24"/>
        <v>4.1327499999999997</v>
      </c>
      <c r="I282" s="9">
        <f t="shared" si="29"/>
        <v>1</v>
      </c>
      <c r="J282" s="9">
        <f t="shared" si="26"/>
        <v>5.1327499999999997</v>
      </c>
      <c r="K282" s="10">
        <f t="shared" si="27"/>
        <v>6</v>
      </c>
      <c r="O282" s="36">
        <f>'DHS25'!C281</f>
        <v>16253</v>
      </c>
      <c r="P282" s="37">
        <f>'DHS25'!D281</f>
        <v>2475</v>
      </c>
      <c r="Q282" s="37">
        <f>'DHS25'!E281</f>
        <v>6002</v>
      </c>
      <c r="R282" s="38">
        <v>119.73</v>
      </c>
      <c r="S282" s="39">
        <f t="shared" si="28"/>
        <v>718.61946</v>
      </c>
    </row>
    <row r="283" spans="1:19">
      <c r="A283" s="67">
        <v>45669</v>
      </c>
      <c r="B283" s="25" t="s">
        <v>24</v>
      </c>
      <c r="C283" s="4">
        <v>18625</v>
      </c>
      <c r="D283" s="5">
        <v>17462</v>
      </c>
      <c r="E283" s="4">
        <v>13317</v>
      </c>
      <c r="F283" s="4">
        <v>17786</v>
      </c>
      <c r="G283" s="4">
        <f t="shared" si="25"/>
        <v>16797.5</v>
      </c>
      <c r="H283" s="7">
        <f t="shared" si="24"/>
        <v>4.1993749999999999</v>
      </c>
      <c r="I283" s="9">
        <f t="shared" si="29"/>
        <v>1</v>
      </c>
      <c r="J283" s="9">
        <f t="shared" si="26"/>
        <v>5.1993749999999999</v>
      </c>
      <c r="K283" s="10">
        <f t="shared" si="27"/>
        <v>6</v>
      </c>
      <c r="O283" s="36">
        <f>'DHS25'!C282</f>
        <v>15783</v>
      </c>
      <c r="P283" s="37">
        <f>'DHS25'!D282</f>
        <v>8331</v>
      </c>
      <c r="Q283" s="37">
        <f>'DHS25'!E282</f>
        <v>7946</v>
      </c>
      <c r="R283" s="38">
        <v>134.6</v>
      </c>
      <c r="S283" s="39">
        <f t="shared" si="28"/>
        <v>1069.5316</v>
      </c>
    </row>
    <row r="284" spans="1:19">
      <c r="A284" s="67">
        <v>45669</v>
      </c>
      <c r="B284" s="25" t="s">
        <v>25</v>
      </c>
      <c r="C284" s="4">
        <v>18969</v>
      </c>
      <c r="D284" s="5">
        <v>18116</v>
      </c>
      <c r="E284" s="4">
        <v>11276</v>
      </c>
      <c r="F284" s="4">
        <v>17774</v>
      </c>
      <c r="G284" s="4">
        <f t="shared" si="25"/>
        <v>16533.75</v>
      </c>
      <c r="H284" s="7">
        <f t="shared" si="24"/>
        <v>4.1334375000000003</v>
      </c>
      <c r="I284" s="9">
        <f t="shared" si="29"/>
        <v>1</v>
      </c>
      <c r="J284" s="9">
        <f t="shared" si="26"/>
        <v>5.1334375000000003</v>
      </c>
      <c r="K284" s="10">
        <f t="shared" si="27"/>
        <v>6</v>
      </c>
      <c r="O284" s="36">
        <f>'DHS25'!C283</f>
        <v>17087</v>
      </c>
      <c r="P284" s="37">
        <f>'DHS25'!D283</f>
        <v>6641</v>
      </c>
      <c r="Q284" s="37">
        <f>'DHS25'!E283</f>
        <v>7624</v>
      </c>
      <c r="R284" s="38">
        <v>142.13999999999999</v>
      </c>
      <c r="S284" s="39">
        <f t="shared" si="28"/>
        <v>1083.67536</v>
      </c>
    </row>
    <row r="285" spans="1:19">
      <c r="A285" s="67">
        <v>45669</v>
      </c>
      <c r="B285" s="25" t="s">
        <v>26</v>
      </c>
      <c r="C285" s="4">
        <v>18003</v>
      </c>
      <c r="D285" s="5">
        <v>18647</v>
      </c>
      <c r="E285" s="4">
        <v>13639</v>
      </c>
      <c r="F285" s="4">
        <v>19846</v>
      </c>
      <c r="G285" s="4">
        <f t="shared" si="25"/>
        <v>17533.75</v>
      </c>
      <c r="H285" s="7">
        <f t="shared" si="24"/>
        <v>4.3834375000000003</v>
      </c>
      <c r="I285" s="9">
        <f t="shared" si="29"/>
        <v>1</v>
      </c>
      <c r="J285" s="9">
        <f t="shared" si="26"/>
        <v>5.3834375000000003</v>
      </c>
      <c r="K285" s="10">
        <f t="shared" si="27"/>
        <v>6</v>
      </c>
      <c r="O285" s="36">
        <f>'DHS25'!C284</f>
        <v>18009</v>
      </c>
      <c r="P285" s="37">
        <f>'DHS25'!D284</f>
        <v>6589</v>
      </c>
      <c r="Q285" s="37">
        <f>'DHS25'!E284</f>
        <v>7998</v>
      </c>
      <c r="R285" s="38">
        <v>146.66</v>
      </c>
      <c r="S285" s="39">
        <f t="shared" si="28"/>
        <v>1172.98668</v>
      </c>
    </row>
    <row r="286" spans="1:19">
      <c r="A286" s="67">
        <v>45669</v>
      </c>
      <c r="B286" s="25" t="s">
        <v>27</v>
      </c>
      <c r="C286" s="4">
        <v>17228</v>
      </c>
      <c r="D286" s="5">
        <v>18139</v>
      </c>
      <c r="E286" s="4">
        <v>14410</v>
      </c>
      <c r="F286" s="4">
        <v>18862</v>
      </c>
      <c r="G286" s="4">
        <f t="shared" si="25"/>
        <v>17159.75</v>
      </c>
      <c r="H286" s="7">
        <f t="shared" si="24"/>
        <v>4.2899374999999997</v>
      </c>
      <c r="I286" s="9">
        <f t="shared" si="29"/>
        <v>1</v>
      </c>
      <c r="J286" s="9">
        <f t="shared" si="26"/>
        <v>5.2899374999999997</v>
      </c>
      <c r="K286" s="10">
        <f t="shared" si="27"/>
        <v>6</v>
      </c>
      <c r="O286" s="36">
        <f>'DHS25'!C285</f>
        <v>17534</v>
      </c>
      <c r="P286" s="37">
        <f>'DHS25'!D285</f>
        <v>6552</v>
      </c>
      <c r="Q286" s="37">
        <f>'DHS25'!E285</f>
        <v>8008</v>
      </c>
      <c r="R286" s="38">
        <v>144.03</v>
      </c>
      <c r="S286" s="39">
        <f t="shared" si="28"/>
        <v>1153.3922399999999</v>
      </c>
    </row>
    <row r="287" spans="1:19">
      <c r="A287" s="67">
        <v>45669</v>
      </c>
      <c r="B287" s="25" t="s">
        <v>28</v>
      </c>
      <c r="C287" s="4">
        <v>18806</v>
      </c>
      <c r="D287" s="5">
        <v>18539</v>
      </c>
      <c r="E287" s="4">
        <v>13364</v>
      </c>
      <c r="F287" s="4">
        <v>19302</v>
      </c>
      <c r="G287" s="4">
        <f t="shared" si="25"/>
        <v>17502.75</v>
      </c>
      <c r="H287" s="7">
        <f t="shared" si="24"/>
        <v>4.3756874999999997</v>
      </c>
      <c r="I287" s="9">
        <f t="shared" si="29"/>
        <v>1</v>
      </c>
      <c r="J287" s="9">
        <f t="shared" si="26"/>
        <v>5.3756874999999997</v>
      </c>
      <c r="K287" s="10">
        <f t="shared" si="27"/>
        <v>6</v>
      </c>
      <c r="O287" s="36">
        <f>'DHS25'!C286</f>
        <v>18147</v>
      </c>
      <c r="P287" s="37">
        <f>'DHS25'!D286</f>
        <v>5992</v>
      </c>
      <c r="Q287" s="37">
        <f>'DHS25'!E286</f>
        <v>7990</v>
      </c>
      <c r="R287" s="38">
        <v>135.59</v>
      </c>
      <c r="S287" s="39">
        <f t="shared" si="28"/>
        <v>1083.3641</v>
      </c>
    </row>
    <row r="288" spans="1:19">
      <c r="A288" s="67">
        <v>45669</v>
      </c>
      <c r="B288" s="25" t="s">
        <v>29</v>
      </c>
      <c r="C288" s="4">
        <v>19194</v>
      </c>
      <c r="D288" s="5">
        <v>18712</v>
      </c>
      <c r="E288" s="4">
        <v>13941</v>
      </c>
      <c r="F288" s="4">
        <v>19181</v>
      </c>
      <c r="G288" s="4">
        <f t="shared" si="25"/>
        <v>17757</v>
      </c>
      <c r="H288" s="7">
        <f t="shared" si="24"/>
        <v>4.4392500000000004</v>
      </c>
      <c r="I288" s="9">
        <f t="shared" si="29"/>
        <v>1</v>
      </c>
      <c r="J288" s="9">
        <f t="shared" si="26"/>
        <v>5.4392500000000004</v>
      </c>
      <c r="K288" s="10">
        <f t="shared" si="27"/>
        <v>6</v>
      </c>
      <c r="O288" s="36">
        <f>'DHS25'!C287</f>
        <v>19055</v>
      </c>
      <c r="P288" s="37">
        <f>'DHS25'!D287</f>
        <v>1848</v>
      </c>
      <c r="Q288" s="37">
        <f>'DHS25'!E287</f>
        <v>6517</v>
      </c>
      <c r="R288" s="38">
        <v>127.68</v>
      </c>
      <c r="S288" s="39">
        <f t="shared" si="28"/>
        <v>832.0905600000001</v>
      </c>
    </row>
    <row r="289" spans="1:19">
      <c r="A289" s="67">
        <v>45669</v>
      </c>
      <c r="B289" s="25" t="s">
        <v>30</v>
      </c>
      <c r="C289" s="4">
        <v>17542</v>
      </c>
      <c r="D289" s="5">
        <v>16899</v>
      </c>
      <c r="E289" s="4">
        <v>11448</v>
      </c>
      <c r="F289" s="4">
        <v>15203</v>
      </c>
      <c r="G289" s="4">
        <f t="shared" si="25"/>
        <v>15273</v>
      </c>
      <c r="H289" s="7">
        <f t="shared" si="24"/>
        <v>3.8182499999999999</v>
      </c>
      <c r="I289" s="9">
        <f t="shared" si="29"/>
        <v>1</v>
      </c>
      <c r="J289" s="9">
        <f t="shared" si="26"/>
        <v>4.8182499999999999</v>
      </c>
      <c r="K289" s="10">
        <f t="shared" si="27"/>
        <v>5</v>
      </c>
      <c r="O289" s="36">
        <f>'DHS25'!C288</f>
        <v>12790</v>
      </c>
      <c r="P289" s="37">
        <f>'DHS25'!D288</f>
        <v>2397</v>
      </c>
      <c r="Q289" s="37">
        <f>'DHS25'!E288</f>
        <v>5034</v>
      </c>
      <c r="R289" s="38">
        <v>121.41</v>
      </c>
      <c r="S289" s="39">
        <f t="shared" si="28"/>
        <v>611.17793999999992</v>
      </c>
    </row>
    <row r="290" spans="1:19">
      <c r="A290" s="67">
        <v>45669</v>
      </c>
      <c r="B290" s="25" t="s">
        <v>31</v>
      </c>
      <c r="C290" s="4">
        <v>7646</v>
      </c>
      <c r="D290" s="5">
        <v>9402</v>
      </c>
      <c r="E290" s="4">
        <v>5615</v>
      </c>
      <c r="F290" s="4">
        <v>9860</v>
      </c>
      <c r="G290" s="4">
        <f t="shared" si="25"/>
        <v>8130.75</v>
      </c>
      <c r="H290" s="7">
        <f t="shared" si="24"/>
        <v>2.0326875000000002</v>
      </c>
      <c r="I290" s="9">
        <f t="shared" si="29"/>
        <v>1</v>
      </c>
      <c r="J290" s="9">
        <f t="shared" si="26"/>
        <v>3.0326875000000002</v>
      </c>
      <c r="K290" s="10">
        <f t="shared" si="27"/>
        <v>4</v>
      </c>
      <c r="O290" s="36">
        <f>'DHS25'!C289</f>
        <v>8232</v>
      </c>
      <c r="P290" s="37">
        <f>'DHS25'!D289</f>
        <v>7176</v>
      </c>
      <c r="Q290" s="37">
        <f>'DHS25'!E289</f>
        <v>4220</v>
      </c>
      <c r="R290" s="38">
        <v>114.9</v>
      </c>
      <c r="S290" s="39">
        <f t="shared" si="28"/>
        <v>484.87799999999999</v>
      </c>
    </row>
    <row r="291" spans="1:19">
      <c r="A291" s="66">
        <v>45670</v>
      </c>
      <c r="B291" s="24" t="s">
        <v>8</v>
      </c>
      <c r="C291" s="4">
        <v>8332</v>
      </c>
      <c r="D291" s="5">
        <v>9059</v>
      </c>
      <c r="E291" s="4">
        <v>4973</v>
      </c>
      <c r="F291" s="4">
        <v>10963</v>
      </c>
      <c r="G291" s="4">
        <f t="shared" si="25"/>
        <v>8331.75</v>
      </c>
      <c r="H291" s="7">
        <f t="shared" si="24"/>
        <v>2.0829374999999999</v>
      </c>
      <c r="I291" s="9">
        <f t="shared" si="29"/>
        <v>1</v>
      </c>
      <c r="J291" s="9">
        <f t="shared" si="26"/>
        <v>3.0829374999999999</v>
      </c>
      <c r="K291" s="10">
        <f t="shared" si="27"/>
        <v>4</v>
      </c>
      <c r="O291" s="36">
        <f>'DHS25'!C290</f>
        <v>8156</v>
      </c>
      <c r="P291" s="37">
        <f>'DHS25'!D290</f>
        <v>5604</v>
      </c>
      <c r="Q291" s="37">
        <f>'DHS25'!E290</f>
        <v>4010</v>
      </c>
      <c r="R291" s="38">
        <v>112.39</v>
      </c>
      <c r="S291" s="39">
        <f t="shared" si="28"/>
        <v>450.68389999999999</v>
      </c>
    </row>
    <row r="292" spans="1:19">
      <c r="A292" s="66">
        <v>45670</v>
      </c>
      <c r="B292" s="24" t="s">
        <v>9</v>
      </c>
      <c r="C292" s="4">
        <v>10763</v>
      </c>
      <c r="D292" s="5">
        <v>10994</v>
      </c>
      <c r="E292" s="4">
        <v>5417</v>
      </c>
      <c r="F292" s="4">
        <v>12594</v>
      </c>
      <c r="G292" s="4">
        <f t="shared" si="25"/>
        <v>9942</v>
      </c>
      <c r="H292" s="7">
        <f t="shared" si="24"/>
        <v>2.4855</v>
      </c>
      <c r="I292" s="9">
        <f t="shared" si="29"/>
        <v>1</v>
      </c>
      <c r="J292" s="9">
        <f t="shared" si="26"/>
        <v>3.4855</v>
      </c>
      <c r="K292" s="10">
        <f t="shared" si="27"/>
        <v>4</v>
      </c>
      <c r="O292" s="36">
        <f>'DHS25'!C291</f>
        <v>10066</v>
      </c>
      <c r="P292" s="37">
        <f>'DHS25'!D291</f>
        <v>4079</v>
      </c>
      <c r="Q292" s="37">
        <f>'DHS25'!E291</f>
        <v>4013</v>
      </c>
      <c r="R292" s="38">
        <v>105.07</v>
      </c>
      <c r="S292" s="39">
        <f t="shared" si="28"/>
        <v>421.64590999999996</v>
      </c>
    </row>
    <row r="293" spans="1:19">
      <c r="A293" s="66">
        <v>45670</v>
      </c>
      <c r="B293" s="24" t="s">
        <v>10</v>
      </c>
      <c r="C293" s="4">
        <v>11576</v>
      </c>
      <c r="D293" s="5">
        <v>12326</v>
      </c>
      <c r="E293" s="4">
        <v>5687</v>
      </c>
      <c r="F293" s="4">
        <v>11712</v>
      </c>
      <c r="G293" s="4">
        <f t="shared" si="25"/>
        <v>10325.25</v>
      </c>
      <c r="H293" s="7">
        <f t="shared" si="24"/>
        <v>2.5813125000000001</v>
      </c>
      <c r="I293" s="9">
        <f t="shared" si="29"/>
        <v>1</v>
      </c>
      <c r="J293" s="9">
        <f t="shared" si="26"/>
        <v>3.5813125000000001</v>
      </c>
      <c r="K293" s="10">
        <f t="shared" si="27"/>
        <v>4</v>
      </c>
      <c r="O293" s="36">
        <f>'DHS25'!C292</f>
        <v>9765</v>
      </c>
      <c r="P293" s="37">
        <f>'DHS25'!D292</f>
        <v>2483</v>
      </c>
      <c r="Q293" s="37">
        <f>'DHS25'!E292</f>
        <v>3973</v>
      </c>
      <c r="R293" s="38">
        <v>104.46</v>
      </c>
      <c r="S293" s="39">
        <f t="shared" si="28"/>
        <v>415.01957999999996</v>
      </c>
    </row>
    <row r="294" spans="1:19">
      <c r="A294" s="66">
        <v>45670</v>
      </c>
      <c r="B294" s="24" t="s">
        <v>11</v>
      </c>
      <c r="C294" s="4">
        <v>13206</v>
      </c>
      <c r="D294" s="5">
        <v>11874</v>
      </c>
      <c r="E294" s="4">
        <v>7927</v>
      </c>
      <c r="F294" s="4">
        <v>14342</v>
      </c>
      <c r="G294" s="4">
        <f t="shared" si="25"/>
        <v>11837.25</v>
      </c>
      <c r="H294" s="7">
        <f t="shared" si="24"/>
        <v>2.9593124999999998</v>
      </c>
      <c r="I294" s="9">
        <f t="shared" si="29"/>
        <v>1</v>
      </c>
      <c r="J294" s="9">
        <f t="shared" si="26"/>
        <v>3.9593124999999998</v>
      </c>
      <c r="K294" s="10">
        <f t="shared" si="27"/>
        <v>4</v>
      </c>
      <c r="O294" s="36">
        <f>'DHS25'!C293</f>
        <v>11390</v>
      </c>
      <c r="P294" s="37">
        <f>'DHS25'!D293</f>
        <v>2858</v>
      </c>
      <c r="Q294" s="37">
        <f>'DHS25'!E293</f>
        <v>4025</v>
      </c>
      <c r="R294" s="38">
        <v>100.37</v>
      </c>
      <c r="S294" s="39">
        <f t="shared" si="28"/>
        <v>403.98925000000003</v>
      </c>
    </row>
    <row r="295" spans="1:19">
      <c r="A295" s="66">
        <v>45670</v>
      </c>
      <c r="B295" s="24" t="s">
        <v>12</v>
      </c>
      <c r="C295" s="4">
        <v>21838</v>
      </c>
      <c r="D295" s="5">
        <v>20193</v>
      </c>
      <c r="E295" s="4">
        <v>15874</v>
      </c>
      <c r="F295" s="4">
        <v>15097</v>
      </c>
      <c r="G295" s="4">
        <f t="shared" si="25"/>
        <v>18250.5</v>
      </c>
      <c r="H295" s="7">
        <f t="shared" si="24"/>
        <v>4.5626249999999997</v>
      </c>
      <c r="I295" s="9">
        <f t="shared" si="29"/>
        <v>1</v>
      </c>
      <c r="J295" s="9">
        <f t="shared" si="26"/>
        <v>5.5626249999999997</v>
      </c>
      <c r="K295" s="10">
        <f t="shared" si="27"/>
        <v>6</v>
      </c>
      <c r="O295" s="36">
        <f>'DHS25'!C294</f>
        <v>17289</v>
      </c>
      <c r="P295" s="37">
        <f>'DHS25'!D294</f>
        <v>217</v>
      </c>
      <c r="Q295" s="37">
        <f>'DHS25'!E294</f>
        <v>5488</v>
      </c>
      <c r="R295" s="38">
        <v>100</v>
      </c>
      <c r="S295" s="39">
        <f t="shared" si="28"/>
        <v>548.80000000000007</v>
      </c>
    </row>
    <row r="296" spans="1:19">
      <c r="A296" s="66">
        <v>45670</v>
      </c>
      <c r="B296" s="24" t="s">
        <v>13</v>
      </c>
      <c r="C296" s="4">
        <v>21524</v>
      </c>
      <c r="D296" s="5">
        <v>19826</v>
      </c>
      <c r="E296" s="4">
        <v>15518</v>
      </c>
      <c r="F296" s="4">
        <v>16186</v>
      </c>
      <c r="G296" s="4">
        <f t="shared" si="25"/>
        <v>18263.5</v>
      </c>
      <c r="H296" s="7">
        <f t="shared" si="24"/>
        <v>4.5658750000000001</v>
      </c>
      <c r="I296" s="9">
        <f t="shared" si="29"/>
        <v>1</v>
      </c>
      <c r="J296" s="9">
        <f t="shared" si="26"/>
        <v>5.5658750000000001</v>
      </c>
      <c r="K296" s="10">
        <f t="shared" si="27"/>
        <v>6</v>
      </c>
      <c r="O296" s="36">
        <f>'DHS25'!C295</f>
        <v>19042</v>
      </c>
      <c r="P296" s="37">
        <f>'DHS25'!D295</f>
        <v>30</v>
      </c>
      <c r="Q296" s="37">
        <f>'DHS25'!E295</f>
        <v>5984</v>
      </c>
      <c r="R296" s="38">
        <v>110.16</v>
      </c>
      <c r="S296" s="39">
        <f t="shared" si="28"/>
        <v>659.19744000000003</v>
      </c>
    </row>
    <row r="297" spans="1:19">
      <c r="A297" s="66">
        <v>45670</v>
      </c>
      <c r="B297" s="24" t="s">
        <v>14</v>
      </c>
      <c r="C297" s="4">
        <v>22620</v>
      </c>
      <c r="D297" s="5">
        <v>20473</v>
      </c>
      <c r="E297" s="4">
        <v>15290</v>
      </c>
      <c r="F297" s="4">
        <v>17517</v>
      </c>
      <c r="G297" s="4">
        <f t="shared" si="25"/>
        <v>18975</v>
      </c>
      <c r="H297" s="7">
        <f t="shared" si="24"/>
        <v>4.7437500000000004</v>
      </c>
      <c r="I297" s="9">
        <f t="shared" si="29"/>
        <v>1</v>
      </c>
      <c r="J297" s="9">
        <f t="shared" si="26"/>
        <v>5.7437500000000004</v>
      </c>
      <c r="K297" s="10">
        <f t="shared" si="27"/>
        <v>6</v>
      </c>
      <c r="O297" s="36">
        <f>'DHS25'!C296</f>
        <v>22462</v>
      </c>
      <c r="P297" s="37">
        <f>'DHS25'!D296</f>
        <v>1983</v>
      </c>
      <c r="Q297" s="37">
        <f>'DHS25'!E296</f>
        <v>7969</v>
      </c>
      <c r="R297" s="38">
        <v>140.19</v>
      </c>
      <c r="S297" s="39">
        <f t="shared" si="28"/>
        <v>1117.1741099999999</v>
      </c>
    </row>
    <row r="298" spans="1:19">
      <c r="A298" s="66">
        <v>45670</v>
      </c>
      <c r="B298" s="24" t="s">
        <v>15</v>
      </c>
      <c r="C298" s="4">
        <v>18607</v>
      </c>
      <c r="D298" s="5">
        <v>18452</v>
      </c>
      <c r="E298" s="4">
        <v>15414</v>
      </c>
      <c r="F298" s="4">
        <v>17842</v>
      </c>
      <c r="G298" s="4">
        <f t="shared" si="25"/>
        <v>17578.75</v>
      </c>
      <c r="H298" s="7">
        <f t="shared" si="24"/>
        <v>4.3946874999999999</v>
      </c>
      <c r="I298" s="9">
        <f t="shared" si="29"/>
        <v>1</v>
      </c>
      <c r="J298" s="9">
        <f t="shared" si="26"/>
        <v>5.3946874999999999</v>
      </c>
      <c r="K298" s="10">
        <f t="shared" si="27"/>
        <v>6</v>
      </c>
      <c r="O298" s="36">
        <f>'DHS25'!C297</f>
        <v>19015</v>
      </c>
      <c r="P298" s="37">
        <f>'DHS25'!D297</f>
        <v>4097</v>
      </c>
      <c r="Q298" s="37">
        <f>'DHS25'!E297</f>
        <v>7977</v>
      </c>
      <c r="R298" s="38">
        <v>180.31</v>
      </c>
      <c r="S298" s="39">
        <f t="shared" si="28"/>
        <v>1438.3328700000002</v>
      </c>
    </row>
    <row r="299" spans="1:19">
      <c r="A299" s="66">
        <v>45670</v>
      </c>
      <c r="B299" s="24" t="s">
        <v>16</v>
      </c>
      <c r="C299" s="4">
        <v>20091</v>
      </c>
      <c r="D299" s="5">
        <v>17796</v>
      </c>
      <c r="E299" s="4">
        <v>14987</v>
      </c>
      <c r="F299" s="4">
        <v>16774</v>
      </c>
      <c r="G299" s="4">
        <f t="shared" si="25"/>
        <v>17412</v>
      </c>
      <c r="H299" s="7">
        <f t="shared" si="24"/>
        <v>4.3529999999999998</v>
      </c>
      <c r="I299" s="9">
        <f t="shared" si="29"/>
        <v>1</v>
      </c>
      <c r="J299" s="9">
        <f t="shared" si="26"/>
        <v>5.3529999999999998</v>
      </c>
      <c r="K299" s="10">
        <f t="shared" si="27"/>
        <v>6</v>
      </c>
      <c r="O299" s="36">
        <f>'DHS25'!C298</f>
        <v>19095</v>
      </c>
      <c r="P299" s="37">
        <f>'DHS25'!D298</f>
        <v>5049</v>
      </c>
      <c r="Q299" s="37">
        <f>'DHS25'!E298</f>
        <v>7985</v>
      </c>
      <c r="R299" s="38">
        <v>220.91</v>
      </c>
      <c r="S299" s="39">
        <f t="shared" si="28"/>
        <v>1763.9663500000001</v>
      </c>
    </row>
    <row r="300" spans="1:19">
      <c r="A300" s="66">
        <v>45670</v>
      </c>
      <c r="B300" s="24" t="s">
        <v>17</v>
      </c>
      <c r="C300" s="4">
        <v>19305</v>
      </c>
      <c r="D300" s="5">
        <v>18139</v>
      </c>
      <c r="E300" s="4">
        <v>14367</v>
      </c>
      <c r="F300" s="4">
        <v>17723</v>
      </c>
      <c r="G300" s="4">
        <f t="shared" si="25"/>
        <v>17383.5</v>
      </c>
      <c r="H300" s="7">
        <f t="shared" si="24"/>
        <v>4.3458750000000004</v>
      </c>
      <c r="I300" s="9">
        <f t="shared" si="29"/>
        <v>1</v>
      </c>
      <c r="J300" s="9">
        <f t="shared" si="26"/>
        <v>5.3458750000000004</v>
      </c>
      <c r="K300" s="10">
        <f t="shared" si="27"/>
        <v>6</v>
      </c>
      <c r="O300" s="36">
        <f>'DHS25'!C299</f>
        <v>17765</v>
      </c>
      <c r="P300" s="37">
        <f>'DHS25'!D299</f>
        <v>6297</v>
      </c>
      <c r="Q300" s="37">
        <f>'DHS25'!E299</f>
        <v>8013</v>
      </c>
      <c r="R300" s="38">
        <v>173.53</v>
      </c>
      <c r="S300" s="39">
        <f t="shared" si="28"/>
        <v>1390.4958899999999</v>
      </c>
    </row>
    <row r="301" spans="1:19">
      <c r="A301" s="66">
        <v>45670</v>
      </c>
      <c r="B301" s="24" t="s">
        <v>18</v>
      </c>
      <c r="C301" s="4">
        <v>17685</v>
      </c>
      <c r="D301" s="5">
        <v>17187</v>
      </c>
      <c r="E301" s="4">
        <v>13499</v>
      </c>
      <c r="F301" s="4">
        <v>17231</v>
      </c>
      <c r="G301" s="4">
        <f t="shared" si="25"/>
        <v>16400.5</v>
      </c>
      <c r="H301" s="7">
        <f t="shared" si="24"/>
        <v>4.1001250000000002</v>
      </c>
      <c r="I301" s="9">
        <f t="shared" si="29"/>
        <v>1</v>
      </c>
      <c r="J301" s="9">
        <f t="shared" si="26"/>
        <v>5.1001250000000002</v>
      </c>
      <c r="K301" s="10">
        <f t="shared" si="27"/>
        <v>6</v>
      </c>
      <c r="O301" s="36">
        <f>'DHS25'!C300</f>
        <v>17653</v>
      </c>
      <c r="P301" s="37">
        <f>'DHS25'!D300</f>
        <v>7175</v>
      </c>
      <c r="Q301" s="37">
        <f>'DHS25'!E300</f>
        <v>8014</v>
      </c>
      <c r="R301" s="38">
        <v>141.37</v>
      </c>
      <c r="S301" s="39">
        <f t="shared" si="28"/>
        <v>1132.9391799999999</v>
      </c>
    </row>
    <row r="302" spans="1:19">
      <c r="A302" s="66">
        <v>45670</v>
      </c>
      <c r="B302" s="24" t="s">
        <v>19</v>
      </c>
      <c r="C302" s="4">
        <v>18431</v>
      </c>
      <c r="D302" s="5">
        <v>16834</v>
      </c>
      <c r="E302" s="4">
        <v>13636</v>
      </c>
      <c r="F302" s="4">
        <v>16323</v>
      </c>
      <c r="G302" s="4">
        <f t="shared" si="25"/>
        <v>16306</v>
      </c>
      <c r="H302" s="7">
        <f t="shared" si="24"/>
        <v>4.0765000000000002</v>
      </c>
      <c r="I302" s="9">
        <f t="shared" si="29"/>
        <v>1</v>
      </c>
      <c r="J302" s="9">
        <f t="shared" si="26"/>
        <v>5.0765000000000002</v>
      </c>
      <c r="K302" s="10">
        <f t="shared" si="27"/>
        <v>6</v>
      </c>
      <c r="O302" s="36">
        <f>'DHS25'!C301</f>
        <v>17006</v>
      </c>
      <c r="P302" s="37">
        <f>'DHS25'!D301</f>
        <v>6894</v>
      </c>
      <c r="Q302" s="37">
        <f>'DHS25'!E301</f>
        <v>7979</v>
      </c>
      <c r="R302" s="38">
        <v>123.48</v>
      </c>
      <c r="S302" s="39">
        <f t="shared" si="28"/>
        <v>985.24692000000005</v>
      </c>
    </row>
    <row r="303" spans="1:19">
      <c r="A303" s="66">
        <v>45670</v>
      </c>
      <c r="B303" s="24" t="s">
        <v>20</v>
      </c>
      <c r="C303" s="4">
        <v>17950</v>
      </c>
      <c r="D303" s="5">
        <v>16679</v>
      </c>
      <c r="E303" s="4">
        <v>13310</v>
      </c>
      <c r="F303" s="4">
        <v>15331</v>
      </c>
      <c r="G303" s="4">
        <f t="shared" si="25"/>
        <v>15817.5</v>
      </c>
      <c r="H303" s="7">
        <f t="shared" si="24"/>
        <v>3.9543750000000002</v>
      </c>
      <c r="I303" s="9">
        <f t="shared" si="29"/>
        <v>1</v>
      </c>
      <c r="J303" s="9">
        <f t="shared" si="26"/>
        <v>4.9543750000000006</v>
      </c>
      <c r="K303" s="10">
        <f t="shared" si="27"/>
        <v>5</v>
      </c>
      <c r="O303" s="36">
        <f>'DHS25'!C302</f>
        <v>17294</v>
      </c>
      <c r="P303" s="37">
        <f>'DHS25'!D302</f>
        <v>7218</v>
      </c>
      <c r="Q303" s="37">
        <f>'DHS25'!E302</f>
        <v>8014</v>
      </c>
      <c r="R303" s="38">
        <v>119.55</v>
      </c>
      <c r="S303" s="39">
        <f t="shared" si="28"/>
        <v>958.07369999999992</v>
      </c>
    </row>
    <row r="304" spans="1:19">
      <c r="A304" s="66">
        <v>45670</v>
      </c>
      <c r="B304" s="24" t="s">
        <v>21</v>
      </c>
      <c r="C304" s="4">
        <v>19666</v>
      </c>
      <c r="D304" s="5">
        <v>15534</v>
      </c>
      <c r="E304" s="4">
        <v>13397</v>
      </c>
      <c r="F304" s="4">
        <v>15416</v>
      </c>
      <c r="G304" s="4">
        <f t="shared" si="25"/>
        <v>16003.25</v>
      </c>
      <c r="H304" s="7">
        <f t="shared" si="24"/>
        <v>4.0008125000000003</v>
      </c>
      <c r="I304" s="9">
        <f t="shared" si="29"/>
        <v>1</v>
      </c>
      <c r="J304" s="9">
        <f t="shared" si="26"/>
        <v>5.0008125000000003</v>
      </c>
      <c r="K304" s="10">
        <f t="shared" si="27"/>
        <v>6</v>
      </c>
      <c r="O304" s="36">
        <f>'DHS25'!C303</f>
        <v>17530</v>
      </c>
      <c r="P304" s="37">
        <f>'DHS25'!D303</f>
        <v>6426</v>
      </c>
      <c r="Q304" s="37">
        <f>'DHS25'!E303</f>
        <v>7999</v>
      </c>
      <c r="R304" s="38">
        <v>126.18</v>
      </c>
      <c r="S304" s="39">
        <f t="shared" si="28"/>
        <v>1009.31382</v>
      </c>
    </row>
    <row r="305" spans="1:19">
      <c r="A305" s="66">
        <v>45670</v>
      </c>
      <c r="B305" s="24" t="s">
        <v>22</v>
      </c>
      <c r="C305" s="4">
        <v>18842</v>
      </c>
      <c r="D305" s="5">
        <v>15266</v>
      </c>
      <c r="E305" s="4">
        <v>13598</v>
      </c>
      <c r="F305" s="4">
        <v>15597</v>
      </c>
      <c r="G305" s="4">
        <f t="shared" si="25"/>
        <v>15825.75</v>
      </c>
      <c r="H305" s="7">
        <f t="shared" si="24"/>
        <v>3.9564374999999998</v>
      </c>
      <c r="I305" s="9">
        <f t="shared" si="29"/>
        <v>1</v>
      </c>
      <c r="J305" s="9">
        <f t="shared" si="26"/>
        <v>4.9564374999999998</v>
      </c>
      <c r="K305" s="10">
        <f t="shared" si="27"/>
        <v>5</v>
      </c>
      <c r="O305" s="36">
        <f>'DHS25'!C304</f>
        <v>18007</v>
      </c>
      <c r="P305" s="37">
        <f>'DHS25'!D304</f>
        <v>6492</v>
      </c>
      <c r="Q305" s="37">
        <f>'DHS25'!E304</f>
        <v>8001</v>
      </c>
      <c r="R305" s="38">
        <v>136.30000000000001</v>
      </c>
      <c r="S305" s="39">
        <f t="shared" si="28"/>
        <v>1090.5363</v>
      </c>
    </row>
    <row r="306" spans="1:19">
      <c r="A306" s="66">
        <v>45670</v>
      </c>
      <c r="B306" s="24" t="s">
        <v>23</v>
      </c>
      <c r="C306" s="4">
        <v>18423</v>
      </c>
      <c r="D306" s="5">
        <v>16413</v>
      </c>
      <c r="E306" s="4">
        <v>13491</v>
      </c>
      <c r="F306" s="4">
        <v>15000</v>
      </c>
      <c r="G306" s="4">
        <f t="shared" si="25"/>
        <v>15831.75</v>
      </c>
      <c r="H306" s="7">
        <f t="shared" si="24"/>
        <v>3.9579374999999999</v>
      </c>
      <c r="I306" s="9">
        <f t="shared" si="29"/>
        <v>1</v>
      </c>
      <c r="J306" s="9">
        <f t="shared" si="26"/>
        <v>4.9579374999999999</v>
      </c>
      <c r="K306" s="10">
        <f t="shared" si="27"/>
        <v>5</v>
      </c>
      <c r="O306" s="36">
        <f>'DHS25'!C305</f>
        <v>17045</v>
      </c>
      <c r="P306" s="37">
        <f>'DHS25'!D305</f>
        <v>7251</v>
      </c>
      <c r="Q306" s="37">
        <f>'DHS25'!E305</f>
        <v>8009</v>
      </c>
      <c r="R306" s="38">
        <v>147.01</v>
      </c>
      <c r="S306" s="39">
        <f t="shared" si="28"/>
        <v>1177.40309</v>
      </c>
    </row>
    <row r="307" spans="1:19">
      <c r="A307" s="66">
        <v>45670</v>
      </c>
      <c r="B307" s="24" t="s">
        <v>24</v>
      </c>
      <c r="C307" s="4">
        <v>19165</v>
      </c>
      <c r="D307" s="5">
        <v>17355</v>
      </c>
      <c r="E307" s="4">
        <v>13019</v>
      </c>
      <c r="F307" s="4">
        <v>16329</v>
      </c>
      <c r="G307" s="4">
        <f t="shared" si="25"/>
        <v>16467</v>
      </c>
      <c r="H307" s="7">
        <f t="shared" si="24"/>
        <v>4.1167499999999997</v>
      </c>
      <c r="I307" s="9">
        <f t="shared" si="29"/>
        <v>1</v>
      </c>
      <c r="J307" s="9">
        <f t="shared" si="26"/>
        <v>5.1167499999999997</v>
      </c>
      <c r="K307" s="10">
        <f t="shared" si="27"/>
        <v>6</v>
      </c>
      <c r="O307" s="36">
        <f>'DHS25'!C306</f>
        <v>18035</v>
      </c>
      <c r="P307" s="37">
        <f>'DHS25'!D306</f>
        <v>6154</v>
      </c>
      <c r="Q307" s="37">
        <f>'DHS25'!E306</f>
        <v>8002</v>
      </c>
      <c r="R307" s="38">
        <v>174.55</v>
      </c>
      <c r="S307" s="39">
        <f t="shared" si="28"/>
        <v>1396.7491000000002</v>
      </c>
    </row>
    <row r="308" spans="1:19">
      <c r="A308" s="66">
        <v>45670</v>
      </c>
      <c r="B308" s="24" t="s">
        <v>25</v>
      </c>
      <c r="C308" s="4">
        <v>18615</v>
      </c>
      <c r="D308" s="5">
        <v>18119</v>
      </c>
      <c r="E308" s="4">
        <v>13194</v>
      </c>
      <c r="F308" s="4">
        <v>18177</v>
      </c>
      <c r="G308" s="4">
        <f t="shared" si="25"/>
        <v>17026.25</v>
      </c>
      <c r="H308" s="7">
        <f t="shared" si="24"/>
        <v>4.2565625000000002</v>
      </c>
      <c r="I308" s="9">
        <f t="shared" si="29"/>
        <v>1</v>
      </c>
      <c r="J308" s="9">
        <f t="shared" si="26"/>
        <v>5.2565625000000002</v>
      </c>
      <c r="K308" s="10">
        <f t="shared" si="27"/>
        <v>6</v>
      </c>
      <c r="O308" s="36">
        <f>'DHS25'!C307</f>
        <v>17889</v>
      </c>
      <c r="P308" s="37">
        <f>'DHS25'!D307</f>
        <v>6469</v>
      </c>
      <c r="Q308" s="37">
        <f>'DHS25'!E307</f>
        <v>8006</v>
      </c>
      <c r="R308" s="38">
        <v>161.19999999999999</v>
      </c>
      <c r="S308" s="39">
        <f t="shared" si="28"/>
        <v>1290.5672</v>
      </c>
    </row>
    <row r="309" spans="1:19">
      <c r="A309" s="66">
        <v>45670</v>
      </c>
      <c r="B309" s="24" t="s">
        <v>26</v>
      </c>
      <c r="C309" s="4">
        <v>18423</v>
      </c>
      <c r="D309" s="5">
        <v>17209</v>
      </c>
      <c r="E309" s="4">
        <v>12356</v>
      </c>
      <c r="F309" s="4">
        <v>18044</v>
      </c>
      <c r="G309" s="4">
        <f t="shared" si="25"/>
        <v>16508</v>
      </c>
      <c r="H309" s="7">
        <f t="shared" si="24"/>
        <v>4.1269999999999998</v>
      </c>
      <c r="I309" s="9">
        <f t="shared" si="29"/>
        <v>1</v>
      </c>
      <c r="J309" s="9">
        <f t="shared" si="26"/>
        <v>5.1269999999999998</v>
      </c>
      <c r="K309" s="10">
        <f t="shared" si="27"/>
        <v>6</v>
      </c>
      <c r="O309" s="36">
        <f>'DHS25'!C308</f>
        <v>17402</v>
      </c>
      <c r="P309" s="37">
        <f>'DHS25'!D308</f>
        <v>6738</v>
      </c>
      <c r="Q309" s="37">
        <f>'DHS25'!E308</f>
        <v>7971</v>
      </c>
      <c r="R309" s="38">
        <v>160.09</v>
      </c>
      <c r="S309" s="39">
        <f t="shared" si="28"/>
        <v>1276.0773900000002</v>
      </c>
    </row>
    <row r="310" spans="1:19">
      <c r="A310" s="66">
        <v>45670</v>
      </c>
      <c r="B310" s="24" t="s">
        <v>27</v>
      </c>
      <c r="C310" s="4">
        <v>18563</v>
      </c>
      <c r="D310" s="5">
        <v>18016</v>
      </c>
      <c r="E310" s="4">
        <v>13490</v>
      </c>
      <c r="F310" s="4">
        <v>17096</v>
      </c>
      <c r="G310" s="4">
        <f t="shared" si="25"/>
        <v>16791.25</v>
      </c>
      <c r="H310" s="7">
        <f t="shared" si="24"/>
        <v>4.1978125000000004</v>
      </c>
      <c r="I310" s="9">
        <f t="shared" si="29"/>
        <v>1</v>
      </c>
      <c r="J310" s="9">
        <f t="shared" si="26"/>
        <v>5.1978125000000004</v>
      </c>
      <c r="K310" s="10">
        <f t="shared" si="27"/>
        <v>6</v>
      </c>
      <c r="O310" s="36">
        <f>'DHS25'!C309</f>
        <v>18464</v>
      </c>
      <c r="P310" s="37">
        <f>'DHS25'!D309</f>
        <v>5610</v>
      </c>
      <c r="Q310" s="37">
        <f>'DHS25'!E309</f>
        <v>7998</v>
      </c>
      <c r="R310" s="38">
        <v>158.94</v>
      </c>
      <c r="S310" s="39">
        <f t="shared" si="28"/>
        <v>1271.2021199999999</v>
      </c>
    </row>
    <row r="311" spans="1:19">
      <c r="A311" s="66">
        <v>45670</v>
      </c>
      <c r="B311" s="24" t="s">
        <v>28</v>
      </c>
      <c r="C311" s="4">
        <v>18959</v>
      </c>
      <c r="D311" s="5">
        <v>17137</v>
      </c>
      <c r="E311" s="4">
        <v>12589</v>
      </c>
      <c r="F311" s="4">
        <v>17612</v>
      </c>
      <c r="G311" s="4">
        <f t="shared" si="25"/>
        <v>16574.25</v>
      </c>
      <c r="H311" s="7">
        <f t="shared" si="24"/>
        <v>4.1435624999999998</v>
      </c>
      <c r="I311" s="9">
        <f t="shared" si="29"/>
        <v>1</v>
      </c>
      <c r="J311" s="9">
        <f t="shared" si="26"/>
        <v>5.1435624999999998</v>
      </c>
      <c r="K311" s="10">
        <f t="shared" si="27"/>
        <v>6</v>
      </c>
      <c r="O311" s="36">
        <f>'DHS25'!C310</f>
        <v>18265</v>
      </c>
      <c r="P311" s="37">
        <f>'DHS25'!D310</f>
        <v>5937</v>
      </c>
      <c r="Q311" s="37">
        <f>'DHS25'!E310</f>
        <v>8001</v>
      </c>
      <c r="R311" s="38">
        <v>152.37</v>
      </c>
      <c r="S311" s="39">
        <f t="shared" si="28"/>
        <v>1219.1123700000001</v>
      </c>
    </row>
    <row r="312" spans="1:19">
      <c r="A312" s="66">
        <v>45670</v>
      </c>
      <c r="B312" s="24" t="s">
        <v>29</v>
      </c>
      <c r="C312" s="4">
        <v>19227</v>
      </c>
      <c r="D312" s="5">
        <v>18306</v>
      </c>
      <c r="E312" s="4">
        <v>12413</v>
      </c>
      <c r="F312" s="4">
        <v>18267</v>
      </c>
      <c r="G312" s="4">
        <f t="shared" si="25"/>
        <v>17053.25</v>
      </c>
      <c r="H312" s="7">
        <f t="shared" si="24"/>
        <v>4.2633124999999996</v>
      </c>
      <c r="I312" s="9">
        <f t="shared" si="29"/>
        <v>1</v>
      </c>
      <c r="J312" s="9">
        <f t="shared" si="26"/>
        <v>5.2633124999999996</v>
      </c>
      <c r="K312" s="10">
        <f t="shared" si="27"/>
        <v>6</v>
      </c>
      <c r="O312" s="36">
        <f>'DHS25'!C311</f>
        <v>18831</v>
      </c>
      <c r="P312" s="37">
        <f>'DHS25'!D311</f>
        <v>5818</v>
      </c>
      <c r="Q312" s="37">
        <f>'DHS25'!E311</f>
        <v>8009</v>
      </c>
      <c r="R312" s="38">
        <v>133.99</v>
      </c>
      <c r="S312" s="39">
        <f t="shared" si="28"/>
        <v>1073.1259100000002</v>
      </c>
    </row>
    <row r="313" spans="1:19">
      <c r="A313" s="66">
        <v>45670</v>
      </c>
      <c r="B313" s="24" t="s">
        <v>30</v>
      </c>
      <c r="C313" s="4">
        <v>17632</v>
      </c>
      <c r="D313" s="5">
        <v>14960</v>
      </c>
      <c r="E313" s="4">
        <v>11414</v>
      </c>
      <c r="F313" s="4">
        <v>16399</v>
      </c>
      <c r="G313" s="4">
        <f t="shared" si="25"/>
        <v>15101.25</v>
      </c>
      <c r="H313" s="7">
        <f t="shared" si="24"/>
        <v>3.7753125000000001</v>
      </c>
      <c r="I313" s="9">
        <f t="shared" si="29"/>
        <v>1</v>
      </c>
      <c r="J313" s="9">
        <f t="shared" si="26"/>
        <v>4.7753125000000001</v>
      </c>
      <c r="K313" s="10">
        <f t="shared" si="27"/>
        <v>5</v>
      </c>
      <c r="O313" s="36">
        <f>'DHS25'!C312</f>
        <v>16301</v>
      </c>
      <c r="P313" s="37">
        <f>'DHS25'!D312</f>
        <v>6783</v>
      </c>
      <c r="Q313" s="37">
        <f>'DHS25'!E312</f>
        <v>7999</v>
      </c>
      <c r="R313" s="38">
        <v>119.34</v>
      </c>
      <c r="S313" s="39">
        <f t="shared" si="28"/>
        <v>954.60065999999995</v>
      </c>
    </row>
    <row r="314" spans="1:19">
      <c r="A314" s="66">
        <v>45670</v>
      </c>
      <c r="B314" s="24" t="s">
        <v>31</v>
      </c>
      <c r="C314" s="4">
        <v>8010</v>
      </c>
      <c r="D314" s="5">
        <v>9553</v>
      </c>
      <c r="E314" s="4">
        <v>4928</v>
      </c>
      <c r="F314" s="4">
        <v>10025</v>
      </c>
      <c r="G314" s="4">
        <f t="shared" si="25"/>
        <v>8129</v>
      </c>
      <c r="H314" s="7">
        <f t="shared" si="24"/>
        <v>2.0322499999999999</v>
      </c>
      <c r="I314" s="9">
        <f t="shared" si="29"/>
        <v>1</v>
      </c>
      <c r="J314" s="9">
        <f t="shared" si="26"/>
        <v>3.0322499999999999</v>
      </c>
      <c r="K314" s="10">
        <f t="shared" si="27"/>
        <v>4</v>
      </c>
      <c r="O314" s="36">
        <f>'DHS25'!C313</f>
        <v>10766</v>
      </c>
      <c r="P314" s="37">
        <f>'DHS25'!D313</f>
        <v>4622</v>
      </c>
      <c r="Q314" s="37">
        <f>'DHS25'!E313</f>
        <v>4022</v>
      </c>
      <c r="R314" s="38">
        <v>107.93</v>
      </c>
      <c r="S314" s="39">
        <f t="shared" si="28"/>
        <v>434.09446000000003</v>
      </c>
    </row>
    <row r="315" spans="1:19">
      <c r="A315" s="67">
        <v>45671</v>
      </c>
      <c r="B315" s="25" t="s">
        <v>8</v>
      </c>
      <c r="C315" s="4">
        <v>8683</v>
      </c>
      <c r="D315" s="5">
        <v>9507</v>
      </c>
      <c r="E315" s="4">
        <v>4483</v>
      </c>
      <c r="F315" s="4">
        <v>11630</v>
      </c>
      <c r="G315" s="4">
        <f t="shared" si="25"/>
        <v>8575.75</v>
      </c>
      <c r="H315" s="7">
        <f t="shared" si="24"/>
        <v>2.1439374999999998</v>
      </c>
      <c r="I315" s="9">
        <f t="shared" si="29"/>
        <v>1</v>
      </c>
      <c r="J315" s="9">
        <f t="shared" si="26"/>
        <v>3.1439374999999998</v>
      </c>
      <c r="K315" s="10">
        <f t="shared" si="27"/>
        <v>4</v>
      </c>
      <c r="O315" s="36">
        <f>'DHS25'!C314</f>
        <v>8609</v>
      </c>
      <c r="P315" s="37">
        <f>'DHS25'!D314</f>
        <v>4669</v>
      </c>
      <c r="Q315" s="37">
        <f>'DHS25'!E314</f>
        <v>3995</v>
      </c>
      <c r="R315" s="38">
        <v>108.87</v>
      </c>
      <c r="S315" s="39">
        <f t="shared" si="28"/>
        <v>434.93565000000001</v>
      </c>
    </row>
    <row r="316" spans="1:19">
      <c r="A316" s="67">
        <v>45671</v>
      </c>
      <c r="B316" s="25" t="s">
        <v>9</v>
      </c>
      <c r="C316" s="4">
        <v>10764</v>
      </c>
      <c r="D316" s="5">
        <v>9947</v>
      </c>
      <c r="E316" s="4">
        <v>11522</v>
      </c>
      <c r="F316" s="4">
        <v>12553</v>
      </c>
      <c r="G316" s="4">
        <f t="shared" si="25"/>
        <v>11196.5</v>
      </c>
      <c r="H316" s="7">
        <f t="shared" si="24"/>
        <v>2.7991250000000001</v>
      </c>
      <c r="I316" s="9">
        <f t="shared" si="29"/>
        <v>1</v>
      </c>
      <c r="J316" s="9">
        <f t="shared" si="26"/>
        <v>3.7991250000000001</v>
      </c>
      <c r="K316" s="10">
        <f t="shared" si="27"/>
        <v>4</v>
      </c>
      <c r="O316" s="36">
        <f>'DHS25'!C315</f>
        <v>10321</v>
      </c>
      <c r="P316" s="37">
        <f>'DHS25'!D315</f>
        <v>2503</v>
      </c>
      <c r="Q316" s="37">
        <f>'DHS25'!E315</f>
        <v>3991</v>
      </c>
      <c r="R316" s="38">
        <v>105.9</v>
      </c>
      <c r="S316" s="39">
        <f t="shared" si="28"/>
        <v>422.64690000000002</v>
      </c>
    </row>
    <row r="317" spans="1:19">
      <c r="A317" s="67">
        <v>45671</v>
      </c>
      <c r="B317" s="25" t="s">
        <v>10</v>
      </c>
      <c r="C317" s="4">
        <v>12011</v>
      </c>
      <c r="D317" s="5">
        <v>12673</v>
      </c>
      <c r="E317" s="4">
        <v>11571</v>
      </c>
      <c r="F317" s="4">
        <v>10943</v>
      </c>
      <c r="G317" s="4">
        <f t="shared" si="25"/>
        <v>11799.5</v>
      </c>
      <c r="H317" s="7">
        <f t="shared" si="24"/>
        <v>2.949875</v>
      </c>
      <c r="I317" s="9">
        <f t="shared" si="29"/>
        <v>1</v>
      </c>
      <c r="J317" s="9">
        <f t="shared" si="26"/>
        <v>3.949875</v>
      </c>
      <c r="K317" s="10">
        <f t="shared" si="27"/>
        <v>4</v>
      </c>
      <c r="O317" s="36">
        <f>'DHS25'!C316</f>
        <v>12339</v>
      </c>
      <c r="P317" s="37">
        <f>'DHS25'!D316</f>
        <v>1649</v>
      </c>
      <c r="Q317" s="37">
        <f>'DHS25'!E316</f>
        <v>4030</v>
      </c>
      <c r="R317" s="38">
        <v>101.5</v>
      </c>
      <c r="S317" s="39">
        <f t="shared" si="28"/>
        <v>409.04500000000002</v>
      </c>
    </row>
    <row r="318" spans="1:19">
      <c r="A318" s="67">
        <v>45671</v>
      </c>
      <c r="B318" s="25" t="s">
        <v>11</v>
      </c>
      <c r="C318" s="4">
        <v>13131</v>
      </c>
      <c r="D318" s="5">
        <v>12779</v>
      </c>
      <c r="E318" s="4">
        <v>8468</v>
      </c>
      <c r="F318" s="4">
        <v>13507</v>
      </c>
      <c r="G318" s="4">
        <f t="shared" si="25"/>
        <v>11971.25</v>
      </c>
      <c r="H318" s="7">
        <f t="shared" si="24"/>
        <v>2.9928124999999999</v>
      </c>
      <c r="I318" s="9">
        <f t="shared" si="29"/>
        <v>1</v>
      </c>
      <c r="J318" s="9">
        <f t="shared" si="26"/>
        <v>3.9928124999999999</v>
      </c>
      <c r="K318" s="10">
        <f t="shared" si="27"/>
        <v>4</v>
      </c>
      <c r="O318" s="36">
        <f>'DHS25'!C317</f>
        <v>13674</v>
      </c>
      <c r="P318" s="37">
        <f>'DHS25'!D317</f>
        <v>22</v>
      </c>
      <c r="Q318" s="37">
        <f>'DHS25'!E317</f>
        <v>4005</v>
      </c>
      <c r="R318" s="38">
        <v>100.22</v>
      </c>
      <c r="S318" s="39">
        <f t="shared" si="28"/>
        <v>401.3811</v>
      </c>
    </row>
    <row r="319" spans="1:19">
      <c r="A319" s="67">
        <v>45671</v>
      </c>
      <c r="B319" s="25" t="s">
        <v>12</v>
      </c>
      <c r="C319" s="4">
        <v>21483</v>
      </c>
      <c r="D319" s="5">
        <v>21165</v>
      </c>
      <c r="E319" s="4">
        <v>10267</v>
      </c>
      <c r="F319" s="4">
        <v>15288</v>
      </c>
      <c r="G319" s="4">
        <f t="shared" si="25"/>
        <v>17050.75</v>
      </c>
      <c r="H319" s="7">
        <f t="shared" si="24"/>
        <v>4.2626875000000002</v>
      </c>
      <c r="I319" s="9">
        <f t="shared" si="29"/>
        <v>1</v>
      </c>
      <c r="J319" s="9">
        <f t="shared" si="26"/>
        <v>5.2626875000000002</v>
      </c>
      <c r="K319" s="10">
        <f t="shared" si="27"/>
        <v>6</v>
      </c>
      <c r="O319" s="36">
        <f>'DHS25'!C318</f>
        <v>20025</v>
      </c>
      <c r="P319" s="37">
        <f>'DHS25'!D318</f>
        <v>122</v>
      </c>
      <c r="Q319" s="37">
        <f>'DHS25'!E318</f>
        <v>6036</v>
      </c>
      <c r="R319" s="38">
        <v>103.5</v>
      </c>
      <c r="S319" s="39">
        <f t="shared" si="28"/>
        <v>624.726</v>
      </c>
    </row>
    <row r="320" spans="1:19">
      <c r="A320" s="67">
        <v>45671</v>
      </c>
      <c r="B320" s="25" t="s">
        <v>13</v>
      </c>
      <c r="C320" s="4">
        <v>21403</v>
      </c>
      <c r="D320" s="5">
        <v>20411</v>
      </c>
      <c r="E320" s="4">
        <v>10807</v>
      </c>
      <c r="F320" s="4">
        <v>15418</v>
      </c>
      <c r="G320" s="4">
        <f t="shared" si="25"/>
        <v>17009.75</v>
      </c>
      <c r="H320" s="7">
        <f t="shared" si="24"/>
        <v>4.2524375000000001</v>
      </c>
      <c r="I320" s="9">
        <f t="shared" si="29"/>
        <v>1</v>
      </c>
      <c r="J320" s="9">
        <f t="shared" si="26"/>
        <v>5.2524375000000001</v>
      </c>
      <c r="K320" s="10">
        <f t="shared" si="27"/>
        <v>6</v>
      </c>
      <c r="O320" s="36">
        <f>'DHS25'!C319</f>
        <v>20931</v>
      </c>
      <c r="P320" s="37">
        <f>'DHS25'!D319</f>
        <v>1641</v>
      </c>
      <c r="Q320" s="37">
        <f>'DHS25'!E319</f>
        <v>6007</v>
      </c>
      <c r="R320" s="38">
        <v>108.94</v>
      </c>
      <c r="S320" s="39">
        <f t="shared" si="28"/>
        <v>654.40257999999994</v>
      </c>
    </row>
    <row r="321" spans="1:19">
      <c r="A321" s="67">
        <v>45671</v>
      </c>
      <c r="B321" s="25" t="s">
        <v>14</v>
      </c>
      <c r="C321" s="4">
        <v>22044</v>
      </c>
      <c r="D321" s="5">
        <v>20945</v>
      </c>
      <c r="E321" s="4">
        <v>11169</v>
      </c>
      <c r="F321" s="4">
        <v>15742</v>
      </c>
      <c r="G321" s="4">
        <f t="shared" si="25"/>
        <v>17475</v>
      </c>
      <c r="H321" s="7">
        <f t="shared" si="24"/>
        <v>4.3687500000000004</v>
      </c>
      <c r="I321" s="9">
        <f t="shared" si="29"/>
        <v>1</v>
      </c>
      <c r="J321" s="9">
        <f t="shared" si="26"/>
        <v>5.3687500000000004</v>
      </c>
      <c r="K321" s="10">
        <f t="shared" si="27"/>
        <v>6</v>
      </c>
      <c r="O321" s="36">
        <f>'DHS25'!C320</f>
        <v>23570</v>
      </c>
      <c r="P321" s="37">
        <f>'DHS25'!D320</f>
        <v>120</v>
      </c>
      <c r="Q321" s="37">
        <f>'DHS25'!E320</f>
        <v>7988</v>
      </c>
      <c r="R321" s="38">
        <v>139.87</v>
      </c>
      <c r="S321" s="39">
        <f t="shared" si="28"/>
        <v>1117.2815600000001</v>
      </c>
    </row>
    <row r="322" spans="1:19">
      <c r="A322" s="67">
        <v>45671</v>
      </c>
      <c r="B322" s="25" t="s">
        <v>15</v>
      </c>
      <c r="C322" s="4">
        <v>20079</v>
      </c>
      <c r="D322" s="5">
        <v>18507</v>
      </c>
      <c r="E322" s="4">
        <v>11553</v>
      </c>
      <c r="F322" s="4">
        <v>14924</v>
      </c>
      <c r="G322" s="4">
        <f t="shared" si="25"/>
        <v>16265.75</v>
      </c>
      <c r="H322" s="7">
        <f t="shared" si="24"/>
        <v>4.0664375000000001</v>
      </c>
      <c r="I322" s="9">
        <f t="shared" si="29"/>
        <v>1</v>
      </c>
      <c r="J322" s="9">
        <f t="shared" si="26"/>
        <v>5.0664375000000001</v>
      </c>
      <c r="K322" s="10">
        <f t="shared" si="27"/>
        <v>6</v>
      </c>
      <c r="O322" s="36">
        <f>'DHS25'!C321</f>
        <v>23326</v>
      </c>
      <c r="P322" s="37">
        <f>'DHS25'!D321</f>
        <v>1745</v>
      </c>
      <c r="Q322" s="37">
        <f>'DHS25'!E321</f>
        <v>8013</v>
      </c>
      <c r="R322" s="38">
        <v>163.5</v>
      </c>
      <c r="S322" s="39">
        <f t="shared" si="28"/>
        <v>1310.1254999999999</v>
      </c>
    </row>
    <row r="323" spans="1:19">
      <c r="A323" s="67">
        <v>45671</v>
      </c>
      <c r="B323" s="25" t="s">
        <v>16</v>
      </c>
      <c r="C323" s="4">
        <v>20205</v>
      </c>
      <c r="D323" s="5">
        <v>19653</v>
      </c>
      <c r="E323" s="4">
        <v>11404</v>
      </c>
      <c r="F323" s="4">
        <v>16972</v>
      </c>
      <c r="G323" s="4">
        <f t="shared" si="25"/>
        <v>17058.5</v>
      </c>
      <c r="H323" s="7">
        <f t="shared" ref="H323:H386" si="30">G323/$M$2/1000</f>
        <v>4.2646249999999997</v>
      </c>
      <c r="I323" s="9">
        <f t="shared" si="29"/>
        <v>1</v>
      </c>
      <c r="J323" s="9">
        <f t="shared" si="26"/>
        <v>5.2646249999999997</v>
      </c>
      <c r="K323" s="10">
        <f t="shared" si="27"/>
        <v>6</v>
      </c>
      <c r="O323" s="36">
        <f>'DHS25'!C322</f>
        <v>23391</v>
      </c>
      <c r="P323" s="37">
        <f>'DHS25'!D322</f>
        <v>1783</v>
      </c>
      <c r="Q323" s="37">
        <f>'DHS25'!E322</f>
        <v>7994</v>
      </c>
      <c r="R323" s="38">
        <v>186</v>
      </c>
      <c r="S323" s="39">
        <f t="shared" si="28"/>
        <v>1486.884</v>
      </c>
    </row>
    <row r="324" spans="1:19">
      <c r="A324" s="67">
        <v>45671</v>
      </c>
      <c r="B324" s="25" t="s">
        <v>17</v>
      </c>
      <c r="C324" s="4">
        <v>19377</v>
      </c>
      <c r="D324" s="5">
        <v>19318</v>
      </c>
      <c r="E324" s="4">
        <v>10821</v>
      </c>
      <c r="F324" s="4">
        <v>17359</v>
      </c>
      <c r="G324" s="4">
        <f t="shared" ref="G324:G387" si="31">AVERAGE(C324:F324)</f>
        <v>16718.75</v>
      </c>
      <c r="H324" s="7">
        <f t="shared" si="30"/>
        <v>4.1796875</v>
      </c>
      <c r="I324" s="9">
        <f t="shared" si="29"/>
        <v>1</v>
      </c>
      <c r="J324" s="9">
        <f t="shared" ref="J324:J387" si="32">H324+I324</f>
        <v>5.1796875</v>
      </c>
      <c r="K324" s="10">
        <f t="shared" ref="K324:K387" si="33">ROUNDUP(J324,0)</f>
        <v>6</v>
      </c>
      <c r="O324" s="36">
        <f>'DHS25'!C323</f>
        <v>19896</v>
      </c>
      <c r="P324" s="37">
        <f>'DHS25'!D323</f>
        <v>5133</v>
      </c>
      <c r="Q324" s="37">
        <f>'DHS25'!E323</f>
        <v>7957</v>
      </c>
      <c r="R324" s="38">
        <v>151.96</v>
      </c>
      <c r="S324" s="39">
        <f t="shared" ref="S324:S387" si="34">(Q324/1000)*R324</f>
        <v>1209.14572</v>
      </c>
    </row>
    <row r="325" spans="1:19">
      <c r="A325" s="67">
        <v>45671</v>
      </c>
      <c r="B325" s="25" t="s">
        <v>18</v>
      </c>
      <c r="C325" s="4">
        <v>18518</v>
      </c>
      <c r="D325" s="5">
        <v>17104</v>
      </c>
      <c r="E325" s="4">
        <v>13046</v>
      </c>
      <c r="F325" s="4">
        <v>17760</v>
      </c>
      <c r="G325" s="4">
        <f t="shared" si="31"/>
        <v>16607</v>
      </c>
      <c r="H325" s="7">
        <f t="shared" si="30"/>
        <v>4.1517499999999998</v>
      </c>
      <c r="I325" s="9">
        <f t="shared" ref="I325:I388" si="35">I324</f>
        <v>1</v>
      </c>
      <c r="J325" s="9">
        <f t="shared" si="32"/>
        <v>5.1517499999999998</v>
      </c>
      <c r="K325" s="10">
        <f t="shared" si="33"/>
        <v>6</v>
      </c>
      <c r="O325" s="36">
        <f>'DHS25'!C324</f>
        <v>21165</v>
      </c>
      <c r="P325" s="37">
        <f>'DHS25'!D324</f>
        <v>3178</v>
      </c>
      <c r="Q325" s="37">
        <f>'DHS25'!E324</f>
        <v>7996</v>
      </c>
      <c r="R325" s="38">
        <v>130</v>
      </c>
      <c r="S325" s="39">
        <f t="shared" si="34"/>
        <v>1039.48</v>
      </c>
    </row>
    <row r="326" spans="1:19">
      <c r="A326" s="67">
        <v>45671</v>
      </c>
      <c r="B326" s="25" t="s">
        <v>19</v>
      </c>
      <c r="C326" s="4">
        <v>18283</v>
      </c>
      <c r="D326" s="5">
        <v>17008</v>
      </c>
      <c r="E326" s="4">
        <v>11223</v>
      </c>
      <c r="F326" s="4">
        <v>18757</v>
      </c>
      <c r="G326" s="4">
        <f t="shared" si="31"/>
        <v>16317.75</v>
      </c>
      <c r="H326" s="7">
        <f t="shared" si="30"/>
        <v>4.0794375</v>
      </c>
      <c r="I326" s="9">
        <f t="shared" si="35"/>
        <v>1</v>
      </c>
      <c r="J326" s="9">
        <f t="shared" si="32"/>
        <v>5.0794375</v>
      </c>
      <c r="K326" s="10">
        <f t="shared" si="33"/>
        <v>6</v>
      </c>
      <c r="O326" s="36">
        <f>'DHS25'!C325</f>
        <v>17327</v>
      </c>
      <c r="P326" s="37">
        <f>'DHS25'!D325</f>
        <v>3948</v>
      </c>
      <c r="Q326" s="37">
        <f>'DHS25'!E325</f>
        <v>6822</v>
      </c>
      <c r="R326" s="38">
        <v>122.5</v>
      </c>
      <c r="S326" s="39">
        <f t="shared" si="34"/>
        <v>835.69500000000005</v>
      </c>
    </row>
    <row r="327" spans="1:19">
      <c r="A327" s="67">
        <v>45671</v>
      </c>
      <c r="B327" s="25" t="s">
        <v>20</v>
      </c>
      <c r="C327" s="4">
        <v>17209</v>
      </c>
      <c r="D327" s="5">
        <v>16627</v>
      </c>
      <c r="E327" s="4">
        <v>13231</v>
      </c>
      <c r="F327" s="4">
        <v>15749</v>
      </c>
      <c r="G327" s="4">
        <f t="shared" si="31"/>
        <v>15704</v>
      </c>
      <c r="H327" s="7">
        <f t="shared" si="30"/>
        <v>3.9260000000000002</v>
      </c>
      <c r="I327" s="9">
        <f t="shared" si="35"/>
        <v>1</v>
      </c>
      <c r="J327" s="9">
        <f t="shared" si="32"/>
        <v>4.9260000000000002</v>
      </c>
      <c r="K327" s="10">
        <f t="shared" si="33"/>
        <v>5</v>
      </c>
      <c r="O327" s="36">
        <f>'DHS25'!C326</f>
        <v>17508</v>
      </c>
      <c r="P327" s="37">
        <f>'DHS25'!D326</f>
        <v>965</v>
      </c>
      <c r="Q327" s="37">
        <f>'DHS25'!E326</f>
        <v>5237</v>
      </c>
      <c r="R327" s="38">
        <v>117.5</v>
      </c>
      <c r="S327" s="39">
        <f t="shared" si="34"/>
        <v>615.34749999999997</v>
      </c>
    </row>
    <row r="328" spans="1:19">
      <c r="A328" s="67">
        <v>45671</v>
      </c>
      <c r="B328" s="25" t="s">
        <v>21</v>
      </c>
      <c r="C328" s="4">
        <v>18075</v>
      </c>
      <c r="D328" s="5">
        <v>16529</v>
      </c>
      <c r="E328" s="4">
        <v>13223</v>
      </c>
      <c r="F328" s="4">
        <v>15184</v>
      </c>
      <c r="G328" s="4">
        <f t="shared" si="31"/>
        <v>15752.75</v>
      </c>
      <c r="H328" s="7">
        <f t="shared" si="30"/>
        <v>3.9381875000000002</v>
      </c>
      <c r="I328" s="9">
        <f t="shared" si="35"/>
        <v>1</v>
      </c>
      <c r="J328" s="9">
        <f t="shared" si="32"/>
        <v>4.9381874999999997</v>
      </c>
      <c r="K328" s="10">
        <f t="shared" si="33"/>
        <v>5</v>
      </c>
      <c r="O328" s="36">
        <f>'DHS25'!C327</f>
        <v>16209</v>
      </c>
      <c r="P328" s="37">
        <f>'DHS25'!D327</f>
        <v>97</v>
      </c>
      <c r="Q328" s="37">
        <f>'DHS25'!E327</f>
        <v>5031</v>
      </c>
      <c r="R328" s="38">
        <v>119.83</v>
      </c>
      <c r="S328" s="39">
        <f t="shared" si="34"/>
        <v>602.86473000000001</v>
      </c>
    </row>
    <row r="329" spans="1:19">
      <c r="A329" s="67">
        <v>45671</v>
      </c>
      <c r="B329" s="25" t="s">
        <v>22</v>
      </c>
      <c r="C329" s="4">
        <v>18474</v>
      </c>
      <c r="D329" s="5">
        <v>16332</v>
      </c>
      <c r="E329" s="4">
        <v>12280</v>
      </c>
      <c r="F329" s="4">
        <v>15857</v>
      </c>
      <c r="G329" s="4">
        <f t="shared" si="31"/>
        <v>15735.75</v>
      </c>
      <c r="H329" s="7">
        <f t="shared" si="30"/>
        <v>3.9339374999999999</v>
      </c>
      <c r="I329" s="9">
        <f t="shared" si="35"/>
        <v>1</v>
      </c>
      <c r="J329" s="9">
        <f t="shared" si="32"/>
        <v>4.9339374999999999</v>
      </c>
      <c r="K329" s="10">
        <f t="shared" si="33"/>
        <v>5</v>
      </c>
      <c r="O329" s="36">
        <f>'DHS25'!C328</f>
        <v>10778</v>
      </c>
      <c r="P329" s="37">
        <f>'DHS25'!D328</f>
        <v>9787</v>
      </c>
      <c r="Q329" s="37">
        <f>'DHS25'!E328</f>
        <v>7889</v>
      </c>
      <c r="R329" s="38">
        <v>142.30000000000001</v>
      </c>
      <c r="S329" s="39">
        <f t="shared" si="34"/>
        <v>1122.6047000000001</v>
      </c>
    </row>
    <row r="330" spans="1:19">
      <c r="A330" s="67">
        <v>45671</v>
      </c>
      <c r="B330" s="25" t="s">
        <v>23</v>
      </c>
      <c r="C330" s="4">
        <v>18242</v>
      </c>
      <c r="D330" s="5">
        <v>16589</v>
      </c>
      <c r="E330" s="4">
        <v>13136</v>
      </c>
      <c r="F330" s="4">
        <v>16782</v>
      </c>
      <c r="G330" s="4">
        <f t="shared" si="31"/>
        <v>16187.25</v>
      </c>
      <c r="H330" s="7">
        <f t="shared" si="30"/>
        <v>4.0468124999999997</v>
      </c>
      <c r="I330" s="9">
        <f t="shared" si="35"/>
        <v>1</v>
      </c>
      <c r="J330" s="9">
        <f t="shared" si="32"/>
        <v>5.0468124999999997</v>
      </c>
      <c r="K330" s="10">
        <f t="shared" si="33"/>
        <v>6</v>
      </c>
      <c r="O330" s="36">
        <f>'DHS25'!C329</f>
        <v>16759</v>
      </c>
      <c r="P330" s="37">
        <f>'DHS25'!D329</f>
        <v>6658</v>
      </c>
      <c r="Q330" s="37">
        <f>'DHS25'!E329</f>
        <v>7992</v>
      </c>
      <c r="R330" s="38">
        <v>198.37</v>
      </c>
      <c r="S330" s="39">
        <f t="shared" si="34"/>
        <v>1585.3730399999999</v>
      </c>
    </row>
    <row r="331" spans="1:19">
      <c r="A331" s="67">
        <v>45671</v>
      </c>
      <c r="B331" s="25" t="s">
        <v>24</v>
      </c>
      <c r="C331" s="4">
        <v>18336</v>
      </c>
      <c r="D331" s="5">
        <v>16785</v>
      </c>
      <c r="E331" s="4">
        <v>13076</v>
      </c>
      <c r="F331" s="4">
        <v>17280</v>
      </c>
      <c r="G331" s="4">
        <f t="shared" si="31"/>
        <v>16369.25</v>
      </c>
      <c r="H331" s="7">
        <f t="shared" si="30"/>
        <v>4.0923125000000002</v>
      </c>
      <c r="I331" s="9">
        <f t="shared" si="35"/>
        <v>1</v>
      </c>
      <c r="J331" s="9">
        <f t="shared" si="32"/>
        <v>5.0923125000000002</v>
      </c>
      <c r="K331" s="10">
        <f t="shared" si="33"/>
        <v>6</v>
      </c>
      <c r="O331" s="36">
        <f>'DHS25'!C330</f>
        <v>20495</v>
      </c>
      <c r="P331" s="37">
        <f>'DHS25'!D330</f>
        <v>4979</v>
      </c>
      <c r="Q331" s="37">
        <f>'DHS25'!E330</f>
        <v>8045</v>
      </c>
      <c r="R331" s="38">
        <v>219</v>
      </c>
      <c r="S331" s="39">
        <f t="shared" si="34"/>
        <v>1761.855</v>
      </c>
    </row>
    <row r="332" spans="1:19">
      <c r="A332" s="67">
        <v>45671</v>
      </c>
      <c r="B332" s="25" t="s">
        <v>25</v>
      </c>
      <c r="C332" s="4">
        <v>17999</v>
      </c>
      <c r="D332" s="5">
        <v>17752</v>
      </c>
      <c r="E332" s="4">
        <v>12107</v>
      </c>
      <c r="F332" s="4">
        <v>16072</v>
      </c>
      <c r="G332" s="4">
        <f t="shared" si="31"/>
        <v>15982.5</v>
      </c>
      <c r="H332" s="7">
        <f t="shared" si="30"/>
        <v>3.995625</v>
      </c>
      <c r="I332" s="9">
        <f t="shared" si="35"/>
        <v>1</v>
      </c>
      <c r="J332" s="9">
        <f t="shared" si="32"/>
        <v>4.9956250000000004</v>
      </c>
      <c r="K332" s="10">
        <f t="shared" si="33"/>
        <v>5</v>
      </c>
      <c r="O332" s="36">
        <f>'DHS25'!C331</f>
        <v>18278</v>
      </c>
      <c r="P332" s="37">
        <f>'DHS25'!D331</f>
        <v>6196</v>
      </c>
      <c r="Q332" s="37">
        <f>'DHS25'!E331</f>
        <v>8078</v>
      </c>
      <c r="R332" s="38">
        <v>192</v>
      </c>
      <c r="S332" s="39">
        <f t="shared" si="34"/>
        <v>1550.9759999999999</v>
      </c>
    </row>
    <row r="333" spans="1:19">
      <c r="A333" s="67">
        <v>45671</v>
      </c>
      <c r="B333" s="25" t="s">
        <v>26</v>
      </c>
      <c r="C333" s="4">
        <v>18553</v>
      </c>
      <c r="D333" s="5">
        <v>17722</v>
      </c>
      <c r="E333" s="4">
        <v>12906</v>
      </c>
      <c r="F333" s="4">
        <v>18779</v>
      </c>
      <c r="G333" s="4">
        <f t="shared" si="31"/>
        <v>16990</v>
      </c>
      <c r="H333" s="7">
        <f t="shared" si="30"/>
        <v>4.2474999999999996</v>
      </c>
      <c r="I333" s="9">
        <f t="shared" si="35"/>
        <v>1</v>
      </c>
      <c r="J333" s="9">
        <f t="shared" si="32"/>
        <v>5.2474999999999996</v>
      </c>
      <c r="K333" s="10">
        <f t="shared" si="33"/>
        <v>6</v>
      </c>
      <c r="O333" s="36">
        <f>'DHS25'!C332</f>
        <v>17498</v>
      </c>
      <c r="P333" s="37">
        <f>'DHS25'!D332</f>
        <v>6562</v>
      </c>
      <c r="Q333" s="37">
        <f>'DHS25'!E332</f>
        <v>8049</v>
      </c>
      <c r="R333" s="38">
        <v>192</v>
      </c>
      <c r="S333" s="39">
        <f t="shared" si="34"/>
        <v>1545.4079999999999</v>
      </c>
    </row>
    <row r="334" spans="1:19">
      <c r="A334" s="67">
        <v>45671</v>
      </c>
      <c r="B334" s="25" t="s">
        <v>27</v>
      </c>
      <c r="C334" s="4">
        <v>18747</v>
      </c>
      <c r="D334" s="5">
        <v>17502</v>
      </c>
      <c r="E334" s="4">
        <v>13148</v>
      </c>
      <c r="F334" s="4">
        <v>17592</v>
      </c>
      <c r="G334" s="4">
        <f t="shared" si="31"/>
        <v>16747.25</v>
      </c>
      <c r="H334" s="7">
        <f t="shared" si="30"/>
        <v>4.1868125000000003</v>
      </c>
      <c r="I334" s="9">
        <f t="shared" si="35"/>
        <v>1</v>
      </c>
      <c r="J334" s="9">
        <f t="shared" si="32"/>
        <v>5.1868125000000003</v>
      </c>
      <c r="K334" s="10">
        <f t="shared" si="33"/>
        <v>6</v>
      </c>
      <c r="O334" s="36">
        <f>'DHS25'!C333</f>
        <v>18595</v>
      </c>
      <c r="P334" s="37">
        <f>'DHS25'!D333</f>
        <v>6242</v>
      </c>
      <c r="Q334" s="37">
        <f>'DHS25'!E333</f>
        <v>8052</v>
      </c>
      <c r="R334" s="38">
        <v>218.79</v>
      </c>
      <c r="S334" s="39">
        <f t="shared" si="34"/>
        <v>1761.6970799999999</v>
      </c>
    </row>
    <row r="335" spans="1:19">
      <c r="A335" s="67">
        <v>45671</v>
      </c>
      <c r="B335" s="25" t="s">
        <v>28</v>
      </c>
      <c r="C335" s="4">
        <v>19663</v>
      </c>
      <c r="D335" s="5">
        <v>18057</v>
      </c>
      <c r="E335" s="4">
        <v>13159</v>
      </c>
      <c r="F335" s="4">
        <v>17976</v>
      </c>
      <c r="G335" s="4">
        <f t="shared" si="31"/>
        <v>17213.75</v>
      </c>
      <c r="H335" s="7">
        <f t="shared" si="30"/>
        <v>4.3034375000000002</v>
      </c>
      <c r="I335" s="9">
        <f t="shared" si="35"/>
        <v>1</v>
      </c>
      <c r="J335" s="9">
        <f t="shared" si="32"/>
        <v>5.3034375000000002</v>
      </c>
      <c r="K335" s="10">
        <f t="shared" si="33"/>
        <v>6</v>
      </c>
      <c r="O335" s="36">
        <f>'DHS25'!C334</f>
        <v>19269</v>
      </c>
      <c r="P335" s="37">
        <f>'DHS25'!D334</f>
        <v>5594</v>
      </c>
      <c r="Q335" s="37">
        <f>'DHS25'!E334</f>
        <v>8065</v>
      </c>
      <c r="R335" s="38">
        <v>206.81</v>
      </c>
      <c r="S335" s="39">
        <f t="shared" si="34"/>
        <v>1667.92265</v>
      </c>
    </row>
    <row r="336" spans="1:19">
      <c r="A336" s="67">
        <v>45671</v>
      </c>
      <c r="B336" s="25" t="s">
        <v>29</v>
      </c>
      <c r="C336" s="4">
        <v>19561</v>
      </c>
      <c r="D336" s="5">
        <v>18531</v>
      </c>
      <c r="E336" s="4">
        <v>10812</v>
      </c>
      <c r="F336" s="4">
        <v>18363</v>
      </c>
      <c r="G336" s="4">
        <f t="shared" si="31"/>
        <v>16816.75</v>
      </c>
      <c r="H336" s="7">
        <f t="shared" si="30"/>
        <v>4.2041874999999997</v>
      </c>
      <c r="I336" s="9">
        <f t="shared" si="35"/>
        <v>1</v>
      </c>
      <c r="J336" s="9">
        <f t="shared" si="32"/>
        <v>5.2041874999999997</v>
      </c>
      <c r="K336" s="10">
        <f t="shared" si="33"/>
        <v>6</v>
      </c>
      <c r="O336" s="36">
        <f>'DHS25'!C335</f>
        <v>18693</v>
      </c>
      <c r="P336" s="37">
        <f>'DHS25'!D335</f>
        <v>5841</v>
      </c>
      <c r="Q336" s="37">
        <f>'DHS25'!E335</f>
        <v>8025</v>
      </c>
      <c r="R336" s="38">
        <v>202.76</v>
      </c>
      <c r="S336" s="39">
        <f t="shared" si="34"/>
        <v>1627.1489999999999</v>
      </c>
    </row>
    <row r="337" spans="1:19">
      <c r="A337" s="67">
        <v>45671</v>
      </c>
      <c r="B337" s="25" t="s">
        <v>30</v>
      </c>
      <c r="C337" s="4">
        <v>16442</v>
      </c>
      <c r="D337" s="5">
        <v>17432</v>
      </c>
      <c r="E337" s="4">
        <v>13510</v>
      </c>
      <c r="F337" s="4">
        <v>16272</v>
      </c>
      <c r="G337" s="4">
        <f t="shared" si="31"/>
        <v>15914</v>
      </c>
      <c r="H337" s="7">
        <f t="shared" si="30"/>
        <v>3.9784999999999999</v>
      </c>
      <c r="I337" s="9">
        <f t="shared" si="35"/>
        <v>1</v>
      </c>
      <c r="J337" s="9">
        <f t="shared" si="32"/>
        <v>4.9785000000000004</v>
      </c>
      <c r="K337" s="10">
        <f t="shared" si="33"/>
        <v>5</v>
      </c>
      <c r="O337" s="36">
        <f>'DHS25'!C336</f>
        <v>15719</v>
      </c>
      <c r="P337" s="37">
        <f>'DHS25'!D336</f>
        <v>8148</v>
      </c>
      <c r="Q337" s="37">
        <f>'DHS25'!E336</f>
        <v>8013</v>
      </c>
      <c r="R337" s="38">
        <v>174.15</v>
      </c>
      <c r="S337" s="39">
        <f t="shared" si="34"/>
        <v>1395.4639500000001</v>
      </c>
    </row>
    <row r="338" spans="1:19">
      <c r="A338" s="67">
        <v>45671</v>
      </c>
      <c r="B338" s="25" t="s">
        <v>31</v>
      </c>
      <c r="C338" s="4">
        <v>7991</v>
      </c>
      <c r="D338" s="5">
        <v>9295</v>
      </c>
      <c r="E338" s="4">
        <v>10885</v>
      </c>
      <c r="F338" s="4">
        <v>10096</v>
      </c>
      <c r="G338" s="4">
        <f t="shared" si="31"/>
        <v>9566.75</v>
      </c>
      <c r="H338" s="7">
        <f t="shared" si="30"/>
        <v>2.3916875000000002</v>
      </c>
      <c r="I338" s="9">
        <f t="shared" si="35"/>
        <v>1</v>
      </c>
      <c r="J338" s="9">
        <f t="shared" si="32"/>
        <v>3.3916875000000002</v>
      </c>
      <c r="K338" s="10">
        <f t="shared" si="33"/>
        <v>4</v>
      </c>
      <c r="O338" s="36">
        <f>'DHS25'!C337</f>
        <v>10153</v>
      </c>
      <c r="P338" s="37">
        <f>'DHS25'!D337</f>
        <v>10808</v>
      </c>
      <c r="Q338" s="37">
        <f>'DHS25'!E337</f>
        <v>6274</v>
      </c>
      <c r="R338" s="38">
        <v>126.02</v>
      </c>
      <c r="S338" s="39">
        <f t="shared" si="34"/>
        <v>790.64947999999993</v>
      </c>
    </row>
    <row r="339" spans="1:19">
      <c r="A339" s="66">
        <v>45672</v>
      </c>
      <c r="B339" s="24" t="s">
        <v>8</v>
      </c>
      <c r="C339" s="4">
        <v>8983</v>
      </c>
      <c r="D339" s="5">
        <v>9081</v>
      </c>
      <c r="E339" s="4">
        <v>6357</v>
      </c>
      <c r="F339" s="4">
        <v>9551</v>
      </c>
      <c r="G339" s="4">
        <f t="shared" si="31"/>
        <v>8493</v>
      </c>
      <c r="H339" s="7">
        <f t="shared" si="30"/>
        <v>2.1232500000000001</v>
      </c>
      <c r="I339" s="9">
        <f t="shared" si="35"/>
        <v>1</v>
      </c>
      <c r="J339" s="9">
        <f t="shared" si="32"/>
        <v>3.1232500000000001</v>
      </c>
      <c r="K339" s="10">
        <f t="shared" si="33"/>
        <v>4</v>
      </c>
      <c r="O339" s="36">
        <f>'DHS25'!C338</f>
        <v>9866</v>
      </c>
      <c r="P339" s="37">
        <f>'DHS25'!D338</f>
        <v>4043</v>
      </c>
      <c r="Q339" s="37">
        <f>'DHS25'!E338</f>
        <v>4041</v>
      </c>
      <c r="R339" s="38">
        <v>125.4</v>
      </c>
      <c r="S339" s="39">
        <f t="shared" si="34"/>
        <v>506.74140000000006</v>
      </c>
    </row>
    <row r="340" spans="1:19">
      <c r="A340" s="66">
        <v>45672</v>
      </c>
      <c r="B340" s="24" t="s">
        <v>9</v>
      </c>
      <c r="C340" s="4">
        <v>10888</v>
      </c>
      <c r="D340" s="5">
        <v>10650</v>
      </c>
      <c r="E340" s="4">
        <v>11267</v>
      </c>
      <c r="F340" s="4">
        <v>11365</v>
      </c>
      <c r="G340" s="4">
        <f t="shared" si="31"/>
        <v>11042.5</v>
      </c>
      <c r="H340" s="7">
        <f t="shared" si="30"/>
        <v>2.7606250000000001</v>
      </c>
      <c r="I340" s="9">
        <f t="shared" si="35"/>
        <v>1</v>
      </c>
      <c r="J340" s="9">
        <f t="shared" si="32"/>
        <v>3.7606250000000001</v>
      </c>
      <c r="K340" s="10">
        <f t="shared" si="33"/>
        <v>4</v>
      </c>
      <c r="O340" s="36">
        <f>'DHS25'!C339</f>
        <v>11955</v>
      </c>
      <c r="P340" s="37">
        <f>'DHS25'!D339</f>
        <v>2078</v>
      </c>
      <c r="Q340" s="37">
        <f>'DHS25'!E339</f>
        <v>4051</v>
      </c>
      <c r="R340" s="38">
        <v>111.78</v>
      </c>
      <c r="S340" s="39">
        <f t="shared" si="34"/>
        <v>452.82078000000001</v>
      </c>
    </row>
    <row r="341" spans="1:19">
      <c r="A341" s="66">
        <v>45672</v>
      </c>
      <c r="B341" s="24" t="s">
        <v>10</v>
      </c>
      <c r="C341" s="4">
        <v>12175</v>
      </c>
      <c r="D341" s="5">
        <v>12278</v>
      </c>
      <c r="E341" s="4">
        <v>9228</v>
      </c>
      <c r="F341" s="4">
        <v>13664</v>
      </c>
      <c r="G341" s="4">
        <f t="shared" si="31"/>
        <v>11836.25</v>
      </c>
      <c r="H341" s="7">
        <f t="shared" si="30"/>
        <v>2.9590624999999999</v>
      </c>
      <c r="I341" s="9">
        <f t="shared" si="35"/>
        <v>1</v>
      </c>
      <c r="J341" s="9">
        <f t="shared" si="32"/>
        <v>3.9590624999999999</v>
      </c>
      <c r="K341" s="10">
        <f t="shared" si="33"/>
        <v>4</v>
      </c>
      <c r="O341" s="36">
        <f>'DHS25'!C340</f>
        <v>12951</v>
      </c>
      <c r="P341" s="37">
        <f>'DHS25'!D340</f>
        <v>1335</v>
      </c>
      <c r="Q341" s="37">
        <f>'DHS25'!E340</f>
        <v>4042</v>
      </c>
      <c r="R341" s="38">
        <v>110.61</v>
      </c>
      <c r="S341" s="39">
        <f t="shared" si="34"/>
        <v>447.08561999999995</v>
      </c>
    </row>
    <row r="342" spans="1:19">
      <c r="A342" s="66">
        <v>45672</v>
      </c>
      <c r="B342" s="24" t="s">
        <v>11</v>
      </c>
      <c r="C342" s="4">
        <v>13362</v>
      </c>
      <c r="D342" s="5">
        <v>12082</v>
      </c>
      <c r="E342" s="4">
        <v>8687</v>
      </c>
      <c r="F342" s="4">
        <v>13325</v>
      </c>
      <c r="G342" s="4">
        <f t="shared" si="31"/>
        <v>11864</v>
      </c>
      <c r="H342" s="7">
        <f t="shared" si="30"/>
        <v>2.9660000000000002</v>
      </c>
      <c r="I342" s="9">
        <f t="shared" si="35"/>
        <v>1</v>
      </c>
      <c r="J342" s="9">
        <f t="shared" si="32"/>
        <v>3.9660000000000002</v>
      </c>
      <c r="K342" s="10">
        <f t="shared" si="33"/>
        <v>4</v>
      </c>
      <c r="O342" s="36">
        <f>'DHS25'!C341</f>
        <v>13453</v>
      </c>
      <c r="P342" s="37">
        <f>'DHS25'!D341</f>
        <v>1237</v>
      </c>
      <c r="Q342" s="37">
        <f>'DHS25'!E341</f>
        <v>4046</v>
      </c>
      <c r="R342" s="38">
        <v>108.81</v>
      </c>
      <c r="S342" s="39">
        <f t="shared" si="34"/>
        <v>440.24526000000003</v>
      </c>
    </row>
    <row r="343" spans="1:19">
      <c r="A343" s="66">
        <v>45672</v>
      </c>
      <c r="B343" s="24" t="s">
        <v>12</v>
      </c>
      <c r="C343" s="4">
        <v>21650</v>
      </c>
      <c r="D343" s="5">
        <v>21668</v>
      </c>
      <c r="E343" s="4">
        <v>10710</v>
      </c>
      <c r="F343" s="4">
        <v>17021</v>
      </c>
      <c r="G343" s="4">
        <f t="shared" si="31"/>
        <v>17762.25</v>
      </c>
      <c r="H343" s="7">
        <f t="shared" si="30"/>
        <v>4.4405625000000004</v>
      </c>
      <c r="I343" s="9">
        <f t="shared" si="35"/>
        <v>1</v>
      </c>
      <c r="J343" s="9">
        <f t="shared" si="32"/>
        <v>5.4405625000000004</v>
      </c>
      <c r="K343" s="10">
        <f t="shared" si="33"/>
        <v>6</v>
      </c>
      <c r="O343" s="36">
        <f>'DHS25'!C342</f>
        <v>18822</v>
      </c>
      <c r="P343" s="37">
        <f>'DHS25'!D342</f>
        <v>51</v>
      </c>
      <c r="Q343" s="37">
        <f>'DHS25'!E342</f>
        <v>5961</v>
      </c>
      <c r="R343" s="38">
        <v>123.43</v>
      </c>
      <c r="S343" s="39">
        <f t="shared" si="34"/>
        <v>735.76623000000006</v>
      </c>
    </row>
    <row r="344" spans="1:19">
      <c r="A344" s="66">
        <v>45672</v>
      </c>
      <c r="B344" s="24" t="s">
        <v>13</v>
      </c>
      <c r="C344" s="4">
        <v>21462</v>
      </c>
      <c r="D344" s="5">
        <v>19930</v>
      </c>
      <c r="E344" s="4">
        <v>10958</v>
      </c>
      <c r="F344" s="4">
        <v>18568</v>
      </c>
      <c r="G344" s="4">
        <f t="shared" si="31"/>
        <v>17729.5</v>
      </c>
      <c r="H344" s="7">
        <f t="shared" si="30"/>
        <v>4.4323750000000004</v>
      </c>
      <c r="I344" s="9">
        <f t="shared" si="35"/>
        <v>1</v>
      </c>
      <c r="J344" s="9">
        <f t="shared" si="32"/>
        <v>5.4323750000000004</v>
      </c>
      <c r="K344" s="10">
        <f t="shared" si="33"/>
        <v>6</v>
      </c>
      <c r="O344" s="36">
        <f>'DHS25'!C343</f>
        <v>19032</v>
      </c>
      <c r="P344" s="37">
        <f>'DHS25'!D343</f>
        <v>3853</v>
      </c>
      <c r="Q344" s="37">
        <f>'DHS25'!E343</f>
        <v>7353</v>
      </c>
      <c r="R344" s="38">
        <v>143.11000000000001</v>
      </c>
      <c r="S344" s="39">
        <f t="shared" si="34"/>
        <v>1052.28783</v>
      </c>
    </row>
    <row r="345" spans="1:19">
      <c r="A345" s="66">
        <v>45672</v>
      </c>
      <c r="B345" s="24" t="s">
        <v>14</v>
      </c>
      <c r="C345" s="4">
        <v>23842</v>
      </c>
      <c r="D345" s="5">
        <v>21375</v>
      </c>
      <c r="E345" s="4">
        <v>11111</v>
      </c>
      <c r="F345" s="4">
        <v>17438</v>
      </c>
      <c r="G345" s="4">
        <f t="shared" si="31"/>
        <v>18441.5</v>
      </c>
      <c r="H345" s="7">
        <f t="shared" si="30"/>
        <v>4.6103750000000003</v>
      </c>
      <c r="I345" s="9">
        <f t="shared" si="35"/>
        <v>1</v>
      </c>
      <c r="J345" s="9">
        <f t="shared" si="32"/>
        <v>5.6103750000000003</v>
      </c>
      <c r="K345" s="10">
        <f t="shared" si="33"/>
        <v>6</v>
      </c>
      <c r="O345" s="36">
        <f>'DHS25'!C344</f>
        <v>21056</v>
      </c>
      <c r="P345" s="37">
        <f>'DHS25'!D344</f>
        <v>3946</v>
      </c>
      <c r="Q345" s="37">
        <f>'DHS25'!E344</f>
        <v>8013</v>
      </c>
      <c r="R345" s="38">
        <v>163.4</v>
      </c>
      <c r="S345" s="39">
        <f t="shared" si="34"/>
        <v>1309.3242</v>
      </c>
    </row>
    <row r="346" spans="1:19">
      <c r="A346" s="66">
        <v>45672</v>
      </c>
      <c r="B346" s="24" t="s">
        <v>15</v>
      </c>
      <c r="C346" s="4">
        <v>18163</v>
      </c>
      <c r="D346" s="5">
        <v>19648</v>
      </c>
      <c r="E346" s="4">
        <v>11023</v>
      </c>
      <c r="F346" s="4">
        <v>18975</v>
      </c>
      <c r="G346" s="4">
        <f t="shared" si="31"/>
        <v>16952.25</v>
      </c>
      <c r="H346" s="7">
        <f t="shared" si="30"/>
        <v>4.2380624999999998</v>
      </c>
      <c r="I346" s="9">
        <f t="shared" si="35"/>
        <v>1</v>
      </c>
      <c r="J346" s="9">
        <f t="shared" si="32"/>
        <v>5.2380624999999998</v>
      </c>
      <c r="K346" s="10">
        <f t="shared" si="33"/>
        <v>6</v>
      </c>
      <c r="O346" s="36">
        <f>'DHS25'!C345</f>
        <v>19422</v>
      </c>
      <c r="P346" s="37">
        <f>'DHS25'!D345</f>
        <v>5333</v>
      </c>
      <c r="Q346" s="37">
        <f>'DHS25'!E345</f>
        <v>8009</v>
      </c>
      <c r="R346" s="38">
        <v>200.84</v>
      </c>
      <c r="S346" s="39">
        <f t="shared" si="34"/>
        <v>1608.52756</v>
      </c>
    </row>
    <row r="347" spans="1:19">
      <c r="A347" s="66">
        <v>45672</v>
      </c>
      <c r="B347" s="24" t="s">
        <v>16</v>
      </c>
      <c r="C347" s="4">
        <v>20166</v>
      </c>
      <c r="D347" s="5">
        <v>18941</v>
      </c>
      <c r="E347" s="4">
        <v>11269</v>
      </c>
      <c r="F347" s="4">
        <v>20677</v>
      </c>
      <c r="G347" s="4">
        <f t="shared" si="31"/>
        <v>17763.25</v>
      </c>
      <c r="H347" s="7">
        <f t="shared" si="30"/>
        <v>4.4408124999999998</v>
      </c>
      <c r="I347" s="9">
        <f t="shared" si="35"/>
        <v>1</v>
      </c>
      <c r="J347" s="9">
        <f t="shared" si="32"/>
        <v>5.4408124999999998</v>
      </c>
      <c r="K347" s="10">
        <f t="shared" si="33"/>
        <v>6</v>
      </c>
      <c r="O347" s="36">
        <f>'DHS25'!C346</f>
        <v>18032</v>
      </c>
      <c r="P347" s="37">
        <f>'DHS25'!D346</f>
        <v>6210</v>
      </c>
      <c r="Q347" s="37">
        <f>'DHS25'!E346</f>
        <v>8031</v>
      </c>
      <c r="R347" s="38">
        <v>323.48</v>
      </c>
      <c r="S347" s="39">
        <f t="shared" si="34"/>
        <v>2597.8678800000002</v>
      </c>
    </row>
    <row r="348" spans="1:19">
      <c r="A348" s="66">
        <v>45672</v>
      </c>
      <c r="B348" s="24" t="s">
        <v>17</v>
      </c>
      <c r="C348" s="4">
        <v>20028</v>
      </c>
      <c r="D348" s="5">
        <v>19034</v>
      </c>
      <c r="E348" s="4">
        <v>13765</v>
      </c>
      <c r="F348" s="4">
        <v>20337</v>
      </c>
      <c r="G348" s="4">
        <f t="shared" si="31"/>
        <v>18291</v>
      </c>
      <c r="H348" s="7">
        <f t="shared" si="30"/>
        <v>4.5727500000000001</v>
      </c>
      <c r="I348" s="9">
        <f t="shared" si="35"/>
        <v>1</v>
      </c>
      <c r="J348" s="9">
        <f t="shared" si="32"/>
        <v>5.5727500000000001</v>
      </c>
      <c r="K348" s="10">
        <f t="shared" si="33"/>
        <v>6</v>
      </c>
      <c r="O348" s="36">
        <f>'DHS25'!C347</f>
        <v>19312</v>
      </c>
      <c r="P348" s="37">
        <f>'DHS25'!D347</f>
        <v>5700</v>
      </c>
      <c r="Q348" s="37">
        <f>'DHS25'!E347</f>
        <v>8026</v>
      </c>
      <c r="R348" s="38">
        <v>322.58</v>
      </c>
      <c r="S348" s="39">
        <f t="shared" si="34"/>
        <v>2589.0270799999998</v>
      </c>
    </row>
    <row r="349" spans="1:19">
      <c r="A349" s="66">
        <v>45672</v>
      </c>
      <c r="B349" s="24" t="s">
        <v>18</v>
      </c>
      <c r="C349" s="4">
        <v>19238</v>
      </c>
      <c r="D349" s="5">
        <v>18769</v>
      </c>
      <c r="E349" s="4">
        <v>13604</v>
      </c>
      <c r="F349" s="4">
        <v>17644</v>
      </c>
      <c r="G349" s="4">
        <f t="shared" si="31"/>
        <v>17313.75</v>
      </c>
      <c r="H349" s="7">
        <f t="shared" si="30"/>
        <v>4.3284374999999997</v>
      </c>
      <c r="I349" s="9">
        <f t="shared" si="35"/>
        <v>1</v>
      </c>
      <c r="J349" s="9">
        <f t="shared" si="32"/>
        <v>5.3284374999999997</v>
      </c>
      <c r="K349" s="10">
        <f t="shared" si="33"/>
        <v>6</v>
      </c>
      <c r="O349" s="36">
        <f>'DHS25'!C348</f>
        <v>18634</v>
      </c>
      <c r="P349" s="37">
        <f>'DHS25'!D348</f>
        <v>6134</v>
      </c>
      <c r="Q349" s="37">
        <f>'DHS25'!E348</f>
        <v>8054</v>
      </c>
      <c r="R349" s="38">
        <v>315</v>
      </c>
      <c r="S349" s="39">
        <f t="shared" si="34"/>
        <v>2537.0100000000002</v>
      </c>
    </row>
    <row r="350" spans="1:19">
      <c r="A350" s="66">
        <v>45672</v>
      </c>
      <c r="B350" s="24" t="s">
        <v>19</v>
      </c>
      <c r="C350" s="4">
        <v>17689</v>
      </c>
      <c r="D350" s="5">
        <v>18976</v>
      </c>
      <c r="E350" s="4">
        <v>13610</v>
      </c>
      <c r="F350" s="4">
        <v>13047</v>
      </c>
      <c r="G350" s="4">
        <f t="shared" si="31"/>
        <v>15830.5</v>
      </c>
      <c r="H350" s="7">
        <f t="shared" si="30"/>
        <v>3.9576250000000002</v>
      </c>
      <c r="I350" s="9">
        <f t="shared" si="35"/>
        <v>1</v>
      </c>
      <c r="J350" s="9">
        <f t="shared" si="32"/>
        <v>4.9576250000000002</v>
      </c>
      <c r="K350" s="10">
        <f t="shared" si="33"/>
        <v>5</v>
      </c>
      <c r="O350" s="36">
        <f>'DHS25'!C349</f>
        <v>16661</v>
      </c>
      <c r="P350" s="37">
        <f>'DHS25'!D349</f>
        <v>6976</v>
      </c>
      <c r="Q350" s="37">
        <f>'DHS25'!E349</f>
        <v>7998</v>
      </c>
      <c r="R350" s="38">
        <v>316.17</v>
      </c>
      <c r="S350" s="39">
        <f t="shared" si="34"/>
        <v>2528.72766</v>
      </c>
    </row>
    <row r="351" spans="1:19">
      <c r="A351" s="66">
        <v>45672</v>
      </c>
      <c r="B351" s="24" t="s">
        <v>20</v>
      </c>
      <c r="C351" s="4">
        <v>18636</v>
      </c>
      <c r="D351" s="5">
        <v>18353</v>
      </c>
      <c r="E351" s="4">
        <v>13213</v>
      </c>
      <c r="F351" s="4">
        <v>14154</v>
      </c>
      <c r="G351" s="4">
        <f t="shared" si="31"/>
        <v>16089</v>
      </c>
      <c r="H351" s="7">
        <f t="shared" si="30"/>
        <v>4.0222499999999997</v>
      </c>
      <c r="I351" s="9">
        <f t="shared" si="35"/>
        <v>1</v>
      </c>
      <c r="J351" s="9">
        <f t="shared" si="32"/>
        <v>5.0222499999999997</v>
      </c>
      <c r="K351" s="10">
        <f t="shared" si="33"/>
        <v>6</v>
      </c>
      <c r="O351" s="36">
        <f>'DHS25'!C350</f>
        <v>17201</v>
      </c>
      <c r="P351" s="37">
        <f>'DHS25'!D350</f>
        <v>6864</v>
      </c>
      <c r="Q351" s="37">
        <f>'DHS25'!E350</f>
        <v>8022</v>
      </c>
      <c r="R351" s="38">
        <v>299.39</v>
      </c>
      <c r="S351" s="39">
        <f t="shared" si="34"/>
        <v>2401.70658</v>
      </c>
    </row>
    <row r="352" spans="1:19">
      <c r="A352" s="66">
        <v>45672</v>
      </c>
      <c r="B352" s="24" t="s">
        <v>21</v>
      </c>
      <c r="C352" s="4">
        <v>19340</v>
      </c>
      <c r="D352" s="5">
        <v>18459</v>
      </c>
      <c r="E352" s="4">
        <v>13690</v>
      </c>
      <c r="F352" s="4">
        <v>14560</v>
      </c>
      <c r="G352" s="4">
        <f t="shared" si="31"/>
        <v>16512.25</v>
      </c>
      <c r="H352" s="7">
        <f t="shared" si="30"/>
        <v>4.1280625000000004</v>
      </c>
      <c r="I352" s="9">
        <f t="shared" si="35"/>
        <v>1</v>
      </c>
      <c r="J352" s="9">
        <f t="shared" si="32"/>
        <v>5.1280625000000004</v>
      </c>
      <c r="K352" s="10">
        <f t="shared" si="33"/>
        <v>6</v>
      </c>
      <c r="O352" s="36">
        <f>'DHS25'!C351</f>
        <v>17894</v>
      </c>
      <c r="P352" s="37">
        <f>'DHS25'!D351</f>
        <v>6116</v>
      </c>
      <c r="Q352" s="37">
        <f>'DHS25'!E351</f>
        <v>8023</v>
      </c>
      <c r="R352" s="38">
        <v>296.95</v>
      </c>
      <c r="S352" s="39">
        <f t="shared" si="34"/>
        <v>2382.42985</v>
      </c>
    </row>
    <row r="353" spans="1:19">
      <c r="A353" s="66">
        <v>45672</v>
      </c>
      <c r="B353" s="24" t="s">
        <v>22</v>
      </c>
      <c r="C353" s="4">
        <v>18847</v>
      </c>
      <c r="D353" s="5">
        <v>19356</v>
      </c>
      <c r="E353" s="4">
        <v>13708</v>
      </c>
      <c r="F353" s="4">
        <v>14787</v>
      </c>
      <c r="G353" s="4">
        <f t="shared" si="31"/>
        <v>16674.5</v>
      </c>
      <c r="H353" s="7">
        <f t="shared" si="30"/>
        <v>4.1686249999999996</v>
      </c>
      <c r="I353" s="9">
        <f t="shared" si="35"/>
        <v>1</v>
      </c>
      <c r="J353" s="9">
        <f t="shared" si="32"/>
        <v>5.1686249999999996</v>
      </c>
      <c r="K353" s="10">
        <f t="shared" si="33"/>
        <v>6</v>
      </c>
      <c r="O353" s="36">
        <f>'DHS25'!C352</f>
        <v>17500</v>
      </c>
      <c r="P353" s="37">
        <f>'DHS25'!D352</f>
        <v>6723</v>
      </c>
      <c r="Q353" s="37">
        <f>'DHS25'!E352</f>
        <v>8021</v>
      </c>
      <c r="R353" s="38">
        <v>293.33</v>
      </c>
      <c r="S353" s="39">
        <f t="shared" si="34"/>
        <v>2352.7999300000001</v>
      </c>
    </row>
    <row r="354" spans="1:19">
      <c r="A354" s="66">
        <v>45672</v>
      </c>
      <c r="B354" s="24" t="s">
        <v>23</v>
      </c>
      <c r="C354" s="4">
        <v>18550</v>
      </c>
      <c r="D354" s="5">
        <v>18970</v>
      </c>
      <c r="E354" s="4">
        <v>13630</v>
      </c>
      <c r="F354" s="4">
        <v>15998</v>
      </c>
      <c r="G354" s="4">
        <f t="shared" si="31"/>
        <v>16787</v>
      </c>
      <c r="H354" s="7">
        <f t="shared" si="30"/>
        <v>4.1967499999999998</v>
      </c>
      <c r="I354" s="9">
        <f t="shared" si="35"/>
        <v>1</v>
      </c>
      <c r="J354" s="9">
        <f t="shared" si="32"/>
        <v>5.1967499999999998</v>
      </c>
      <c r="K354" s="10">
        <f t="shared" si="33"/>
        <v>6</v>
      </c>
      <c r="O354" s="36">
        <f>'DHS25'!C353</f>
        <v>17951</v>
      </c>
      <c r="P354" s="37">
        <f>'DHS25'!D353</f>
        <v>6759</v>
      </c>
      <c r="Q354" s="37">
        <f>'DHS25'!E353</f>
        <v>8027</v>
      </c>
      <c r="R354" s="38">
        <v>345</v>
      </c>
      <c r="S354" s="39">
        <f t="shared" si="34"/>
        <v>2769.3149999999996</v>
      </c>
    </row>
    <row r="355" spans="1:19">
      <c r="A355" s="66">
        <v>45672</v>
      </c>
      <c r="B355" s="24" t="s">
        <v>24</v>
      </c>
      <c r="C355" s="4">
        <v>19104</v>
      </c>
      <c r="D355" s="5">
        <v>19857</v>
      </c>
      <c r="E355" s="4">
        <v>13990</v>
      </c>
      <c r="F355" s="4">
        <v>15982</v>
      </c>
      <c r="G355" s="4">
        <f t="shared" si="31"/>
        <v>17233.25</v>
      </c>
      <c r="H355" s="7">
        <f t="shared" si="30"/>
        <v>4.3083125000000004</v>
      </c>
      <c r="I355" s="9">
        <f t="shared" si="35"/>
        <v>1</v>
      </c>
      <c r="J355" s="9">
        <f t="shared" si="32"/>
        <v>5.3083125000000004</v>
      </c>
      <c r="K355" s="10">
        <f t="shared" si="33"/>
        <v>6</v>
      </c>
      <c r="O355" s="36">
        <f>'DHS25'!C354</f>
        <v>18993</v>
      </c>
      <c r="P355" s="37">
        <f>'DHS25'!D354</f>
        <v>5941</v>
      </c>
      <c r="Q355" s="37">
        <f>'DHS25'!E354</f>
        <v>8017</v>
      </c>
      <c r="R355" s="38">
        <v>332.85</v>
      </c>
      <c r="S355" s="39">
        <f t="shared" si="34"/>
        <v>2668.4584500000001</v>
      </c>
    </row>
    <row r="356" spans="1:19">
      <c r="A356" s="66">
        <v>45672</v>
      </c>
      <c r="B356" s="24" t="s">
        <v>25</v>
      </c>
      <c r="C356" s="4">
        <v>18947</v>
      </c>
      <c r="D356" s="5">
        <v>18206</v>
      </c>
      <c r="E356" s="4">
        <v>14100</v>
      </c>
      <c r="F356" s="4">
        <v>16017</v>
      </c>
      <c r="G356" s="4">
        <f t="shared" si="31"/>
        <v>16817.5</v>
      </c>
      <c r="H356" s="7">
        <f t="shared" si="30"/>
        <v>4.2043749999999998</v>
      </c>
      <c r="I356" s="9">
        <f t="shared" si="35"/>
        <v>1</v>
      </c>
      <c r="J356" s="9">
        <f t="shared" si="32"/>
        <v>5.2043749999999998</v>
      </c>
      <c r="K356" s="10">
        <f t="shared" si="33"/>
        <v>6</v>
      </c>
      <c r="O356" s="36">
        <f>'DHS25'!C355</f>
        <v>18290</v>
      </c>
      <c r="P356" s="37">
        <f>'DHS25'!D355</f>
        <v>6489</v>
      </c>
      <c r="Q356" s="37">
        <f>'DHS25'!E355</f>
        <v>8064</v>
      </c>
      <c r="R356" s="38">
        <v>368.41</v>
      </c>
      <c r="S356" s="39">
        <f t="shared" si="34"/>
        <v>2970.85824</v>
      </c>
    </row>
    <row r="357" spans="1:19">
      <c r="A357" s="66">
        <v>45672</v>
      </c>
      <c r="B357" s="24" t="s">
        <v>26</v>
      </c>
      <c r="C357" s="4">
        <v>18993</v>
      </c>
      <c r="D357" s="5">
        <v>20179</v>
      </c>
      <c r="E357" s="4">
        <v>13834</v>
      </c>
      <c r="F357" s="4">
        <v>17198</v>
      </c>
      <c r="G357" s="4">
        <f t="shared" si="31"/>
        <v>17551</v>
      </c>
      <c r="H357" s="7">
        <f t="shared" si="30"/>
        <v>4.3877499999999996</v>
      </c>
      <c r="I357" s="9">
        <f t="shared" si="35"/>
        <v>1</v>
      </c>
      <c r="J357" s="9">
        <f t="shared" si="32"/>
        <v>5.3877499999999996</v>
      </c>
      <c r="K357" s="10">
        <f t="shared" si="33"/>
        <v>6</v>
      </c>
      <c r="O357" s="36">
        <f>'DHS25'!C356</f>
        <v>18372</v>
      </c>
      <c r="P357" s="37">
        <f>'DHS25'!D356</f>
        <v>6971</v>
      </c>
      <c r="Q357" s="37">
        <f>'DHS25'!E356</f>
        <v>8048</v>
      </c>
      <c r="R357" s="38">
        <v>319.95999999999998</v>
      </c>
      <c r="S357" s="39">
        <f t="shared" si="34"/>
        <v>2575.0380799999998</v>
      </c>
    </row>
    <row r="358" spans="1:19">
      <c r="A358" s="66">
        <v>45672</v>
      </c>
      <c r="B358" s="24" t="s">
        <v>27</v>
      </c>
      <c r="C358" s="4">
        <v>19395</v>
      </c>
      <c r="D358" s="5">
        <v>22350</v>
      </c>
      <c r="E358" s="4">
        <v>17061</v>
      </c>
      <c r="F358" s="4">
        <v>18077</v>
      </c>
      <c r="G358" s="4">
        <f t="shared" si="31"/>
        <v>19220.75</v>
      </c>
      <c r="H358" s="7">
        <f t="shared" si="30"/>
        <v>4.8051874999999997</v>
      </c>
      <c r="I358" s="9">
        <f t="shared" si="35"/>
        <v>1</v>
      </c>
      <c r="J358" s="9">
        <f t="shared" si="32"/>
        <v>5.8051874999999997</v>
      </c>
      <c r="K358" s="10">
        <f t="shared" si="33"/>
        <v>6</v>
      </c>
      <c r="O358" s="36">
        <f>'DHS25'!C357</f>
        <v>18809</v>
      </c>
      <c r="P358" s="37">
        <f>'DHS25'!D357</f>
        <v>5653</v>
      </c>
      <c r="Q358" s="37">
        <f>'DHS25'!E357</f>
        <v>8054</v>
      </c>
      <c r="R358" s="38">
        <v>270.45999999999998</v>
      </c>
      <c r="S358" s="39">
        <f t="shared" si="34"/>
        <v>2178.2848399999998</v>
      </c>
    </row>
    <row r="359" spans="1:19">
      <c r="A359" s="66">
        <v>45672</v>
      </c>
      <c r="B359" s="24" t="s">
        <v>28</v>
      </c>
      <c r="C359" s="4">
        <v>19830</v>
      </c>
      <c r="D359" s="5">
        <v>20874</v>
      </c>
      <c r="E359" s="4">
        <v>18041</v>
      </c>
      <c r="F359" s="4">
        <v>16481</v>
      </c>
      <c r="G359" s="4">
        <f t="shared" si="31"/>
        <v>18806.5</v>
      </c>
      <c r="H359" s="7">
        <f t="shared" si="30"/>
        <v>4.7016249999999999</v>
      </c>
      <c r="I359" s="9">
        <f t="shared" si="35"/>
        <v>1</v>
      </c>
      <c r="J359" s="9">
        <f t="shared" si="32"/>
        <v>5.7016249999999999</v>
      </c>
      <c r="K359" s="10">
        <f t="shared" si="33"/>
        <v>6</v>
      </c>
      <c r="O359" s="36">
        <f>'DHS25'!C358</f>
        <v>18979</v>
      </c>
      <c r="P359" s="37">
        <f>'DHS25'!D358</f>
        <v>6296</v>
      </c>
      <c r="Q359" s="37">
        <f>'DHS25'!E358</f>
        <v>8068</v>
      </c>
      <c r="R359" s="38">
        <v>180.95</v>
      </c>
      <c r="S359" s="39">
        <f t="shared" si="34"/>
        <v>1459.9045999999998</v>
      </c>
    </row>
    <row r="360" spans="1:19">
      <c r="A360" s="66">
        <v>45672</v>
      </c>
      <c r="B360" s="24" t="s">
        <v>29</v>
      </c>
      <c r="C360" s="4">
        <v>18947</v>
      </c>
      <c r="D360" s="5">
        <v>20576</v>
      </c>
      <c r="E360" s="4">
        <v>14747</v>
      </c>
      <c r="F360" s="4">
        <v>16599</v>
      </c>
      <c r="G360" s="4">
        <f t="shared" si="31"/>
        <v>17717.25</v>
      </c>
      <c r="H360" s="7">
        <f t="shared" si="30"/>
        <v>4.4293125</v>
      </c>
      <c r="I360" s="9">
        <f t="shared" si="35"/>
        <v>1</v>
      </c>
      <c r="J360" s="9">
        <f t="shared" si="32"/>
        <v>5.4293125</v>
      </c>
      <c r="K360" s="10">
        <f t="shared" si="33"/>
        <v>6</v>
      </c>
      <c r="O360" s="36">
        <f>'DHS25'!C359</f>
        <v>19117</v>
      </c>
      <c r="P360" s="37">
        <f>'DHS25'!D359</f>
        <v>5840</v>
      </c>
      <c r="Q360" s="37">
        <f>'DHS25'!E359</f>
        <v>8051</v>
      </c>
      <c r="R360" s="38">
        <v>151.82</v>
      </c>
      <c r="S360" s="39">
        <f t="shared" si="34"/>
        <v>1222.3028199999999</v>
      </c>
    </row>
    <row r="361" spans="1:19">
      <c r="A361" s="66">
        <v>45672</v>
      </c>
      <c r="B361" s="24" t="s">
        <v>30</v>
      </c>
      <c r="C361" s="4">
        <v>16569</v>
      </c>
      <c r="D361" s="5">
        <v>18421</v>
      </c>
      <c r="E361" s="4">
        <v>11597</v>
      </c>
      <c r="F361" s="4">
        <v>14973</v>
      </c>
      <c r="G361" s="4">
        <f t="shared" si="31"/>
        <v>15390</v>
      </c>
      <c r="H361" s="7">
        <f t="shared" si="30"/>
        <v>3.8475000000000001</v>
      </c>
      <c r="I361" s="9">
        <f t="shared" si="35"/>
        <v>1</v>
      </c>
      <c r="J361" s="9">
        <f t="shared" si="32"/>
        <v>4.8475000000000001</v>
      </c>
      <c r="K361" s="10">
        <f t="shared" si="33"/>
        <v>5</v>
      </c>
      <c r="O361" s="36">
        <f>'DHS25'!C360</f>
        <v>15493</v>
      </c>
      <c r="P361" s="37">
        <f>'DHS25'!D360</f>
        <v>8242</v>
      </c>
      <c r="Q361" s="37">
        <f>'DHS25'!E360</f>
        <v>8027</v>
      </c>
      <c r="R361" s="38">
        <v>143.53</v>
      </c>
      <c r="S361" s="39">
        <f t="shared" si="34"/>
        <v>1152.1153099999999</v>
      </c>
    </row>
    <row r="362" spans="1:19">
      <c r="A362" s="66">
        <v>45672</v>
      </c>
      <c r="B362" s="24" t="s">
        <v>31</v>
      </c>
      <c r="C362" s="4">
        <v>9168</v>
      </c>
      <c r="D362" s="5">
        <v>10657</v>
      </c>
      <c r="E362" s="4">
        <v>6333</v>
      </c>
      <c r="F362" s="4">
        <v>9504</v>
      </c>
      <c r="G362" s="4">
        <f t="shared" si="31"/>
        <v>8915.5</v>
      </c>
      <c r="H362" s="7">
        <f t="shared" si="30"/>
        <v>2.2288749999999999</v>
      </c>
      <c r="I362" s="9">
        <f t="shared" si="35"/>
        <v>1</v>
      </c>
      <c r="J362" s="9">
        <f t="shared" si="32"/>
        <v>3.2288749999999999</v>
      </c>
      <c r="K362" s="10">
        <f t="shared" si="33"/>
        <v>4</v>
      </c>
      <c r="O362" s="36">
        <f>'DHS25'!C361</f>
        <v>9331</v>
      </c>
      <c r="P362" s="37">
        <f>'DHS25'!D361</f>
        <v>12280</v>
      </c>
      <c r="Q362" s="37">
        <f>'DHS25'!E361</f>
        <v>7003</v>
      </c>
      <c r="R362" s="38">
        <v>123.9</v>
      </c>
      <c r="S362" s="39">
        <f t="shared" si="34"/>
        <v>867.6717000000001</v>
      </c>
    </row>
    <row r="363" spans="1:19">
      <c r="A363" s="67">
        <v>45673</v>
      </c>
      <c r="B363" s="25" t="s">
        <v>8</v>
      </c>
      <c r="C363" s="4">
        <v>8415</v>
      </c>
      <c r="D363" s="5">
        <v>10653</v>
      </c>
      <c r="E363" s="4">
        <v>6664</v>
      </c>
      <c r="F363" s="4">
        <v>9528</v>
      </c>
      <c r="G363" s="4">
        <f t="shared" si="31"/>
        <v>8815</v>
      </c>
      <c r="H363" s="7">
        <f t="shared" si="30"/>
        <v>2.2037499999999999</v>
      </c>
      <c r="I363" s="9">
        <f t="shared" si="35"/>
        <v>1</v>
      </c>
      <c r="J363" s="9">
        <f t="shared" si="32"/>
        <v>3.2037499999999999</v>
      </c>
      <c r="K363" s="10">
        <f t="shared" si="33"/>
        <v>4</v>
      </c>
      <c r="O363" s="36">
        <f>'DHS25'!C362</f>
        <v>9214</v>
      </c>
      <c r="P363" s="37">
        <f>'DHS25'!D362</f>
        <v>3795</v>
      </c>
      <c r="Q363" s="37">
        <f>'DHS25'!E362</f>
        <v>4025</v>
      </c>
      <c r="R363" s="38">
        <v>126.54</v>
      </c>
      <c r="S363" s="39">
        <f t="shared" si="34"/>
        <v>509.32350000000008</v>
      </c>
    </row>
    <row r="364" spans="1:19">
      <c r="A364" s="67">
        <v>45673</v>
      </c>
      <c r="B364" s="25" t="s">
        <v>9</v>
      </c>
      <c r="C364" s="4">
        <v>10432</v>
      </c>
      <c r="D364" s="5">
        <v>13553</v>
      </c>
      <c r="E364" s="4">
        <v>6171</v>
      </c>
      <c r="F364" s="4">
        <v>12819</v>
      </c>
      <c r="G364" s="4">
        <f t="shared" si="31"/>
        <v>10743.75</v>
      </c>
      <c r="H364" s="7">
        <f t="shared" si="30"/>
        <v>2.6859375000000001</v>
      </c>
      <c r="I364" s="9">
        <f t="shared" si="35"/>
        <v>1</v>
      </c>
      <c r="J364" s="9">
        <f t="shared" si="32"/>
        <v>3.6859375000000001</v>
      </c>
      <c r="K364" s="10">
        <f t="shared" si="33"/>
        <v>4</v>
      </c>
      <c r="O364" s="36">
        <f>'DHS25'!C363</f>
        <v>10854</v>
      </c>
      <c r="P364" s="37">
        <f>'DHS25'!D363</f>
        <v>2819</v>
      </c>
      <c r="Q364" s="37">
        <f>'DHS25'!E363</f>
        <v>4085</v>
      </c>
      <c r="R364" s="38">
        <v>125.11</v>
      </c>
      <c r="S364" s="39">
        <f t="shared" si="34"/>
        <v>511.07434999999998</v>
      </c>
    </row>
    <row r="365" spans="1:19">
      <c r="A365" s="67">
        <v>45673</v>
      </c>
      <c r="B365" s="25" t="s">
        <v>10</v>
      </c>
      <c r="C365" s="4">
        <v>12284</v>
      </c>
      <c r="D365" s="5">
        <v>15250</v>
      </c>
      <c r="E365" s="4">
        <v>6818</v>
      </c>
      <c r="F365" s="4">
        <v>13812</v>
      </c>
      <c r="G365" s="4">
        <f t="shared" si="31"/>
        <v>12041</v>
      </c>
      <c r="H365" s="7">
        <f t="shared" si="30"/>
        <v>3.0102500000000001</v>
      </c>
      <c r="I365" s="9">
        <f t="shared" si="35"/>
        <v>1</v>
      </c>
      <c r="J365" s="9">
        <f t="shared" si="32"/>
        <v>4.0102500000000001</v>
      </c>
      <c r="K365" s="10">
        <f t="shared" si="33"/>
        <v>5</v>
      </c>
      <c r="O365" s="36">
        <f>'DHS25'!C364</f>
        <v>16429</v>
      </c>
      <c r="P365" s="37">
        <f>'DHS25'!D364</f>
        <v>1708</v>
      </c>
      <c r="Q365" s="37">
        <f>'DHS25'!E364</f>
        <v>5067</v>
      </c>
      <c r="R365" s="38">
        <v>117.95</v>
      </c>
      <c r="S365" s="39">
        <f t="shared" si="34"/>
        <v>597.65264999999999</v>
      </c>
    </row>
    <row r="366" spans="1:19">
      <c r="A366" s="67">
        <v>45673</v>
      </c>
      <c r="B366" s="25" t="s">
        <v>11</v>
      </c>
      <c r="C366" s="4">
        <v>13029</v>
      </c>
      <c r="D366" s="5">
        <v>16007</v>
      </c>
      <c r="E366" s="4">
        <v>8126</v>
      </c>
      <c r="F366" s="4">
        <v>14328</v>
      </c>
      <c r="G366" s="4">
        <f t="shared" si="31"/>
        <v>12872.5</v>
      </c>
      <c r="H366" s="7">
        <f t="shared" si="30"/>
        <v>3.2181250000000001</v>
      </c>
      <c r="I366" s="9">
        <f t="shared" si="35"/>
        <v>1</v>
      </c>
      <c r="J366" s="9">
        <f t="shared" si="32"/>
        <v>4.2181250000000006</v>
      </c>
      <c r="K366" s="10">
        <f t="shared" si="33"/>
        <v>5</v>
      </c>
      <c r="O366" s="36">
        <f>'DHS25'!C365</f>
        <v>16660</v>
      </c>
      <c r="P366" s="37">
        <f>'DHS25'!D365</f>
        <v>743</v>
      </c>
      <c r="Q366" s="37">
        <f>'DHS25'!E365</f>
        <v>5058</v>
      </c>
      <c r="R366" s="38">
        <v>115.28</v>
      </c>
      <c r="S366" s="39">
        <f t="shared" si="34"/>
        <v>583.08623999999998</v>
      </c>
    </row>
    <row r="367" spans="1:19">
      <c r="A367" s="67">
        <v>45673</v>
      </c>
      <c r="B367" s="25" t="s">
        <v>12</v>
      </c>
      <c r="C367" s="4">
        <v>21343</v>
      </c>
      <c r="D367" s="5">
        <v>22165</v>
      </c>
      <c r="E367" s="4">
        <v>16898</v>
      </c>
      <c r="F367" s="4">
        <v>17732</v>
      </c>
      <c r="G367" s="4">
        <f t="shared" si="31"/>
        <v>19534.5</v>
      </c>
      <c r="H367" s="7">
        <f t="shared" si="30"/>
        <v>4.8836250000000003</v>
      </c>
      <c r="I367" s="9">
        <f t="shared" si="35"/>
        <v>1</v>
      </c>
      <c r="J367" s="9">
        <f t="shared" si="32"/>
        <v>5.8836250000000003</v>
      </c>
      <c r="K367" s="10">
        <f t="shared" si="33"/>
        <v>6</v>
      </c>
      <c r="O367" s="36">
        <f>'DHS25'!C366</f>
        <v>18940</v>
      </c>
      <c r="P367" s="37">
        <f>'DHS25'!D366</f>
        <v>1027</v>
      </c>
      <c r="Q367" s="37">
        <f>'DHS25'!E366</f>
        <v>6061</v>
      </c>
      <c r="R367" s="38">
        <v>120.31</v>
      </c>
      <c r="S367" s="39">
        <f t="shared" si="34"/>
        <v>729.19890999999996</v>
      </c>
    </row>
    <row r="368" spans="1:19">
      <c r="A368" s="67">
        <v>45673</v>
      </c>
      <c r="B368" s="25" t="s">
        <v>13</v>
      </c>
      <c r="C368" s="4">
        <v>21327</v>
      </c>
      <c r="D368" s="5">
        <v>22832</v>
      </c>
      <c r="E368" s="4">
        <v>18395</v>
      </c>
      <c r="F368" s="4">
        <v>20491</v>
      </c>
      <c r="G368" s="4">
        <f t="shared" si="31"/>
        <v>20761.25</v>
      </c>
      <c r="H368" s="7">
        <f t="shared" si="30"/>
        <v>5.1903125000000001</v>
      </c>
      <c r="I368" s="9">
        <f t="shared" si="35"/>
        <v>1</v>
      </c>
      <c r="J368" s="9">
        <f t="shared" si="32"/>
        <v>6.1903125000000001</v>
      </c>
      <c r="K368" s="10">
        <f t="shared" si="33"/>
        <v>7</v>
      </c>
      <c r="O368" s="36">
        <f>'DHS25'!C367</f>
        <v>19269</v>
      </c>
      <c r="P368" s="37">
        <f>'DHS25'!D367</f>
        <v>5438</v>
      </c>
      <c r="Q368" s="37">
        <f>'DHS25'!E367</f>
        <v>8015</v>
      </c>
      <c r="R368" s="38">
        <v>132.80000000000001</v>
      </c>
      <c r="S368" s="39">
        <f t="shared" si="34"/>
        <v>1064.3920000000003</v>
      </c>
    </row>
    <row r="369" spans="1:19">
      <c r="A369" s="67">
        <v>45673</v>
      </c>
      <c r="B369" s="25" t="s">
        <v>14</v>
      </c>
      <c r="C369" s="4">
        <v>23274</v>
      </c>
      <c r="D369" s="5">
        <v>23545</v>
      </c>
      <c r="E369" s="4">
        <v>18130</v>
      </c>
      <c r="F369" s="4">
        <v>21103</v>
      </c>
      <c r="G369" s="4">
        <f t="shared" si="31"/>
        <v>21513</v>
      </c>
      <c r="H369" s="7">
        <f t="shared" si="30"/>
        <v>5.3782500000000004</v>
      </c>
      <c r="I369" s="9">
        <f t="shared" si="35"/>
        <v>1</v>
      </c>
      <c r="J369" s="9">
        <f t="shared" si="32"/>
        <v>6.3782500000000004</v>
      </c>
      <c r="K369" s="10">
        <f t="shared" si="33"/>
        <v>7</v>
      </c>
      <c r="O369" s="36">
        <f>'DHS25'!C368</f>
        <v>19038</v>
      </c>
      <c r="P369" s="37">
        <f>'DHS25'!D368</f>
        <v>4957</v>
      </c>
      <c r="Q369" s="37">
        <f>'DHS25'!E368</f>
        <v>8035</v>
      </c>
      <c r="R369" s="38">
        <v>180.75</v>
      </c>
      <c r="S369" s="39">
        <f t="shared" si="34"/>
        <v>1452.3262500000001</v>
      </c>
    </row>
    <row r="370" spans="1:19">
      <c r="A370" s="67">
        <v>45673</v>
      </c>
      <c r="B370" s="25" t="s">
        <v>15</v>
      </c>
      <c r="C370" s="4">
        <v>21640</v>
      </c>
      <c r="D370" s="5">
        <v>18867</v>
      </c>
      <c r="E370" s="4">
        <v>13844</v>
      </c>
      <c r="F370" s="4">
        <v>19755</v>
      </c>
      <c r="G370" s="4">
        <f t="shared" si="31"/>
        <v>18526.5</v>
      </c>
      <c r="H370" s="7">
        <f t="shared" si="30"/>
        <v>4.6316249999999997</v>
      </c>
      <c r="I370" s="9">
        <f t="shared" si="35"/>
        <v>1</v>
      </c>
      <c r="J370" s="9">
        <f t="shared" si="32"/>
        <v>5.6316249999999997</v>
      </c>
      <c r="K370" s="10">
        <f t="shared" si="33"/>
        <v>6</v>
      </c>
      <c r="O370" s="36">
        <f>'DHS25'!C369</f>
        <v>19258</v>
      </c>
      <c r="P370" s="37">
        <f>'DHS25'!D369</f>
        <v>5285</v>
      </c>
      <c r="Q370" s="37">
        <f>'DHS25'!E369</f>
        <v>8016</v>
      </c>
      <c r="R370" s="38">
        <v>222.89</v>
      </c>
      <c r="S370" s="39">
        <f t="shared" si="34"/>
        <v>1786.68624</v>
      </c>
    </row>
    <row r="371" spans="1:19">
      <c r="A371" s="67">
        <v>45673</v>
      </c>
      <c r="B371" s="25" t="s">
        <v>16</v>
      </c>
      <c r="C371" s="4">
        <v>19414</v>
      </c>
      <c r="D371" s="5">
        <v>20332</v>
      </c>
      <c r="E371" s="4">
        <v>14956</v>
      </c>
      <c r="F371" s="4">
        <v>20386</v>
      </c>
      <c r="G371" s="4">
        <f t="shared" si="31"/>
        <v>18772</v>
      </c>
      <c r="H371" s="7">
        <f t="shared" si="30"/>
        <v>4.6929999999999996</v>
      </c>
      <c r="I371" s="9">
        <f t="shared" si="35"/>
        <v>1</v>
      </c>
      <c r="J371" s="9">
        <f t="shared" si="32"/>
        <v>5.6929999999999996</v>
      </c>
      <c r="K371" s="10">
        <f t="shared" si="33"/>
        <v>6</v>
      </c>
      <c r="O371" s="36">
        <f>'DHS25'!C370</f>
        <v>18183</v>
      </c>
      <c r="P371" s="37">
        <f>'DHS25'!D370</f>
        <v>6422</v>
      </c>
      <c r="Q371" s="37">
        <f>'DHS25'!E370</f>
        <v>8021</v>
      </c>
      <c r="R371" s="38">
        <v>210.01</v>
      </c>
      <c r="S371" s="39">
        <f t="shared" si="34"/>
        <v>1684.4902100000002</v>
      </c>
    </row>
    <row r="372" spans="1:19">
      <c r="A372" s="67">
        <v>45673</v>
      </c>
      <c r="B372" s="25" t="s">
        <v>17</v>
      </c>
      <c r="C372" s="4">
        <v>19339</v>
      </c>
      <c r="D372" s="5">
        <v>20875</v>
      </c>
      <c r="E372" s="4">
        <v>13240</v>
      </c>
      <c r="F372" s="4">
        <v>19455</v>
      </c>
      <c r="G372" s="4">
        <f t="shared" si="31"/>
        <v>18227.25</v>
      </c>
      <c r="H372" s="7">
        <f t="shared" si="30"/>
        <v>4.5568125000000004</v>
      </c>
      <c r="I372" s="9">
        <f t="shared" si="35"/>
        <v>1</v>
      </c>
      <c r="J372" s="9">
        <f t="shared" si="32"/>
        <v>5.5568125000000004</v>
      </c>
      <c r="K372" s="10">
        <f t="shared" si="33"/>
        <v>6</v>
      </c>
      <c r="O372" s="36">
        <f>'DHS25'!C371</f>
        <v>18284</v>
      </c>
      <c r="P372" s="37">
        <f>'DHS25'!D371</f>
        <v>5906</v>
      </c>
      <c r="Q372" s="37">
        <f>'DHS25'!E371</f>
        <v>7974</v>
      </c>
      <c r="R372" s="38">
        <v>175</v>
      </c>
      <c r="S372" s="39">
        <f t="shared" si="34"/>
        <v>1395.45</v>
      </c>
    </row>
    <row r="373" spans="1:19">
      <c r="A373" s="67">
        <v>45673</v>
      </c>
      <c r="B373" s="25" t="s">
        <v>18</v>
      </c>
      <c r="C373" s="4">
        <v>18971</v>
      </c>
      <c r="D373" s="5">
        <v>19545</v>
      </c>
      <c r="E373" s="4">
        <v>14661</v>
      </c>
      <c r="F373" s="4">
        <v>17967</v>
      </c>
      <c r="G373" s="4">
        <f t="shared" si="31"/>
        <v>17786</v>
      </c>
      <c r="H373" s="7">
        <f t="shared" si="30"/>
        <v>4.4465000000000003</v>
      </c>
      <c r="I373" s="9">
        <f t="shared" si="35"/>
        <v>1</v>
      </c>
      <c r="J373" s="9">
        <f t="shared" si="32"/>
        <v>5.4465000000000003</v>
      </c>
      <c r="K373" s="10">
        <f t="shared" si="33"/>
        <v>6</v>
      </c>
      <c r="O373" s="36">
        <f>'DHS25'!C372</f>
        <v>16638</v>
      </c>
      <c r="P373" s="37">
        <f>'DHS25'!D372</f>
        <v>8476</v>
      </c>
      <c r="Q373" s="37">
        <f>'DHS25'!E372</f>
        <v>8053</v>
      </c>
      <c r="R373" s="38">
        <v>151.9</v>
      </c>
      <c r="S373" s="39">
        <f t="shared" si="34"/>
        <v>1223.2507000000003</v>
      </c>
    </row>
    <row r="374" spans="1:19">
      <c r="A374" s="67">
        <v>45673</v>
      </c>
      <c r="B374" s="25" t="s">
        <v>19</v>
      </c>
      <c r="C374" s="4">
        <v>19104</v>
      </c>
      <c r="D374" s="5">
        <v>18471</v>
      </c>
      <c r="E374" s="4">
        <v>14148</v>
      </c>
      <c r="F374" s="4">
        <v>14062</v>
      </c>
      <c r="G374" s="4">
        <f t="shared" si="31"/>
        <v>16446.25</v>
      </c>
      <c r="H374" s="7">
        <f t="shared" si="30"/>
        <v>4.1115624999999998</v>
      </c>
      <c r="I374" s="9">
        <f t="shared" si="35"/>
        <v>1</v>
      </c>
      <c r="J374" s="9">
        <f t="shared" si="32"/>
        <v>5.1115624999999998</v>
      </c>
      <c r="K374" s="10">
        <f t="shared" si="33"/>
        <v>6</v>
      </c>
      <c r="O374" s="36">
        <f>'DHS25'!C373</f>
        <v>15859</v>
      </c>
      <c r="P374" s="37">
        <f>'DHS25'!D373</f>
        <v>8568</v>
      </c>
      <c r="Q374" s="37">
        <f>'DHS25'!E373</f>
        <v>8048</v>
      </c>
      <c r="R374" s="38">
        <v>140.63999999999999</v>
      </c>
      <c r="S374" s="39">
        <f t="shared" si="34"/>
        <v>1131.8707199999999</v>
      </c>
    </row>
    <row r="375" spans="1:19">
      <c r="A375" s="67">
        <v>45673</v>
      </c>
      <c r="B375" s="25" t="s">
        <v>20</v>
      </c>
      <c r="C375" s="4">
        <v>16717</v>
      </c>
      <c r="D375" s="5">
        <v>18715</v>
      </c>
      <c r="E375" s="4">
        <v>13809</v>
      </c>
      <c r="F375" s="4">
        <v>14415</v>
      </c>
      <c r="G375" s="4">
        <f t="shared" si="31"/>
        <v>15914</v>
      </c>
      <c r="H375" s="7">
        <f t="shared" si="30"/>
        <v>3.9784999999999999</v>
      </c>
      <c r="I375" s="9">
        <f t="shared" si="35"/>
        <v>1</v>
      </c>
      <c r="J375" s="9">
        <f t="shared" si="32"/>
        <v>4.9785000000000004</v>
      </c>
      <c r="K375" s="10">
        <f t="shared" si="33"/>
        <v>5</v>
      </c>
      <c r="O375" s="36">
        <f>'DHS25'!C374</f>
        <v>15258</v>
      </c>
      <c r="P375" s="37">
        <f>'DHS25'!D374</f>
        <v>9188</v>
      </c>
      <c r="Q375" s="37">
        <f>'DHS25'!E374</f>
        <v>8043</v>
      </c>
      <c r="R375" s="38">
        <v>134.86000000000001</v>
      </c>
      <c r="S375" s="39">
        <f t="shared" si="34"/>
        <v>1084.6789799999999</v>
      </c>
    </row>
    <row r="376" spans="1:19">
      <c r="A376" s="67">
        <v>45673</v>
      </c>
      <c r="B376" s="25" t="s">
        <v>21</v>
      </c>
      <c r="C376" s="4">
        <v>18860</v>
      </c>
      <c r="D376" s="5">
        <v>17824</v>
      </c>
      <c r="E376" s="4">
        <v>13072</v>
      </c>
      <c r="F376" s="4">
        <v>14402</v>
      </c>
      <c r="G376" s="4">
        <f t="shared" si="31"/>
        <v>16039.5</v>
      </c>
      <c r="H376" s="7">
        <f t="shared" si="30"/>
        <v>4.0098750000000001</v>
      </c>
      <c r="I376" s="9">
        <f t="shared" si="35"/>
        <v>1</v>
      </c>
      <c r="J376" s="9">
        <f t="shared" si="32"/>
        <v>5.0098750000000001</v>
      </c>
      <c r="K376" s="10">
        <f t="shared" si="33"/>
        <v>6</v>
      </c>
      <c r="O376" s="36">
        <f>'DHS25'!C375</f>
        <v>15057</v>
      </c>
      <c r="P376" s="37">
        <f>'DHS25'!D375</f>
        <v>8882</v>
      </c>
      <c r="Q376" s="37">
        <f>'DHS25'!E375</f>
        <v>8053</v>
      </c>
      <c r="R376" s="38">
        <v>138.15</v>
      </c>
      <c r="S376" s="39">
        <f t="shared" si="34"/>
        <v>1112.5219500000001</v>
      </c>
    </row>
    <row r="377" spans="1:19">
      <c r="A377" s="67">
        <v>45673</v>
      </c>
      <c r="B377" s="25" t="s">
        <v>22</v>
      </c>
      <c r="C377" s="4">
        <v>17733</v>
      </c>
      <c r="D377" s="5">
        <v>17400</v>
      </c>
      <c r="E377" s="4">
        <v>14023</v>
      </c>
      <c r="F377" s="4">
        <v>16090</v>
      </c>
      <c r="G377" s="4">
        <f t="shared" si="31"/>
        <v>16311.5</v>
      </c>
      <c r="H377" s="7">
        <f t="shared" si="30"/>
        <v>4.0778749999999997</v>
      </c>
      <c r="I377" s="9">
        <f t="shared" si="35"/>
        <v>1</v>
      </c>
      <c r="J377" s="9">
        <f t="shared" si="32"/>
        <v>5.0778749999999997</v>
      </c>
      <c r="K377" s="10">
        <f t="shared" si="33"/>
        <v>6</v>
      </c>
      <c r="O377" s="36">
        <f>'DHS25'!C376</f>
        <v>15232</v>
      </c>
      <c r="P377" s="37">
        <f>'DHS25'!D376</f>
        <v>9061</v>
      </c>
      <c r="Q377" s="37">
        <f>'DHS25'!E376</f>
        <v>8051</v>
      </c>
      <c r="R377" s="38">
        <v>148.19</v>
      </c>
      <c r="S377" s="39">
        <f t="shared" si="34"/>
        <v>1193.0776900000001</v>
      </c>
    </row>
    <row r="378" spans="1:19">
      <c r="A378" s="67">
        <v>45673</v>
      </c>
      <c r="B378" s="25" t="s">
        <v>23</v>
      </c>
      <c r="C378" s="4">
        <v>17471</v>
      </c>
      <c r="D378" s="5">
        <v>18527</v>
      </c>
      <c r="E378" s="4">
        <v>14001</v>
      </c>
      <c r="F378" s="4">
        <v>15770</v>
      </c>
      <c r="G378" s="4">
        <f t="shared" si="31"/>
        <v>16442.25</v>
      </c>
      <c r="H378" s="7">
        <f t="shared" si="30"/>
        <v>4.1105625000000003</v>
      </c>
      <c r="I378" s="9">
        <f t="shared" si="35"/>
        <v>1</v>
      </c>
      <c r="J378" s="9">
        <f t="shared" si="32"/>
        <v>5.1105625000000003</v>
      </c>
      <c r="K378" s="10">
        <f t="shared" si="33"/>
        <v>6</v>
      </c>
      <c r="O378" s="36">
        <f>'DHS25'!C377</f>
        <v>16042</v>
      </c>
      <c r="P378" s="37">
        <f>'DHS25'!D377</f>
        <v>8744</v>
      </c>
      <c r="Q378" s="37">
        <f>'DHS25'!E377</f>
        <v>8004</v>
      </c>
      <c r="R378" s="38">
        <v>180.87</v>
      </c>
      <c r="S378" s="39">
        <f t="shared" si="34"/>
        <v>1447.6834799999999</v>
      </c>
    </row>
    <row r="379" spans="1:19">
      <c r="A379" s="67">
        <v>45673</v>
      </c>
      <c r="B379" s="25" t="s">
        <v>24</v>
      </c>
      <c r="C379" s="4">
        <v>19149</v>
      </c>
      <c r="D379" s="5">
        <v>19130</v>
      </c>
      <c r="E379" s="4">
        <v>14361</v>
      </c>
      <c r="F379" s="4">
        <v>15195</v>
      </c>
      <c r="G379" s="4">
        <f t="shared" si="31"/>
        <v>16958.75</v>
      </c>
      <c r="H379" s="7">
        <f t="shared" si="30"/>
        <v>4.2396874999999996</v>
      </c>
      <c r="I379" s="9">
        <f t="shared" si="35"/>
        <v>1</v>
      </c>
      <c r="J379" s="9">
        <f t="shared" si="32"/>
        <v>5.2396874999999996</v>
      </c>
      <c r="K379" s="10">
        <f t="shared" si="33"/>
        <v>6</v>
      </c>
      <c r="O379" s="36">
        <f>'DHS25'!C378</f>
        <v>17281</v>
      </c>
      <c r="P379" s="37">
        <f>'DHS25'!D378</f>
        <v>6219</v>
      </c>
      <c r="Q379" s="37">
        <f>'DHS25'!E378</f>
        <v>7969</v>
      </c>
      <c r="R379" s="38">
        <v>195.89</v>
      </c>
      <c r="S379" s="39">
        <f t="shared" si="34"/>
        <v>1561.0474099999999</v>
      </c>
    </row>
    <row r="380" spans="1:19">
      <c r="A380" s="67">
        <v>45673</v>
      </c>
      <c r="B380" s="25" t="s">
        <v>25</v>
      </c>
      <c r="C380" s="4">
        <v>19154</v>
      </c>
      <c r="D380" s="5">
        <v>20306</v>
      </c>
      <c r="E380" s="4">
        <v>14031</v>
      </c>
      <c r="F380" s="4">
        <v>15651</v>
      </c>
      <c r="G380" s="4">
        <f t="shared" si="31"/>
        <v>17285.5</v>
      </c>
      <c r="H380" s="7">
        <f t="shared" si="30"/>
        <v>4.3213749999999997</v>
      </c>
      <c r="I380" s="9">
        <f t="shared" si="35"/>
        <v>1</v>
      </c>
      <c r="J380" s="9">
        <f t="shared" si="32"/>
        <v>5.3213749999999997</v>
      </c>
      <c r="K380" s="10">
        <f t="shared" si="33"/>
        <v>6</v>
      </c>
      <c r="O380" s="36">
        <f>'DHS25'!C379</f>
        <v>16201</v>
      </c>
      <c r="P380" s="37">
        <f>'DHS25'!D379</f>
        <v>8549</v>
      </c>
      <c r="Q380" s="37">
        <f>'DHS25'!E379</f>
        <v>8056</v>
      </c>
      <c r="R380" s="38">
        <v>200.41</v>
      </c>
      <c r="S380" s="39">
        <f t="shared" si="34"/>
        <v>1614.5029599999998</v>
      </c>
    </row>
    <row r="381" spans="1:19">
      <c r="A381" s="67">
        <v>45673</v>
      </c>
      <c r="B381" s="25" t="s">
        <v>26</v>
      </c>
      <c r="C381" s="4">
        <v>20584</v>
      </c>
      <c r="D381" s="5">
        <v>20100</v>
      </c>
      <c r="E381" s="4">
        <v>14031</v>
      </c>
      <c r="F381" s="4">
        <v>16760</v>
      </c>
      <c r="G381" s="4">
        <f t="shared" si="31"/>
        <v>17868.75</v>
      </c>
      <c r="H381" s="7">
        <f t="shared" si="30"/>
        <v>4.4671874999999996</v>
      </c>
      <c r="I381" s="9">
        <f t="shared" si="35"/>
        <v>1</v>
      </c>
      <c r="J381" s="9">
        <f t="shared" si="32"/>
        <v>5.4671874999999996</v>
      </c>
      <c r="K381" s="10">
        <f t="shared" si="33"/>
        <v>6</v>
      </c>
      <c r="O381" s="36">
        <f>'DHS25'!C380</f>
        <v>16273</v>
      </c>
      <c r="P381" s="37">
        <f>'DHS25'!D380</f>
        <v>7755</v>
      </c>
      <c r="Q381" s="37">
        <f>'DHS25'!E380</f>
        <v>8050</v>
      </c>
      <c r="R381" s="38">
        <v>184.32</v>
      </c>
      <c r="S381" s="39">
        <f t="shared" si="34"/>
        <v>1483.7760000000001</v>
      </c>
    </row>
    <row r="382" spans="1:19">
      <c r="A382" s="67">
        <v>45673</v>
      </c>
      <c r="B382" s="25" t="s">
        <v>27</v>
      </c>
      <c r="C382" s="4">
        <v>19333</v>
      </c>
      <c r="D382" s="5">
        <v>21400</v>
      </c>
      <c r="E382" s="4">
        <v>14338</v>
      </c>
      <c r="F382" s="4">
        <v>17206</v>
      </c>
      <c r="G382" s="4">
        <f t="shared" si="31"/>
        <v>18069.25</v>
      </c>
      <c r="H382" s="7">
        <f t="shared" si="30"/>
        <v>4.5173125000000001</v>
      </c>
      <c r="I382" s="9">
        <f t="shared" si="35"/>
        <v>1</v>
      </c>
      <c r="J382" s="9">
        <f t="shared" si="32"/>
        <v>5.5173125000000001</v>
      </c>
      <c r="K382" s="10">
        <f t="shared" si="33"/>
        <v>6</v>
      </c>
      <c r="O382" s="36">
        <f>'DHS25'!C381</f>
        <v>16961</v>
      </c>
      <c r="P382" s="37">
        <f>'DHS25'!D381</f>
        <v>7286</v>
      </c>
      <c r="Q382" s="37">
        <f>'DHS25'!E381</f>
        <v>8007</v>
      </c>
      <c r="R382" s="38">
        <v>179.97</v>
      </c>
      <c r="S382" s="39">
        <f t="shared" si="34"/>
        <v>1441.0197899999998</v>
      </c>
    </row>
    <row r="383" spans="1:19">
      <c r="A383" s="67">
        <v>45673</v>
      </c>
      <c r="B383" s="25" t="s">
        <v>28</v>
      </c>
      <c r="C383" s="4">
        <v>19114</v>
      </c>
      <c r="D383" s="5">
        <v>20793</v>
      </c>
      <c r="E383" s="4">
        <v>13840</v>
      </c>
      <c r="F383" s="4">
        <v>16244</v>
      </c>
      <c r="G383" s="4">
        <f t="shared" si="31"/>
        <v>17497.75</v>
      </c>
      <c r="H383" s="7">
        <f t="shared" si="30"/>
        <v>4.3744375</v>
      </c>
      <c r="I383" s="9">
        <f t="shared" si="35"/>
        <v>1</v>
      </c>
      <c r="J383" s="9">
        <f t="shared" si="32"/>
        <v>5.3744375</v>
      </c>
      <c r="K383" s="10">
        <f t="shared" si="33"/>
        <v>6</v>
      </c>
      <c r="O383" s="36">
        <f>'DHS25'!C382</f>
        <v>17767</v>
      </c>
      <c r="P383" s="37">
        <f>'DHS25'!D382</f>
        <v>7879</v>
      </c>
      <c r="Q383" s="37">
        <f>'DHS25'!E382</f>
        <v>8066</v>
      </c>
      <c r="R383" s="38">
        <v>159.6</v>
      </c>
      <c r="S383" s="39">
        <f t="shared" si="34"/>
        <v>1287.3336000000002</v>
      </c>
    </row>
    <row r="384" spans="1:19">
      <c r="A384" s="67">
        <v>45673</v>
      </c>
      <c r="B384" s="25" t="s">
        <v>29</v>
      </c>
      <c r="C384" s="4">
        <v>19597</v>
      </c>
      <c r="D384" s="5">
        <v>21377</v>
      </c>
      <c r="E384" s="4">
        <v>13225</v>
      </c>
      <c r="F384" s="4">
        <v>18439</v>
      </c>
      <c r="G384" s="4">
        <f t="shared" si="31"/>
        <v>18159.5</v>
      </c>
      <c r="H384" s="7">
        <f t="shared" si="30"/>
        <v>4.5398750000000003</v>
      </c>
      <c r="I384" s="9">
        <f t="shared" si="35"/>
        <v>1</v>
      </c>
      <c r="J384" s="9">
        <f t="shared" si="32"/>
        <v>5.5398750000000003</v>
      </c>
      <c r="K384" s="10">
        <f t="shared" si="33"/>
        <v>6</v>
      </c>
      <c r="O384" s="36">
        <f>'DHS25'!C383</f>
        <v>18175</v>
      </c>
      <c r="P384" s="37">
        <f>'DHS25'!D383</f>
        <v>6995</v>
      </c>
      <c r="Q384" s="37">
        <f>'DHS25'!E383</f>
        <v>8064</v>
      </c>
      <c r="R384" s="38">
        <v>159.69</v>
      </c>
      <c r="S384" s="39">
        <f t="shared" si="34"/>
        <v>1287.7401600000001</v>
      </c>
    </row>
    <row r="385" spans="1:19">
      <c r="A385" s="67">
        <v>45673</v>
      </c>
      <c r="B385" s="25" t="s">
        <v>30</v>
      </c>
      <c r="C385" s="4">
        <v>17593</v>
      </c>
      <c r="D385" s="5">
        <v>20642</v>
      </c>
      <c r="E385" s="4">
        <v>12964</v>
      </c>
      <c r="F385" s="4">
        <v>16142</v>
      </c>
      <c r="G385" s="4">
        <f t="shared" si="31"/>
        <v>16835.25</v>
      </c>
      <c r="H385" s="7">
        <f t="shared" si="30"/>
        <v>4.2088124999999996</v>
      </c>
      <c r="I385" s="9">
        <f t="shared" si="35"/>
        <v>1</v>
      </c>
      <c r="J385" s="9">
        <f t="shared" si="32"/>
        <v>5.2088124999999996</v>
      </c>
      <c r="K385" s="10">
        <f t="shared" si="33"/>
        <v>6</v>
      </c>
      <c r="O385" s="36">
        <f>'DHS25'!C384</f>
        <v>13948</v>
      </c>
      <c r="P385" s="37">
        <f>'DHS25'!D384</f>
        <v>10582</v>
      </c>
      <c r="Q385" s="37">
        <f>'DHS25'!E384</f>
        <v>8056</v>
      </c>
      <c r="R385" s="38">
        <v>144.07</v>
      </c>
      <c r="S385" s="39">
        <f t="shared" si="34"/>
        <v>1160.6279199999999</v>
      </c>
    </row>
    <row r="386" spans="1:19">
      <c r="A386" s="67">
        <v>45673</v>
      </c>
      <c r="B386" s="25" t="s">
        <v>31</v>
      </c>
      <c r="C386" s="4">
        <v>9347</v>
      </c>
      <c r="D386" s="5">
        <v>11255</v>
      </c>
      <c r="E386" s="4">
        <v>5286</v>
      </c>
      <c r="F386" s="4">
        <v>10985</v>
      </c>
      <c r="G386" s="4">
        <f t="shared" si="31"/>
        <v>9218.25</v>
      </c>
      <c r="H386" s="7">
        <f t="shared" si="30"/>
        <v>2.3045624999999998</v>
      </c>
      <c r="I386" s="9">
        <f t="shared" si="35"/>
        <v>1</v>
      </c>
      <c r="J386" s="9">
        <f t="shared" si="32"/>
        <v>3.3045624999999998</v>
      </c>
      <c r="K386" s="10">
        <f t="shared" si="33"/>
        <v>4</v>
      </c>
      <c r="O386" s="36">
        <f>'DHS25'!C385</f>
        <v>8926</v>
      </c>
      <c r="P386" s="37">
        <f>'DHS25'!D385</f>
        <v>11074</v>
      </c>
      <c r="Q386" s="37">
        <f>'DHS25'!E385</f>
        <v>6637</v>
      </c>
      <c r="R386" s="38">
        <v>133.75</v>
      </c>
      <c r="S386" s="39">
        <f t="shared" si="34"/>
        <v>887.6987499999999</v>
      </c>
    </row>
    <row r="387" spans="1:19">
      <c r="A387" s="66">
        <v>45674</v>
      </c>
      <c r="B387" s="24" t="s">
        <v>8</v>
      </c>
      <c r="C387" s="4">
        <v>9227</v>
      </c>
      <c r="D387" s="5">
        <v>12270</v>
      </c>
      <c r="E387" s="4">
        <v>5787</v>
      </c>
      <c r="F387" s="4">
        <v>11318</v>
      </c>
      <c r="G387" s="4">
        <f t="shared" si="31"/>
        <v>9650.5</v>
      </c>
      <c r="H387" s="7">
        <f t="shared" ref="H387:H450" si="36">G387/$M$2/1000</f>
        <v>2.4126249999999998</v>
      </c>
      <c r="I387" s="9">
        <f t="shared" si="35"/>
        <v>1</v>
      </c>
      <c r="J387" s="9">
        <f t="shared" si="32"/>
        <v>3.4126249999999998</v>
      </c>
      <c r="K387" s="10">
        <f t="shared" si="33"/>
        <v>4</v>
      </c>
      <c r="O387" s="36">
        <f>'DHS25'!C386</f>
        <v>8198</v>
      </c>
      <c r="P387" s="37">
        <f>'DHS25'!D386</f>
        <v>4986</v>
      </c>
      <c r="Q387" s="37">
        <f>'DHS25'!E386</f>
        <v>4053</v>
      </c>
      <c r="R387" s="38">
        <v>121.68</v>
      </c>
      <c r="S387" s="39">
        <f t="shared" si="34"/>
        <v>493.16904</v>
      </c>
    </row>
    <row r="388" spans="1:19">
      <c r="A388" s="66">
        <v>45674</v>
      </c>
      <c r="B388" s="24" t="s">
        <v>9</v>
      </c>
      <c r="C388" s="4">
        <v>12598</v>
      </c>
      <c r="D388" s="5">
        <v>13780</v>
      </c>
      <c r="E388" s="4">
        <v>5407</v>
      </c>
      <c r="F388" s="4">
        <v>14652</v>
      </c>
      <c r="G388" s="4">
        <f t="shared" ref="G388:G451" si="37">AVERAGE(C388:F388)</f>
        <v>11609.25</v>
      </c>
      <c r="H388" s="7">
        <f t="shared" si="36"/>
        <v>2.9023124999999999</v>
      </c>
      <c r="I388" s="9">
        <f t="shared" si="35"/>
        <v>1</v>
      </c>
      <c r="J388" s="9">
        <f t="shared" ref="J388:J451" si="38">H388+I388</f>
        <v>3.9023124999999999</v>
      </c>
      <c r="K388" s="10">
        <f t="shared" ref="K388:K451" si="39">ROUNDUP(J388,0)</f>
        <v>4</v>
      </c>
      <c r="O388" s="36">
        <f>'DHS25'!C387</f>
        <v>9222</v>
      </c>
      <c r="P388" s="37">
        <f>'DHS25'!D387</f>
        <v>4961</v>
      </c>
      <c r="Q388" s="37">
        <f>'DHS25'!E387</f>
        <v>4050</v>
      </c>
      <c r="R388" s="38">
        <v>121.71</v>
      </c>
      <c r="S388" s="39">
        <f t="shared" ref="S388:S451" si="40">(Q388/1000)*R388</f>
        <v>492.92549999999994</v>
      </c>
    </row>
    <row r="389" spans="1:19">
      <c r="A389" s="66">
        <v>45674</v>
      </c>
      <c r="B389" s="24" t="s">
        <v>10</v>
      </c>
      <c r="C389" s="4">
        <v>14242</v>
      </c>
      <c r="D389" s="5">
        <v>14299</v>
      </c>
      <c r="E389" s="4">
        <v>5130</v>
      </c>
      <c r="F389" s="4">
        <v>12934</v>
      </c>
      <c r="G389" s="4">
        <f t="shared" si="37"/>
        <v>11651.25</v>
      </c>
      <c r="H389" s="7">
        <f t="shared" si="36"/>
        <v>2.9128124999999998</v>
      </c>
      <c r="I389" s="9">
        <f t="shared" ref="I389:I452" si="41">I388</f>
        <v>1</v>
      </c>
      <c r="J389" s="9">
        <f t="shared" si="38"/>
        <v>3.9128124999999998</v>
      </c>
      <c r="K389" s="10">
        <f t="shared" si="39"/>
        <v>4</v>
      </c>
      <c r="O389" s="36">
        <f>'DHS25'!C388</f>
        <v>10974</v>
      </c>
      <c r="P389" s="37">
        <f>'DHS25'!D388</f>
        <v>3218</v>
      </c>
      <c r="Q389" s="37">
        <f>'DHS25'!E388</f>
        <v>4051</v>
      </c>
      <c r="R389" s="38">
        <v>118.53</v>
      </c>
      <c r="S389" s="39">
        <f t="shared" si="40"/>
        <v>480.16503</v>
      </c>
    </row>
    <row r="390" spans="1:19">
      <c r="A390" s="66">
        <v>45674</v>
      </c>
      <c r="B390" s="24" t="s">
        <v>11</v>
      </c>
      <c r="C390" s="4">
        <v>14714</v>
      </c>
      <c r="D390" s="5">
        <v>15128</v>
      </c>
      <c r="E390" s="4">
        <v>7244</v>
      </c>
      <c r="F390" s="4">
        <v>14426</v>
      </c>
      <c r="G390" s="4">
        <f t="shared" si="37"/>
        <v>12878</v>
      </c>
      <c r="H390" s="7">
        <f t="shared" si="36"/>
        <v>3.2195</v>
      </c>
      <c r="I390" s="9">
        <f t="shared" si="41"/>
        <v>1</v>
      </c>
      <c r="J390" s="9">
        <f t="shared" si="38"/>
        <v>4.2195</v>
      </c>
      <c r="K390" s="10">
        <f t="shared" si="39"/>
        <v>5</v>
      </c>
      <c r="O390" s="36">
        <f>'DHS25'!C389</f>
        <v>13512</v>
      </c>
      <c r="P390" s="37">
        <f>'DHS25'!D389</f>
        <v>4330</v>
      </c>
      <c r="Q390" s="37">
        <f>'DHS25'!E389</f>
        <v>5057</v>
      </c>
      <c r="R390" s="38">
        <v>116.12</v>
      </c>
      <c r="S390" s="39">
        <f t="shared" si="40"/>
        <v>587.21884000000011</v>
      </c>
    </row>
    <row r="391" spans="1:19">
      <c r="A391" s="66">
        <v>45674</v>
      </c>
      <c r="B391" s="24" t="s">
        <v>12</v>
      </c>
      <c r="C391" s="4">
        <v>22993</v>
      </c>
      <c r="D391" s="5">
        <v>21229</v>
      </c>
      <c r="E391" s="4">
        <v>15436</v>
      </c>
      <c r="F391" s="4">
        <v>16799</v>
      </c>
      <c r="G391" s="4">
        <f t="shared" si="37"/>
        <v>19114.25</v>
      </c>
      <c r="H391" s="7">
        <f t="shared" si="36"/>
        <v>4.7785624999999996</v>
      </c>
      <c r="I391" s="9">
        <f t="shared" si="41"/>
        <v>1</v>
      </c>
      <c r="J391" s="9">
        <f t="shared" si="38"/>
        <v>5.7785624999999996</v>
      </c>
      <c r="K391" s="10">
        <f t="shared" si="39"/>
        <v>6</v>
      </c>
      <c r="O391" s="36">
        <f>'DHS25'!C390</f>
        <v>19797</v>
      </c>
      <c r="P391" s="37">
        <f>'DHS25'!D390</f>
        <v>123</v>
      </c>
      <c r="Q391" s="37">
        <f>'DHS25'!E390</f>
        <v>6057</v>
      </c>
      <c r="R391" s="38">
        <v>116.39</v>
      </c>
      <c r="S391" s="39">
        <f t="shared" si="40"/>
        <v>704.97423000000003</v>
      </c>
    </row>
    <row r="392" spans="1:19">
      <c r="A392" s="66">
        <v>45674</v>
      </c>
      <c r="B392" s="24" t="s">
        <v>13</v>
      </c>
      <c r="C392" s="4">
        <v>22096</v>
      </c>
      <c r="D392" s="5">
        <v>19719</v>
      </c>
      <c r="E392" s="4">
        <v>16684</v>
      </c>
      <c r="F392" s="4">
        <v>19432</v>
      </c>
      <c r="G392" s="4">
        <f t="shared" si="37"/>
        <v>19482.75</v>
      </c>
      <c r="H392" s="7">
        <f t="shared" si="36"/>
        <v>4.8706874999999998</v>
      </c>
      <c r="I392" s="9">
        <f t="shared" si="41"/>
        <v>1</v>
      </c>
      <c r="J392" s="9">
        <f t="shared" si="38"/>
        <v>5.8706874999999998</v>
      </c>
      <c r="K392" s="10">
        <f t="shared" si="39"/>
        <v>6</v>
      </c>
      <c r="O392" s="36">
        <f>'DHS25'!C391</f>
        <v>18400</v>
      </c>
      <c r="P392" s="37">
        <f>'DHS25'!D391</f>
        <v>713</v>
      </c>
      <c r="Q392" s="37">
        <f>'DHS25'!E391</f>
        <v>6049</v>
      </c>
      <c r="R392" s="38">
        <v>122.74</v>
      </c>
      <c r="S392" s="39">
        <f t="shared" si="40"/>
        <v>742.45425999999998</v>
      </c>
    </row>
    <row r="393" spans="1:19">
      <c r="A393" s="66">
        <v>45674</v>
      </c>
      <c r="B393" s="24" t="s">
        <v>14</v>
      </c>
      <c r="C393" s="4">
        <v>24389</v>
      </c>
      <c r="D393" s="5">
        <v>22201</v>
      </c>
      <c r="E393" s="4">
        <v>16460</v>
      </c>
      <c r="F393" s="4">
        <v>21713</v>
      </c>
      <c r="G393" s="4">
        <f t="shared" si="37"/>
        <v>21190.75</v>
      </c>
      <c r="H393" s="7">
        <f t="shared" si="36"/>
        <v>5.2976875000000003</v>
      </c>
      <c r="I393" s="9">
        <f t="shared" si="41"/>
        <v>1</v>
      </c>
      <c r="J393" s="9">
        <f t="shared" si="38"/>
        <v>6.2976875000000003</v>
      </c>
      <c r="K393" s="10">
        <f t="shared" si="39"/>
        <v>7</v>
      </c>
      <c r="O393" s="36">
        <f>'DHS25'!C392</f>
        <v>20030</v>
      </c>
      <c r="P393" s="37">
        <f>'DHS25'!D392</f>
        <v>5509</v>
      </c>
      <c r="Q393" s="37">
        <f>'DHS25'!E392</f>
        <v>8018</v>
      </c>
      <c r="R393" s="38">
        <v>140.80000000000001</v>
      </c>
      <c r="S393" s="39">
        <f t="shared" si="40"/>
        <v>1128.9344000000001</v>
      </c>
    </row>
    <row r="394" spans="1:19">
      <c r="A394" s="66">
        <v>45674</v>
      </c>
      <c r="B394" s="24" t="s">
        <v>15</v>
      </c>
      <c r="C394" s="4">
        <v>20577</v>
      </c>
      <c r="D394" s="5">
        <v>18305</v>
      </c>
      <c r="E394" s="4">
        <v>14269</v>
      </c>
      <c r="F394" s="4">
        <v>21508</v>
      </c>
      <c r="G394" s="4">
        <f t="shared" si="37"/>
        <v>18664.75</v>
      </c>
      <c r="H394" s="7">
        <f t="shared" si="36"/>
        <v>4.6661875000000004</v>
      </c>
      <c r="I394" s="9">
        <f t="shared" si="41"/>
        <v>1</v>
      </c>
      <c r="J394" s="9">
        <f t="shared" si="38"/>
        <v>5.6661875000000004</v>
      </c>
      <c r="K394" s="10">
        <f t="shared" si="39"/>
        <v>6</v>
      </c>
      <c r="O394" s="36">
        <f>'DHS25'!C393</f>
        <v>18710</v>
      </c>
      <c r="P394" s="37">
        <f>'DHS25'!D393</f>
        <v>5014</v>
      </c>
      <c r="Q394" s="37">
        <f>'DHS25'!E393</f>
        <v>8005</v>
      </c>
      <c r="R394" s="38">
        <v>175.01</v>
      </c>
      <c r="S394" s="39">
        <f t="shared" si="40"/>
        <v>1400.95505</v>
      </c>
    </row>
    <row r="395" spans="1:19">
      <c r="A395" s="66">
        <v>45674</v>
      </c>
      <c r="B395" s="24" t="s">
        <v>16</v>
      </c>
      <c r="C395" s="4">
        <v>19397</v>
      </c>
      <c r="D395" s="5">
        <v>20391</v>
      </c>
      <c r="E395" s="4">
        <v>13628</v>
      </c>
      <c r="F395" s="4">
        <v>21866</v>
      </c>
      <c r="G395" s="4">
        <f t="shared" si="37"/>
        <v>18820.5</v>
      </c>
      <c r="H395" s="7">
        <f t="shared" si="36"/>
        <v>4.7051249999999998</v>
      </c>
      <c r="I395" s="9">
        <f t="shared" si="41"/>
        <v>1</v>
      </c>
      <c r="J395" s="9">
        <f t="shared" si="38"/>
        <v>5.7051249999999998</v>
      </c>
      <c r="K395" s="10">
        <f t="shared" si="39"/>
        <v>6</v>
      </c>
      <c r="O395" s="36">
        <f>'DHS25'!C394</f>
        <v>17912</v>
      </c>
      <c r="P395" s="37">
        <f>'DHS25'!D394</f>
        <v>6654</v>
      </c>
      <c r="Q395" s="37">
        <f>'DHS25'!E394</f>
        <v>8028</v>
      </c>
      <c r="R395" s="38">
        <v>208.13</v>
      </c>
      <c r="S395" s="39">
        <f t="shared" si="40"/>
        <v>1670.8676400000002</v>
      </c>
    </row>
    <row r="396" spans="1:19">
      <c r="A396" s="66">
        <v>45674</v>
      </c>
      <c r="B396" s="24" t="s">
        <v>17</v>
      </c>
      <c r="C396" s="4">
        <v>19615</v>
      </c>
      <c r="D396" s="5">
        <v>21757</v>
      </c>
      <c r="E396" s="4">
        <v>14060</v>
      </c>
      <c r="F396" s="4">
        <v>22574</v>
      </c>
      <c r="G396" s="4">
        <f t="shared" si="37"/>
        <v>19501.5</v>
      </c>
      <c r="H396" s="7">
        <f t="shared" si="36"/>
        <v>4.875375</v>
      </c>
      <c r="I396" s="9">
        <f t="shared" si="41"/>
        <v>1</v>
      </c>
      <c r="J396" s="9">
        <f t="shared" si="38"/>
        <v>5.875375</v>
      </c>
      <c r="K396" s="10">
        <f t="shared" si="39"/>
        <v>6</v>
      </c>
      <c r="O396" s="36">
        <f>'DHS25'!C395</f>
        <v>17694</v>
      </c>
      <c r="P396" s="37">
        <f>'DHS25'!D395</f>
        <v>6821</v>
      </c>
      <c r="Q396" s="37">
        <f>'DHS25'!E395</f>
        <v>8039</v>
      </c>
      <c r="R396" s="38">
        <v>175.34</v>
      </c>
      <c r="S396" s="39">
        <f t="shared" si="40"/>
        <v>1409.55826</v>
      </c>
    </row>
    <row r="397" spans="1:19">
      <c r="A397" s="66">
        <v>45674</v>
      </c>
      <c r="B397" s="24" t="s">
        <v>18</v>
      </c>
      <c r="C397" s="4">
        <v>18281</v>
      </c>
      <c r="D397" s="5">
        <v>21041</v>
      </c>
      <c r="E397" s="4">
        <v>14752</v>
      </c>
      <c r="F397" s="4">
        <v>18167</v>
      </c>
      <c r="G397" s="4">
        <f t="shared" si="37"/>
        <v>18060.25</v>
      </c>
      <c r="H397" s="7">
        <f t="shared" si="36"/>
        <v>4.5150625</v>
      </c>
      <c r="I397" s="9">
        <f t="shared" si="41"/>
        <v>1</v>
      </c>
      <c r="J397" s="9">
        <f t="shared" si="38"/>
        <v>5.5150625</v>
      </c>
      <c r="K397" s="10">
        <f t="shared" si="39"/>
        <v>6</v>
      </c>
      <c r="O397" s="36">
        <f>'DHS25'!C396</f>
        <v>16853</v>
      </c>
      <c r="P397" s="37">
        <f>'DHS25'!D396</f>
        <v>7879</v>
      </c>
      <c r="Q397" s="37">
        <f>'DHS25'!E396</f>
        <v>8046</v>
      </c>
      <c r="R397" s="38">
        <v>158</v>
      </c>
      <c r="S397" s="39">
        <f t="shared" si="40"/>
        <v>1271.2679999999998</v>
      </c>
    </row>
    <row r="398" spans="1:19">
      <c r="A398" s="66">
        <v>45674</v>
      </c>
      <c r="B398" s="24" t="s">
        <v>19</v>
      </c>
      <c r="C398" s="4">
        <v>17632</v>
      </c>
      <c r="D398" s="5">
        <v>19338</v>
      </c>
      <c r="E398" s="4">
        <v>13582</v>
      </c>
      <c r="F398" s="4">
        <v>14634</v>
      </c>
      <c r="G398" s="4">
        <f t="shared" si="37"/>
        <v>16296.5</v>
      </c>
      <c r="H398" s="7">
        <f t="shared" si="36"/>
        <v>4.0741250000000004</v>
      </c>
      <c r="I398" s="9">
        <f t="shared" si="41"/>
        <v>1</v>
      </c>
      <c r="J398" s="9">
        <f t="shared" si="38"/>
        <v>5.0741250000000004</v>
      </c>
      <c r="K398" s="10">
        <f t="shared" si="39"/>
        <v>6</v>
      </c>
      <c r="O398" s="36">
        <f>'DHS25'!C397</f>
        <v>17368</v>
      </c>
      <c r="P398" s="37">
        <f>'DHS25'!D397</f>
        <v>7304</v>
      </c>
      <c r="Q398" s="37">
        <f>'DHS25'!E397</f>
        <v>8042</v>
      </c>
      <c r="R398" s="38">
        <v>140.72</v>
      </c>
      <c r="S398" s="39">
        <f t="shared" si="40"/>
        <v>1131.6702399999999</v>
      </c>
    </row>
    <row r="399" spans="1:19">
      <c r="A399" s="66">
        <v>45674</v>
      </c>
      <c r="B399" s="24" t="s">
        <v>20</v>
      </c>
      <c r="C399" s="4">
        <v>18033</v>
      </c>
      <c r="D399" s="5">
        <v>19328</v>
      </c>
      <c r="E399" s="4">
        <v>12825</v>
      </c>
      <c r="F399" s="4">
        <v>15115</v>
      </c>
      <c r="G399" s="4">
        <f t="shared" si="37"/>
        <v>16325.25</v>
      </c>
      <c r="H399" s="7">
        <f t="shared" si="36"/>
        <v>4.0813125000000001</v>
      </c>
      <c r="I399" s="9">
        <f t="shared" si="41"/>
        <v>1</v>
      </c>
      <c r="J399" s="9">
        <f t="shared" si="38"/>
        <v>5.0813125000000001</v>
      </c>
      <c r="K399" s="10">
        <f t="shared" si="39"/>
        <v>6</v>
      </c>
      <c r="O399" s="36">
        <f>'DHS25'!C398</f>
        <v>17097</v>
      </c>
      <c r="P399" s="37">
        <f>'DHS25'!D398</f>
        <v>7488</v>
      </c>
      <c r="Q399" s="37">
        <f>'DHS25'!E398</f>
        <v>8031</v>
      </c>
      <c r="R399" s="38">
        <v>126.44</v>
      </c>
      <c r="S399" s="39">
        <f t="shared" si="40"/>
        <v>1015.4396400000001</v>
      </c>
    </row>
    <row r="400" spans="1:19">
      <c r="A400" s="66">
        <v>45674</v>
      </c>
      <c r="B400" s="24" t="s">
        <v>21</v>
      </c>
      <c r="C400" s="4">
        <v>17324</v>
      </c>
      <c r="D400" s="5">
        <v>19828</v>
      </c>
      <c r="E400" s="4">
        <v>13888</v>
      </c>
      <c r="F400" s="4">
        <v>16491</v>
      </c>
      <c r="G400" s="4">
        <f t="shared" si="37"/>
        <v>16882.75</v>
      </c>
      <c r="H400" s="7">
        <f t="shared" si="36"/>
        <v>4.2206875000000004</v>
      </c>
      <c r="I400" s="9">
        <f t="shared" si="41"/>
        <v>1</v>
      </c>
      <c r="J400" s="9">
        <f t="shared" si="38"/>
        <v>5.2206875000000004</v>
      </c>
      <c r="K400" s="10">
        <f t="shared" si="39"/>
        <v>6</v>
      </c>
      <c r="O400" s="36">
        <f>'DHS25'!C399</f>
        <v>16683</v>
      </c>
      <c r="P400" s="37">
        <f>'DHS25'!D399</f>
        <v>8118</v>
      </c>
      <c r="Q400" s="37">
        <f>'DHS25'!E399</f>
        <v>8058</v>
      </c>
      <c r="R400" s="38">
        <v>124.03</v>
      </c>
      <c r="S400" s="39">
        <f t="shared" si="40"/>
        <v>999.43373999999994</v>
      </c>
    </row>
    <row r="401" spans="1:19">
      <c r="A401" s="66">
        <v>45674</v>
      </c>
      <c r="B401" s="24" t="s">
        <v>22</v>
      </c>
      <c r="C401" s="4">
        <v>18187</v>
      </c>
      <c r="D401" s="5">
        <v>18951</v>
      </c>
      <c r="E401" s="4">
        <v>15279</v>
      </c>
      <c r="F401" s="4">
        <v>16595</v>
      </c>
      <c r="G401" s="4">
        <f t="shared" si="37"/>
        <v>17253</v>
      </c>
      <c r="H401" s="7">
        <f t="shared" si="36"/>
        <v>4.31325</v>
      </c>
      <c r="I401" s="9">
        <f t="shared" si="41"/>
        <v>1</v>
      </c>
      <c r="J401" s="9">
        <f t="shared" si="38"/>
        <v>5.31325</v>
      </c>
      <c r="K401" s="10">
        <f t="shared" si="39"/>
        <v>6</v>
      </c>
      <c r="O401" s="36">
        <f>'DHS25'!C400</f>
        <v>17063</v>
      </c>
      <c r="P401" s="37">
        <f>'DHS25'!D400</f>
        <v>6750</v>
      </c>
      <c r="Q401" s="37">
        <f>'DHS25'!E400</f>
        <v>8063</v>
      </c>
      <c r="R401" s="38">
        <v>133.72999999999999</v>
      </c>
      <c r="S401" s="39">
        <f t="shared" si="40"/>
        <v>1078.2649899999999</v>
      </c>
    </row>
    <row r="402" spans="1:19">
      <c r="A402" s="66">
        <v>45674</v>
      </c>
      <c r="B402" s="24" t="s">
        <v>23</v>
      </c>
      <c r="C402" s="4">
        <v>17415</v>
      </c>
      <c r="D402" s="5">
        <v>19056</v>
      </c>
      <c r="E402" s="4">
        <v>15170</v>
      </c>
      <c r="F402" s="4">
        <v>16342</v>
      </c>
      <c r="G402" s="4">
        <f t="shared" si="37"/>
        <v>16995.75</v>
      </c>
      <c r="H402" s="7">
        <f t="shared" si="36"/>
        <v>4.2489375000000003</v>
      </c>
      <c r="I402" s="9">
        <f t="shared" si="41"/>
        <v>1</v>
      </c>
      <c r="J402" s="9">
        <f t="shared" si="38"/>
        <v>5.2489375000000003</v>
      </c>
      <c r="K402" s="10">
        <f t="shared" si="39"/>
        <v>6</v>
      </c>
      <c r="O402" s="36">
        <f>'DHS25'!C401</f>
        <v>16816</v>
      </c>
      <c r="P402" s="37">
        <f>'DHS25'!D401</f>
        <v>7117</v>
      </c>
      <c r="Q402" s="37">
        <f>'DHS25'!E401</f>
        <v>8051</v>
      </c>
      <c r="R402" s="38">
        <v>152.41999999999999</v>
      </c>
      <c r="S402" s="39">
        <f t="shared" si="40"/>
        <v>1227.1334199999999</v>
      </c>
    </row>
    <row r="403" spans="1:19">
      <c r="A403" s="66">
        <v>45674</v>
      </c>
      <c r="B403" s="24" t="s">
        <v>24</v>
      </c>
      <c r="C403" s="4">
        <v>18365</v>
      </c>
      <c r="D403" s="5">
        <v>21042</v>
      </c>
      <c r="E403" s="4">
        <v>14356</v>
      </c>
      <c r="F403" s="4">
        <v>16877</v>
      </c>
      <c r="G403" s="4">
        <f t="shared" si="37"/>
        <v>17660</v>
      </c>
      <c r="H403" s="7">
        <f t="shared" si="36"/>
        <v>4.415</v>
      </c>
      <c r="I403" s="9">
        <f t="shared" si="41"/>
        <v>1</v>
      </c>
      <c r="J403" s="9">
        <f t="shared" si="38"/>
        <v>5.415</v>
      </c>
      <c r="K403" s="10">
        <f t="shared" si="39"/>
        <v>6</v>
      </c>
      <c r="O403" s="36">
        <f>'DHS25'!C402</f>
        <v>16520</v>
      </c>
      <c r="P403" s="37">
        <f>'DHS25'!D402</f>
        <v>7102</v>
      </c>
      <c r="Q403" s="37">
        <f>'DHS25'!E402</f>
        <v>8031</v>
      </c>
      <c r="R403" s="38">
        <v>174.81</v>
      </c>
      <c r="S403" s="39">
        <f t="shared" si="40"/>
        <v>1403.8991100000001</v>
      </c>
    </row>
    <row r="404" spans="1:19">
      <c r="A404" s="66">
        <v>45674</v>
      </c>
      <c r="B404" s="24" t="s">
        <v>25</v>
      </c>
      <c r="C404" s="4">
        <v>18542</v>
      </c>
      <c r="D404" s="5">
        <v>22057</v>
      </c>
      <c r="E404" s="4">
        <v>14616</v>
      </c>
      <c r="F404" s="4">
        <v>15690</v>
      </c>
      <c r="G404" s="4">
        <f t="shared" si="37"/>
        <v>17726.25</v>
      </c>
      <c r="H404" s="7">
        <f t="shared" si="36"/>
        <v>4.4315625000000001</v>
      </c>
      <c r="I404" s="9">
        <f t="shared" si="41"/>
        <v>1</v>
      </c>
      <c r="J404" s="9">
        <f t="shared" si="38"/>
        <v>5.4315625000000001</v>
      </c>
      <c r="K404" s="10">
        <f t="shared" si="39"/>
        <v>6</v>
      </c>
      <c r="O404" s="36">
        <f>'DHS25'!C403</f>
        <v>16827</v>
      </c>
      <c r="P404" s="37">
        <f>'DHS25'!D403</f>
        <v>7604</v>
      </c>
      <c r="Q404" s="37">
        <f>'DHS25'!E403</f>
        <v>8048</v>
      </c>
      <c r="R404" s="38">
        <v>179.59</v>
      </c>
      <c r="S404" s="39">
        <f t="shared" si="40"/>
        <v>1445.34032</v>
      </c>
    </row>
    <row r="405" spans="1:19">
      <c r="A405" s="66">
        <v>45674</v>
      </c>
      <c r="B405" s="24" t="s">
        <v>26</v>
      </c>
      <c r="C405" s="4">
        <v>18898</v>
      </c>
      <c r="D405" s="5">
        <v>21350</v>
      </c>
      <c r="E405" s="4">
        <v>13592</v>
      </c>
      <c r="F405" s="4">
        <v>16703</v>
      </c>
      <c r="G405" s="4">
        <f t="shared" si="37"/>
        <v>17635.75</v>
      </c>
      <c r="H405" s="7">
        <f t="shared" si="36"/>
        <v>4.4089375000000004</v>
      </c>
      <c r="I405" s="9">
        <f t="shared" si="41"/>
        <v>1</v>
      </c>
      <c r="J405" s="9">
        <f t="shared" si="38"/>
        <v>5.4089375000000004</v>
      </c>
      <c r="K405" s="10">
        <f t="shared" si="39"/>
        <v>6</v>
      </c>
      <c r="O405" s="36">
        <f>'DHS25'!C404</f>
        <v>17206</v>
      </c>
      <c r="P405" s="37">
        <f>'DHS25'!D404</f>
        <v>6903</v>
      </c>
      <c r="Q405" s="37">
        <f>'DHS25'!E404</f>
        <v>8030</v>
      </c>
      <c r="R405" s="38">
        <v>179.92</v>
      </c>
      <c r="S405" s="39">
        <f t="shared" si="40"/>
        <v>1444.7575999999997</v>
      </c>
    </row>
    <row r="406" spans="1:19">
      <c r="A406" s="66">
        <v>45674</v>
      </c>
      <c r="B406" s="24" t="s">
        <v>27</v>
      </c>
      <c r="C406" s="4">
        <v>18240</v>
      </c>
      <c r="D406" s="5">
        <v>22047</v>
      </c>
      <c r="E406" s="4">
        <v>13955</v>
      </c>
      <c r="F406" s="4">
        <v>16957</v>
      </c>
      <c r="G406" s="4">
        <f t="shared" si="37"/>
        <v>17799.75</v>
      </c>
      <c r="H406" s="7">
        <f t="shared" si="36"/>
        <v>4.4499374999999999</v>
      </c>
      <c r="I406" s="9">
        <f t="shared" si="41"/>
        <v>1</v>
      </c>
      <c r="J406" s="9">
        <f t="shared" si="38"/>
        <v>5.4499374999999999</v>
      </c>
      <c r="K406" s="10">
        <f t="shared" si="39"/>
        <v>6</v>
      </c>
      <c r="O406" s="36">
        <f>'DHS25'!C405</f>
        <v>17338</v>
      </c>
      <c r="P406" s="37">
        <f>'DHS25'!D405</f>
        <v>6695</v>
      </c>
      <c r="Q406" s="37">
        <f>'DHS25'!E405</f>
        <v>8054</v>
      </c>
      <c r="R406" s="38">
        <v>174.22</v>
      </c>
      <c r="S406" s="39">
        <f t="shared" si="40"/>
        <v>1403.16788</v>
      </c>
    </row>
    <row r="407" spans="1:19">
      <c r="A407" s="66">
        <v>45674</v>
      </c>
      <c r="B407" s="24" t="s">
        <v>28</v>
      </c>
      <c r="C407" s="4">
        <v>18555</v>
      </c>
      <c r="D407" s="5">
        <v>22043</v>
      </c>
      <c r="E407" s="4">
        <v>13921</v>
      </c>
      <c r="F407" s="4">
        <v>17261</v>
      </c>
      <c r="G407" s="4">
        <f t="shared" si="37"/>
        <v>17945</v>
      </c>
      <c r="H407" s="7">
        <f t="shared" si="36"/>
        <v>4.4862500000000001</v>
      </c>
      <c r="I407" s="9">
        <f t="shared" si="41"/>
        <v>1</v>
      </c>
      <c r="J407" s="9">
        <f t="shared" si="38"/>
        <v>5.4862500000000001</v>
      </c>
      <c r="K407" s="10">
        <f t="shared" si="39"/>
        <v>6</v>
      </c>
      <c r="O407" s="36">
        <f>'DHS25'!C406</f>
        <v>18158</v>
      </c>
      <c r="P407" s="37">
        <f>'DHS25'!D406</f>
        <v>6129</v>
      </c>
      <c r="Q407" s="37">
        <f>'DHS25'!E406</f>
        <v>8083</v>
      </c>
      <c r="R407" s="38">
        <v>157.91</v>
      </c>
      <c r="S407" s="39">
        <f t="shared" si="40"/>
        <v>1276.38653</v>
      </c>
    </row>
    <row r="408" spans="1:19">
      <c r="A408" s="66">
        <v>45674</v>
      </c>
      <c r="B408" s="24" t="s">
        <v>29</v>
      </c>
      <c r="C408" s="4">
        <v>19183</v>
      </c>
      <c r="D408" s="5">
        <v>22192</v>
      </c>
      <c r="E408" s="4">
        <v>13398</v>
      </c>
      <c r="F408" s="4">
        <v>17296</v>
      </c>
      <c r="G408" s="4">
        <f t="shared" si="37"/>
        <v>18017.25</v>
      </c>
      <c r="H408" s="7">
        <f t="shared" si="36"/>
        <v>4.5043125000000002</v>
      </c>
      <c r="I408" s="9">
        <f t="shared" si="41"/>
        <v>1</v>
      </c>
      <c r="J408" s="9">
        <f t="shared" si="38"/>
        <v>5.5043125000000002</v>
      </c>
      <c r="K408" s="10">
        <f t="shared" si="39"/>
        <v>6</v>
      </c>
      <c r="O408" s="36">
        <f>'DHS25'!C407</f>
        <v>17812</v>
      </c>
      <c r="P408" s="37">
        <f>'DHS25'!D407</f>
        <v>6516</v>
      </c>
      <c r="Q408" s="37">
        <f>'DHS25'!E407</f>
        <v>8070</v>
      </c>
      <c r="R408" s="38">
        <v>145</v>
      </c>
      <c r="S408" s="39">
        <f t="shared" si="40"/>
        <v>1170.1500000000001</v>
      </c>
    </row>
    <row r="409" spans="1:19">
      <c r="A409" s="66">
        <v>45674</v>
      </c>
      <c r="B409" s="24" t="s">
        <v>30</v>
      </c>
      <c r="C409" s="4">
        <v>17427</v>
      </c>
      <c r="D409" s="5">
        <v>20788</v>
      </c>
      <c r="E409" s="4">
        <v>12222</v>
      </c>
      <c r="F409" s="4">
        <v>13697</v>
      </c>
      <c r="G409" s="4">
        <f t="shared" si="37"/>
        <v>16033.5</v>
      </c>
      <c r="H409" s="7">
        <f t="shared" si="36"/>
        <v>4.008375</v>
      </c>
      <c r="I409" s="9">
        <f t="shared" si="41"/>
        <v>1</v>
      </c>
      <c r="J409" s="9">
        <f t="shared" si="38"/>
        <v>5.008375</v>
      </c>
      <c r="K409" s="10">
        <f t="shared" si="39"/>
        <v>6</v>
      </c>
      <c r="O409" s="36">
        <f>'DHS25'!C408</f>
        <v>14403</v>
      </c>
      <c r="P409" s="37">
        <f>'DHS25'!D408</f>
        <v>9909</v>
      </c>
      <c r="Q409" s="37">
        <f>'DHS25'!E408</f>
        <v>8025</v>
      </c>
      <c r="R409" s="38">
        <v>139.97</v>
      </c>
      <c r="S409" s="39">
        <f t="shared" si="40"/>
        <v>1123.2592500000001</v>
      </c>
    </row>
    <row r="410" spans="1:19">
      <c r="A410" s="66">
        <v>45674</v>
      </c>
      <c r="B410" s="24" t="s">
        <v>31</v>
      </c>
      <c r="C410" s="4">
        <v>8385</v>
      </c>
      <c r="D410" s="5">
        <v>14188</v>
      </c>
      <c r="E410" s="4">
        <v>6793</v>
      </c>
      <c r="F410" s="4">
        <v>8515</v>
      </c>
      <c r="G410" s="4">
        <f t="shared" si="37"/>
        <v>9470.25</v>
      </c>
      <c r="H410" s="7">
        <f t="shared" si="36"/>
        <v>2.3675625</v>
      </c>
      <c r="I410" s="9">
        <f t="shared" si="41"/>
        <v>1</v>
      </c>
      <c r="J410" s="9">
        <f t="shared" si="38"/>
        <v>3.3675625</v>
      </c>
      <c r="K410" s="10">
        <f t="shared" si="39"/>
        <v>4</v>
      </c>
      <c r="O410" s="36">
        <f>'DHS25'!C409</f>
        <v>8715</v>
      </c>
      <c r="P410" s="37">
        <f>'DHS25'!D409</f>
        <v>10340</v>
      </c>
      <c r="Q410" s="37">
        <f>'DHS25'!E409</f>
        <v>5669</v>
      </c>
      <c r="R410" s="38">
        <v>128.6</v>
      </c>
      <c r="S410" s="39">
        <f t="shared" si="40"/>
        <v>729.03339999999992</v>
      </c>
    </row>
    <row r="411" spans="1:19">
      <c r="A411" s="67">
        <v>45675</v>
      </c>
      <c r="B411" s="25" t="s">
        <v>8</v>
      </c>
      <c r="C411" s="4">
        <v>8831</v>
      </c>
      <c r="D411" s="5">
        <v>14828</v>
      </c>
      <c r="E411" s="4">
        <v>6499</v>
      </c>
      <c r="F411" s="4">
        <v>10400</v>
      </c>
      <c r="G411" s="4">
        <f t="shared" si="37"/>
        <v>10139.5</v>
      </c>
      <c r="H411" s="7">
        <f t="shared" si="36"/>
        <v>2.534875</v>
      </c>
      <c r="I411" s="9">
        <f t="shared" si="41"/>
        <v>1</v>
      </c>
      <c r="J411" s="9">
        <f t="shared" si="38"/>
        <v>3.534875</v>
      </c>
      <c r="K411" s="10">
        <f t="shared" si="39"/>
        <v>4</v>
      </c>
      <c r="O411" s="36">
        <f>'DHS25'!C410</f>
        <v>8245</v>
      </c>
      <c r="P411" s="37">
        <f>'DHS25'!D410</f>
        <v>5040</v>
      </c>
      <c r="Q411" s="37">
        <f>'DHS25'!E410</f>
        <v>4066</v>
      </c>
      <c r="R411" s="38">
        <v>126.55</v>
      </c>
      <c r="S411" s="39">
        <f t="shared" si="40"/>
        <v>514.55229999999995</v>
      </c>
    </row>
    <row r="412" spans="1:19">
      <c r="A412" s="67">
        <v>45675</v>
      </c>
      <c r="B412" s="25" t="s">
        <v>9</v>
      </c>
      <c r="C412" s="4">
        <v>11856</v>
      </c>
      <c r="D412" s="5">
        <v>16635</v>
      </c>
      <c r="E412" s="4">
        <v>5403</v>
      </c>
      <c r="F412" s="4">
        <v>10627</v>
      </c>
      <c r="G412" s="4">
        <f t="shared" si="37"/>
        <v>11130.25</v>
      </c>
      <c r="H412" s="7">
        <f t="shared" si="36"/>
        <v>2.7825625</v>
      </c>
      <c r="I412" s="9">
        <f t="shared" si="41"/>
        <v>1</v>
      </c>
      <c r="J412" s="9">
        <f t="shared" si="38"/>
        <v>3.7825625</v>
      </c>
      <c r="K412" s="10">
        <f t="shared" si="39"/>
        <v>4</v>
      </c>
      <c r="O412" s="36">
        <f>'DHS25'!C411</f>
        <v>9661</v>
      </c>
      <c r="P412" s="37">
        <f>'DHS25'!D411</f>
        <v>4066</v>
      </c>
      <c r="Q412" s="37">
        <f>'DHS25'!E411</f>
        <v>4061</v>
      </c>
      <c r="R412" s="38">
        <v>121.29</v>
      </c>
      <c r="S412" s="39">
        <f t="shared" si="40"/>
        <v>492.55869000000001</v>
      </c>
    </row>
    <row r="413" spans="1:19">
      <c r="A413" s="67">
        <v>45675</v>
      </c>
      <c r="B413" s="25" t="s">
        <v>10</v>
      </c>
      <c r="C413" s="4">
        <v>12783</v>
      </c>
      <c r="D413" s="5">
        <v>17346</v>
      </c>
      <c r="E413" s="4">
        <v>7446</v>
      </c>
      <c r="F413" s="4">
        <v>10774</v>
      </c>
      <c r="G413" s="4">
        <f t="shared" si="37"/>
        <v>12087.25</v>
      </c>
      <c r="H413" s="7">
        <f t="shared" si="36"/>
        <v>3.0218124999999998</v>
      </c>
      <c r="I413" s="9">
        <f t="shared" si="41"/>
        <v>1</v>
      </c>
      <c r="J413" s="9">
        <f t="shared" si="38"/>
        <v>4.0218124999999993</v>
      </c>
      <c r="K413" s="10">
        <f t="shared" si="39"/>
        <v>5</v>
      </c>
      <c r="O413" s="36">
        <f>'DHS25'!C412</f>
        <v>10260</v>
      </c>
      <c r="P413" s="37">
        <f>'DHS25'!D412</f>
        <v>6721</v>
      </c>
      <c r="Q413" s="37">
        <f>'DHS25'!E412</f>
        <v>5082</v>
      </c>
      <c r="R413" s="38">
        <v>121.59</v>
      </c>
      <c r="S413" s="39">
        <f t="shared" si="40"/>
        <v>617.92038000000002</v>
      </c>
    </row>
    <row r="414" spans="1:19">
      <c r="A414" s="67">
        <v>45675</v>
      </c>
      <c r="B414" s="25" t="s">
        <v>11</v>
      </c>
      <c r="C414" s="4">
        <v>14344</v>
      </c>
      <c r="D414" s="5">
        <v>18350</v>
      </c>
      <c r="E414" s="4">
        <v>8599</v>
      </c>
      <c r="F414" s="4">
        <v>11073</v>
      </c>
      <c r="G414" s="4">
        <f t="shared" si="37"/>
        <v>13091.5</v>
      </c>
      <c r="H414" s="7">
        <f t="shared" si="36"/>
        <v>3.272875</v>
      </c>
      <c r="I414" s="9">
        <f t="shared" si="41"/>
        <v>1</v>
      </c>
      <c r="J414" s="9">
        <f t="shared" si="38"/>
        <v>4.272875</v>
      </c>
      <c r="K414" s="10">
        <f t="shared" si="39"/>
        <v>5</v>
      </c>
      <c r="O414" s="36">
        <f>'DHS25'!C413</f>
        <v>11517</v>
      </c>
      <c r="P414" s="37">
        <f>'DHS25'!D413</f>
        <v>5048</v>
      </c>
      <c r="Q414" s="37">
        <f>'DHS25'!E413</f>
        <v>5061</v>
      </c>
      <c r="R414" s="38">
        <v>118.92</v>
      </c>
      <c r="S414" s="39">
        <f t="shared" si="40"/>
        <v>601.85411999999997</v>
      </c>
    </row>
    <row r="415" spans="1:19">
      <c r="A415" s="67">
        <v>45675</v>
      </c>
      <c r="B415" s="25" t="s">
        <v>12</v>
      </c>
      <c r="C415" s="4">
        <v>22471</v>
      </c>
      <c r="D415" s="5">
        <v>21955</v>
      </c>
      <c r="E415" s="4">
        <v>15366</v>
      </c>
      <c r="F415" s="4">
        <v>13940</v>
      </c>
      <c r="G415" s="4">
        <f t="shared" si="37"/>
        <v>18433</v>
      </c>
      <c r="H415" s="7">
        <f t="shared" si="36"/>
        <v>4.60825</v>
      </c>
      <c r="I415" s="9">
        <f t="shared" si="41"/>
        <v>1</v>
      </c>
      <c r="J415" s="9">
        <f t="shared" si="38"/>
        <v>5.60825</v>
      </c>
      <c r="K415" s="10">
        <f t="shared" si="39"/>
        <v>6</v>
      </c>
      <c r="O415" s="36">
        <f>'DHS25'!C414</f>
        <v>17527</v>
      </c>
      <c r="P415" s="37">
        <f>'DHS25'!D414</f>
        <v>97</v>
      </c>
      <c r="Q415" s="37">
        <f>'DHS25'!E414</f>
        <v>5977</v>
      </c>
      <c r="R415" s="38">
        <v>117.21</v>
      </c>
      <c r="S415" s="39">
        <f t="shared" si="40"/>
        <v>700.56416999999999</v>
      </c>
    </row>
    <row r="416" spans="1:19">
      <c r="A416" s="67">
        <v>45675</v>
      </c>
      <c r="B416" s="25" t="s">
        <v>13</v>
      </c>
      <c r="C416" s="4">
        <v>18183</v>
      </c>
      <c r="D416" s="5">
        <v>23811</v>
      </c>
      <c r="E416" s="4">
        <v>17553</v>
      </c>
      <c r="F416" s="4">
        <v>15208</v>
      </c>
      <c r="G416" s="4">
        <f t="shared" si="37"/>
        <v>18688.75</v>
      </c>
      <c r="H416" s="7">
        <f t="shared" si="36"/>
        <v>4.6721874999999997</v>
      </c>
      <c r="I416" s="9">
        <f t="shared" si="41"/>
        <v>1</v>
      </c>
      <c r="J416" s="9">
        <f t="shared" si="38"/>
        <v>5.6721874999999997</v>
      </c>
      <c r="K416" s="10">
        <f t="shared" si="39"/>
        <v>6</v>
      </c>
      <c r="O416" s="36">
        <f>'DHS25'!C415</f>
        <v>19040</v>
      </c>
      <c r="P416" s="37">
        <f>'DHS25'!D415</f>
        <v>25</v>
      </c>
      <c r="Q416" s="37">
        <f>'DHS25'!E415</f>
        <v>6062</v>
      </c>
      <c r="R416" s="38">
        <v>119.85</v>
      </c>
      <c r="S416" s="39">
        <f t="shared" si="40"/>
        <v>726.53070000000002</v>
      </c>
    </row>
    <row r="417" spans="1:19">
      <c r="A417" s="67">
        <v>45675</v>
      </c>
      <c r="B417" s="25" t="s">
        <v>14</v>
      </c>
      <c r="C417" s="4">
        <v>23204</v>
      </c>
      <c r="D417" s="5">
        <v>23186</v>
      </c>
      <c r="E417" s="4">
        <v>17589</v>
      </c>
      <c r="F417" s="4">
        <v>14444</v>
      </c>
      <c r="G417" s="4">
        <f t="shared" si="37"/>
        <v>19605.75</v>
      </c>
      <c r="H417" s="7">
        <f t="shared" si="36"/>
        <v>4.9014375000000001</v>
      </c>
      <c r="I417" s="9">
        <f t="shared" si="41"/>
        <v>1</v>
      </c>
      <c r="J417" s="9">
        <f t="shared" si="38"/>
        <v>5.9014375000000001</v>
      </c>
      <c r="K417" s="10">
        <f t="shared" si="39"/>
        <v>6</v>
      </c>
      <c r="O417" s="36">
        <f>'DHS25'!C416</f>
        <v>21439</v>
      </c>
      <c r="P417" s="37">
        <f>'DHS25'!D416</f>
        <v>966</v>
      </c>
      <c r="Q417" s="37">
        <f>'DHS25'!E416</f>
        <v>7027</v>
      </c>
      <c r="R417" s="38">
        <v>125.96</v>
      </c>
      <c r="S417" s="39">
        <f t="shared" si="40"/>
        <v>885.12091999999996</v>
      </c>
    </row>
    <row r="418" spans="1:19">
      <c r="A418" s="67">
        <v>45675</v>
      </c>
      <c r="B418" s="25" t="s">
        <v>15</v>
      </c>
      <c r="C418" s="4">
        <v>16780</v>
      </c>
      <c r="D418" s="5">
        <v>22638</v>
      </c>
      <c r="E418" s="4">
        <v>14456</v>
      </c>
      <c r="F418" s="4">
        <v>14721</v>
      </c>
      <c r="G418" s="4">
        <f t="shared" si="37"/>
        <v>17148.75</v>
      </c>
      <c r="H418" s="7">
        <f t="shared" si="36"/>
        <v>4.2871874999999999</v>
      </c>
      <c r="I418" s="9">
        <f t="shared" si="41"/>
        <v>1</v>
      </c>
      <c r="J418" s="9">
        <f t="shared" si="38"/>
        <v>5.2871874999999999</v>
      </c>
      <c r="K418" s="10">
        <f t="shared" si="39"/>
        <v>6</v>
      </c>
      <c r="O418" s="36">
        <f>'DHS25'!C417</f>
        <v>17163</v>
      </c>
      <c r="P418" s="37">
        <f>'DHS25'!D417</f>
        <v>8141</v>
      </c>
      <c r="Q418" s="37">
        <f>'DHS25'!E417</f>
        <v>8072</v>
      </c>
      <c r="R418" s="38">
        <v>136.4</v>
      </c>
      <c r="S418" s="39">
        <f t="shared" si="40"/>
        <v>1101.0208</v>
      </c>
    </row>
    <row r="419" spans="1:19">
      <c r="A419" s="67">
        <v>45675</v>
      </c>
      <c r="B419" s="25" t="s">
        <v>16</v>
      </c>
      <c r="C419" s="4">
        <v>19265</v>
      </c>
      <c r="D419" s="5">
        <v>23381</v>
      </c>
      <c r="E419" s="4">
        <v>14375</v>
      </c>
      <c r="F419" s="4">
        <v>14547</v>
      </c>
      <c r="G419" s="4">
        <f t="shared" si="37"/>
        <v>17892</v>
      </c>
      <c r="H419" s="7">
        <f t="shared" si="36"/>
        <v>4.4729999999999999</v>
      </c>
      <c r="I419" s="9">
        <f t="shared" si="41"/>
        <v>1</v>
      </c>
      <c r="J419" s="9">
        <f t="shared" si="38"/>
        <v>5.4729999999999999</v>
      </c>
      <c r="K419" s="10">
        <f t="shared" si="39"/>
        <v>6</v>
      </c>
      <c r="O419" s="36">
        <f>'DHS25'!C418</f>
        <v>15309</v>
      </c>
      <c r="P419" s="37">
        <f>'DHS25'!D418</f>
        <v>8783</v>
      </c>
      <c r="Q419" s="37">
        <f>'DHS25'!E418</f>
        <v>8051</v>
      </c>
      <c r="R419" s="38">
        <v>146.05000000000001</v>
      </c>
      <c r="S419" s="39">
        <f t="shared" si="40"/>
        <v>1175.8485500000002</v>
      </c>
    </row>
    <row r="420" spans="1:19">
      <c r="A420" s="67">
        <v>45675</v>
      </c>
      <c r="B420" s="25" t="s">
        <v>17</v>
      </c>
      <c r="C420" s="4">
        <v>19578</v>
      </c>
      <c r="D420" s="5">
        <v>24076</v>
      </c>
      <c r="E420" s="4">
        <v>12941</v>
      </c>
      <c r="F420" s="4">
        <v>15991</v>
      </c>
      <c r="G420" s="4">
        <f t="shared" si="37"/>
        <v>18146.5</v>
      </c>
      <c r="H420" s="7">
        <f t="shared" si="36"/>
        <v>4.5366249999999999</v>
      </c>
      <c r="I420" s="9">
        <f t="shared" si="41"/>
        <v>1</v>
      </c>
      <c r="J420" s="9">
        <f t="shared" si="38"/>
        <v>5.5366249999999999</v>
      </c>
      <c r="K420" s="10">
        <f t="shared" si="39"/>
        <v>6</v>
      </c>
      <c r="O420" s="36">
        <f>'DHS25'!C419</f>
        <v>18320</v>
      </c>
      <c r="P420" s="37">
        <f>'DHS25'!D419</f>
        <v>7054</v>
      </c>
      <c r="Q420" s="37">
        <f>'DHS25'!E419</f>
        <v>8075</v>
      </c>
      <c r="R420" s="38">
        <v>144.1</v>
      </c>
      <c r="S420" s="39">
        <f t="shared" si="40"/>
        <v>1163.6074999999998</v>
      </c>
    </row>
    <row r="421" spans="1:19">
      <c r="A421" s="67">
        <v>45675</v>
      </c>
      <c r="B421" s="25" t="s">
        <v>18</v>
      </c>
      <c r="C421" s="4">
        <v>17863</v>
      </c>
      <c r="D421" s="5">
        <v>22614</v>
      </c>
      <c r="E421" s="4">
        <v>14002</v>
      </c>
      <c r="F421" s="4">
        <v>15470</v>
      </c>
      <c r="G421" s="4">
        <f t="shared" si="37"/>
        <v>17487.25</v>
      </c>
      <c r="H421" s="7">
        <f t="shared" si="36"/>
        <v>4.3718124999999999</v>
      </c>
      <c r="I421" s="9">
        <f t="shared" si="41"/>
        <v>1</v>
      </c>
      <c r="J421" s="9">
        <f t="shared" si="38"/>
        <v>5.3718124999999999</v>
      </c>
      <c r="K421" s="10">
        <f t="shared" si="39"/>
        <v>6</v>
      </c>
      <c r="O421" s="36">
        <f>'DHS25'!C420</f>
        <v>17660</v>
      </c>
      <c r="P421" s="37">
        <f>'DHS25'!D420</f>
        <v>6817</v>
      </c>
      <c r="Q421" s="37">
        <f>'DHS25'!E420</f>
        <v>8054</v>
      </c>
      <c r="R421" s="38">
        <v>134.69999999999999</v>
      </c>
      <c r="S421" s="39">
        <f t="shared" si="40"/>
        <v>1084.8737999999998</v>
      </c>
    </row>
    <row r="422" spans="1:19">
      <c r="A422" s="67">
        <v>45675</v>
      </c>
      <c r="B422" s="25" t="s">
        <v>19</v>
      </c>
      <c r="C422" s="4">
        <v>16904</v>
      </c>
      <c r="D422" s="5">
        <v>21918</v>
      </c>
      <c r="E422" s="4">
        <v>13379</v>
      </c>
      <c r="F422" s="4">
        <v>14891</v>
      </c>
      <c r="G422" s="4">
        <f t="shared" si="37"/>
        <v>16773</v>
      </c>
      <c r="H422" s="7">
        <f t="shared" si="36"/>
        <v>4.1932499999999999</v>
      </c>
      <c r="I422" s="9">
        <f t="shared" si="41"/>
        <v>1</v>
      </c>
      <c r="J422" s="9">
        <f t="shared" si="38"/>
        <v>5.1932499999999999</v>
      </c>
      <c r="K422" s="10">
        <f t="shared" si="39"/>
        <v>6</v>
      </c>
      <c r="O422" s="36">
        <f>'DHS25'!C421</f>
        <v>16713</v>
      </c>
      <c r="P422" s="37">
        <f>'DHS25'!D421</f>
        <v>7937</v>
      </c>
      <c r="Q422" s="37">
        <f>'DHS25'!E421</f>
        <v>8071</v>
      </c>
      <c r="R422" s="38">
        <v>121.86</v>
      </c>
      <c r="S422" s="39">
        <f t="shared" si="40"/>
        <v>983.53206</v>
      </c>
    </row>
    <row r="423" spans="1:19">
      <c r="A423" s="67">
        <v>45675</v>
      </c>
      <c r="B423" s="25" t="s">
        <v>20</v>
      </c>
      <c r="C423" s="4">
        <v>17750</v>
      </c>
      <c r="D423" s="5">
        <v>19445</v>
      </c>
      <c r="E423" s="4">
        <v>12180</v>
      </c>
      <c r="F423" s="4">
        <v>15021</v>
      </c>
      <c r="G423" s="4">
        <f t="shared" si="37"/>
        <v>16099</v>
      </c>
      <c r="H423" s="7">
        <f t="shared" si="36"/>
        <v>4.02475</v>
      </c>
      <c r="I423" s="9">
        <f t="shared" si="41"/>
        <v>1</v>
      </c>
      <c r="J423" s="9">
        <f t="shared" si="38"/>
        <v>5.02475</v>
      </c>
      <c r="K423" s="10">
        <f t="shared" si="39"/>
        <v>6</v>
      </c>
      <c r="O423" s="36">
        <f>'DHS25'!C422</f>
        <v>16701</v>
      </c>
      <c r="P423" s="37">
        <f>'DHS25'!D422</f>
        <v>7244</v>
      </c>
      <c r="Q423" s="37">
        <f>'DHS25'!E422</f>
        <v>8071</v>
      </c>
      <c r="R423" s="38">
        <v>118.87</v>
      </c>
      <c r="S423" s="39">
        <f t="shared" si="40"/>
        <v>959.39976999999999</v>
      </c>
    </row>
    <row r="424" spans="1:19">
      <c r="A424" s="67">
        <v>45675</v>
      </c>
      <c r="B424" s="25" t="s">
        <v>21</v>
      </c>
      <c r="C424" s="4">
        <v>17096</v>
      </c>
      <c r="D424" s="5">
        <v>19044</v>
      </c>
      <c r="E424" s="4">
        <v>12419</v>
      </c>
      <c r="F424" s="4">
        <v>14561</v>
      </c>
      <c r="G424" s="4">
        <f t="shared" si="37"/>
        <v>15780</v>
      </c>
      <c r="H424" s="7">
        <f t="shared" si="36"/>
        <v>3.9449999999999998</v>
      </c>
      <c r="I424" s="9">
        <f t="shared" si="41"/>
        <v>1</v>
      </c>
      <c r="J424" s="9">
        <f t="shared" si="38"/>
        <v>4.9450000000000003</v>
      </c>
      <c r="K424" s="10">
        <f t="shared" si="39"/>
        <v>5</v>
      </c>
      <c r="O424" s="36">
        <f>'DHS25'!C423</f>
        <v>17490</v>
      </c>
      <c r="P424" s="37">
        <f>'DHS25'!D423</f>
        <v>7765</v>
      </c>
      <c r="Q424" s="37">
        <f>'DHS25'!E423</f>
        <v>8068</v>
      </c>
      <c r="R424" s="38">
        <v>115.01</v>
      </c>
      <c r="S424" s="39">
        <f t="shared" si="40"/>
        <v>927.90067999999997</v>
      </c>
    </row>
    <row r="425" spans="1:19">
      <c r="A425" s="67">
        <v>45675</v>
      </c>
      <c r="B425" s="25" t="s">
        <v>22</v>
      </c>
      <c r="C425" s="4">
        <v>17161</v>
      </c>
      <c r="D425" s="5">
        <v>19822</v>
      </c>
      <c r="E425" s="4">
        <v>11777</v>
      </c>
      <c r="F425" s="4">
        <v>14689</v>
      </c>
      <c r="G425" s="4">
        <f t="shared" si="37"/>
        <v>15862.25</v>
      </c>
      <c r="H425" s="7">
        <f t="shared" si="36"/>
        <v>3.9655624999999999</v>
      </c>
      <c r="I425" s="9">
        <f t="shared" si="41"/>
        <v>1</v>
      </c>
      <c r="J425" s="9">
        <f t="shared" si="38"/>
        <v>4.9655624999999999</v>
      </c>
      <c r="K425" s="10">
        <f t="shared" si="39"/>
        <v>5</v>
      </c>
      <c r="O425" s="36">
        <f>'DHS25'!C424</f>
        <v>16748</v>
      </c>
      <c r="P425" s="37">
        <f>'DHS25'!D424</f>
        <v>7216</v>
      </c>
      <c r="Q425" s="37">
        <f>'DHS25'!E424</f>
        <v>8071</v>
      </c>
      <c r="R425" s="38">
        <v>119.62</v>
      </c>
      <c r="S425" s="39">
        <f t="shared" si="40"/>
        <v>965.45302000000004</v>
      </c>
    </row>
    <row r="426" spans="1:19">
      <c r="A426" s="67">
        <v>45675</v>
      </c>
      <c r="B426" s="25" t="s">
        <v>23</v>
      </c>
      <c r="C426" s="4">
        <v>17569</v>
      </c>
      <c r="D426" s="5">
        <v>19238</v>
      </c>
      <c r="E426" s="4">
        <v>12514</v>
      </c>
      <c r="F426" s="4">
        <v>15575</v>
      </c>
      <c r="G426" s="4">
        <f t="shared" si="37"/>
        <v>16224</v>
      </c>
      <c r="H426" s="7">
        <f t="shared" si="36"/>
        <v>4.056</v>
      </c>
      <c r="I426" s="9">
        <f t="shared" si="41"/>
        <v>1</v>
      </c>
      <c r="J426" s="9">
        <f t="shared" si="38"/>
        <v>5.056</v>
      </c>
      <c r="K426" s="10">
        <f t="shared" si="39"/>
        <v>6</v>
      </c>
      <c r="O426" s="36">
        <f>'DHS25'!C425</f>
        <v>16602</v>
      </c>
      <c r="P426" s="37">
        <f>'DHS25'!D425</f>
        <v>8035</v>
      </c>
      <c r="Q426" s="37">
        <f>'DHS25'!E425</f>
        <v>8103</v>
      </c>
      <c r="R426" s="38">
        <v>140.33000000000001</v>
      </c>
      <c r="S426" s="39">
        <f t="shared" si="40"/>
        <v>1137.0939900000001</v>
      </c>
    </row>
    <row r="427" spans="1:19">
      <c r="A427" s="67">
        <v>45675</v>
      </c>
      <c r="B427" s="25" t="s">
        <v>24</v>
      </c>
      <c r="C427" s="4">
        <v>18487</v>
      </c>
      <c r="D427" s="5">
        <v>22509</v>
      </c>
      <c r="E427" s="4">
        <v>12048</v>
      </c>
      <c r="F427" s="4">
        <v>15534</v>
      </c>
      <c r="G427" s="4">
        <f t="shared" si="37"/>
        <v>17144.5</v>
      </c>
      <c r="H427" s="7">
        <f t="shared" si="36"/>
        <v>4.2861250000000002</v>
      </c>
      <c r="I427" s="9">
        <f t="shared" si="41"/>
        <v>1</v>
      </c>
      <c r="J427" s="9">
        <f t="shared" si="38"/>
        <v>5.2861250000000002</v>
      </c>
      <c r="K427" s="10">
        <f t="shared" si="39"/>
        <v>6</v>
      </c>
      <c r="O427" s="36">
        <f>'DHS25'!C426</f>
        <v>17311</v>
      </c>
      <c r="P427" s="37">
        <f>'DHS25'!D426</f>
        <v>7602</v>
      </c>
      <c r="Q427" s="37">
        <f>'DHS25'!E426</f>
        <v>8075</v>
      </c>
      <c r="R427" s="38">
        <v>182.1</v>
      </c>
      <c r="S427" s="39">
        <f t="shared" si="40"/>
        <v>1470.4574999999998</v>
      </c>
    </row>
    <row r="428" spans="1:19">
      <c r="A428" s="67">
        <v>45675</v>
      </c>
      <c r="B428" s="25" t="s">
        <v>25</v>
      </c>
      <c r="C428" s="4">
        <v>20578</v>
      </c>
      <c r="D428" s="5">
        <v>22878</v>
      </c>
      <c r="E428" s="4">
        <v>13675</v>
      </c>
      <c r="F428" s="4">
        <v>14155</v>
      </c>
      <c r="G428" s="4">
        <f t="shared" si="37"/>
        <v>17821.5</v>
      </c>
      <c r="H428" s="7">
        <f t="shared" si="36"/>
        <v>4.4553750000000001</v>
      </c>
      <c r="I428" s="9">
        <f t="shared" si="41"/>
        <v>1</v>
      </c>
      <c r="J428" s="9">
        <f t="shared" si="38"/>
        <v>5.4553750000000001</v>
      </c>
      <c r="K428" s="10">
        <f t="shared" si="39"/>
        <v>6</v>
      </c>
      <c r="O428" s="36">
        <f>'DHS25'!C427</f>
        <v>17353</v>
      </c>
      <c r="P428" s="37">
        <f>'DHS25'!D427</f>
        <v>7307</v>
      </c>
      <c r="Q428" s="37">
        <f>'DHS25'!E427</f>
        <v>8059</v>
      </c>
      <c r="R428" s="38">
        <v>177.78</v>
      </c>
      <c r="S428" s="39">
        <f t="shared" si="40"/>
        <v>1432.72902</v>
      </c>
    </row>
    <row r="429" spans="1:19">
      <c r="A429" s="67">
        <v>45675</v>
      </c>
      <c r="B429" s="25" t="s">
        <v>26</v>
      </c>
      <c r="C429" s="4">
        <v>20877</v>
      </c>
      <c r="D429" s="5">
        <v>23178</v>
      </c>
      <c r="E429" s="4">
        <v>14355</v>
      </c>
      <c r="F429" s="4">
        <v>14018</v>
      </c>
      <c r="G429" s="4">
        <f t="shared" si="37"/>
        <v>18107</v>
      </c>
      <c r="H429" s="7">
        <f t="shared" si="36"/>
        <v>4.5267499999999998</v>
      </c>
      <c r="I429" s="9">
        <f t="shared" si="41"/>
        <v>1</v>
      </c>
      <c r="J429" s="9">
        <f t="shared" si="38"/>
        <v>5.5267499999999998</v>
      </c>
      <c r="K429" s="10">
        <f t="shared" si="39"/>
        <v>6</v>
      </c>
      <c r="O429" s="36">
        <f>'DHS25'!C428</f>
        <v>17604</v>
      </c>
      <c r="P429" s="37">
        <f>'DHS25'!D428</f>
        <v>7321</v>
      </c>
      <c r="Q429" s="37">
        <f>'DHS25'!E428</f>
        <v>8085</v>
      </c>
      <c r="R429" s="38">
        <v>167.57</v>
      </c>
      <c r="S429" s="39">
        <f t="shared" si="40"/>
        <v>1354.8034500000001</v>
      </c>
    </row>
    <row r="430" spans="1:19">
      <c r="A430" s="67">
        <v>45675</v>
      </c>
      <c r="B430" s="25" t="s">
        <v>27</v>
      </c>
      <c r="C430" s="4">
        <v>21633</v>
      </c>
      <c r="D430" s="5">
        <v>23343</v>
      </c>
      <c r="E430" s="4">
        <v>14155</v>
      </c>
      <c r="F430" s="4">
        <v>15337</v>
      </c>
      <c r="G430" s="4">
        <f t="shared" si="37"/>
        <v>18617</v>
      </c>
      <c r="H430" s="7">
        <f t="shared" si="36"/>
        <v>4.6542500000000002</v>
      </c>
      <c r="I430" s="9">
        <f t="shared" si="41"/>
        <v>1</v>
      </c>
      <c r="J430" s="9">
        <f t="shared" si="38"/>
        <v>5.6542500000000002</v>
      </c>
      <c r="K430" s="10">
        <f t="shared" si="39"/>
        <v>6</v>
      </c>
      <c r="O430" s="36">
        <f>'DHS25'!C429</f>
        <v>17478</v>
      </c>
      <c r="P430" s="37">
        <f>'DHS25'!D429</f>
        <v>6972</v>
      </c>
      <c r="Q430" s="37">
        <f>'DHS25'!E429</f>
        <v>8078</v>
      </c>
      <c r="R430" s="38">
        <v>167.85</v>
      </c>
      <c r="S430" s="39">
        <f t="shared" si="40"/>
        <v>1355.8922999999998</v>
      </c>
    </row>
    <row r="431" spans="1:19">
      <c r="A431" s="67">
        <v>45675</v>
      </c>
      <c r="B431" s="25" t="s">
        <v>28</v>
      </c>
      <c r="C431" s="4">
        <v>20050</v>
      </c>
      <c r="D431" s="5">
        <v>22857</v>
      </c>
      <c r="E431" s="4">
        <v>14432</v>
      </c>
      <c r="F431" s="4">
        <v>15193</v>
      </c>
      <c r="G431" s="4">
        <f t="shared" si="37"/>
        <v>18133</v>
      </c>
      <c r="H431" s="7">
        <f t="shared" si="36"/>
        <v>4.5332499999999998</v>
      </c>
      <c r="I431" s="9">
        <f t="shared" si="41"/>
        <v>1</v>
      </c>
      <c r="J431" s="9">
        <f t="shared" si="38"/>
        <v>5.5332499999999998</v>
      </c>
      <c r="K431" s="10">
        <f t="shared" si="39"/>
        <v>6</v>
      </c>
      <c r="O431" s="36">
        <f>'DHS25'!C430</f>
        <v>17869</v>
      </c>
      <c r="P431" s="37">
        <f>'DHS25'!D430</f>
        <v>7258</v>
      </c>
      <c r="Q431" s="37">
        <f>'DHS25'!E430</f>
        <v>8071</v>
      </c>
      <c r="R431" s="38">
        <v>156.12</v>
      </c>
      <c r="S431" s="39">
        <f t="shared" si="40"/>
        <v>1260.0445199999999</v>
      </c>
    </row>
    <row r="432" spans="1:19">
      <c r="A432" s="67">
        <v>45675</v>
      </c>
      <c r="B432" s="25" t="s">
        <v>29</v>
      </c>
      <c r="C432" s="4">
        <v>20162</v>
      </c>
      <c r="D432" s="5">
        <v>23446</v>
      </c>
      <c r="E432" s="4">
        <v>14768</v>
      </c>
      <c r="F432" s="4">
        <v>16016</v>
      </c>
      <c r="G432" s="4">
        <f t="shared" si="37"/>
        <v>18598</v>
      </c>
      <c r="H432" s="7">
        <f t="shared" si="36"/>
        <v>4.6494999999999997</v>
      </c>
      <c r="I432" s="9">
        <f t="shared" si="41"/>
        <v>1</v>
      </c>
      <c r="J432" s="9">
        <f t="shared" si="38"/>
        <v>5.6494999999999997</v>
      </c>
      <c r="K432" s="10">
        <f t="shared" si="39"/>
        <v>6</v>
      </c>
      <c r="O432" s="36">
        <f>'DHS25'!C431</f>
        <v>17785</v>
      </c>
      <c r="P432" s="37">
        <f>'DHS25'!D431</f>
        <v>6883</v>
      </c>
      <c r="Q432" s="37">
        <f>'DHS25'!E431</f>
        <v>8065</v>
      </c>
      <c r="R432" s="38">
        <v>143.41999999999999</v>
      </c>
      <c r="S432" s="39">
        <f t="shared" si="40"/>
        <v>1156.6822999999999</v>
      </c>
    </row>
    <row r="433" spans="1:19">
      <c r="A433" s="67">
        <v>45675</v>
      </c>
      <c r="B433" s="25" t="s">
        <v>30</v>
      </c>
      <c r="C433" s="4">
        <v>17076</v>
      </c>
      <c r="D433" s="5">
        <v>22531</v>
      </c>
      <c r="E433" s="4">
        <v>12567</v>
      </c>
      <c r="F433" s="4">
        <v>12488</v>
      </c>
      <c r="G433" s="4">
        <f t="shared" si="37"/>
        <v>16165.5</v>
      </c>
      <c r="H433" s="7">
        <f t="shared" si="36"/>
        <v>4.0413750000000004</v>
      </c>
      <c r="I433" s="9">
        <f t="shared" si="41"/>
        <v>1</v>
      </c>
      <c r="J433" s="9">
        <f t="shared" si="38"/>
        <v>5.0413750000000004</v>
      </c>
      <c r="K433" s="10">
        <f t="shared" si="39"/>
        <v>6</v>
      </c>
      <c r="O433" s="36">
        <f>'DHS25'!C432</f>
        <v>14854</v>
      </c>
      <c r="P433" s="37">
        <f>'DHS25'!D432</f>
        <v>8801</v>
      </c>
      <c r="Q433" s="37">
        <f>'DHS25'!E432</f>
        <v>8024</v>
      </c>
      <c r="R433" s="38">
        <v>136.4</v>
      </c>
      <c r="S433" s="39">
        <f t="shared" si="40"/>
        <v>1094.4736</v>
      </c>
    </row>
    <row r="434" spans="1:19">
      <c r="A434" s="67">
        <v>45675</v>
      </c>
      <c r="B434" s="25" t="s">
        <v>31</v>
      </c>
      <c r="C434" s="4">
        <v>9814</v>
      </c>
      <c r="D434" s="5">
        <v>15706</v>
      </c>
      <c r="E434" s="4">
        <v>6041</v>
      </c>
      <c r="F434" s="4">
        <v>6944</v>
      </c>
      <c r="G434" s="4">
        <f t="shared" si="37"/>
        <v>9626.25</v>
      </c>
      <c r="H434" s="7">
        <f t="shared" si="36"/>
        <v>2.4065625000000002</v>
      </c>
      <c r="I434" s="9">
        <f t="shared" si="41"/>
        <v>1</v>
      </c>
      <c r="J434" s="9">
        <f t="shared" si="38"/>
        <v>3.4065625000000002</v>
      </c>
      <c r="K434" s="10">
        <f t="shared" si="39"/>
        <v>4</v>
      </c>
      <c r="O434" s="36">
        <f>'DHS25'!C433</f>
        <v>9503</v>
      </c>
      <c r="P434" s="37">
        <f>'DHS25'!D433</f>
        <v>9324</v>
      </c>
      <c r="Q434" s="37">
        <f>'DHS25'!E433</f>
        <v>5964</v>
      </c>
      <c r="R434" s="38">
        <v>129.36000000000001</v>
      </c>
      <c r="S434" s="39">
        <f t="shared" si="40"/>
        <v>771.50304000000017</v>
      </c>
    </row>
    <row r="435" spans="1:19">
      <c r="A435" s="66">
        <v>45676</v>
      </c>
      <c r="B435" s="24" t="s">
        <v>8</v>
      </c>
      <c r="C435" s="4">
        <v>10956</v>
      </c>
      <c r="D435" s="5">
        <v>14634</v>
      </c>
      <c r="E435" s="4">
        <v>5839</v>
      </c>
      <c r="F435" s="4">
        <v>7716</v>
      </c>
      <c r="G435" s="4">
        <f t="shared" si="37"/>
        <v>9786.25</v>
      </c>
      <c r="H435" s="7">
        <f t="shared" si="36"/>
        <v>2.4465625000000002</v>
      </c>
      <c r="I435" s="9">
        <f t="shared" si="41"/>
        <v>1</v>
      </c>
      <c r="J435" s="9">
        <f t="shared" si="38"/>
        <v>3.4465625000000002</v>
      </c>
      <c r="K435" s="10">
        <f t="shared" si="39"/>
        <v>4</v>
      </c>
      <c r="O435" s="36">
        <f>'DHS25'!C434</f>
        <v>10344</v>
      </c>
      <c r="P435" s="37">
        <f>'DHS25'!D434</f>
        <v>3486</v>
      </c>
      <c r="Q435" s="37">
        <f>'DHS25'!E434</f>
        <v>4089</v>
      </c>
      <c r="R435" s="38">
        <v>129.96</v>
      </c>
      <c r="S435" s="39">
        <f t="shared" si="40"/>
        <v>531.40644000000009</v>
      </c>
    </row>
    <row r="436" spans="1:19">
      <c r="A436" s="66">
        <v>45676</v>
      </c>
      <c r="B436" s="24" t="s">
        <v>9</v>
      </c>
      <c r="C436" s="4">
        <v>13658</v>
      </c>
      <c r="D436" s="5">
        <v>16407</v>
      </c>
      <c r="E436" s="4">
        <v>5682</v>
      </c>
      <c r="F436" s="4">
        <v>9195</v>
      </c>
      <c r="G436" s="4">
        <f t="shared" si="37"/>
        <v>11235.5</v>
      </c>
      <c r="H436" s="7">
        <f t="shared" si="36"/>
        <v>2.808875</v>
      </c>
      <c r="I436" s="9">
        <f t="shared" si="41"/>
        <v>1</v>
      </c>
      <c r="J436" s="9">
        <f t="shared" si="38"/>
        <v>3.808875</v>
      </c>
      <c r="K436" s="10">
        <f t="shared" si="39"/>
        <v>4</v>
      </c>
      <c r="O436" s="36">
        <f>'DHS25'!C435</f>
        <v>9598</v>
      </c>
      <c r="P436" s="37">
        <f>'DHS25'!D435</f>
        <v>4881</v>
      </c>
      <c r="Q436" s="37">
        <f>'DHS25'!E435</f>
        <v>4085</v>
      </c>
      <c r="R436" s="38">
        <v>125.25</v>
      </c>
      <c r="S436" s="39">
        <f t="shared" si="40"/>
        <v>511.64625000000001</v>
      </c>
    </row>
    <row r="437" spans="1:19">
      <c r="A437" s="66">
        <v>45676</v>
      </c>
      <c r="B437" s="24" t="s">
        <v>10</v>
      </c>
      <c r="C437" s="4">
        <v>13998</v>
      </c>
      <c r="D437" s="5">
        <v>18122</v>
      </c>
      <c r="E437" s="4">
        <v>6050</v>
      </c>
      <c r="F437" s="4">
        <v>11198</v>
      </c>
      <c r="G437" s="4">
        <f t="shared" si="37"/>
        <v>12342</v>
      </c>
      <c r="H437" s="7">
        <f t="shared" si="36"/>
        <v>3.0855000000000001</v>
      </c>
      <c r="I437" s="9">
        <f t="shared" si="41"/>
        <v>1</v>
      </c>
      <c r="J437" s="9">
        <f t="shared" si="38"/>
        <v>4.0854999999999997</v>
      </c>
      <c r="K437" s="10">
        <f t="shared" si="39"/>
        <v>5</v>
      </c>
      <c r="O437" s="36">
        <f>'DHS25'!C436</f>
        <v>11284</v>
      </c>
      <c r="P437" s="37">
        <f>'DHS25'!D436</f>
        <v>5961</v>
      </c>
      <c r="Q437" s="37">
        <f>'DHS25'!E436</f>
        <v>5066</v>
      </c>
      <c r="R437" s="38">
        <v>123.93</v>
      </c>
      <c r="S437" s="39">
        <f t="shared" si="40"/>
        <v>627.82938000000001</v>
      </c>
    </row>
    <row r="438" spans="1:19">
      <c r="A438" s="66">
        <v>45676</v>
      </c>
      <c r="B438" s="24" t="s">
        <v>11</v>
      </c>
      <c r="C438" s="4">
        <v>14950</v>
      </c>
      <c r="D438" s="5">
        <v>16975</v>
      </c>
      <c r="E438" s="4">
        <v>7827</v>
      </c>
      <c r="F438" s="4">
        <v>14289</v>
      </c>
      <c r="G438" s="4">
        <f t="shared" si="37"/>
        <v>13510.25</v>
      </c>
      <c r="H438" s="7">
        <f t="shared" si="36"/>
        <v>3.3775624999999998</v>
      </c>
      <c r="I438" s="9">
        <f t="shared" si="41"/>
        <v>1</v>
      </c>
      <c r="J438" s="9">
        <f t="shared" si="38"/>
        <v>4.3775624999999998</v>
      </c>
      <c r="K438" s="10">
        <f t="shared" si="39"/>
        <v>5</v>
      </c>
      <c r="O438" s="36">
        <f>'DHS25'!C437</f>
        <v>11912</v>
      </c>
      <c r="P438" s="37">
        <f>'DHS25'!D437</f>
        <v>5240</v>
      </c>
      <c r="Q438" s="37">
        <f>'DHS25'!E437</f>
        <v>5067</v>
      </c>
      <c r="R438" s="38">
        <v>121.24</v>
      </c>
      <c r="S438" s="39">
        <f t="shared" si="40"/>
        <v>614.32308</v>
      </c>
    </row>
    <row r="439" spans="1:19">
      <c r="A439" s="66">
        <v>45676</v>
      </c>
      <c r="B439" s="24" t="s">
        <v>12</v>
      </c>
      <c r="C439" s="4">
        <v>21792</v>
      </c>
      <c r="D439" s="5">
        <v>21052</v>
      </c>
      <c r="E439" s="4">
        <v>12943</v>
      </c>
      <c r="F439" s="4">
        <v>18016</v>
      </c>
      <c r="G439" s="4">
        <f t="shared" si="37"/>
        <v>18450.75</v>
      </c>
      <c r="H439" s="7">
        <f t="shared" si="36"/>
        <v>4.6126874999999998</v>
      </c>
      <c r="I439" s="9">
        <f t="shared" si="41"/>
        <v>1</v>
      </c>
      <c r="J439" s="9">
        <f t="shared" si="38"/>
        <v>5.6126874999999998</v>
      </c>
      <c r="K439" s="10">
        <f t="shared" si="39"/>
        <v>6</v>
      </c>
      <c r="O439" s="36">
        <f>'DHS25'!C438</f>
        <v>18916</v>
      </c>
      <c r="P439" s="37">
        <f>'DHS25'!D438</f>
        <v>230</v>
      </c>
      <c r="Q439" s="37">
        <f>'DHS25'!E438</f>
        <v>6025</v>
      </c>
      <c r="R439" s="38">
        <v>120.18</v>
      </c>
      <c r="S439" s="39">
        <f t="shared" si="40"/>
        <v>724.08450000000005</v>
      </c>
    </row>
    <row r="440" spans="1:19">
      <c r="A440" s="66">
        <v>45676</v>
      </c>
      <c r="B440" s="24" t="s">
        <v>13</v>
      </c>
      <c r="C440" s="4">
        <v>20523</v>
      </c>
      <c r="D440" s="5">
        <v>22629</v>
      </c>
      <c r="E440" s="4">
        <v>15770</v>
      </c>
      <c r="F440" s="4">
        <v>16580</v>
      </c>
      <c r="G440" s="4">
        <f t="shared" si="37"/>
        <v>18875.5</v>
      </c>
      <c r="H440" s="7">
        <f t="shared" si="36"/>
        <v>4.7188749999999997</v>
      </c>
      <c r="I440" s="9">
        <f t="shared" si="41"/>
        <v>1</v>
      </c>
      <c r="J440" s="9">
        <f t="shared" si="38"/>
        <v>5.7188749999999997</v>
      </c>
      <c r="K440" s="10">
        <f t="shared" si="39"/>
        <v>6</v>
      </c>
      <c r="O440" s="36">
        <f>'DHS25'!C439</f>
        <v>19750</v>
      </c>
      <c r="P440" s="37">
        <f>'DHS25'!D439</f>
        <v>162</v>
      </c>
      <c r="Q440" s="37">
        <f>'DHS25'!E439</f>
        <v>6069</v>
      </c>
      <c r="R440" s="38">
        <v>120</v>
      </c>
      <c r="S440" s="39">
        <f t="shared" si="40"/>
        <v>728.28</v>
      </c>
    </row>
    <row r="441" spans="1:19">
      <c r="A441" s="66">
        <v>45676</v>
      </c>
      <c r="B441" s="24" t="s">
        <v>14</v>
      </c>
      <c r="C441" s="4">
        <v>21005</v>
      </c>
      <c r="D441" s="5">
        <v>23948</v>
      </c>
      <c r="E441" s="4">
        <v>18388</v>
      </c>
      <c r="F441" s="4">
        <v>16391</v>
      </c>
      <c r="G441" s="4">
        <f t="shared" si="37"/>
        <v>19933</v>
      </c>
      <c r="H441" s="7">
        <f t="shared" si="36"/>
        <v>4.98325</v>
      </c>
      <c r="I441" s="9">
        <f t="shared" si="41"/>
        <v>1</v>
      </c>
      <c r="J441" s="9">
        <f t="shared" si="38"/>
        <v>5.98325</v>
      </c>
      <c r="K441" s="10">
        <f t="shared" si="39"/>
        <v>6</v>
      </c>
      <c r="O441" s="36">
        <f>'DHS25'!C440</f>
        <v>19236</v>
      </c>
      <c r="P441" s="37">
        <f>'DHS25'!D440</f>
        <v>26</v>
      </c>
      <c r="Q441" s="37">
        <f>'DHS25'!E440</f>
        <v>6073</v>
      </c>
      <c r="R441" s="38">
        <v>121.73</v>
      </c>
      <c r="S441" s="39">
        <f t="shared" si="40"/>
        <v>739.26629000000003</v>
      </c>
    </row>
    <row r="442" spans="1:19">
      <c r="A442" s="66">
        <v>45676</v>
      </c>
      <c r="B442" s="24" t="s">
        <v>15</v>
      </c>
      <c r="C442" s="4">
        <v>17814</v>
      </c>
      <c r="D442" s="5">
        <v>19653</v>
      </c>
      <c r="E442" s="4">
        <v>16335</v>
      </c>
      <c r="F442" s="4">
        <v>16997</v>
      </c>
      <c r="G442" s="4">
        <f t="shared" si="37"/>
        <v>17699.75</v>
      </c>
      <c r="H442" s="7">
        <f t="shared" si="36"/>
        <v>4.4249375000000004</v>
      </c>
      <c r="I442" s="9">
        <f t="shared" si="41"/>
        <v>1</v>
      </c>
      <c r="J442" s="9">
        <f t="shared" si="38"/>
        <v>5.4249375000000004</v>
      </c>
      <c r="K442" s="10">
        <f t="shared" si="39"/>
        <v>6</v>
      </c>
      <c r="O442" s="36">
        <f>'DHS25'!C441</f>
        <v>17065</v>
      </c>
      <c r="P442" s="37">
        <f>'DHS25'!D441</f>
        <v>2172</v>
      </c>
      <c r="Q442" s="37">
        <f>'DHS25'!E441</f>
        <v>6080</v>
      </c>
      <c r="R442" s="38">
        <v>124.34</v>
      </c>
      <c r="S442" s="39">
        <f t="shared" si="40"/>
        <v>755.98720000000003</v>
      </c>
    </row>
    <row r="443" spans="1:19">
      <c r="A443" s="66">
        <v>45676</v>
      </c>
      <c r="B443" s="24" t="s">
        <v>16</v>
      </c>
      <c r="C443" s="4">
        <v>18577</v>
      </c>
      <c r="D443" s="5">
        <v>22500</v>
      </c>
      <c r="E443" s="4">
        <v>15374</v>
      </c>
      <c r="F443" s="4">
        <v>16551</v>
      </c>
      <c r="G443" s="4">
        <f t="shared" si="37"/>
        <v>18250.5</v>
      </c>
      <c r="H443" s="7">
        <f t="shared" si="36"/>
        <v>4.5626249999999997</v>
      </c>
      <c r="I443" s="9">
        <f t="shared" si="41"/>
        <v>1</v>
      </c>
      <c r="J443" s="9">
        <f t="shared" si="38"/>
        <v>5.5626249999999997</v>
      </c>
      <c r="K443" s="10">
        <f t="shared" si="39"/>
        <v>6</v>
      </c>
      <c r="O443" s="36">
        <f>'DHS25'!C442</f>
        <v>17953</v>
      </c>
      <c r="P443" s="37">
        <f>'DHS25'!D442</f>
        <v>3216</v>
      </c>
      <c r="Q443" s="37">
        <f>'DHS25'!E442</f>
        <v>6871</v>
      </c>
      <c r="R443" s="38">
        <v>123.7</v>
      </c>
      <c r="S443" s="39">
        <f t="shared" si="40"/>
        <v>849.94270000000006</v>
      </c>
    </row>
    <row r="444" spans="1:19">
      <c r="A444" s="66">
        <v>45676</v>
      </c>
      <c r="B444" s="24" t="s">
        <v>17</v>
      </c>
      <c r="C444" s="4">
        <v>19532</v>
      </c>
      <c r="D444" s="5">
        <v>22710</v>
      </c>
      <c r="E444" s="4">
        <v>1346</v>
      </c>
      <c r="F444" s="4">
        <v>17158</v>
      </c>
      <c r="G444" s="4">
        <f t="shared" si="37"/>
        <v>15186.5</v>
      </c>
      <c r="H444" s="7">
        <f t="shared" si="36"/>
        <v>3.7966250000000001</v>
      </c>
      <c r="I444" s="9">
        <f t="shared" si="41"/>
        <v>1</v>
      </c>
      <c r="J444" s="9">
        <f t="shared" si="38"/>
        <v>4.7966250000000006</v>
      </c>
      <c r="K444" s="10">
        <f t="shared" si="39"/>
        <v>5</v>
      </c>
      <c r="O444" s="36">
        <f>'DHS25'!C443</f>
        <v>19461</v>
      </c>
      <c r="P444" s="37">
        <f>'DHS25'!D443</f>
        <v>5270</v>
      </c>
      <c r="Q444" s="37">
        <f>'DHS25'!E443</f>
        <v>8038</v>
      </c>
      <c r="R444" s="38">
        <v>126.41</v>
      </c>
      <c r="S444" s="39">
        <f t="shared" si="40"/>
        <v>1016.08358</v>
      </c>
    </row>
    <row r="445" spans="1:19">
      <c r="A445" s="66">
        <v>45676</v>
      </c>
      <c r="B445" s="24" t="s">
        <v>18</v>
      </c>
      <c r="C445" s="4">
        <v>18271</v>
      </c>
      <c r="D445" s="5">
        <v>21899</v>
      </c>
      <c r="E445" s="4">
        <v>14910</v>
      </c>
      <c r="F445" s="4">
        <v>17627</v>
      </c>
      <c r="G445" s="4">
        <f t="shared" si="37"/>
        <v>18176.75</v>
      </c>
      <c r="H445" s="7">
        <f t="shared" si="36"/>
        <v>4.5441874999999996</v>
      </c>
      <c r="I445" s="9">
        <f t="shared" si="41"/>
        <v>1</v>
      </c>
      <c r="J445" s="9">
        <f t="shared" si="38"/>
        <v>5.5441874999999996</v>
      </c>
      <c r="K445" s="10">
        <f t="shared" si="39"/>
        <v>6</v>
      </c>
      <c r="O445" s="36">
        <f>'DHS25'!C444</f>
        <v>18619</v>
      </c>
      <c r="P445" s="37">
        <f>'DHS25'!D444</f>
        <v>5488</v>
      </c>
      <c r="Q445" s="37">
        <f>'DHS25'!E444</f>
        <v>8052</v>
      </c>
      <c r="R445" s="38">
        <v>126.98</v>
      </c>
      <c r="S445" s="39">
        <f t="shared" si="40"/>
        <v>1022.44296</v>
      </c>
    </row>
    <row r="446" spans="1:19">
      <c r="A446" s="66">
        <v>45676</v>
      </c>
      <c r="B446" s="24" t="s">
        <v>19</v>
      </c>
      <c r="C446" s="4">
        <v>16168</v>
      </c>
      <c r="D446" s="5">
        <v>20559</v>
      </c>
      <c r="E446" s="4">
        <v>14833</v>
      </c>
      <c r="F446" s="4">
        <v>16616</v>
      </c>
      <c r="G446" s="4">
        <f t="shared" si="37"/>
        <v>17044</v>
      </c>
      <c r="H446" s="7">
        <f t="shared" si="36"/>
        <v>4.2610000000000001</v>
      </c>
      <c r="I446" s="9">
        <f t="shared" si="41"/>
        <v>1</v>
      </c>
      <c r="J446" s="9">
        <f t="shared" si="38"/>
        <v>5.2610000000000001</v>
      </c>
      <c r="K446" s="10">
        <f t="shared" si="39"/>
        <v>6</v>
      </c>
      <c r="O446" s="36">
        <f>'DHS25'!C445</f>
        <v>16564</v>
      </c>
      <c r="P446" s="37">
        <f>'DHS25'!D445</f>
        <v>8190</v>
      </c>
      <c r="Q446" s="37">
        <f>'DHS25'!E445</f>
        <v>8061</v>
      </c>
      <c r="R446" s="38">
        <v>125.09</v>
      </c>
      <c r="S446" s="39">
        <f t="shared" si="40"/>
        <v>1008.35049</v>
      </c>
    </row>
    <row r="447" spans="1:19">
      <c r="A447" s="66">
        <v>45676</v>
      </c>
      <c r="B447" s="24" t="s">
        <v>20</v>
      </c>
      <c r="C447" s="4">
        <v>17443</v>
      </c>
      <c r="D447" s="5">
        <v>20243</v>
      </c>
      <c r="E447" s="4">
        <v>14487</v>
      </c>
      <c r="F447" s="4">
        <v>16778</v>
      </c>
      <c r="G447" s="4">
        <f t="shared" si="37"/>
        <v>17237.75</v>
      </c>
      <c r="H447" s="7">
        <f t="shared" si="36"/>
        <v>4.3094374999999996</v>
      </c>
      <c r="I447" s="9">
        <f t="shared" si="41"/>
        <v>1</v>
      </c>
      <c r="J447" s="9">
        <f t="shared" si="38"/>
        <v>5.3094374999999996</v>
      </c>
      <c r="K447" s="10">
        <f t="shared" si="39"/>
        <v>6</v>
      </c>
      <c r="O447" s="36">
        <f>'DHS25'!C446</f>
        <v>17766</v>
      </c>
      <c r="P447" s="37">
        <f>'DHS25'!D446</f>
        <v>6808</v>
      </c>
      <c r="Q447" s="37">
        <f>'DHS25'!E446</f>
        <v>8069</v>
      </c>
      <c r="R447" s="38">
        <v>112.25</v>
      </c>
      <c r="S447" s="39">
        <f t="shared" si="40"/>
        <v>905.74525000000006</v>
      </c>
    </row>
    <row r="448" spans="1:19">
      <c r="A448" s="66">
        <v>45676</v>
      </c>
      <c r="B448" s="24" t="s">
        <v>21</v>
      </c>
      <c r="C448" s="4">
        <v>17155</v>
      </c>
      <c r="D448" s="5">
        <v>20540</v>
      </c>
      <c r="E448" s="4">
        <v>15273</v>
      </c>
      <c r="F448" s="4">
        <v>16116</v>
      </c>
      <c r="G448" s="4">
        <f t="shared" si="37"/>
        <v>17271</v>
      </c>
      <c r="H448" s="7">
        <f t="shared" si="36"/>
        <v>4.3177500000000002</v>
      </c>
      <c r="I448" s="9">
        <f t="shared" si="41"/>
        <v>1</v>
      </c>
      <c r="J448" s="9">
        <f t="shared" si="38"/>
        <v>5.3177500000000002</v>
      </c>
      <c r="K448" s="10">
        <f t="shared" si="39"/>
        <v>6</v>
      </c>
      <c r="O448" s="36">
        <f>'DHS25'!C447</f>
        <v>16704</v>
      </c>
      <c r="P448" s="37">
        <f>'DHS25'!D447</f>
        <v>7285</v>
      </c>
      <c r="Q448" s="37">
        <f>'DHS25'!E447</f>
        <v>8052</v>
      </c>
      <c r="R448" s="38">
        <v>107.51</v>
      </c>
      <c r="S448" s="39">
        <f t="shared" si="40"/>
        <v>865.67052000000001</v>
      </c>
    </row>
    <row r="449" spans="1:19">
      <c r="A449" s="66">
        <v>45676</v>
      </c>
      <c r="B449" s="24" t="s">
        <v>22</v>
      </c>
      <c r="C449" s="4">
        <v>16633</v>
      </c>
      <c r="D449" s="5">
        <v>20383</v>
      </c>
      <c r="E449" s="4">
        <v>14963</v>
      </c>
      <c r="F449" s="4">
        <v>17660</v>
      </c>
      <c r="G449" s="4">
        <f t="shared" si="37"/>
        <v>17409.75</v>
      </c>
      <c r="H449" s="7">
        <f t="shared" si="36"/>
        <v>4.3524374999999997</v>
      </c>
      <c r="I449" s="9">
        <f t="shared" si="41"/>
        <v>1</v>
      </c>
      <c r="J449" s="9">
        <f t="shared" si="38"/>
        <v>5.3524374999999997</v>
      </c>
      <c r="K449" s="10">
        <f t="shared" si="39"/>
        <v>6</v>
      </c>
      <c r="O449" s="36">
        <f>'DHS25'!C448</f>
        <v>16721</v>
      </c>
      <c r="P449" s="37">
        <f>'DHS25'!D448</f>
        <v>8147</v>
      </c>
      <c r="Q449" s="37">
        <f>'DHS25'!E448</f>
        <v>8062</v>
      </c>
      <c r="R449" s="38">
        <v>116.81</v>
      </c>
      <c r="S449" s="39">
        <f t="shared" si="40"/>
        <v>941.72221999999999</v>
      </c>
    </row>
    <row r="450" spans="1:19">
      <c r="A450" s="66">
        <v>45676</v>
      </c>
      <c r="B450" s="24" t="s">
        <v>23</v>
      </c>
      <c r="C450" s="4">
        <v>16906</v>
      </c>
      <c r="D450" s="5">
        <v>21718</v>
      </c>
      <c r="E450" s="4">
        <v>14853</v>
      </c>
      <c r="F450" s="4">
        <v>16521</v>
      </c>
      <c r="G450" s="4">
        <f t="shared" si="37"/>
        <v>17499.5</v>
      </c>
      <c r="H450" s="7">
        <f t="shared" si="36"/>
        <v>4.3748750000000003</v>
      </c>
      <c r="I450" s="9">
        <f t="shared" si="41"/>
        <v>1</v>
      </c>
      <c r="J450" s="9">
        <f t="shared" si="38"/>
        <v>5.3748750000000003</v>
      </c>
      <c r="K450" s="10">
        <f t="shared" si="39"/>
        <v>6</v>
      </c>
      <c r="O450" s="36">
        <f>'DHS25'!C449</f>
        <v>16942</v>
      </c>
      <c r="P450" s="37">
        <f>'DHS25'!D449</f>
        <v>7373</v>
      </c>
      <c r="Q450" s="37">
        <f>'DHS25'!E449</f>
        <v>8064</v>
      </c>
      <c r="R450" s="38">
        <v>127.09</v>
      </c>
      <c r="S450" s="39">
        <f t="shared" si="40"/>
        <v>1024.85376</v>
      </c>
    </row>
    <row r="451" spans="1:19">
      <c r="A451" s="66">
        <v>45676</v>
      </c>
      <c r="B451" s="24" t="s">
        <v>24</v>
      </c>
      <c r="C451" s="4">
        <v>17334</v>
      </c>
      <c r="D451" s="5">
        <v>20630</v>
      </c>
      <c r="E451" s="4">
        <v>14726</v>
      </c>
      <c r="F451" s="4">
        <v>16491</v>
      </c>
      <c r="G451" s="4">
        <f t="shared" si="37"/>
        <v>17295.25</v>
      </c>
      <c r="H451" s="7">
        <f t="shared" ref="H451:H514" si="42">G451/$M$2/1000</f>
        <v>4.3238124999999998</v>
      </c>
      <c r="I451" s="9">
        <f t="shared" si="41"/>
        <v>1</v>
      </c>
      <c r="J451" s="9">
        <f t="shared" si="38"/>
        <v>5.3238124999999998</v>
      </c>
      <c r="K451" s="10">
        <f t="shared" si="39"/>
        <v>6</v>
      </c>
      <c r="O451" s="36">
        <f>'DHS25'!C450</f>
        <v>17063</v>
      </c>
      <c r="P451" s="37">
        <f>'DHS25'!D450</f>
        <v>7952</v>
      </c>
      <c r="Q451" s="37">
        <f>'DHS25'!E450</f>
        <v>8081</v>
      </c>
      <c r="R451" s="38">
        <v>158.58000000000001</v>
      </c>
      <c r="S451" s="39">
        <f t="shared" si="40"/>
        <v>1281.48498</v>
      </c>
    </row>
    <row r="452" spans="1:19">
      <c r="A452" s="66">
        <v>45676</v>
      </c>
      <c r="B452" s="24" t="s">
        <v>25</v>
      </c>
      <c r="C452" s="4">
        <v>16134</v>
      </c>
      <c r="D452" s="5">
        <v>21702</v>
      </c>
      <c r="E452" s="4">
        <v>14609</v>
      </c>
      <c r="F452" s="4">
        <v>16268</v>
      </c>
      <c r="G452" s="4">
        <f t="shared" ref="G452:G515" si="43">AVERAGE(C452:F452)</f>
        <v>17178.25</v>
      </c>
      <c r="H452" s="7">
        <f t="shared" si="42"/>
        <v>4.2945624999999996</v>
      </c>
      <c r="I452" s="9">
        <f t="shared" si="41"/>
        <v>1</v>
      </c>
      <c r="J452" s="9">
        <f t="shared" ref="J452:J515" si="44">H452+I452</f>
        <v>5.2945624999999996</v>
      </c>
      <c r="K452" s="10">
        <f t="shared" ref="K452:K515" si="45">ROUNDUP(J452,0)</f>
        <v>6</v>
      </c>
      <c r="O452" s="36">
        <f>'DHS25'!C451</f>
        <v>18586</v>
      </c>
      <c r="P452" s="37">
        <f>'DHS25'!D451</f>
        <v>6930</v>
      </c>
      <c r="Q452" s="37">
        <f>'DHS25'!E451</f>
        <v>8085</v>
      </c>
      <c r="R452" s="38">
        <v>170</v>
      </c>
      <c r="S452" s="39">
        <f t="shared" ref="S452:S515" si="46">(Q452/1000)*R452</f>
        <v>1374.45</v>
      </c>
    </row>
    <row r="453" spans="1:19">
      <c r="A453" s="66">
        <v>45676</v>
      </c>
      <c r="B453" s="24" t="s">
        <v>26</v>
      </c>
      <c r="C453" s="4">
        <v>17806</v>
      </c>
      <c r="D453" s="5">
        <v>20459</v>
      </c>
      <c r="E453" s="4">
        <v>15124</v>
      </c>
      <c r="F453" s="4">
        <v>17083</v>
      </c>
      <c r="G453" s="4">
        <f t="shared" si="43"/>
        <v>17618</v>
      </c>
      <c r="H453" s="7">
        <f t="shared" si="42"/>
        <v>4.4044999999999996</v>
      </c>
      <c r="I453" s="9">
        <f t="shared" ref="I453:I516" si="47">I452</f>
        <v>1</v>
      </c>
      <c r="J453" s="9">
        <f t="shared" si="44"/>
        <v>5.4044999999999996</v>
      </c>
      <c r="K453" s="10">
        <f t="shared" si="45"/>
        <v>6</v>
      </c>
      <c r="O453" s="36">
        <f>'DHS25'!C452</f>
        <v>18220</v>
      </c>
      <c r="P453" s="37">
        <f>'DHS25'!D452</f>
        <v>6805</v>
      </c>
      <c r="Q453" s="37">
        <f>'DHS25'!E452</f>
        <v>8061</v>
      </c>
      <c r="R453" s="38">
        <v>174.04</v>
      </c>
      <c r="S453" s="39">
        <f t="shared" si="46"/>
        <v>1402.9364399999999</v>
      </c>
    </row>
    <row r="454" spans="1:19">
      <c r="A454" s="66">
        <v>45676</v>
      </c>
      <c r="B454" s="24" t="s">
        <v>27</v>
      </c>
      <c r="C454" s="4">
        <v>17874</v>
      </c>
      <c r="D454" s="5">
        <v>21082</v>
      </c>
      <c r="E454" s="4">
        <v>14678</v>
      </c>
      <c r="F454" s="4">
        <v>18195</v>
      </c>
      <c r="G454" s="4">
        <f t="shared" si="43"/>
        <v>17957.25</v>
      </c>
      <c r="H454" s="7">
        <f t="shared" si="42"/>
        <v>4.4893124999999996</v>
      </c>
      <c r="I454" s="9">
        <f t="shared" si="47"/>
        <v>1</v>
      </c>
      <c r="J454" s="9">
        <f t="shared" si="44"/>
        <v>5.4893124999999996</v>
      </c>
      <c r="K454" s="10">
        <f t="shared" si="45"/>
        <v>6</v>
      </c>
      <c r="O454" s="36">
        <f>'DHS25'!C453</f>
        <v>17717</v>
      </c>
      <c r="P454" s="37">
        <f>'DHS25'!D453</f>
        <v>6277</v>
      </c>
      <c r="Q454" s="37">
        <f>'DHS25'!E453</f>
        <v>8066</v>
      </c>
      <c r="R454" s="38">
        <v>171.39</v>
      </c>
      <c r="S454" s="39">
        <f t="shared" si="46"/>
        <v>1382.43174</v>
      </c>
    </row>
    <row r="455" spans="1:19">
      <c r="A455" s="66">
        <v>45676</v>
      </c>
      <c r="B455" s="24" t="s">
        <v>28</v>
      </c>
      <c r="C455" s="4">
        <v>18012</v>
      </c>
      <c r="D455" s="5">
        <v>21376</v>
      </c>
      <c r="E455" s="4">
        <v>14892</v>
      </c>
      <c r="F455" s="4">
        <v>17665</v>
      </c>
      <c r="G455" s="4">
        <f t="shared" si="43"/>
        <v>17986.25</v>
      </c>
      <c r="H455" s="7">
        <f t="shared" si="42"/>
        <v>4.4965624999999996</v>
      </c>
      <c r="I455" s="9">
        <f t="shared" si="47"/>
        <v>1</v>
      </c>
      <c r="J455" s="9">
        <f t="shared" si="44"/>
        <v>5.4965624999999996</v>
      </c>
      <c r="K455" s="10">
        <f t="shared" si="45"/>
        <v>6</v>
      </c>
      <c r="O455" s="36">
        <f>'DHS25'!C454</f>
        <v>18954</v>
      </c>
      <c r="P455" s="37">
        <f>'DHS25'!D454</f>
        <v>6278</v>
      </c>
      <c r="Q455" s="37">
        <f>'DHS25'!E454</f>
        <v>8087</v>
      </c>
      <c r="R455" s="38">
        <v>173.51</v>
      </c>
      <c r="S455" s="39">
        <f t="shared" si="46"/>
        <v>1403.1753699999999</v>
      </c>
    </row>
    <row r="456" spans="1:19">
      <c r="A456" s="66">
        <v>45676</v>
      </c>
      <c r="B456" s="24" t="s">
        <v>29</v>
      </c>
      <c r="C456" s="4">
        <v>18699</v>
      </c>
      <c r="D456" s="5">
        <v>21361</v>
      </c>
      <c r="E456" s="4">
        <v>15128</v>
      </c>
      <c r="F456" s="4">
        <v>17469</v>
      </c>
      <c r="G456" s="4">
        <f t="shared" si="43"/>
        <v>18164.25</v>
      </c>
      <c r="H456" s="7">
        <f t="shared" si="42"/>
        <v>4.5410624999999998</v>
      </c>
      <c r="I456" s="9">
        <f t="shared" si="47"/>
        <v>1</v>
      </c>
      <c r="J456" s="9">
        <f t="shared" si="44"/>
        <v>5.5410624999999998</v>
      </c>
      <c r="K456" s="10">
        <f t="shared" si="45"/>
        <v>6</v>
      </c>
      <c r="O456" s="36">
        <f>'DHS25'!C455</f>
        <v>18619</v>
      </c>
      <c r="P456" s="37">
        <f>'DHS25'!D455</f>
        <v>5583</v>
      </c>
      <c r="Q456" s="37">
        <f>'DHS25'!E455</f>
        <v>8069</v>
      </c>
      <c r="R456" s="38">
        <v>166.49</v>
      </c>
      <c r="S456" s="39">
        <f t="shared" si="46"/>
        <v>1343.4078100000002</v>
      </c>
    </row>
    <row r="457" spans="1:19">
      <c r="A457" s="66">
        <v>45676</v>
      </c>
      <c r="B457" s="24" t="s">
        <v>30</v>
      </c>
      <c r="C457" s="4">
        <v>15451</v>
      </c>
      <c r="D457" s="5">
        <v>18867</v>
      </c>
      <c r="E457" s="4">
        <v>13330</v>
      </c>
      <c r="F457" s="4">
        <v>14699</v>
      </c>
      <c r="G457" s="4">
        <f t="shared" si="43"/>
        <v>15586.75</v>
      </c>
      <c r="H457" s="7">
        <f t="shared" si="42"/>
        <v>3.8966875000000001</v>
      </c>
      <c r="I457" s="9">
        <f t="shared" si="47"/>
        <v>1</v>
      </c>
      <c r="J457" s="9">
        <f t="shared" si="44"/>
        <v>4.8966875000000005</v>
      </c>
      <c r="K457" s="10">
        <f t="shared" si="45"/>
        <v>5</v>
      </c>
      <c r="O457" s="36">
        <f>'DHS25'!C456</f>
        <v>15594</v>
      </c>
      <c r="P457" s="37">
        <f>'DHS25'!D456</f>
        <v>8719</v>
      </c>
      <c r="Q457" s="37">
        <f>'DHS25'!E456</f>
        <v>8091</v>
      </c>
      <c r="R457" s="38">
        <v>135.51</v>
      </c>
      <c r="S457" s="39">
        <f t="shared" si="46"/>
        <v>1096.4114099999999</v>
      </c>
    </row>
    <row r="458" spans="1:19">
      <c r="A458" s="66">
        <v>45676</v>
      </c>
      <c r="B458" s="24" t="s">
        <v>31</v>
      </c>
      <c r="C458" s="4">
        <v>7354</v>
      </c>
      <c r="D458" s="5">
        <v>12738</v>
      </c>
      <c r="E458" s="4">
        <v>7054</v>
      </c>
      <c r="F458" s="4">
        <v>9462</v>
      </c>
      <c r="G458" s="4">
        <f t="shared" si="43"/>
        <v>9152</v>
      </c>
      <c r="H458" s="7">
        <f t="shared" si="42"/>
        <v>2.2879999999999998</v>
      </c>
      <c r="I458" s="9">
        <f t="shared" si="47"/>
        <v>1</v>
      </c>
      <c r="J458" s="9">
        <f t="shared" si="44"/>
        <v>3.2879999999999998</v>
      </c>
      <c r="K458" s="10">
        <f t="shared" si="45"/>
        <v>4</v>
      </c>
      <c r="O458" s="36">
        <f>'DHS25'!C457</f>
        <v>9280</v>
      </c>
      <c r="P458" s="37">
        <f>'DHS25'!D457</f>
        <v>11127</v>
      </c>
      <c r="Q458" s="37">
        <f>'DHS25'!E457</f>
        <v>6557</v>
      </c>
      <c r="R458" s="38">
        <v>124.32</v>
      </c>
      <c r="S458" s="39">
        <f t="shared" si="46"/>
        <v>815.16624000000002</v>
      </c>
    </row>
    <row r="459" spans="1:19">
      <c r="A459" s="67">
        <v>45677</v>
      </c>
      <c r="B459" s="25" t="s">
        <v>8</v>
      </c>
      <c r="C459" s="4">
        <v>7194</v>
      </c>
      <c r="D459" s="5">
        <v>12320</v>
      </c>
      <c r="E459" s="4">
        <v>6412</v>
      </c>
      <c r="F459" s="4">
        <v>8311</v>
      </c>
      <c r="G459" s="4">
        <f t="shared" si="43"/>
        <v>8559.25</v>
      </c>
      <c r="H459" s="7">
        <f t="shared" si="42"/>
        <v>2.1398125000000001</v>
      </c>
      <c r="I459" s="9">
        <f t="shared" si="47"/>
        <v>1</v>
      </c>
      <c r="J459" s="9">
        <f t="shared" si="44"/>
        <v>3.1398125000000001</v>
      </c>
      <c r="K459" s="10">
        <f t="shared" si="45"/>
        <v>4</v>
      </c>
      <c r="O459" s="36">
        <f>'DHS25'!C458</f>
        <v>9205</v>
      </c>
      <c r="P459" s="37">
        <f>'DHS25'!D458</f>
        <v>5233</v>
      </c>
      <c r="Q459" s="37">
        <f>'DHS25'!E458</f>
        <v>4089</v>
      </c>
      <c r="R459" s="38">
        <v>122.54</v>
      </c>
      <c r="S459" s="39">
        <f t="shared" si="46"/>
        <v>501.06606000000005</v>
      </c>
    </row>
    <row r="460" spans="1:19">
      <c r="A460" s="67">
        <v>45677</v>
      </c>
      <c r="B460" s="25" t="s">
        <v>9</v>
      </c>
      <c r="C460" s="4">
        <v>8853</v>
      </c>
      <c r="D460" s="5">
        <v>13857</v>
      </c>
      <c r="E460" s="4">
        <v>5830</v>
      </c>
      <c r="F460" s="4">
        <v>9817</v>
      </c>
      <c r="G460" s="4">
        <f t="shared" si="43"/>
        <v>9589.25</v>
      </c>
      <c r="H460" s="7">
        <f t="shared" si="42"/>
        <v>2.3973125</v>
      </c>
      <c r="I460" s="9">
        <f t="shared" si="47"/>
        <v>1</v>
      </c>
      <c r="J460" s="9">
        <f t="shared" si="44"/>
        <v>3.3973125</v>
      </c>
      <c r="K460" s="10">
        <f t="shared" si="45"/>
        <v>4</v>
      </c>
      <c r="O460" s="36">
        <f>'DHS25'!C459</f>
        <v>10713</v>
      </c>
      <c r="P460" s="37">
        <f>'DHS25'!D459</f>
        <v>2787</v>
      </c>
      <c r="Q460" s="37">
        <f>'DHS25'!E459</f>
        <v>4056</v>
      </c>
      <c r="R460" s="38">
        <v>119.96</v>
      </c>
      <c r="S460" s="39">
        <f t="shared" si="46"/>
        <v>486.55775999999997</v>
      </c>
    </row>
    <row r="461" spans="1:19">
      <c r="A461" s="67">
        <v>45677</v>
      </c>
      <c r="B461" s="25" t="s">
        <v>10</v>
      </c>
      <c r="C461" s="4">
        <v>10117</v>
      </c>
      <c r="D461" s="5">
        <v>14740</v>
      </c>
      <c r="E461" s="4">
        <v>7525</v>
      </c>
      <c r="F461" s="4">
        <v>10062</v>
      </c>
      <c r="G461" s="4">
        <f t="shared" si="43"/>
        <v>10611</v>
      </c>
      <c r="H461" s="7">
        <f t="shared" si="42"/>
        <v>2.6527500000000002</v>
      </c>
      <c r="I461" s="9">
        <f t="shared" si="47"/>
        <v>1</v>
      </c>
      <c r="J461" s="9">
        <f t="shared" si="44"/>
        <v>3.6527500000000002</v>
      </c>
      <c r="K461" s="10">
        <f t="shared" si="45"/>
        <v>4</v>
      </c>
      <c r="O461" s="36">
        <f>'DHS25'!C460</f>
        <v>13045</v>
      </c>
      <c r="P461" s="37">
        <f>'DHS25'!D460</f>
        <v>1617</v>
      </c>
      <c r="Q461" s="37">
        <f>'DHS25'!E460</f>
        <v>4067</v>
      </c>
      <c r="R461" s="38">
        <v>116.62</v>
      </c>
      <c r="S461" s="39">
        <f t="shared" si="46"/>
        <v>474.29354000000006</v>
      </c>
    </row>
    <row r="462" spans="1:19">
      <c r="A462" s="67">
        <v>45677</v>
      </c>
      <c r="B462" s="25" t="s">
        <v>11</v>
      </c>
      <c r="C462" s="4">
        <v>11753</v>
      </c>
      <c r="D462" s="5">
        <v>14116</v>
      </c>
      <c r="E462" s="4">
        <v>9424</v>
      </c>
      <c r="F462" s="4">
        <v>11947</v>
      </c>
      <c r="G462" s="4">
        <f t="shared" si="43"/>
        <v>11810</v>
      </c>
      <c r="H462" s="7">
        <f t="shared" si="42"/>
        <v>2.9525000000000001</v>
      </c>
      <c r="I462" s="9">
        <f t="shared" si="47"/>
        <v>1</v>
      </c>
      <c r="J462" s="9">
        <f t="shared" si="44"/>
        <v>3.9525000000000001</v>
      </c>
      <c r="K462" s="10">
        <f t="shared" si="45"/>
        <v>4</v>
      </c>
      <c r="O462" s="36">
        <f>'DHS25'!C461</f>
        <v>14138</v>
      </c>
      <c r="P462" s="37">
        <f>'DHS25'!D461</f>
        <v>644</v>
      </c>
      <c r="Q462" s="37">
        <f>'DHS25'!E461</f>
        <v>4065</v>
      </c>
      <c r="R462" s="38">
        <v>114.41</v>
      </c>
      <c r="S462" s="39">
        <f t="shared" si="46"/>
        <v>465.07665000000003</v>
      </c>
    </row>
    <row r="463" spans="1:19">
      <c r="A463" s="67">
        <v>45677</v>
      </c>
      <c r="B463" s="25" t="s">
        <v>12</v>
      </c>
      <c r="C463" s="4">
        <v>20858</v>
      </c>
      <c r="D463" s="5">
        <v>21931</v>
      </c>
      <c r="E463" s="4">
        <v>15843</v>
      </c>
      <c r="F463" s="4">
        <v>18741</v>
      </c>
      <c r="G463" s="4">
        <f t="shared" si="43"/>
        <v>19343.25</v>
      </c>
      <c r="H463" s="7">
        <f t="shared" si="42"/>
        <v>4.8358125000000003</v>
      </c>
      <c r="I463" s="9">
        <f t="shared" si="47"/>
        <v>1</v>
      </c>
      <c r="J463" s="9">
        <f t="shared" si="44"/>
        <v>5.8358125000000003</v>
      </c>
      <c r="K463" s="10">
        <f t="shared" si="45"/>
        <v>6</v>
      </c>
      <c r="O463" s="36">
        <f>'DHS25'!C462</f>
        <v>17099</v>
      </c>
      <c r="P463" s="37">
        <f>'DHS25'!D462</f>
        <v>117</v>
      </c>
      <c r="Q463" s="37">
        <f>'DHS25'!E462</f>
        <v>5023</v>
      </c>
      <c r="R463" s="38">
        <v>115.45</v>
      </c>
      <c r="S463" s="39">
        <f t="shared" si="46"/>
        <v>579.90535</v>
      </c>
    </row>
    <row r="464" spans="1:19">
      <c r="A464" s="67">
        <v>45677</v>
      </c>
      <c r="B464" s="25" t="s">
        <v>13</v>
      </c>
      <c r="C464" s="4">
        <v>19805</v>
      </c>
      <c r="D464" s="5">
        <v>21897</v>
      </c>
      <c r="E464" s="4">
        <v>15657</v>
      </c>
      <c r="F464" s="4">
        <v>20118</v>
      </c>
      <c r="G464" s="4">
        <f t="shared" si="43"/>
        <v>19369.25</v>
      </c>
      <c r="H464" s="7">
        <f t="shared" si="42"/>
        <v>4.8423125000000002</v>
      </c>
      <c r="I464" s="9">
        <f t="shared" si="47"/>
        <v>1</v>
      </c>
      <c r="J464" s="9">
        <f t="shared" si="44"/>
        <v>5.8423125000000002</v>
      </c>
      <c r="K464" s="10">
        <f t="shared" si="45"/>
        <v>6</v>
      </c>
      <c r="O464" s="36">
        <f>'DHS25'!C463</f>
        <v>21183</v>
      </c>
      <c r="P464" s="37">
        <f>'DHS25'!D463</f>
        <v>83</v>
      </c>
      <c r="Q464" s="37">
        <f>'DHS25'!E463</f>
        <v>6924</v>
      </c>
      <c r="R464" s="38">
        <v>130.13</v>
      </c>
      <c r="S464" s="39">
        <f t="shared" si="46"/>
        <v>901.02012000000002</v>
      </c>
    </row>
    <row r="465" spans="1:19">
      <c r="A465" s="67">
        <v>45677</v>
      </c>
      <c r="B465" s="25" t="s">
        <v>14</v>
      </c>
      <c r="C465" s="4">
        <v>20745</v>
      </c>
      <c r="D465" s="5">
        <v>23508</v>
      </c>
      <c r="E465" s="4">
        <v>18359</v>
      </c>
      <c r="F465" s="4">
        <v>16749</v>
      </c>
      <c r="G465" s="4">
        <f t="shared" si="43"/>
        <v>19840.25</v>
      </c>
      <c r="H465" s="7">
        <f t="shared" si="42"/>
        <v>4.9600625000000003</v>
      </c>
      <c r="I465" s="9">
        <f t="shared" si="47"/>
        <v>1</v>
      </c>
      <c r="J465" s="9">
        <f t="shared" si="44"/>
        <v>5.9600625000000003</v>
      </c>
      <c r="K465" s="10">
        <f t="shared" si="45"/>
        <v>6</v>
      </c>
      <c r="O465" s="36">
        <f>'DHS25'!C464</f>
        <v>21743</v>
      </c>
      <c r="P465" s="37">
        <f>'DHS25'!D464</f>
        <v>3013</v>
      </c>
      <c r="Q465" s="37">
        <f>'DHS25'!E464</f>
        <v>8078</v>
      </c>
      <c r="R465" s="38">
        <v>171.15</v>
      </c>
      <c r="S465" s="39">
        <f t="shared" si="46"/>
        <v>1382.5497</v>
      </c>
    </row>
    <row r="466" spans="1:19">
      <c r="A466" s="67">
        <v>45677</v>
      </c>
      <c r="B466" s="25" t="s">
        <v>15</v>
      </c>
      <c r="C466" s="4">
        <v>17217</v>
      </c>
      <c r="D466" s="5">
        <v>16092</v>
      </c>
      <c r="E466" s="4">
        <v>17257</v>
      </c>
      <c r="F466" s="4">
        <v>16446</v>
      </c>
      <c r="G466" s="4">
        <f t="shared" si="43"/>
        <v>16753</v>
      </c>
      <c r="H466" s="7">
        <f t="shared" si="42"/>
        <v>4.18825</v>
      </c>
      <c r="I466" s="9">
        <f t="shared" si="47"/>
        <v>1</v>
      </c>
      <c r="J466" s="9">
        <f t="shared" si="44"/>
        <v>5.18825</v>
      </c>
      <c r="K466" s="10">
        <f t="shared" si="45"/>
        <v>6</v>
      </c>
      <c r="O466" s="36">
        <f>'DHS25'!C465</f>
        <v>19778</v>
      </c>
      <c r="P466" s="37">
        <f>'DHS25'!D465</f>
        <v>5676</v>
      </c>
      <c r="Q466" s="37">
        <f>'DHS25'!E465</f>
        <v>8086</v>
      </c>
      <c r="R466" s="38">
        <v>300.99</v>
      </c>
      <c r="S466" s="39">
        <f t="shared" si="46"/>
        <v>2433.8051399999999</v>
      </c>
    </row>
    <row r="467" spans="1:19">
      <c r="A467" s="67">
        <v>45677</v>
      </c>
      <c r="B467" s="25" t="s">
        <v>16</v>
      </c>
      <c r="C467" s="4">
        <v>17738</v>
      </c>
      <c r="D467" s="5">
        <v>20017</v>
      </c>
      <c r="E467" s="4">
        <v>16860</v>
      </c>
      <c r="F467" s="4">
        <v>16858</v>
      </c>
      <c r="G467" s="4">
        <f t="shared" si="43"/>
        <v>17868.25</v>
      </c>
      <c r="H467" s="7">
        <f t="shared" si="42"/>
        <v>4.4670624999999999</v>
      </c>
      <c r="I467" s="9">
        <f t="shared" si="47"/>
        <v>1</v>
      </c>
      <c r="J467" s="9">
        <f t="shared" si="44"/>
        <v>5.4670624999999999</v>
      </c>
      <c r="K467" s="10">
        <f t="shared" si="45"/>
        <v>6</v>
      </c>
      <c r="O467" s="36">
        <f>'DHS25'!C466</f>
        <v>18206</v>
      </c>
      <c r="P467" s="37">
        <f>'DHS25'!D466</f>
        <v>5987</v>
      </c>
      <c r="Q467" s="37">
        <f>'DHS25'!E466</f>
        <v>8049</v>
      </c>
      <c r="R467" s="38">
        <v>450</v>
      </c>
      <c r="S467" s="39">
        <f t="shared" si="46"/>
        <v>3622.0499999999997</v>
      </c>
    </row>
    <row r="468" spans="1:19">
      <c r="A468" s="67">
        <v>45677</v>
      </c>
      <c r="B468" s="25" t="s">
        <v>17</v>
      </c>
      <c r="C468" s="4">
        <v>18222</v>
      </c>
      <c r="D468" s="5">
        <v>22290</v>
      </c>
      <c r="E468" s="4">
        <v>15062</v>
      </c>
      <c r="F468" s="4">
        <v>19104</v>
      </c>
      <c r="G468" s="4">
        <f t="shared" si="43"/>
        <v>18669.5</v>
      </c>
      <c r="H468" s="7">
        <f t="shared" si="42"/>
        <v>4.6673749999999998</v>
      </c>
      <c r="I468" s="9">
        <f t="shared" si="47"/>
        <v>1</v>
      </c>
      <c r="J468" s="9">
        <f t="shared" si="44"/>
        <v>5.6673749999999998</v>
      </c>
      <c r="K468" s="10">
        <f t="shared" si="45"/>
        <v>6</v>
      </c>
      <c r="O468" s="36">
        <f>'DHS25'!C467</f>
        <v>18089</v>
      </c>
      <c r="P468" s="37">
        <f>'DHS25'!D467</f>
        <v>5847</v>
      </c>
      <c r="Q468" s="37">
        <f>'DHS25'!E467</f>
        <v>8059</v>
      </c>
      <c r="R468" s="38">
        <v>291.89999999999998</v>
      </c>
      <c r="S468" s="39">
        <f t="shared" si="46"/>
        <v>2352.4220999999998</v>
      </c>
    </row>
    <row r="469" spans="1:19">
      <c r="A469" s="67">
        <v>45677</v>
      </c>
      <c r="B469" s="25" t="s">
        <v>18</v>
      </c>
      <c r="C469" s="4">
        <v>18367</v>
      </c>
      <c r="D469" s="5">
        <v>17900</v>
      </c>
      <c r="E469" s="4">
        <v>15862</v>
      </c>
      <c r="F469" s="4">
        <v>18293</v>
      </c>
      <c r="G469" s="4">
        <f t="shared" si="43"/>
        <v>17605.5</v>
      </c>
      <c r="H469" s="7">
        <f t="shared" si="42"/>
        <v>4.4013749999999998</v>
      </c>
      <c r="I469" s="9">
        <f t="shared" si="47"/>
        <v>1</v>
      </c>
      <c r="J469" s="9">
        <f t="shared" si="44"/>
        <v>5.4013749999999998</v>
      </c>
      <c r="K469" s="10">
        <f t="shared" si="45"/>
        <v>6</v>
      </c>
      <c r="O469" s="36">
        <f>'DHS25'!C468</f>
        <v>18872</v>
      </c>
      <c r="P469" s="37">
        <f>'DHS25'!D468</f>
        <v>5826</v>
      </c>
      <c r="Q469" s="37">
        <f>'DHS25'!E468</f>
        <v>7914</v>
      </c>
      <c r="R469" s="38">
        <v>236.29</v>
      </c>
      <c r="S469" s="39">
        <f t="shared" si="46"/>
        <v>1869.9990599999999</v>
      </c>
    </row>
    <row r="470" spans="1:19">
      <c r="A470" s="67">
        <v>45677</v>
      </c>
      <c r="B470" s="25" t="s">
        <v>19</v>
      </c>
      <c r="C470" s="4">
        <v>17522</v>
      </c>
      <c r="D470" s="5">
        <v>17542</v>
      </c>
      <c r="E470" s="4">
        <v>15600</v>
      </c>
      <c r="F470" s="4">
        <v>14747</v>
      </c>
      <c r="G470" s="4">
        <f t="shared" si="43"/>
        <v>16352.75</v>
      </c>
      <c r="H470" s="7">
        <f t="shared" si="42"/>
        <v>4.0881875000000001</v>
      </c>
      <c r="I470" s="9">
        <f t="shared" si="47"/>
        <v>1</v>
      </c>
      <c r="J470" s="9">
        <f t="shared" si="44"/>
        <v>5.0881875000000001</v>
      </c>
      <c r="K470" s="10">
        <f t="shared" si="45"/>
        <v>6</v>
      </c>
      <c r="O470" s="36">
        <f>'DHS25'!C469</f>
        <v>18287</v>
      </c>
      <c r="P470" s="37">
        <f>'DHS25'!D469</f>
        <v>5919</v>
      </c>
      <c r="Q470" s="37">
        <f>'DHS25'!E469</f>
        <v>8087</v>
      </c>
      <c r="R470" s="38">
        <v>193.9</v>
      </c>
      <c r="S470" s="39">
        <f t="shared" si="46"/>
        <v>1568.0692999999999</v>
      </c>
    </row>
    <row r="471" spans="1:19">
      <c r="A471" s="67">
        <v>45677</v>
      </c>
      <c r="B471" s="25" t="s">
        <v>20</v>
      </c>
      <c r="C471" s="4">
        <v>17946</v>
      </c>
      <c r="D471" s="5">
        <v>17749</v>
      </c>
      <c r="E471" s="4">
        <v>15522</v>
      </c>
      <c r="F471" s="4">
        <v>13608</v>
      </c>
      <c r="G471" s="4">
        <f t="shared" si="43"/>
        <v>16206.25</v>
      </c>
      <c r="H471" s="7">
        <f t="shared" si="42"/>
        <v>4.0515625000000002</v>
      </c>
      <c r="I471" s="9">
        <f t="shared" si="47"/>
        <v>1</v>
      </c>
      <c r="J471" s="9">
        <f t="shared" si="44"/>
        <v>5.0515625000000002</v>
      </c>
      <c r="K471" s="10">
        <f t="shared" si="45"/>
        <v>6</v>
      </c>
      <c r="O471" s="36">
        <f>'DHS25'!C470</f>
        <v>18207</v>
      </c>
      <c r="P471" s="37">
        <f>'DHS25'!D470</f>
        <v>6629</v>
      </c>
      <c r="Q471" s="37">
        <f>'DHS25'!E470</f>
        <v>8072</v>
      </c>
      <c r="R471" s="38">
        <v>179.94</v>
      </c>
      <c r="S471" s="39">
        <f t="shared" si="46"/>
        <v>1452.4756799999998</v>
      </c>
    </row>
    <row r="472" spans="1:19">
      <c r="A472" s="67">
        <v>45677</v>
      </c>
      <c r="B472" s="25" t="s">
        <v>21</v>
      </c>
      <c r="C472" s="4">
        <v>17739</v>
      </c>
      <c r="D472" s="5">
        <v>17844</v>
      </c>
      <c r="E472" s="4">
        <v>15215</v>
      </c>
      <c r="F472" s="4">
        <v>13631</v>
      </c>
      <c r="G472" s="4">
        <f t="shared" si="43"/>
        <v>16107.25</v>
      </c>
      <c r="H472" s="7">
        <f t="shared" si="42"/>
        <v>4.0268125000000001</v>
      </c>
      <c r="I472" s="9">
        <f t="shared" si="47"/>
        <v>1</v>
      </c>
      <c r="J472" s="9">
        <f t="shared" si="44"/>
        <v>5.0268125000000001</v>
      </c>
      <c r="K472" s="10">
        <f t="shared" si="45"/>
        <v>6</v>
      </c>
      <c r="O472" s="36">
        <f>'DHS25'!C471</f>
        <v>17394</v>
      </c>
      <c r="P472" s="37">
        <f>'DHS25'!D471</f>
        <v>6881</v>
      </c>
      <c r="Q472" s="37">
        <f>'DHS25'!E471</f>
        <v>8056</v>
      </c>
      <c r="R472" s="38">
        <v>171.39</v>
      </c>
      <c r="S472" s="39">
        <f t="shared" si="46"/>
        <v>1380.7178399999998</v>
      </c>
    </row>
    <row r="473" spans="1:19">
      <c r="A473" s="67">
        <v>45677</v>
      </c>
      <c r="B473" s="25" t="s">
        <v>22</v>
      </c>
      <c r="C473" s="4">
        <v>18083</v>
      </c>
      <c r="D473" s="5">
        <v>18401</v>
      </c>
      <c r="E473" s="4">
        <v>14740</v>
      </c>
      <c r="F473" s="4">
        <v>13790</v>
      </c>
      <c r="G473" s="4">
        <f t="shared" si="43"/>
        <v>16253.5</v>
      </c>
      <c r="H473" s="7">
        <f t="shared" si="42"/>
        <v>4.0633749999999997</v>
      </c>
      <c r="I473" s="9">
        <f t="shared" si="47"/>
        <v>1</v>
      </c>
      <c r="J473" s="9">
        <f t="shared" si="44"/>
        <v>5.0633749999999997</v>
      </c>
      <c r="K473" s="10">
        <f t="shared" si="45"/>
        <v>6</v>
      </c>
      <c r="O473" s="36">
        <f>'DHS25'!C472</f>
        <v>17192</v>
      </c>
      <c r="P473" s="37">
        <f>'DHS25'!D472</f>
        <v>8012</v>
      </c>
      <c r="Q473" s="37">
        <f>'DHS25'!E472</f>
        <v>8087</v>
      </c>
      <c r="R473" s="38">
        <v>191.86</v>
      </c>
      <c r="S473" s="39">
        <f t="shared" si="46"/>
        <v>1551.5718200000001</v>
      </c>
    </row>
    <row r="474" spans="1:19">
      <c r="A474" s="67">
        <v>45677</v>
      </c>
      <c r="B474" s="25" t="s">
        <v>23</v>
      </c>
      <c r="C474" s="4">
        <v>17181</v>
      </c>
      <c r="D474" s="5">
        <v>18939</v>
      </c>
      <c r="E474" s="4">
        <v>15219</v>
      </c>
      <c r="F474" s="4">
        <v>13535</v>
      </c>
      <c r="G474" s="4">
        <f t="shared" si="43"/>
        <v>16218.5</v>
      </c>
      <c r="H474" s="7">
        <f t="shared" si="42"/>
        <v>4.0546249999999997</v>
      </c>
      <c r="I474" s="9">
        <f t="shared" si="47"/>
        <v>1</v>
      </c>
      <c r="J474" s="9">
        <f t="shared" si="44"/>
        <v>5.0546249999999997</v>
      </c>
      <c r="K474" s="10">
        <f t="shared" si="45"/>
        <v>6</v>
      </c>
      <c r="O474" s="36">
        <f>'DHS25'!C473</f>
        <v>18229</v>
      </c>
      <c r="P474" s="37">
        <f>'DHS25'!D473</f>
        <v>6684</v>
      </c>
      <c r="Q474" s="37">
        <f>'DHS25'!E473</f>
        <v>8046</v>
      </c>
      <c r="R474" s="38">
        <v>277.05</v>
      </c>
      <c r="S474" s="39">
        <f t="shared" si="46"/>
        <v>2229.1442999999999</v>
      </c>
    </row>
    <row r="475" spans="1:19">
      <c r="A475" s="67">
        <v>45677</v>
      </c>
      <c r="B475" s="25" t="s">
        <v>24</v>
      </c>
      <c r="C475" s="4">
        <v>17243</v>
      </c>
      <c r="D475" s="5">
        <v>17849</v>
      </c>
      <c r="E475" s="4">
        <v>15617</v>
      </c>
      <c r="F475" s="4">
        <v>14379</v>
      </c>
      <c r="G475" s="4">
        <f t="shared" si="43"/>
        <v>16272</v>
      </c>
      <c r="H475" s="7">
        <f t="shared" si="42"/>
        <v>4.0679999999999996</v>
      </c>
      <c r="I475" s="9">
        <f t="shared" si="47"/>
        <v>1</v>
      </c>
      <c r="J475" s="9">
        <f t="shared" si="44"/>
        <v>5.0679999999999996</v>
      </c>
      <c r="K475" s="10">
        <f t="shared" si="45"/>
        <v>6</v>
      </c>
      <c r="O475" s="36">
        <f>'DHS25'!C474</f>
        <v>18682</v>
      </c>
      <c r="P475" s="37">
        <f>'DHS25'!D474</f>
        <v>5903</v>
      </c>
      <c r="Q475" s="37">
        <f>'DHS25'!E474</f>
        <v>8068</v>
      </c>
      <c r="R475" s="38">
        <v>389.02</v>
      </c>
      <c r="S475" s="39">
        <f t="shared" si="46"/>
        <v>3138.6133599999998</v>
      </c>
    </row>
    <row r="476" spans="1:19">
      <c r="A476" s="67">
        <v>45677</v>
      </c>
      <c r="B476" s="25" t="s">
        <v>25</v>
      </c>
      <c r="C476" s="4">
        <v>17925</v>
      </c>
      <c r="D476" s="5">
        <v>19094</v>
      </c>
      <c r="E476" s="4">
        <v>15102</v>
      </c>
      <c r="F476" s="4">
        <v>15709</v>
      </c>
      <c r="G476" s="4">
        <f t="shared" si="43"/>
        <v>16957.5</v>
      </c>
      <c r="H476" s="7">
        <f t="shared" si="42"/>
        <v>4.2393749999999999</v>
      </c>
      <c r="I476" s="9">
        <f t="shared" si="47"/>
        <v>1</v>
      </c>
      <c r="J476" s="9">
        <f t="shared" si="44"/>
        <v>5.2393749999999999</v>
      </c>
      <c r="K476" s="10">
        <f t="shared" si="45"/>
        <v>6</v>
      </c>
      <c r="O476" s="36">
        <f>'DHS25'!C475</f>
        <v>17787</v>
      </c>
      <c r="P476" s="37">
        <f>'DHS25'!D475</f>
        <v>6941</v>
      </c>
      <c r="Q476" s="37">
        <f>'DHS25'!E475</f>
        <v>8069</v>
      </c>
      <c r="R476" s="38">
        <v>563.13</v>
      </c>
      <c r="S476" s="39">
        <f t="shared" si="46"/>
        <v>4543.8959700000005</v>
      </c>
    </row>
    <row r="477" spans="1:19">
      <c r="A477" s="67">
        <v>45677</v>
      </c>
      <c r="B477" s="25" t="s">
        <v>26</v>
      </c>
      <c r="C477" s="4">
        <v>16624</v>
      </c>
      <c r="D477" s="5">
        <v>18221</v>
      </c>
      <c r="E477" s="4">
        <v>15399</v>
      </c>
      <c r="F477" s="4">
        <v>16839</v>
      </c>
      <c r="G477" s="4">
        <f t="shared" si="43"/>
        <v>16770.75</v>
      </c>
      <c r="H477" s="7">
        <f t="shared" si="42"/>
        <v>4.1926874999999999</v>
      </c>
      <c r="I477" s="9">
        <f t="shared" si="47"/>
        <v>1</v>
      </c>
      <c r="J477" s="9">
        <f t="shared" si="44"/>
        <v>5.1926874999999999</v>
      </c>
      <c r="K477" s="10">
        <f t="shared" si="45"/>
        <v>6</v>
      </c>
      <c r="O477" s="36">
        <f>'DHS25'!C476</f>
        <v>18072</v>
      </c>
      <c r="P477" s="37">
        <f>'DHS25'!D476</f>
        <v>6398</v>
      </c>
      <c r="Q477" s="37">
        <f>'DHS25'!E476</f>
        <v>8071</v>
      </c>
      <c r="R477" s="38">
        <v>473.28</v>
      </c>
      <c r="S477" s="39">
        <f t="shared" si="46"/>
        <v>3819.8428799999997</v>
      </c>
    </row>
    <row r="478" spans="1:19">
      <c r="A478" s="67">
        <v>45677</v>
      </c>
      <c r="B478" s="25" t="s">
        <v>27</v>
      </c>
      <c r="C478" s="4">
        <v>17672</v>
      </c>
      <c r="D478" s="5">
        <v>18485</v>
      </c>
      <c r="E478" s="4">
        <v>14260</v>
      </c>
      <c r="F478" s="4">
        <v>18044</v>
      </c>
      <c r="G478" s="4">
        <f t="shared" si="43"/>
        <v>17115.25</v>
      </c>
      <c r="H478" s="7">
        <f t="shared" si="42"/>
        <v>4.2788124999999999</v>
      </c>
      <c r="I478" s="9">
        <f t="shared" si="47"/>
        <v>1</v>
      </c>
      <c r="J478" s="9">
        <f t="shared" si="44"/>
        <v>5.2788124999999999</v>
      </c>
      <c r="K478" s="10">
        <f t="shared" si="45"/>
        <v>6</v>
      </c>
      <c r="O478" s="36">
        <f>'DHS25'!C477</f>
        <v>18748</v>
      </c>
      <c r="P478" s="37">
        <f>'DHS25'!D477</f>
        <v>6216</v>
      </c>
      <c r="Q478" s="37">
        <f>'DHS25'!E477</f>
        <v>8045</v>
      </c>
      <c r="R478" s="38">
        <v>295.57</v>
      </c>
      <c r="S478" s="39">
        <f t="shared" si="46"/>
        <v>2377.8606500000001</v>
      </c>
    </row>
    <row r="479" spans="1:19">
      <c r="A479" s="67">
        <v>45677</v>
      </c>
      <c r="B479" s="25" t="s">
        <v>28</v>
      </c>
      <c r="C479" s="4">
        <v>18212</v>
      </c>
      <c r="D479" s="5">
        <v>18008</v>
      </c>
      <c r="E479" s="4">
        <v>15843</v>
      </c>
      <c r="F479" s="4">
        <v>17291</v>
      </c>
      <c r="G479" s="4">
        <f t="shared" si="43"/>
        <v>17338.5</v>
      </c>
      <c r="H479" s="7">
        <f t="shared" si="42"/>
        <v>4.334625</v>
      </c>
      <c r="I479" s="9">
        <f t="shared" si="47"/>
        <v>1</v>
      </c>
      <c r="J479" s="9">
        <f t="shared" si="44"/>
        <v>5.334625</v>
      </c>
      <c r="K479" s="10">
        <f t="shared" si="45"/>
        <v>6</v>
      </c>
      <c r="O479" s="36">
        <f>'DHS25'!C478</f>
        <v>19362</v>
      </c>
      <c r="P479" s="37">
        <f>'DHS25'!D478</f>
        <v>5255</v>
      </c>
      <c r="Q479" s="37">
        <f>'DHS25'!E478</f>
        <v>8045</v>
      </c>
      <c r="R479" s="38">
        <v>220</v>
      </c>
      <c r="S479" s="39">
        <f t="shared" si="46"/>
        <v>1769.9</v>
      </c>
    </row>
    <row r="480" spans="1:19">
      <c r="A480" s="67">
        <v>45677</v>
      </c>
      <c r="B480" s="25" t="s">
        <v>29</v>
      </c>
      <c r="C480" s="4">
        <v>18042</v>
      </c>
      <c r="D480" s="5">
        <v>18569</v>
      </c>
      <c r="E480" s="4">
        <v>16489</v>
      </c>
      <c r="F480" s="4">
        <v>17872</v>
      </c>
      <c r="G480" s="4">
        <f t="shared" si="43"/>
        <v>17743</v>
      </c>
      <c r="H480" s="7">
        <f t="shared" si="42"/>
        <v>4.4357499999999996</v>
      </c>
      <c r="I480" s="9">
        <f t="shared" si="47"/>
        <v>1</v>
      </c>
      <c r="J480" s="9">
        <f t="shared" si="44"/>
        <v>5.4357499999999996</v>
      </c>
      <c r="K480" s="10">
        <f t="shared" si="45"/>
        <v>6</v>
      </c>
      <c r="O480" s="36">
        <f>'DHS25'!C479</f>
        <v>18781</v>
      </c>
      <c r="P480" s="37">
        <f>'DHS25'!D479</f>
        <v>6011</v>
      </c>
      <c r="Q480" s="37">
        <f>'DHS25'!E479</f>
        <v>8061</v>
      </c>
      <c r="R480" s="38">
        <v>170</v>
      </c>
      <c r="S480" s="39">
        <f t="shared" si="46"/>
        <v>1370.37</v>
      </c>
    </row>
    <row r="481" spans="1:19">
      <c r="A481" s="67">
        <v>45677</v>
      </c>
      <c r="B481" s="25" t="s">
        <v>30</v>
      </c>
      <c r="C481" s="4">
        <v>15736</v>
      </c>
      <c r="D481" s="5">
        <v>16448</v>
      </c>
      <c r="E481" s="4">
        <v>14449</v>
      </c>
      <c r="F481" s="4">
        <v>15149</v>
      </c>
      <c r="G481" s="4">
        <f t="shared" si="43"/>
        <v>15445.5</v>
      </c>
      <c r="H481" s="7">
        <f t="shared" si="42"/>
        <v>3.8613749999999998</v>
      </c>
      <c r="I481" s="9">
        <f t="shared" si="47"/>
        <v>1</v>
      </c>
      <c r="J481" s="9">
        <f t="shared" si="44"/>
        <v>4.8613749999999998</v>
      </c>
      <c r="K481" s="10">
        <f t="shared" si="45"/>
        <v>5</v>
      </c>
      <c r="O481" s="36">
        <f>'DHS25'!C480</f>
        <v>15454</v>
      </c>
      <c r="P481" s="37">
        <f>'DHS25'!D480</f>
        <v>8424</v>
      </c>
      <c r="Q481" s="37">
        <f>'DHS25'!E480</f>
        <v>8066</v>
      </c>
      <c r="R481" s="38">
        <v>161.63999999999999</v>
      </c>
      <c r="S481" s="39">
        <f t="shared" si="46"/>
        <v>1303.7882400000001</v>
      </c>
    </row>
    <row r="482" spans="1:19">
      <c r="A482" s="67">
        <v>45677</v>
      </c>
      <c r="B482" s="25" t="s">
        <v>31</v>
      </c>
      <c r="C482" s="4">
        <v>7843</v>
      </c>
      <c r="D482" s="5">
        <v>10762</v>
      </c>
      <c r="E482" s="4">
        <v>7990</v>
      </c>
      <c r="F482" s="4">
        <v>8996</v>
      </c>
      <c r="G482" s="4">
        <f t="shared" si="43"/>
        <v>8897.75</v>
      </c>
      <c r="H482" s="7">
        <f t="shared" si="42"/>
        <v>2.2244375000000001</v>
      </c>
      <c r="I482" s="9">
        <f t="shared" si="47"/>
        <v>1</v>
      </c>
      <c r="J482" s="9">
        <f t="shared" si="44"/>
        <v>3.2244375000000001</v>
      </c>
      <c r="K482" s="10">
        <f t="shared" si="45"/>
        <v>4</v>
      </c>
      <c r="O482" s="36">
        <f>'DHS25'!C481</f>
        <v>10665</v>
      </c>
      <c r="P482" s="37">
        <f>'DHS25'!D481</f>
        <v>8459</v>
      </c>
      <c r="Q482" s="37">
        <f>'DHS25'!E481</f>
        <v>5847</v>
      </c>
      <c r="R482" s="38">
        <v>144.33000000000001</v>
      </c>
      <c r="S482" s="39">
        <f t="shared" si="46"/>
        <v>843.89751000000012</v>
      </c>
    </row>
    <row r="483" spans="1:19">
      <c r="A483" s="66">
        <v>45678</v>
      </c>
      <c r="B483" s="24" t="s">
        <v>8</v>
      </c>
      <c r="C483" s="4">
        <v>8428</v>
      </c>
      <c r="D483" s="5">
        <v>9555</v>
      </c>
      <c r="E483" s="4">
        <v>7687</v>
      </c>
      <c r="F483" s="4">
        <v>8942</v>
      </c>
      <c r="G483" s="4">
        <f t="shared" si="43"/>
        <v>8653</v>
      </c>
      <c r="H483" s="7">
        <f t="shared" si="42"/>
        <v>2.1632500000000001</v>
      </c>
      <c r="I483" s="9">
        <f t="shared" si="47"/>
        <v>1</v>
      </c>
      <c r="J483" s="9">
        <f t="shared" si="44"/>
        <v>3.1632500000000001</v>
      </c>
      <c r="K483" s="10">
        <f t="shared" si="45"/>
        <v>4</v>
      </c>
      <c r="O483" s="36">
        <f>'DHS25'!C482</f>
        <v>9909</v>
      </c>
      <c r="P483" s="37">
        <f>'DHS25'!D482</f>
        <v>3995</v>
      </c>
      <c r="Q483" s="37">
        <f>'DHS25'!E482</f>
        <v>4089</v>
      </c>
      <c r="R483" s="38">
        <v>143.06</v>
      </c>
      <c r="S483" s="39">
        <f t="shared" si="46"/>
        <v>584.97234000000003</v>
      </c>
    </row>
    <row r="484" spans="1:19">
      <c r="A484" s="66">
        <v>45678</v>
      </c>
      <c r="B484" s="24" t="s">
        <v>9</v>
      </c>
      <c r="C484" s="4">
        <v>11022</v>
      </c>
      <c r="D484" s="5">
        <v>10340</v>
      </c>
      <c r="E484" s="4">
        <v>7045</v>
      </c>
      <c r="F484" s="4">
        <v>10506</v>
      </c>
      <c r="G484" s="4">
        <f t="shared" si="43"/>
        <v>9728.25</v>
      </c>
      <c r="H484" s="7">
        <f t="shared" si="42"/>
        <v>2.4320624999999998</v>
      </c>
      <c r="I484" s="9">
        <f t="shared" si="47"/>
        <v>1</v>
      </c>
      <c r="J484" s="9">
        <f t="shared" si="44"/>
        <v>3.4320624999999998</v>
      </c>
      <c r="K484" s="10">
        <f t="shared" si="45"/>
        <v>4</v>
      </c>
      <c r="O484" s="36">
        <f>'DHS25'!C483</f>
        <v>10926</v>
      </c>
      <c r="P484" s="37">
        <f>'DHS25'!D483</f>
        <v>3133</v>
      </c>
      <c r="Q484" s="37">
        <f>'DHS25'!E483</f>
        <v>4092</v>
      </c>
      <c r="R484" s="38">
        <v>136.88</v>
      </c>
      <c r="S484" s="39">
        <f t="shared" si="46"/>
        <v>560.11295999999993</v>
      </c>
    </row>
    <row r="485" spans="1:19">
      <c r="A485" s="66">
        <v>45678</v>
      </c>
      <c r="B485" s="24" t="s">
        <v>10</v>
      </c>
      <c r="C485" s="4">
        <v>11804</v>
      </c>
      <c r="D485" s="5">
        <v>12256</v>
      </c>
      <c r="E485" s="4">
        <v>9293</v>
      </c>
      <c r="F485" s="4">
        <v>11227</v>
      </c>
      <c r="G485" s="4">
        <f t="shared" si="43"/>
        <v>11145</v>
      </c>
      <c r="H485" s="7">
        <f t="shared" si="42"/>
        <v>2.7862499999999999</v>
      </c>
      <c r="I485" s="9">
        <f t="shared" si="47"/>
        <v>1</v>
      </c>
      <c r="J485" s="9">
        <f t="shared" si="44"/>
        <v>3.7862499999999999</v>
      </c>
      <c r="K485" s="10">
        <f t="shared" si="45"/>
        <v>4</v>
      </c>
      <c r="O485" s="36">
        <f>'DHS25'!C484</f>
        <v>11919</v>
      </c>
      <c r="P485" s="37">
        <f>'DHS25'!D484</f>
        <v>2853</v>
      </c>
      <c r="Q485" s="37">
        <f>'DHS25'!E484</f>
        <v>4059</v>
      </c>
      <c r="R485" s="38">
        <v>130.12</v>
      </c>
      <c r="S485" s="39">
        <f t="shared" si="46"/>
        <v>528.15708000000006</v>
      </c>
    </row>
    <row r="486" spans="1:19">
      <c r="A486" s="66">
        <v>45678</v>
      </c>
      <c r="B486" s="24" t="s">
        <v>11</v>
      </c>
      <c r="C486" s="4">
        <v>12814</v>
      </c>
      <c r="D486" s="5">
        <v>11929</v>
      </c>
      <c r="E486" s="4">
        <v>8757</v>
      </c>
      <c r="F486" s="4">
        <v>13392</v>
      </c>
      <c r="G486" s="4">
        <f t="shared" si="43"/>
        <v>11723</v>
      </c>
      <c r="H486" s="7">
        <f t="shared" si="42"/>
        <v>2.9307500000000002</v>
      </c>
      <c r="I486" s="9">
        <f t="shared" si="47"/>
        <v>1</v>
      </c>
      <c r="J486" s="9">
        <f t="shared" si="44"/>
        <v>3.9307500000000002</v>
      </c>
      <c r="K486" s="10">
        <f t="shared" si="45"/>
        <v>4</v>
      </c>
      <c r="O486" s="36">
        <f>'DHS25'!C485</f>
        <v>13039</v>
      </c>
      <c r="P486" s="37">
        <f>'DHS25'!D485</f>
        <v>1186</v>
      </c>
      <c r="Q486" s="37">
        <f>'DHS25'!E485</f>
        <v>4076</v>
      </c>
      <c r="R486" s="38">
        <v>136.35</v>
      </c>
      <c r="S486" s="39">
        <f t="shared" si="46"/>
        <v>555.76259999999991</v>
      </c>
    </row>
    <row r="487" spans="1:19">
      <c r="A487" s="66">
        <v>45678</v>
      </c>
      <c r="B487" s="24" t="s">
        <v>12</v>
      </c>
      <c r="C487" s="4">
        <v>23050</v>
      </c>
      <c r="D487" s="5">
        <v>20530</v>
      </c>
      <c r="E487" s="4">
        <v>14811</v>
      </c>
      <c r="F487" s="4">
        <v>16294</v>
      </c>
      <c r="G487" s="4">
        <f t="shared" si="43"/>
        <v>18671.25</v>
      </c>
      <c r="H487" s="7">
        <f t="shared" si="42"/>
        <v>4.6678125000000001</v>
      </c>
      <c r="I487" s="9">
        <f t="shared" si="47"/>
        <v>1</v>
      </c>
      <c r="J487" s="9">
        <f t="shared" si="44"/>
        <v>5.6678125000000001</v>
      </c>
      <c r="K487" s="10">
        <f t="shared" si="45"/>
        <v>6</v>
      </c>
      <c r="O487" s="36">
        <f>'DHS25'!C486</f>
        <v>20896</v>
      </c>
      <c r="P487" s="37">
        <f>'DHS25'!D486</f>
        <v>1081</v>
      </c>
      <c r="Q487" s="37">
        <f>'DHS25'!E486</f>
        <v>7175</v>
      </c>
      <c r="R487" s="38">
        <v>152.80000000000001</v>
      </c>
      <c r="S487" s="39">
        <f t="shared" si="46"/>
        <v>1096.3400000000001</v>
      </c>
    </row>
    <row r="488" spans="1:19">
      <c r="A488" s="66">
        <v>45678</v>
      </c>
      <c r="B488" s="24" t="s">
        <v>13</v>
      </c>
      <c r="C488" s="4">
        <v>23426</v>
      </c>
      <c r="D488" s="5">
        <v>19172</v>
      </c>
      <c r="E488" s="4">
        <v>15556</v>
      </c>
      <c r="F488" s="4">
        <v>13567</v>
      </c>
      <c r="G488" s="4">
        <f t="shared" si="43"/>
        <v>17930.25</v>
      </c>
      <c r="H488" s="7">
        <f t="shared" si="42"/>
        <v>4.4825625000000002</v>
      </c>
      <c r="I488" s="9">
        <f t="shared" si="47"/>
        <v>1</v>
      </c>
      <c r="J488" s="9">
        <f t="shared" si="44"/>
        <v>5.4825625000000002</v>
      </c>
      <c r="K488" s="10">
        <f t="shared" si="45"/>
        <v>6</v>
      </c>
      <c r="O488" s="36">
        <f>'DHS25'!C487</f>
        <v>21623</v>
      </c>
      <c r="P488" s="37">
        <f>'DHS25'!D487</f>
        <v>3083</v>
      </c>
      <c r="Q488" s="37">
        <f>'DHS25'!E487</f>
        <v>8008</v>
      </c>
      <c r="R488" s="38">
        <v>184.32</v>
      </c>
      <c r="S488" s="39">
        <f t="shared" si="46"/>
        <v>1476.0345599999998</v>
      </c>
    </row>
    <row r="489" spans="1:19">
      <c r="A489" s="66">
        <v>45678</v>
      </c>
      <c r="B489" s="24" t="s">
        <v>14</v>
      </c>
      <c r="C489" s="4">
        <v>24244</v>
      </c>
      <c r="D489" s="5">
        <v>19512</v>
      </c>
      <c r="E489" s="4">
        <v>15517</v>
      </c>
      <c r="F489" s="4">
        <v>14581</v>
      </c>
      <c r="G489" s="4">
        <f t="shared" si="43"/>
        <v>18463.5</v>
      </c>
      <c r="H489" s="7">
        <f t="shared" si="42"/>
        <v>4.615875</v>
      </c>
      <c r="I489" s="9">
        <f t="shared" si="47"/>
        <v>1</v>
      </c>
      <c r="J489" s="9">
        <f t="shared" si="44"/>
        <v>5.615875</v>
      </c>
      <c r="K489" s="10">
        <f t="shared" si="45"/>
        <v>6</v>
      </c>
      <c r="O489" s="36">
        <f>'DHS25'!C488</f>
        <v>21801</v>
      </c>
      <c r="P489" s="37">
        <f>'DHS25'!D488</f>
        <v>3408</v>
      </c>
      <c r="Q489" s="37">
        <f>'DHS25'!E488</f>
        <v>8048</v>
      </c>
      <c r="R489" s="38">
        <v>243.13</v>
      </c>
      <c r="S489" s="39">
        <f t="shared" si="46"/>
        <v>1956.7102399999999</v>
      </c>
    </row>
    <row r="490" spans="1:19">
      <c r="A490" s="66">
        <v>45678</v>
      </c>
      <c r="B490" s="24" t="s">
        <v>15</v>
      </c>
      <c r="C490" s="4">
        <v>23038</v>
      </c>
      <c r="D490" s="5">
        <v>17161</v>
      </c>
      <c r="E490" s="4">
        <v>15450</v>
      </c>
      <c r="F490" s="4">
        <v>15860</v>
      </c>
      <c r="G490" s="4">
        <f t="shared" si="43"/>
        <v>17877.25</v>
      </c>
      <c r="H490" s="7">
        <f t="shared" si="42"/>
        <v>4.4693125</v>
      </c>
      <c r="I490" s="9">
        <f t="shared" si="47"/>
        <v>1</v>
      </c>
      <c r="J490" s="9">
        <f t="shared" si="44"/>
        <v>5.4693125</v>
      </c>
      <c r="K490" s="10">
        <f t="shared" si="45"/>
        <v>6</v>
      </c>
      <c r="O490" s="36">
        <f>'DHS25'!C489</f>
        <v>16811</v>
      </c>
      <c r="P490" s="37">
        <f>'DHS25'!D489</f>
        <v>6239</v>
      </c>
      <c r="Q490" s="37">
        <f>'DHS25'!E489</f>
        <v>8075</v>
      </c>
      <c r="R490" s="38">
        <v>393.4</v>
      </c>
      <c r="S490" s="39">
        <f t="shared" si="46"/>
        <v>3176.7049999999995</v>
      </c>
    </row>
    <row r="491" spans="1:19">
      <c r="A491" s="66">
        <v>45678</v>
      </c>
      <c r="B491" s="24" t="s">
        <v>16</v>
      </c>
      <c r="C491" s="4">
        <v>21994</v>
      </c>
      <c r="D491" s="5">
        <v>17403</v>
      </c>
      <c r="E491" s="4">
        <v>17911</v>
      </c>
      <c r="F491" s="4">
        <v>15655</v>
      </c>
      <c r="G491" s="4">
        <f t="shared" si="43"/>
        <v>18240.75</v>
      </c>
      <c r="H491" s="7">
        <f t="shared" si="42"/>
        <v>4.5601874999999996</v>
      </c>
      <c r="I491" s="9">
        <f t="shared" si="47"/>
        <v>1</v>
      </c>
      <c r="J491" s="9">
        <f t="shared" si="44"/>
        <v>5.5601874999999996</v>
      </c>
      <c r="K491" s="10">
        <f t="shared" si="45"/>
        <v>6</v>
      </c>
      <c r="O491" s="36">
        <f>'DHS25'!C490</f>
        <v>18721</v>
      </c>
      <c r="P491" s="37">
        <f>'DHS25'!D490</f>
        <v>6030</v>
      </c>
      <c r="Q491" s="37">
        <f>'DHS25'!E490</f>
        <v>8097</v>
      </c>
      <c r="R491" s="38">
        <v>517.52</v>
      </c>
      <c r="S491" s="39">
        <f t="shared" si="46"/>
        <v>4190.3594399999993</v>
      </c>
    </row>
    <row r="492" spans="1:19">
      <c r="A492" s="66">
        <v>45678</v>
      </c>
      <c r="B492" s="24" t="s">
        <v>17</v>
      </c>
      <c r="C492" s="4">
        <v>19487</v>
      </c>
      <c r="D492" s="5">
        <v>17286</v>
      </c>
      <c r="E492" s="4">
        <v>15769</v>
      </c>
      <c r="F492" s="4">
        <v>16740</v>
      </c>
      <c r="G492" s="4">
        <f t="shared" si="43"/>
        <v>17320.5</v>
      </c>
      <c r="H492" s="7">
        <f t="shared" si="42"/>
        <v>4.3301249999999998</v>
      </c>
      <c r="I492" s="9">
        <f t="shared" si="47"/>
        <v>1</v>
      </c>
      <c r="J492" s="9">
        <f t="shared" si="44"/>
        <v>5.3301249999999998</v>
      </c>
      <c r="K492" s="10">
        <f t="shared" si="45"/>
        <v>6</v>
      </c>
      <c r="O492" s="36">
        <f>'DHS25'!C491</f>
        <v>19367</v>
      </c>
      <c r="P492" s="37">
        <f>'DHS25'!D491</f>
        <v>5881</v>
      </c>
      <c r="Q492" s="37">
        <f>'DHS25'!E491</f>
        <v>8068</v>
      </c>
      <c r="R492" s="38">
        <v>317.64999999999998</v>
      </c>
      <c r="S492" s="39">
        <f t="shared" si="46"/>
        <v>2562.8001999999997</v>
      </c>
    </row>
    <row r="493" spans="1:19">
      <c r="A493" s="66">
        <v>45678</v>
      </c>
      <c r="B493" s="24" t="s">
        <v>18</v>
      </c>
      <c r="C493" s="4">
        <v>16785</v>
      </c>
      <c r="D493" s="5">
        <v>17089</v>
      </c>
      <c r="E493" s="4">
        <v>16714</v>
      </c>
      <c r="F493" s="4">
        <v>16254</v>
      </c>
      <c r="G493" s="4">
        <f t="shared" si="43"/>
        <v>16710.5</v>
      </c>
      <c r="H493" s="7">
        <f t="shared" si="42"/>
        <v>4.1776249999999999</v>
      </c>
      <c r="I493" s="9">
        <f t="shared" si="47"/>
        <v>1</v>
      </c>
      <c r="J493" s="9">
        <f t="shared" si="44"/>
        <v>5.1776249999999999</v>
      </c>
      <c r="K493" s="10">
        <f t="shared" si="45"/>
        <v>6</v>
      </c>
      <c r="O493" s="36">
        <f>'DHS25'!C492</f>
        <v>17358</v>
      </c>
      <c r="P493" s="37">
        <f>'DHS25'!D492</f>
        <v>7723</v>
      </c>
      <c r="Q493" s="37">
        <f>'DHS25'!E492</f>
        <v>8047</v>
      </c>
      <c r="R493" s="38">
        <v>271.32</v>
      </c>
      <c r="S493" s="39">
        <f t="shared" si="46"/>
        <v>2183.3120400000003</v>
      </c>
    </row>
    <row r="494" spans="1:19">
      <c r="A494" s="66">
        <v>45678</v>
      </c>
      <c r="B494" s="24" t="s">
        <v>19</v>
      </c>
      <c r="C494" s="4">
        <v>16370</v>
      </c>
      <c r="D494" s="5">
        <v>16136</v>
      </c>
      <c r="E494" s="4">
        <v>15802</v>
      </c>
      <c r="F494" s="4">
        <v>16052</v>
      </c>
      <c r="G494" s="4">
        <f t="shared" si="43"/>
        <v>16090</v>
      </c>
      <c r="H494" s="7">
        <f t="shared" si="42"/>
        <v>4.0225</v>
      </c>
      <c r="I494" s="9">
        <f t="shared" si="47"/>
        <v>1</v>
      </c>
      <c r="J494" s="9">
        <f t="shared" si="44"/>
        <v>5.0225</v>
      </c>
      <c r="K494" s="10">
        <f t="shared" si="45"/>
        <v>6</v>
      </c>
      <c r="O494" s="36">
        <f>'DHS25'!C493</f>
        <v>16768</v>
      </c>
      <c r="P494" s="37">
        <f>'DHS25'!D493</f>
        <v>7486</v>
      </c>
      <c r="Q494" s="37">
        <f>'DHS25'!E493</f>
        <v>8080</v>
      </c>
      <c r="R494" s="38">
        <v>240.89</v>
      </c>
      <c r="S494" s="39">
        <f t="shared" si="46"/>
        <v>1946.3911999999998</v>
      </c>
    </row>
    <row r="495" spans="1:19">
      <c r="A495" s="66">
        <v>45678</v>
      </c>
      <c r="B495" s="24" t="s">
        <v>20</v>
      </c>
      <c r="C495" s="4">
        <v>17640</v>
      </c>
      <c r="D495" s="5">
        <v>15758</v>
      </c>
      <c r="E495" s="4">
        <v>14413</v>
      </c>
      <c r="F495" s="4">
        <v>15795</v>
      </c>
      <c r="G495" s="4">
        <f t="shared" si="43"/>
        <v>15901.5</v>
      </c>
      <c r="H495" s="7">
        <f t="shared" si="42"/>
        <v>3.9753750000000001</v>
      </c>
      <c r="I495" s="9">
        <f t="shared" si="47"/>
        <v>1</v>
      </c>
      <c r="J495" s="9">
        <f t="shared" si="44"/>
        <v>4.9753749999999997</v>
      </c>
      <c r="K495" s="10">
        <f t="shared" si="45"/>
        <v>5</v>
      </c>
      <c r="O495" s="36">
        <f>'DHS25'!C494</f>
        <v>17406</v>
      </c>
      <c r="P495" s="37">
        <f>'DHS25'!D494</f>
        <v>7347</v>
      </c>
      <c r="Q495" s="37">
        <f>'DHS25'!E494</f>
        <v>8078</v>
      </c>
      <c r="R495" s="38">
        <v>245.5</v>
      </c>
      <c r="S495" s="39">
        <f t="shared" si="46"/>
        <v>1983.1489999999999</v>
      </c>
    </row>
    <row r="496" spans="1:19">
      <c r="A496" s="66">
        <v>45678</v>
      </c>
      <c r="B496" s="24" t="s">
        <v>21</v>
      </c>
      <c r="C496" s="4">
        <v>16222</v>
      </c>
      <c r="D496" s="5">
        <v>15844</v>
      </c>
      <c r="E496" s="4">
        <v>13842</v>
      </c>
      <c r="F496" s="4">
        <v>14685</v>
      </c>
      <c r="G496" s="4">
        <f t="shared" si="43"/>
        <v>15148.25</v>
      </c>
      <c r="H496" s="7">
        <f t="shared" si="42"/>
        <v>3.7870625000000002</v>
      </c>
      <c r="I496" s="9">
        <f t="shared" si="47"/>
        <v>1</v>
      </c>
      <c r="J496" s="9">
        <f t="shared" si="44"/>
        <v>4.7870625000000002</v>
      </c>
      <c r="K496" s="10">
        <f t="shared" si="45"/>
        <v>5</v>
      </c>
      <c r="O496" s="36">
        <f>'DHS25'!C495</f>
        <v>16369</v>
      </c>
      <c r="P496" s="37">
        <f>'DHS25'!D495</f>
        <v>7909</v>
      </c>
      <c r="Q496" s="37">
        <f>'DHS25'!E495</f>
        <v>8081</v>
      </c>
      <c r="R496" s="38">
        <v>217</v>
      </c>
      <c r="S496" s="39">
        <f t="shared" si="46"/>
        <v>1753.577</v>
      </c>
    </row>
    <row r="497" spans="1:19">
      <c r="A497" s="66">
        <v>45678</v>
      </c>
      <c r="B497" s="24" t="s">
        <v>22</v>
      </c>
      <c r="C497" s="4">
        <v>17495</v>
      </c>
      <c r="D497" s="5">
        <v>15956</v>
      </c>
      <c r="E497" s="4">
        <v>11583</v>
      </c>
      <c r="F497" s="4">
        <v>14720</v>
      </c>
      <c r="G497" s="4">
        <f t="shared" si="43"/>
        <v>14938.5</v>
      </c>
      <c r="H497" s="7">
        <f t="shared" si="42"/>
        <v>3.7346249999999999</v>
      </c>
      <c r="I497" s="9">
        <f t="shared" si="47"/>
        <v>1</v>
      </c>
      <c r="J497" s="9">
        <f t="shared" si="44"/>
        <v>4.7346249999999994</v>
      </c>
      <c r="K497" s="10">
        <f t="shared" si="45"/>
        <v>5</v>
      </c>
      <c r="O497" s="36">
        <f>'DHS25'!C496</f>
        <v>16756</v>
      </c>
      <c r="P497" s="37">
        <f>'DHS25'!D496</f>
        <v>7570</v>
      </c>
      <c r="Q497" s="37">
        <f>'DHS25'!E496</f>
        <v>8069</v>
      </c>
      <c r="R497" s="38">
        <v>253.33</v>
      </c>
      <c r="S497" s="39">
        <f t="shared" si="46"/>
        <v>2044.1197700000002</v>
      </c>
    </row>
    <row r="498" spans="1:19">
      <c r="A498" s="66">
        <v>45678</v>
      </c>
      <c r="B498" s="24" t="s">
        <v>23</v>
      </c>
      <c r="C498" s="4">
        <v>18235</v>
      </c>
      <c r="D498" s="5">
        <v>16732</v>
      </c>
      <c r="E498" s="4">
        <v>14048</v>
      </c>
      <c r="F498" s="4">
        <v>14626</v>
      </c>
      <c r="G498" s="4">
        <f t="shared" si="43"/>
        <v>15910.25</v>
      </c>
      <c r="H498" s="7">
        <f t="shared" si="42"/>
        <v>3.9775624999999999</v>
      </c>
      <c r="I498" s="9">
        <f t="shared" si="47"/>
        <v>1</v>
      </c>
      <c r="J498" s="9">
        <f t="shared" si="44"/>
        <v>4.9775624999999994</v>
      </c>
      <c r="K498" s="10">
        <f t="shared" si="45"/>
        <v>5</v>
      </c>
      <c r="O498" s="36">
        <f>'DHS25'!C497</f>
        <v>16122</v>
      </c>
      <c r="P498" s="37">
        <f>'DHS25'!D497</f>
        <v>8889</v>
      </c>
      <c r="Q498" s="37">
        <f>'DHS25'!E497</f>
        <v>8148</v>
      </c>
      <c r="R498" s="38">
        <v>337.59</v>
      </c>
      <c r="S498" s="39">
        <f t="shared" si="46"/>
        <v>2750.6833199999996</v>
      </c>
    </row>
    <row r="499" spans="1:19">
      <c r="A499" s="66">
        <v>45678</v>
      </c>
      <c r="B499" s="24" t="s">
        <v>24</v>
      </c>
      <c r="C499" s="4">
        <v>18048</v>
      </c>
      <c r="D499" s="5">
        <v>17106</v>
      </c>
      <c r="E499" s="4">
        <v>15212</v>
      </c>
      <c r="F499" s="4">
        <v>15858</v>
      </c>
      <c r="G499" s="4">
        <f t="shared" si="43"/>
        <v>16556</v>
      </c>
      <c r="H499" s="7">
        <f t="shared" si="42"/>
        <v>4.1390000000000002</v>
      </c>
      <c r="I499" s="9">
        <f t="shared" si="47"/>
        <v>1</v>
      </c>
      <c r="J499" s="9">
        <f t="shared" si="44"/>
        <v>5.1390000000000002</v>
      </c>
      <c r="K499" s="10">
        <f t="shared" si="45"/>
        <v>6</v>
      </c>
      <c r="O499" s="36">
        <f>'DHS25'!C498</f>
        <v>18367</v>
      </c>
      <c r="P499" s="37">
        <f>'DHS25'!D498</f>
        <v>6947</v>
      </c>
      <c r="Q499" s="37">
        <f>'DHS25'!E498</f>
        <v>8092</v>
      </c>
      <c r="R499" s="38">
        <v>251.64</v>
      </c>
      <c r="S499" s="39">
        <f t="shared" si="46"/>
        <v>2036.27088</v>
      </c>
    </row>
    <row r="500" spans="1:19">
      <c r="A500" s="66">
        <v>45678</v>
      </c>
      <c r="B500" s="24" t="s">
        <v>25</v>
      </c>
      <c r="C500" s="4">
        <v>16573</v>
      </c>
      <c r="D500" s="5">
        <v>16874</v>
      </c>
      <c r="E500" s="4">
        <v>15137</v>
      </c>
      <c r="F500" s="4">
        <v>17417</v>
      </c>
      <c r="G500" s="4">
        <f t="shared" si="43"/>
        <v>16500.25</v>
      </c>
      <c r="H500" s="7">
        <f t="shared" si="42"/>
        <v>4.1250625000000003</v>
      </c>
      <c r="I500" s="9">
        <f t="shared" si="47"/>
        <v>1</v>
      </c>
      <c r="J500" s="9">
        <f t="shared" si="44"/>
        <v>5.1250625000000003</v>
      </c>
      <c r="K500" s="10">
        <f t="shared" si="45"/>
        <v>6</v>
      </c>
      <c r="O500" s="36">
        <f>'DHS25'!C499</f>
        <v>17070</v>
      </c>
      <c r="P500" s="37">
        <f>'DHS25'!D499</f>
        <v>7446</v>
      </c>
      <c r="Q500" s="37">
        <f>'DHS25'!E499</f>
        <v>8083</v>
      </c>
      <c r="R500" s="38">
        <v>346.67</v>
      </c>
      <c r="S500" s="39">
        <f t="shared" si="46"/>
        <v>2802.1336100000003</v>
      </c>
    </row>
    <row r="501" spans="1:19">
      <c r="A501" s="66">
        <v>45678</v>
      </c>
      <c r="B501" s="24" t="s">
        <v>26</v>
      </c>
      <c r="C501" s="4">
        <v>18194</v>
      </c>
      <c r="D501" s="5">
        <v>17231</v>
      </c>
      <c r="E501" s="4">
        <v>15314</v>
      </c>
      <c r="F501" s="4">
        <v>17752</v>
      </c>
      <c r="G501" s="4">
        <f t="shared" si="43"/>
        <v>17122.75</v>
      </c>
      <c r="H501" s="7">
        <f t="shared" si="42"/>
        <v>4.2806875</v>
      </c>
      <c r="I501" s="9">
        <f t="shared" si="47"/>
        <v>1</v>
      </c>
      <c r="J501" s="9">
        <f t="shared" si="44"/>
        <v>5.2806875</v>
      </c>
      <c r="K501" s="10">
        <f t="shared" si="45"/>
        <v>6</v>
      </c>
      <c r="O501" s="36">
        <f>'DHS25'!C500</f>
        <v>16981</v>
      </c>
      <c r="P501" s="37">
        <f>'DHS25'!D500</f>
        <v>6951</v>
      </c>
      <c r="Q501" s="37">
        <f>'DHS25'!E500</f>
        <v>8064</v>
      </c>
      <c r="R501" s="38">
        <v>271.54000000000002</v>
      </c>
      <c r="S501" s="39">
        <f t="shared" si="46"/>
        <v>2189.6985600000003</v>
      </c>
    </row>
    <row r="502" spans="1:19">
      <c r="A502" s="66">
        <v>45678</v>
      </c>
      <c r="B502" s="24" t="s">
        <v>27</v>
      </c>
      <c r="C502" s="4">
        <v>18968</v>
      </c>
      <c r="D502" s="5">
        <v>17024</v>
      </c>
      <c r="E502" s="4">
        <v>15128</v>
      </c>
      <c r="F502" s="4">
        <v>17276</v>
      </c>
      <c r="G502" s="4">
        <f t="shared" si="43"/>
        <v>17099</v>
      </c>
      <c r="H502" s="7">
        <f t="shared" si="42"/>
        <v>4.27475</v>
      </c>
      <c r="I502" s="9">
        <f t="shared" si="47"/>
        <v>1</v>
      </c>
      <c r="J502" s="9">
        <f t="shared" si="44"/>
        <v>5.27475</v>
      </c>
      <c r="K502" s="10">
        <f t="shared" si="45"/>
        <v>6</v>
      </c>
      <c r="O502" s="36">
        <f>'DHS25'!C501</f>
        <v>17038</v>
      </c>
      <c r="P502" s="37">
        <f>'DHS25'!D501</f>
        <v>7612</v>
      </c>
      <c r="Q502" s="37">
        <f>'DHS25'!E501</f>
        <v>8031</v>
      </c>
      <c r="R502" s="38">
        <v>209.07</v>
      </c>
      <c r="S502" s="39">
        <f t="shared" si="46"/>
        <v>1679.04117</v>
      </c>
    </row>
    <row r="503" spans="1:19">
      <c r="A503" s="66">
        <v>45678</v>
      </c>
      <c r="B503" s="24" t="s">
        <v>28</v>
      </c>
      <c r="C503" s="4">
        <v>18949</v>
      </c>
      <c r="D503" s="5">
        <v>16675</v>
      </c>
      <c r="E503" s="4">
        <v>15217</v>
      </c>
      <c r="F503" s="4">
        <v>18580</v>
      </c>
      <c r="G503" s="4">
        <f t="shared" si="43"/>
        <v>17355.25</v>
      </c>
      <c r="H503" s="7">
        <f t="shared" si="42"/>
        <v>4.3388125000000004</v>
      </c>
      <c r="I503" s="9">
        <f t="shared" si="47"/>
        <v>1</v>
      </c>
      <c r="J503" s="9">
        <f t="shared" si="44"/>
        <v>5.3388125000000004</v>
      </c>
      <c r="K503" s="10">
        <f t="shared" si="45"/>
        <v>6</v>
      </c>
      <c r="O503" s="36">
        <f>'DHS25'!C502</f>
        <v>17833</v>
      </c>
      <c r="P503" s="37">
        <f>'DHS25'!D502</f>
        <v>6936</v>
      </c>
      <c r="Q503" s="37">
        <f>'DHS25'!E502</f>
        <v>8073</v>
      </c>
      <c r="R503" s="38">
        <v>181.33</v>
      </c>
      <c r="S503" s="39">
        <f t="shared" si="46"/>
        <v>1463.8770900000002</v>
      </c>
    </row>
    <row r="504" spans="1:19">
      <c r="A504" s="66">
        <v>45678</v>
      </c>
      <c r="B504" s="24" t="s">
        <v>29</v>
      </c>
      <c r="C504" s="4">
        <v>19361</v>
      </c>
      <c r="D504" s="5">
        <v>16938</v>
      </c>
      <c r="E504" s="4">
        <v>15330</v>
      </c>
      <c r="F504" s="4">
        <v>18646</v>
      </c>
      <c r="G504" s="4">
        <f t="shared" si="43"/>
        <v>17568.75</v>
      </c>
      <c r="H504" s="7">
        <f t="shared" si="42"/>
        <v>4.3921875000000004</v>
      </c>
      <c r="I504" s="9">
        <f t="shared" si="47"/>
        <v>1</v>
      </c>
      <c r="J504" s="9">
        <f t="shared" si="44"/>
        <v>5.3921875000000004</v>
      </c>
      <c r="K504" s="10">
        <f t="shared" si="45"/>
        <v>6</v>
      </c>
      <c r="O504" s="36">
        <f>'DHS25'!C503</f>
        <v>17773</v>
      </c>
      <c r="P504" s="37">
        <f>'DHS25'!D503</f>
        <v>6178</v>
      </c>
      <c r="Q504" s="37">
        <f>'DHS25'!E503</f>
        <v>8061</v>
      </c>
      <c r="R504" s="38">
        <v>159.03</v>
      </c>
      <c r="S504" s="39">
        <f t="shared" si="46"/>
        <v>1281.94083</v>
      </c>
    </row>
    <row r="505" spans="1:19">
      <c r="A505" s="66">
        <v>45678</v>
      </c>
      <c r="B505" s="24" t="s">
        <v>30</v>
      </c>
      <c r="C505" s="4">
        <v>16973</v>
      </c>
      <c r="D505" s="5">
        <v>15631</v>
      </c>
      <c r="E505" s="4">
        <v>13449</v>
      </c>
      <c r="F505" s="4">
        <v>15528</v>
      </c>
      <c r="G505" s="4">
        <f t="shared" si="43"/>
        <v>15395.25</v>
      </c>
      <c r="H505" s="7">
        <f t="shared" si="42"/>
        <v>3.8488125000000002</v>
      </c>
      <c r="I505" s="9">
        <f t="shared" si="47"/>
        <v>1</v>
      </c>
      <c r="J505" s="9">
        <f t="shared" si="44"/>
        <v>4.8488125000000002</v>
      </c>
      <c r="K505" s="10">
        <f t="shared" si="45"/>
        <v>5</v>
      </c>
      <c r="O505" s="36">
        <f>'DHS25'!C504</f>
        <v>14630</v>
      </c>
      <c r="P505" s="37">
        <f>'DHS25'!D504</f>
        <v>9805</v>
      </c>
      <c r="Q505" s="37">
        <f>'DHS25'!E504</f>
        <v>8059</v>
      </c>
      <c r="R505" s="38">
        <v>146.63</v>
      </c>
      <c r="S505" s="39">
        <f t="shared" si="46"/>
        <v>1181.6911699999998</v>
      </c>
    </row>
    <row r="506" spans="1:19">
      <c r="A506" s="66">
        <v>45678</v>
      </c>
      <c r="B506" s="24" t="s">
        <v>31</v>
      </c>
      <c r="C506" s="4">
        <v>7724</v>
      </c>
      <c r="D506" s="5">
        <v>9384</v>
      </c>
      <c r="E506" s="4">
        <v>5848</v>
      </c>
      <c r="F506" s="4">
        <v>9236</v>
      </c>
      <c r="G506" s="4">
        <f t="shared" si="43"/>
        <v>8048</v>
      </c>
      <c r="H506" s="7">
        <f t="shared" si="42"/>
        <v>2.012</v>
      </c>
      <c r="I506" s="9">
        <f t="shared" si="47"/>
        <v>1</v>
      </c>
      <c r="J506" s="9">
        <f t="shared" si="44"/>
        <v>3.012</v>
      </c>
      <c r="K506" s="10">
        <f t="shared" si="45"/>
        <v>4</v>
      </c>
      <c r="O506" s="36">
        <f>'DHS25'!C505</f>
        <v>9071</v>
      </c>
      <c r="P506" s="37">
        <f>'DHS25'!D505</f>
        <v>10757</v>
      </c>
      <c r="Q506" s="37">
        <f>'DHS25'!E505</f>
        <v>6161</v>
      </c>
      <c r="R506" s="38">
        <v>142.44999999999999</v>
      </c>
      <c r="S506" s="39">
        <f t="shared" si="46"/>
        <v>877.6344499999999</v>
      </c>
    </row>
    <row r="507" spans="1:19">
      <c r="A507" s="67">
        <v>45679</v>
      </c>
      <c r="B507" s="25" t="s">
        <v>8</v>
      </c>
      <c r="C507" s="4">
        <v>8077</v>
      </c>
      <c r="D507" s="5">
        <v>8646</v>
      </c>
      <c r="E507" s="4">
        <v>6225</v>
      </c>
      <c r="F507" s="4">
        <v>11285</v>
      </c>
      <c r="G507" s="4">
        <f t="shared" si="43"/>
        <v>8558.25</v>
      </c>
      <c r="H507" s="7">
        <f t="shared" si="42"/>
        <v>2.1395624999999998</v>
      </c>
      <c r="I507" s="9">
        <f t="shared" si="47"/>
        <v>1</v>
      </c>
      <c r="J507" s="9">
        <f t="shared" si="44"/>
        <v>3.1395624999999998</v>
      </c>
      <c r="K507" s="10">
        <f t="shared" si="45"/>
        <v>4</v>
      </c>
      <c r="O507" s="36">
        <f>'DHS25'!C506</f>
        <v>8021</v>
      </c>
      <c r="P507" s="37">
        <f>'DHS25'!D506</f>
        <v>6916</v>
      </c>
      <c r="Q507" s="37">
        <f>'DHS25'!E506</f>
        <v>4097</v>
      </c>
      <c r="R507" s="38">
        <v>131.47999999999999</v>
      </c>
      <c r="S507" s="39">
        <f t="shared" si="46"/>
        <v>538.67356000000007</v>
      </c>
    </row>
    <row r="508" spans="1:19">
      <c r="A508" s="67">
        <v>45679</v>
      </c>
      <c r="B508" s="25" t="s">
        <v>9</v>
      </c>
      <c r="C508" s="4">
        <v>11144</v>
      </c>
      <c r="D508" s="5">
        <v>8940</v>
      </c>
      <c r="E508" s="4">
        <v>6505</v>
      </c>
      <c r="F508" s="4">
        <v>12487</v>
      </c>
      <c r="G508" s="4">
        <f t="shared" si="43"/>
        <v>9769</v>
      </c>
      <c r="H508" s="7">
        <f t="shared" si="42"/>
        <v>2.44225</v>
      </c>
      <c r="I508" s="9">
        <f t="shared" si="47"/>
        <v>1</v>
      </c>
      <c r="J508" s="9">
        <f t="shared" si="44"/>
        <v>3.44225</v>
      </c>
      <c r="K508" s="10">
        <f t="shared" si="45"/>
        <v>4</v>
      </c>
      <c r="O508" s="36">
        <f>'DHS25'!C507</f>
        <v>9596</v>
      </c>
      <c r="P508" s="37">
        <f>'DHS25'!D507</f>
        <v>4978</v>
      </c>
      <c r="Q508" s="37">
        <f>'DHS25'!E507</f>
        <v>4106</v>
      </c>
      <c r="R508" s="38">
        <v>125.61</v>
      </c>
      <c r="S508" s="39">
        <f t="shared" si="46"/>
        <v>515.75465999999994</v>
      </c>
    </row>
    <row r="509" spans="1:19">
      <c r="A509" s="67">
        <v>45679</v>
      </c>
      <c r="B509" s="25" t="s">
        <v>10</v>
      </c>
      <c r="C509" s="4">
        <v>12679</v>
      </c>
      <c r="D509" s="5">
        <v>9865</v>
      </c>
      <c r="E509" s="4">
        <v>8663</v>
      </c>
      <c r="F509" s="4">
        <v>11092</v>
      </c>
      <c r="G509" s="4">
        <f t="shared" si="43"/>
        <v>10574.75</v>
      </c>
      <c r="H509" s="7">
        <f t="shared" si="42"/>
        <v>2.6436875</v>
      </c>
      <c r="I509" s="9">
        <f t="shared" si="47"/>
        <v>1</v>
      </c>
      <c r="J509" s="9">
        <f t="shared" si="44"/>
        <v>3.6436875</v>
      </c>
      <c r="K509" s="10">
        <f t="shared" si="45"/>
        <v>4</v>
      </c>
      <c r="O509" s="36">
        <f>'DHS25'!C508</f>
        <v>10853</v>
      </c>
      <c r="P509" s="37">
        <f>'DHS25'!D508</f>
        <v>3554</v>
      </c>
      <c r="Q509" s="37">
        <f>'DHS25'!E508</f>
        <v>4074</v>
      </c>
      <c r="R509" s="38">
        <v>123.42</v>
      </c>
      <c r="S509" s="39">
        <f t="shared" si="46"/>
        <v>502.81308000000001</v>
      </c>
    </row>
    <row r="510" spans="1:19">
      <c r="A510" s="67">
        <v>45679</v>
      </c>
      <c r="B510" s="25" t="s">
        <v>11</v>
      </c>
      <c r="C510" s="4">
        <v>13509</v>
      </c>
      <c r="D510" s="5">
        <v>10088</v>
      </c>
      <c r="E510" s="4">
        <v>9587</v>
      </c>
      <c r="F510" s="4">
        <v>14339</v>
      </c>
      <c r="G510" s="4">
        <f t="shared" si="43"/>
        <v>11880.75</v>
      </c>
      <c r="H510" s="7">
        <f t="shared" si="42"/>
        <v>2.9701875000000002</v>
      </c>
      <c r="I510" s="9">
        <f t="shared" si="47"/>
        <v>1</v>
      </c>
      <c r="J510" s="9">
        <f t="shared" si="44"/>
        <v>3.9701875000000002</v>
      </c>
      <c r="K510" s="10">
        <f t="shared" si="45"/>
        <v>4</v>
      </c>
      <c r="O510" s="36">
        <f>'DHS25'!C509</f>
        <v>9652</v>
      </c>
      <c r="P510" s="37">
        <f>'DHS25'!D509</f>
        <v>7317</v>
      </c>
      <c r="Q510" s="37">
        <f>'DHS25'!E509</f>
        <v>5041</v>
      </c>
      <c r="R510" s="38">
        <v>123.21</v>
      </c>
      <c r="S510" s="39">
        <f t="shared" si="46"/>
        <v>621.10161000000005</v>
      </c>
    </row>
    <row r="511" spans="1:19">
      <c r="A511" s="67">
        <v>45679</v>
      </c>
      <c r="B511" s="25" t="s">
        <v>12</v>
      </c>
      <c r="C511" s="4">
        <v>22405</v>
      </c>
      <c r="D511" s="5">
        <v>19586</v>
      </c>
      <c r="E511" s="4">
        <v>14553</v>
      </c>
      <c r="F511" s="4">
        <v>14422</v>
      </c>
      <c r="G511" s="4">
        <f t="shared" si="43"/>
        <v>17741.5</v>
      </c>
      <c r="H511" s="7">
        <f t="shared" si="42"/>
        <v>4.4353749999999996</v>
      </c>
      <c r="I511" s="9">
        <f t="shared" si="47"/>
        <v>1</v>
      </c>
      <c r="J511" s="9">
        <f t="shared" si="44"/>
        <v>5.4353749999999996</v>
      </c>
      <c r="K511" s="10">
        <f t="shared" si="45"/>
        <v>6</v>
      </c>
      <c r="O511" s="36">
        <f>'DHS25'!C510</f>
        <v>19656</v>
      </c>
      <c r="P511" s="37">
        <f>'DHS25'!D510</f>
        <v>2595</v>
      </c>
      <c r="Q511" s="37">
        <f>'DHS25'!E510</f>
        <v>7440</v>
      </c>
      <c r="R511" s="38">
        <v>124.93</v>
      </c>
      <c r="S511" s="39">
        <f t="shared" si="46"/>
        <v>929.47920000000011</v>
      </c>
    </row>
    <row r="512" spans="1:19">
      <c r="A512" s="67">
        <v>45679</v>
      </c>
      <c r="B512" s="25" t="s">
        <v>13</v>
      </c>
      <c r="C512" s="4">
        <v>22257</v>
      </c>
      <c r="D512" s="5">
        <v>17859</v>
      </c>
      <c r="E512" s="4">
        <v>15859</v>
      </c>
      <c r="F512" s="4">
        <v>17052</v>
      </c>
      <c r="G512" s="4">
        <f t="shared" si="43"/>
        <v>18256.75</v>
      </c>
      <c r="H512" s="7">
        <f t="shared" si="42"/>
        <v>4.5641875000000001</v>
      </c>
      <c r="I512" s="9">
        <f t="shared" si="47"/>
        <v>1</v>
      </c>
      <c r="J512" s="9">
        <f t="shared" si="44"/>
        <v>5.5641875000000001</v>
      </c>
      <c r="K512" s="10">
        <f t="shared" si="45"/>
        <v>6</v>
      </c>
      <c r="O512" s="36">
        <f>'DHS25'!C511</f>
        <v>20640</v>
      </c>
      <c r="P512" s="37">
        <f>'DHS25'!D511</f>
        <v>3829</v>
      </c>
      <c r="Q512" s="37">
        <f>'DHS25'!E511</f>
        <v>8065</v>
      </c>
      <c r="R512" s="38">
        <v>148.44</v>
      </c>
      <c r="S512" s="39">
        <f t="shared" si="46"/>
        <v>1197.1686</v>
      </c>
    </row>
    <row r="513" spans="1:19">
      <c r="A513" s="67">
        <v>45679</v>
      </c>
      <c r="B513" s="25" t="s">
        <v>14</v>
      </c>
      <c r="C513" s="4">
        <v>23569</v>
      </c>
      <c r="D513" s="5">
        <v>17841</v>
      </c>
      <c r="E513" s="4">
        <v>17954</v>
      </c>
      <c r="F513" s="4">
        <v>18339</v>
      </c>
      <c r="G513" s="4">
        <f t="shared" si="43"/>
        <v>19425.75</v>
      </c>
      <c r="H513" s="7">
        <f t="shared" si="42"/>
        <v>4.8564375000000002</v>
      </c>
      <c r="I513" s="9">
        <f t="shared" si="47"/>
        <v>1</v>
      </c>
      <c r="J513" s="9">
        <f t="shared" si="44"/>
        <v>5.8564375000000002</v>
      </c>
      <c r="K513" s="10">
        <f t="shared" si="45"/>
        <v>6</v>
      </c>
      <c r="O513" s="36">
        <f>'DHS25'!C512</f>
        <v>20370</v>
      </c>
      <c r="P513" s="37">
        <f>'DHS25'!D512</f>
        <v>4536</v>
      </c>
      <c r="Q513" s="37">
        <f>'DHS25'!E512</f>
        <v>8062</v>
      </c>
      <c r="R513" s="38">
        <v>234.75</v>
      </c>
      <c r="S513" s="39">
        <f t="shared" si="46"/>
        <v>1892.5545</v>
      </c>
    </row>
    <row r="514" spans="1:19">
      <c r="A514" s="67">
        <v>45679</v>
      </c>
      <c r="B514" s="25" t="s">
        <v>15</v>
      </c>
      <c r="C514" s="4">
        <v>20301</v>
      </c>
      <c r="D514" s="5">
        <v>16383</v>
      </c>
      <c r="E514" s="4">
        <v>16526</v>
      </c>
      <c r="F514" s="4">
        <v>19849</v>
      </c>
      <c r="G514" s="4">
        <f t="shared" si="43"/>
        <v>18264.75</v>
      </c>
      <c r="H514" s="7">
        <f t="shared" si="42"/>
        <v>4.5661874999999998</v>
      </c>
      <c r="I514" s="9">
        <f t="shared" si="47"/>
        <v>1</v>
      </c>
      <c r="J514" s="9">
        <f t="shared" si="44"/>
        <v>5.5661874999999998</v>
      </c>
      <c r="K514" s="10">
        <f t="shared" si="45"/>
        <v>6</v>
      </c>
      <c r="O514" s="36">
        <f>'DHS25'!C513</f>
        <v>17239</v>
      </c>
      <c r="P514" s="37">
        <f>'DHS25'!D513</f>
        <v>7688</v>
      </c>
      <c r="Q514" s="37">
        <f>'DHS25'!E513</f>
        <v>8082</v>
      </c>
      <c r="R514" s="38">
        <v>400</v>
      </c>
      <c r="S514" s="39">
        <f t="shared" si="46"/>
        <v>3232.8</v>
      </c>
    </row>
    <row r="515" spans="1:19">
      <c r="A515" s="67">
        <v>45679</v>
      </c>
      <c r="B515" s="25" t="s">
        <v>16</v>
      </c>
      <c r="C515" s="4">
        <v>21167</v>
      </c>
      <c r="D515" s="5">
        <v>17128</v>
      </c>
      <c r="E515" s="4">
        <v>15026</v>
      </c>
      <c r="F515" s="4">
        <v>17576</v>
      </c>
      <c r="G515" s="4">
        <f t="shared" si="43"/>
        <v>17724.25</v>
      </c>
      <c r="H515" s="7">
        <f t="shared" ref="H515:H578" si="48">G515/$M$2/1000</f>
        <v>4.4310625000000003</v>
      </c>
      <c r="I515" s="9">
        <f t="shared" si="47"/>
        <v>1</v>
      </c>
      <c r="J515" s="9">
        <f t="shared" si="44"/>
        <v>5.4310625000000003</v>
      </c>
      <c r="K515" s="10">
        <f t="shared" si="45"/>
        <v>6</v>
      </c>
      <c r="O515" s="36">
        <f>'DHS25'!C514</f>
        <v>17619</v>
      </c>
      <c r="P515" s="37">
        <f>'DHS25'!D514</f>
        <v>6652</v>
      </c>
      <c r="Q515" s="37">
        <f>'DHS25'!E514</f>
        <v>8063</v>
      </c>
      <c r="R515" s="38">
        <v>264.12</v>
      </c>
      <c r="S515" s="39">
        <f t="shared" si="46"/>
        <v>2129.5995600000001</v>
      </c>
    </row>
    <row r="516" spans="1:19">
      <c r="A516" s="67">
        <v>45679</v>
      </c>
      <c r="B516" s="25" t="s">
        <v>17</v>
      </c>
      <c r="C516" s="4">
        <v>19482</v>
      </c>
      <c r="D516" s="5">
        <v>16407</v>
      </c>
      <c r="E516" s="4">
        <v>15479</v>
      </c>
      <c r="F516" s="4">
        <v>16969</v>
      </c>
      <c r="G516" s="4">
        <f t="shared" ref="G516:G579" si="49">AVERAGE(C516:F516)</f>
        <v>17084.25</v>
      </c>
      <c r="H516" s="7">
        <f t="shared" si="48"/>
        <v>4.2710625000000002</v>
      </c>
      <c r="I516" s="9">
        <f t="shared" si="47"/>
        <v>1</v>
      </c>
      <c r="J516" s="9">
        <f t="shared" ref="J516:J579" si="50">H516+I516</f>
        <v>5.2710625000000002</v>
      </c>
      <c r="K516" s="10">
        <f t="shared" ref="K516:K579" si="51">ROUNDUP(J516,0)</f>
        <v>6</v>
      </c>
      <c r="O516" s="36">
        <f>'DHS25'!C515</f>
        <v>17713</v>
      </c>
      <c r="P516" s="37">
        <f>'DHS25'!D515</f>
        <v>6254</v>
      </c>
      <c r="Q516" s="37">
        <f>'DHS25'!E515</f>
        <v>8074</v>
      </c>
      <c r="R516" s="38">
        <v>199.41</v>
      </c>
      <c r="S516" s="39">
        <f t="shared" ref="S516:S579" si="52">(Q516/1000)*R516</f>
        <v>1610.0363399999999</v>
      </c>
    </row>
    <row r="517" spans="1:19">
      <c r="A517" s="67">
        <v>45679</v>
      </c>
      <c r="B517" s="25" t="s">
        <v>18</v>
      </c>
      <c r="C517" s="4">
        <v>19106</v>
      </c>
      <c r="D517" s="5">
        <v>16624</v>
      </c>
      <c r="E517" s="4">
        <v>15875</v>
      </c>
      <c r="F517" s="4">
        <v>18275</v>
      </c>
      <c r="G517" s="4">
        <f t="shared" si="49"/>
        <v>17470</v>
      </c>
      <c r="H517" s="7">
        <f t="shared" si="48"/>
        <v>4.3674999999999997</v>
      </c>
      <c r="I517" s="9">
        <f t="shared" ref="I517:I580" si="53">I516</f>
        <v>1</v>
      </c>
      <c r="J517" s="9">
        <f t="shared" si="50"/>
        <v>5.3674999999999997</v>
      </c>
      <c r="K517" s="10">
        <f t="shared" si="51"/>
        <v>6</v>
      </c>
      <c r="O517" s="36">
        <f>'DHS25'!C516</f>
        <v>17951</v>
      </c>
      <c r="P517" s="37">
        <f>'DHS25'!D516</f>
        <v>6739</v>
      </c>
      <c r="Q517" s="37">
        <f>'DHS25'!E516</f>
        <v>8069</v>
      </c>
      <c r="R517" s="38">
        <v>179.06</v>
      </c>
      <c r="S517" s="39">
        <f t="shared" si="52"/>
        <v>1444.8351400000001</v>
      </c>
    </row>
    <row r="518" spans="1:19">
      <c r="A518" s="67">
        <v>45679</v>
      </c>
      <c r="B518" s="25" t="s">
        <v>19</v>
      </c>
      <c r="C518" s="4">
        <v>19107</v>
      </c>
      <c r="D518" s="5">
        <v>16325</v>
      </c>
      <c r="E518" s="4">
        <v>14570</v>
      </c>
      <c r="F518" s="4">
        <v>16852</v>
      </c>
      <c r="G518" s="4">
        <f t="shared" si="49"/>
        <v>16713.5</v>
      </c>
      <c r="H518" s="7">
        <f t="shared" si="48"/>
        <v>4.178375</v>
      </c>
      <c r="I518" s="9">
        <f t="shared" si="53"/>
        <v>1</v>
      </c>
      <c r="J518" s="9">
        <f t="shared" si="50"/>
        <v>5.178375</v>
      </c>
      <c r="K518" s="10">
        <f t="shared" si="51"/>
        <v>6</v>
      </c>
      <c r="O518" s="36">
        <f>'DHS25'!C517</f>
        <v>16699</v>
      </c>
      <c r="P518" s="37">
        <f>'DHS25'!D517</f>
        <v>7618</v>
      </c>
      <c r="Q518" s="37">
        <f>'DHS25'!E517</f>
        <v>8056</v>
      </c>
      <c r="R518" s="38">
        <v>172.94</v>
      </c>
      <c r="S518" s="39">
        <f t="shared" si="52"/>
        <v>1393.2046399999999</v>
      </c>
    </row>
    <row r="519" spans="1:19">
      <c r="A519" s="67">
        <v>45679</v>
      </c>
      <c r="B519" s="25" t="s">
        <v>20</v>
      </c>
      <c r="C519" s="4">
        <v>18877</v>
      </c>
      <c r="D519" s="5">
        <v>15158</v>
      </c>
      <c r="E519" s="4">
        <v>14690</v>
      </c>
      <c r="F519" s="4">
        <v>16262</v>
      </c>
      <c r="G519" s="4">
        <f t="shared" si="49"/>
        <v>16246.75</v>
      </c>
      <c r="H519" s="7">
        <f t="shared" si="48"/>
        <v>4.0616874999999997</v>
      </c>
      <c r="I519" s="9">
        <f t="shared" si="53"/>
        <v>1</v>
      </c>
      <c r="J519" s="9">
        <f t="shared" si="50"/>
        <v>5.0616874999999997</v>
      </c>
      <c r="K519" s="10">
        <f t="shared" si="51"/>
        <v>6</v>
      </c>
      <c r="O519" s="36">
        <f>'DHS25'!C518</f>
        <v>16429</v>
      </c>
      <c r="P519" s="37">
        <f>'DHS25'!D518</f>
        <v>7562</v>
      </c>
      <c r="Q519" s="37">
        <f>'DHS25'!E518</f>
        <v>8080</v>
      </c>
      <c r="R519" s="38">
        <v>165</v>
      </c>
      <c r="S519" s="39">
        <f t="shared" si="52"/>
        <v>1333.2</v>
      </c>
    </row>
    <row r="520" spans="1:19">
      <c r="A520" s="67">
        <v>45679</v>
      </c>
      <c r="B520" s="25" t="s">
        <v>21</v>
      </c>
      <c r="C520" s="4">
        <v>19052</v>
      </c>
      <c r="D520" s="5">
        <v>14936</v>
      </c>
      <c r="E520" s="4">
        <v>14110</v>
      </c>
      <c r="F520" s="4">
        <v>15789</v>
      </c>
      <c r="G520" s="4">
        <f t="shared" si="49"/>
        <v>15971.75</v>
      </c>
      <c r="H520" s="7">
        <f t="shared" si="48"/>
        <v>3.9929375</v>
      </c>
      <c r="I520" s="9">
        <f t="shared" si="53"/>
        <v>1</v>
      </c>
      <c r="J520" s="9">
        <f t="shared" si="50"/>
        <v>4.9929375</v>
      </c>
      <c r="K520" s="10">
        <f t="shared" si="51"/>
        <v>5</v>
      </c>
      <c r="O520" s="36">
        <f>'DHS25'!C519</f>
        <v>17239</v>
      </c>
      <c r="P520" s="37">
        <f>'DHS25'!D519</f>
        <v>7285</v>
      </c>
      <c r="Q520" s="37">
        <f>'DHS25'!E519</f>
        <v>8077</v>
      </c>
      <c r="R520" s="38">
        <v>170</v>
      </c>
      <c r="S520" s="39">
        <f t="shared" si="52"/>
        <v>1373.09</v>
      </c>
    </row>
    <row r="521" spans="1:19">
      <c r="A521" s="67">
        <v>45679</v>
      </c>
      <c r="B521" s="25" t="s">
        <v>22</v>
      </c>
      <c r="C521" s="4">
        <v>18565</v>
      </c>
      <c r="D521" s="5">
        <v>14534</v>
      </c>
      <c r="E521" s="4">
        <v>12646</v>
      </c>
      <c r="F521" s="4">
        <v>16927</v>
      </c>
      <c r="G521" s="4">
        <f t="shared" si="49"/>
        <v>15668</v>
      </c>
      <c r="H521" s="7">
        <f t="shared" si="48"/>
        <v>3.9169999999999998</v>
      </c>
      <c r="I521" s="9">
        <f t="shared" si="53"/>
        <v>1</v>
      </c>
      <c r="J521" s="9">
        <f t="shared" si="50"/>
        <v>4.9169999999999998</v>
      </c>
      <c r="K521" s="10">
        <f t="shared" si="51"/>
        <v>5</v>
      </c>
      <c r="O521" s="36">
        <f>'DHS25'!C520</f>
        <v>16926</v>
      </c>
      <c r="P521" s="37">
        <f>'DHS25'!D520</f>
        <v>7349</v>
      </c>
      <c r="Q521" s="37">
        <f>'DHS25'!E520</f>
        <v>8058</v>
      </c>
      <c r="R521" s="38">
        <v>180.02</v>
      </c>
      <c r="S521" s="39">
        <f t="shared" si="52"/>
        <v>1450.6011600000002</v>
      </c>
    </row>
    <row r="522" spans="1:19">
      <c r="A522" s="67">
        <v>45679</v>
      </c>
      <c r="B522" s="25" t="s">
        <v>23</v>
      </c>
      <c r="C522" s="4">
        <v>18441</v>
      </c>
      <c r="D522" s="5">
        <v>14634</v>
      </c>
      <c r="E522" s="4">
        <v>13040</v>
      </c>
      <c r="F522" s="4">
        <v>17147</v>
      </c>
      <c r="G522" s="4">
        <f t="shared" si="49"/>
        <v>15815.5</v>
      </c>
      <c r="H522" s="7">
        <f t="shared" si="48"/>
        <v>3.953875</v>
      </c>
      <c r="I522" s="9">
        <f t="shared" si="53"/>
        <v>1</v>
      </c>
      <c r="J522" s="9">
        <f t="shared" si="50"/>
        <v>4.953875</v>
      </c>
      <c r="K522" s="10">
        <f t="shared" si="51"/>
        <v>5</v>
      </c>
      <c r="O522" s="36">
        <f>'DHS25'!C521</f>
        <v>16316</v>
      </c>
      <c r="P522" s="37">
        <f>'DHS25'!D521</f>
        <v>8085</v>
      </c>
      <c r="Q522" s="37">
        <f>'DHS25'!E521</f>
        <v>8060</v>
      </c>
      <c r="R522" s="38">
        <v>202.39</v>
      </c>
      <c r="S522" s="39">
        <f t="shared" si="52"/>
        <v>1631.2634</v>
      </c>
    </row>
    <row r="523" spans="1:19">
      <c r="A523" s="67">
        <v>45679</v>
      </c>
      <c r="B523" s="25" t="s">
        <v>24</v>
      </c>
      <c r="C523" s="4">
        <v>19495</v>
      </c>
      <c r="D523" s="5">
        <v>14896</v>
      </c>
      <c r="E523" s="4">
        <v>14058</v>
      </c>
      <c r="F523" s="4">
        <v>16874</v>
      </c>
      <c r="G523" s="4">
        <f t="shared" si="49"/>
        <v>16330.75</v>
      </c>
      <c r="H523" s="7">
        <f t="shared" si="48"/>
        <v>4.0826874999999996</v>
      </c>
      <c r="I523" s="9">
        <f t="shared" si="53"/>
        <v>1</v>
      </c>
      <c r="J523" s="9">
        <f t="shared" si="50"/>
        <v>5.0826874999999996</v>
      </c>
      <c r="K523" s="10">
        <f t="shared" si="51"/>
        <v>6</v>
      </c>
      <c r="O523" s="36">
        <f>'DHS25'!C522</f>
        <v>18183</v>
      </c>
      <c r="P523" s="37">
        <f>'DHS25'!D522</f>
        <v>6138</v>
      </c>
      <c r="Q523" s="37">
        <f>'DHS25'!E522</f>
        <v>8041</v>
      </c>
      <c r="R523" s="38">
        <v>294.39</v>
      </c>
      <c r="S523" s="39">
        <f t="shared" si="52"/>
        <v>2367.1899899999999</v>
      </c>
    </row>
    <row r="524" spans="1:19">
      <c r="A524" s="67">
        <v>45679</v>
      </c>
      <c r="B524" s="25" t="s">
        <v>25</v>
      </c>
      <c r="C524" s="4">
        <v>19058</v>
      </c>
      <c r="D524" s="5">
        <v>14852</v>
      </c>
      <c r="E524" s="4">
        <v>15372</v>
      </c>
      <c r="F524" s="4">
        <v>17228</v>
      </c>
      <c r="G524" s="4">
        <f t="shared" si="49"/>
        <v>16627.5</v>
      </c>
      <c r="H524" s="7">
        <f t="shared" si="48"/>
        <v>4.1568750000000003</v>
      </c>
      <c r="I524" s="9">
        <f t="shared" si="53"/>
        <v>1</v>
      </c>
      <c r="J524" s="9">
        <f t="shared" si="50"/>
        <v>5.1568750000000003</v>
      </c>
      <c r="K524" s="10">
        <f t="shared" si="51"/>
        <v>6</v>
      </c>
      <c r="O524" s="36">
        <f>'DHS25'!C523</f>
        <v>17262</v>
      </c>
      <c r="P524" s="37">
        <f>'DHS25'!D523</f>
        <v>7281</v>
      </c>
      <c r="Q524" s="37">
        <f>'DHS25'!E523</f>
        <v>8028</v>
      </c>
      <c r="R524" s="38">
        <v>305.16000000000003</v>
      </c>
      <c r="S524" s="39">
        <f t="shared" si="52"/>
        <v>2449.8244800000002</v>
      </c>
    </row>
    <row r="525" spans="1:19">
      <c r="A525" s="67">
        <v>45679</v>
      </c>
      <c r="B525" s="25" t="s">
        <v>26</v>
      </c>
      <c r="C525" s="4">
        <v>18334</v>
      </c>
      <c r="D525" s="5">
        <v>14941</v>
      </c>
      <c r="E525" s="4">
        <v>15544</v>
      </c>
      <c r="F525" s="4">
        <v>18035</v>
      </c>
      <c r="G525" s="4">
        <f t="shared" si="49"/>
        <v>16713.5</v>
      </c>
      <c r="H525" s="7">
        <f t="shared" si="48"/>
        <v>4.178375</v>
      </c>
      <c r="I525" s="9">
        <f t="shared" si="53"/>
        <v>1</v>
      </c>
      <c r="J525" s="9">
        <f t="shared" si="50"/>
        <v>5.178375</v>
      </c>
      <c r="K525" s="10">
        <f t="shared" si="51"/>
        <v>6</v>
      </c>
      <c r="O525" s="36">
        <f>'DHS25'!C524</f>
        <v>17196</v>
      </c>
      <c r="P525" s="37">
        <f>'DHS25'!D524</f>
        <v>7064</v>
      </c>
      <c r="Q525" s="37">
        <f>'DHS25'!E524</f>
        <v>8067</v>
      </c>
      <c r="R525" s="38">
        <v>233.62</v>
      </c>
      <c r="S525" s="39">
        <f t="shared" si="52"/>
        <v>1884.6125400000001</v>
      </c>
    </row>
    <row r="526" spans="1:19">
      <c r="A526" s="67">
        <v>45679</v>
      </c>
      <c r="B526" s="25" t="s">
        <v>27</v>
      </c>
      <c r="C526" s="4">
        <v>19177</v>
      </c>
      <c r="D526" s="5">
        <v>15583</v>
      </c>
      <c r="E526" s="4">
        <v>15549</v>
      </c>
      <c r="F526" s="4">
        <v>17893</v>
      </c>
      <c r="G526" s="4">
        <f t="shared" si="49"/>
        <v>17050.5</v>
      </c>
      <c r="H526" s="7">
        <f t="shared" si="48"/>
        <v>4.2626249999999999</v>
      </c>
      <c r="I526" s="9">
        <f t="shared" si="53"/>
        <v>1</v>
      </c>
      <c r="J526" s="9">
        <f t="shared" si="50"/>
        <v>5.2626249999999999</v>
      </c>
      <c r="K526" s="10">
        <f t="shared" si="51"/>
        <v>6</v>
      </c>
      <c r="O526" s="36">
        <f>'DHS25'!C525</f>
        <v>18181</v>
      </c>
      <c r="P526" s="37">
        <f>'DHS25'!D525</f>
        <v>6072</v>
      </c>
      <c r="Q526" s="37">
        <f>'DHS25'!E525</f>
        <v>8039</v>
      </c>
      <c r="R526" s="38">
        <v>234.45</v>
      </c>
      <c r="S526" s="39">
        <f t="shared" si="52"/>
        <v>1884.7435499999999</v>
      </c>
    </row>
    <row r="527" spans="1:19">
      <c r="A527" s="67">
        <v>45679</v>
      </c>
      <c r="B527" s="25" t="s">
        <v>28</v>
      </c>
      <c r="C527" s="4">
        <v>19404</v>
      </c>
      <c r="D527" s="5">
        <v>14994</v>
      </c>
      <c r="E527" s="4">
        <v>15141</v>
      </c>
      <c r="F527" s="4">
        <v>17278</v>
      </c>
      <c r="G527" s="4">
        <f t="shared" si="49"/>
        <v>16704.25</v>
      </c>
      <c r="H527" s="7">
        <f t="shared" si="48"/>
        <v>4.1760624999999996</v>
      </c>
      <c r="I527" s="9">
        <f t="shared" si="53"/>
        <v>1</v>
      </c>
      <c r="J527" s="9">
        <f t="shared" si="50"/>
        <v>5.1760624999999996</v>
      </c>
      <c r="K527" s="10">
        <f t="shared" si="51"/>
        <v>6</v>
      </c>
      <c r="O527" s="36">
        <f>'DHS25'!C526</f>
        <v>18367</v>
      </c>
      <c r="P527" s="37">
        <f>'DHS25'!D526</f>
        <v>6322</v>
      </c>
      <c r="Q527" s="37">
        <f>'DHS25'!E526</f>
        <v>8062</v>
      </c>
      <c r="R527" s="38">
        <v>255.52</v>
      </c>
      <c r="S527" s="39">
        <f t="shared" si="52"/>
        <v>2060.0022399999998</v>
      </c>
    </row>
    <row r="528" spans="1:19">
      <c r="A528" s="67">
        <v>45679</v>
      </c>
      <c r="B528" s="25" t="s">
        <v>29</v>
      </c>
      <c r="C528" s="4">
        <v>18313</v>
      </c>
      <c r="D528" s="5">
        <v>14766</v>
      </c>
      <c r="E528" s="4">
        <v>15331</v>
      </c>
      <c r="F528" s="4">
        <v>17859</v>
      </c>
      <c r="G528" s="4">
        <f t="shared" si="49"/>
        <v>16567.25</v>
      </c>
      <c r="H528" s="7">
        <f t="shared" si="48"/>
        <v>4.1418125000000003</v>
      </c>
      <c r="I528" s="9">
        <f t="shared" si="53"/>
        <v>1</v>
      </c>
      <c r="J528" s="9">
        <f t="shared" si="50"/>
        <v>5.1418125000000003</v>
      </c>
      <c r="K528" s="10">
        <f t="shared" si="51"/>
        <v>6</v>
      </c>
      <c r="O528" s="36">
        <f>'DHS25'!C527</f>
        <v>18180</v>
      </c>
      <c r="P528" s="37">
        <f>'DHS25'!D527</f>
        <v>6327</v>
      </c>
      <c r="Q528" s="37">
        <f>'DHS25'!E527</f>
        <v>8044</v>
      </c>
      <c r="R528" s="38">
        <v>189.04</v>
      </c>
      <c r="S528" s="39">
        <f t="shared" si="52"/>
        <v>1520.6377600000001</v>
      </c>
    </row>
    <row r="529" spans="1:19">
      <c r="A529" s="67">
        <v>45679</v>
      </c>
      <c r="B529" s="25" t="s">
        <v>30</v>
      </c>
      <c r="C529" s="4">
        <v>14765</v>
      </c>
      <c r="D529" s="5">
        <v>13805</v>
      </c>
      <c r="E529" s="4">
        <v>15499</v>
      </c>
      <c r="F529" s="4">
        <v>15279</v>
      </c>
      <c r="G529" s="4">
        <f t="shared" si="49"/>
        <v>14837</v>
      </c>
      <c r="H529" s="7">
        <f t="shared" si="48"/>
        <v>3.7092499999999999</v>
      </c>
      <c r="I529" s="9">
        <f t="shared" si="53"/>
        <v>1</v>
      </c>
      <c r="J529" s="9">
        <f t="shared" si="50"/>
        <v>4.7092499999999999</v>
      </c>
      <c r="K529" s="10">
        <f t="shared" si="51"/>
        <v>5</v>
      </c>
      <c r="O529" s="36">
        <f>'DHS25'!C528</f>
        <v>14031</v>
      </c>
      <c r="P529" s="37">
        <f>'DHS25'!D528</f>
        <v>9822</v>
      </c>
      <c r="Q529" s="37">
        <f>'DHS25'!E528</f>
        <v>8053</v>
      </c>
      <c r="R529" s="38">
        <v>164.96</v>
      </c>
      <c r="S529" s="39">
        <f t="shared" si="52"/>
        <v>1328.4228800000003</v>
      </c>
    </row>
    <row r="530" spans="1:19">
      <c r="A530" s="67">
        <v>45679</v>
      </c>
      <c r="B530" s="25" t="s">
        <v>31</v>
      </c>
      <c r="C530" s="4">
        <v>7076</v>
      </c>
      <c r="D530" s="5">
        <v>7284</v>
      </c>
      <c r="E530" s="4">
        <v>9730</v>
      </c>
      <c r="F530" s="4">
        <v>10247</v>
      </c>
      <c r="G530" s="4">
        <f t="shared" si="49"/>
        <v>8584.25</v>
      </c>
      <c r="H530" s="7">
        <f t="shared" si="48"/>
        <v>2.1460625000000002</v>
      </c>
      <c r="I530" s="9">
        <f t="shared" si="53"/>
        <v>1</v>
      </c>
      <c r="J530" s="9">
        <f t="shared" si="50"/>
        <v>3.1460625000000002</v>
      </c>
      <c r="K530" s="10">
        <f t="shared" si="51"/>
        <v>4</v>
      </c>
      <c r="O530" s="36">
        <f>'DHS25'!C529</f>
        <v>8737</v>
      </c>
      <c r="P530" s="37">
        <f>'DHS25'!D529</f>
        <v>15049</v>
      </c>
      <c r="Q530" s="37">
        <f>'DHS25'!E529</f>
        <v>8062</v>
      </c>
      <c r="R530" s="38">
        <v>154.55000000000001</v>
      </c>
      <c r="S530" s="39">
        <f t="shared" si="52"/>
        <v>1245.9820999999999</v>
      </c>
    </row>
    <row r="531" spans="1:19">
      <c r="A531" s="66">
        <v>45680</v>
      </c>
      <c r="B531" s="24" t="s">
        <v>8</v>
      </c>
      <c r="C531" s="4">
        <v>7360</v>
      </c>
      <c r="D531" s="5">
        <v>4095</v>
      </c>
      <c r="E531" s="4">
        <v>8270</v>
      </c>
      <c r="F531" s="4">
        <v>8579</v>
      </c>
      <c r="G531" s="4">
        <f t="shared" si="49"/>
        <v>7076</v>
      </c>
      <c r="H531" s="7">
        <f t="shared" si="48"/>
        <v>1.7689999999999999</v>
      </c>
      <c r="I531" s="9">
        <f t="shared" si="53"/>
        <v>1</v>
      </c>
      <c r="J531" s="9">
        <f t="shared" si="50"/>
        <v>2.7690000000000001</v>
      </c>
      <c r="K531" s="10">
        <f t="shared" si="51"/>
        <v>3</v>
      </c>
      <c r="O531" s="36">
        <f>'DHS25'!C530</f>
        <v>8771</v>
      </c>
      <c r="P531" s="37">
        <f>'DHS25'!D530</f>
        <v>10869</v>
      </c>
      <c r="Q531" s="37">
        <f>'DHS25'!E530</f>
        <v>6503</v>
      </c>
      <c r="R531" s="38">
        <v>137.69999999999999</v>
      </c>
      <c r="S531" s="39">
        <f t="shared" si="52"/>
        <v>895.46309999999994</v>
      </c>
    </row>
    <row r="532" spans="1:19">
      <c r="A532" s="66">
        <v>45680</v>
      </c>
      <c r="B532" s="24" t="s">
        <v>9</v>
      </c>
      <c r="C532" s="4">
        <v>8621</v>
      </c>
      <c r="D532" s="5">
        <v>2727</v>
      </c>
      <c r="E532" s="4">
        <v>7637</v>
      </c>
      <c r="F532" s="4">
        <v>9256</v>
      </c>
      <c r="G532" s="4">
        <f t="shared" si="49"/>
        <v>7060.25</v>
      </c>
      <c r="H532" s="7">
        <f t="shared" si="48"/>
        <v>1.7650625</v>
      </c>
      <c r="I532" s="9">
        <f t="shared" si="53"/>
        <v>1</v>
      </c>
      <c r="J532" s="9">
        <f t="shared" si="50"/>
        <v>2.7650625</v>
      </c>
      <c r="K532" s="10">
        <f t="shared" si="51"/>
        <v>3</v>
      </c>
      <c r="O532" s="36">
        <f>'DHS25'!C531</f>
        <v>8997</v>
      </c>
      <c r="P532" s="37">
        <f>'DHS25'!D531</f>
        <v>4974</v>
      </c>
      <c r="Q532" s="37">
        <f>'DHS25'!E531</f>
        <v>4067</v>
      </c>
      <c r="R532" s="38">
        <v>132.16999999999999</v>
      </c>
      <c r="S532" s="39">
        <f t="shared" si="52"/>
        <v>537.53539000000001</v>
      </c>
    </row>
    <row r="533" spans="1:19">
      <c r="A533" s="66">
        <v>45680</v>
      </c>
      <c r="B533" s="24" t="s">
        <v>10</v>
      </c>
      <c r="C533" s="4">
        <v>10120</v>
      </c>
      <c r="D533" s="5">
        <v>4152</v>
      </c>
      <c r="E533" s="4">
        <v>9292</v>
      </c>
      <c r="F533" s="4">
        <v>10949</v>
      </c>
      <c r="G533" s="4">
        <f t="shared" si="49"/>
        <v>8628.25</v>
      </c>
      <c r="H533" s="7">
        <f t="shared" si="48"/>
        <v>2.1570624999999999</v>
      </c>
      <c r="I533" s="9">
        <f t="shared" si="53"/>
        <v>1</v>
      </c>
      <c r="J533" s="9">
        <f t="shared" si="50"/>
        <v>3.1570624999999999</v>
      </c>
      <c r="K533" s="10">
        <f t="shared" si="51"/>
        <v>4</v>
      </c>
      <c r="O533" s="36">
        <f>'DHS25'!C532</f>
        <v>10357</v>
      </c>
      <c r="P533" s="37">
        <f>'DHS25'!D532</f>
        <v>996</v>
      </c>
      <c r="Q533" s="37">
        <f>'DHS25'!E532</f>
        <v>3058</v>
      </c>
      <c r="R533" s="38">
        <v>110.15</v>
      </c>
      <c r="S533" s="39">
        <f t="shared" si="52"/>
        <v>336.83870000000002</v>
      </c>
    </row>
    <row r="534" spans="1:19">
      <c r="A534" s="66">
        <v>45680</v>
      </c>
      <c r="B534" s="24" t="s">
        <v>11</v>
      </c>
      <c r="C534" s="4">
        <v>12413</v>
      </c>
      <c r="D534" s="5">
        <v>3996</v>
      </c>
      <c r="E534" s="4">
        <v>9980</v>
      </c>
      <c r="F534" s="4">
        <v>12041</v>
      </c>
      <c r="G534" s="4">
        <f t="shared" si="49"/>
        <v>9607.5</v>
      </c>
      <c r="H534" s="7">
        <f t="shared" si="48"/>
        <v>2.401875</v>
      </c>
      <c r="I534" s="9">
        <f t="shared" si="53"/>
        <v>1</v>
      </c>
      <c r="J534" s="9">
        <f t="shared" si="50"/>
        <v>3.401875</v>
      </c>
      <c r="K534" s="10">
        <f t="shared" si="51"/>
        <v>4</v>
      </c>
      <c r="O534" s="36">
        <f>'DHS25'!C533</f>
        <v>12188</v>
      </c>
      <c r="P534" s="37">
        <f>'DHS25'!D533</f>
        <v>1638</v>
      </c>
      <c r="Q534" s="37">
        <f>'DHS25'!E533</f>
        <v>4041</v>
      </c>
      <c r="R534" s="38">
        <v>109.64</v>
      </c>
      <c r="S534" s="39">
        <f t="shared" si="52"/>
        <v>443.05524000000003</v>
      </c>
    </row>
    <row r="535" spans="1:19">
      <c r="A535" s="66">
        <v>45680</v>
      </c>
      <c r="B535" s="24" t="s">
        <v>12</v>
      </c>
      <c r="C535" s="4">
        <v>20750</v>
      </c>
      <c r="D535" s="5">
        <v>17474</v>
      </c>
      <c r="E535" s="4">
        <v>16288</v>
      </c>
      <c r="F535" s="4">
        <v>18317</v>
      </c>
      <c r="G535" s="4">
        <f t="shared" si="49"/>
        <v>18207.25</v>
      </c>
      <c r="H535" s="7">
        <f t="shared" si="48"/>
        <v>4.5518124999999996</v>
      </c>
      <c r="I535" s="9">
        <f t="shared" si="53"/>
        <v>1</v>
      </c>
      <c r="J535" s="9">
        <f t="shared" si="50"/>
        <v>5.5518124999999996</v>
      </c>
      <c r="K535" s="10">
        <f t="shared" si="51"/>
        <v>6</v>
      </c>
      <c r="O535" s="36">
        <f>'DHS25'!C534</f>
        <v>15437</v>
      </c>
      <c r="P535" s="37">
        <f>'DHS25'!D534</f>
        <v>36</v>
      </c>
      <c r="Q535" s="37">
        <f>'DHS25'!E534</f>
        <v>5474</v>
      </c>
      <c r="R535" s="38">
        <v>120.27</v>
      </c>
      <c r="S535" s="39">
        <f t="shared" si="52"/>
        <v>658.35798</v>
      </c>
    </row>
    <row r="536" spans="1:19">
      <c r="A536" s="66">
        <v>45680</v>
      </c>
      <c r="B536" s="24" t="s">
        <v>13</v>
      </c>
      <c r="C536" s="4">
        <v>21063</v>
      </c>
      <c r="D536" s="5">
        <v>18398</v>
      </c>
      <c r="E536" s="4">
        <v>20247</v>
      </c>
      <c r="F536" s="4">
        <v>19387</v>
      </c>
      <c r="G536" s="4">
        <f t="shared" si="49"/>
        <v>19773.75</v>
      </c>
      <c r="H536" s="7">
        <f t="shared" si="48"/>
        <v>4.9434374999999999</v>
      </c>
      <c r="I536" s="9">
        <f t="shared" si="53"/>
        <v>1</v>
      </c>
      <c r="J536" s="9">
        <f t="shared" si="50"/>
        <v>5.9434374999999999</v>
      </c>
      <c r="K536" s="10">
        <f t="shared" si="51"/>
        <v>6</v>
      </c>
      <c r="O536" s="36">
        <f>'DHS25'!C535</f>
        <v>19997</v>
      </c>
      <c r="P536" s="37">
        <f>'DHS25'!D535</f>
        <v>24</v>
      </c>
      <c r="Q536" s="37">
        <f>'DHS25'!E535</f>
        <v>6833</v>
      </c>
      <c r="R536" s="38">
        <v>133.43</v>
      </c>
      <c r="S536" s="39">
        <f t="shared" si="52"/>
        <v>911.72719000000006</v>
      </c>
    </row>
    <row r="537" spans="1:19">
      <c r="A537" s="66">
        <v>45680</v>
      </c>
      <c r="B537" s="24" t="s">
        <v>14</v>
      </c>
      <c r="C537" s="4">
        <v>19406</v>
      </c>
      <c r="D537" s="5">
        <v>15941</v>
      </c>
      <c r="E537" s="4">
        <v>18089</v>
      </c>
      <c r="F537" s="4">
        <v>20728</v>
      </c>
      <c r="G537" s="4">
        <f t="shared" si="49"/>
        <v>18541</v>
      </c>
      <c r="H537" s="7">
        <f t="shared" si="48"/>
        <v>4.6352500000000001</v>
      </c>
      <c r="I537" s="9">
        <f t="shared" si="53"/>
        <v>1</v>
      </c>
      <c r="J537" s="9">
        <f t="shared" si="50"/>
        <v>5.6352500000000001</v>
      </c>
      <c r="K537" s="10">
        <f t="shared" si="51"/>
        <v>6</v>
      </c>
      <c r="O537" s="36">
        <f>'DHS25'!C536</f>
        <v>22955</v>
      </c>
      <c r="P537" s="37">
        <f>'DHS25'!D536</f>
        <v>1917</v>
      </c>
      <c r="Q537" s="37">
        <f>'DHS25'!E536</f>
        <v>8071</v>
      </c>
      <c r="R537" s="38">
        <v>205.46</v>
      </c>
      <c r="S537" s="39">
        <f t="shared" si="52"/>
        <v>1658.26766</v>
      </c>
    </row>
    <row r="538" spans="1:19">
      <c r="A538" s="66">
        <v>45680</v>
      </c>
      <c r="B538" s="24" t="s">
        <v>15</v>
      </c>
      <c r="C538" s="4">
        <v>18614</v>
      </c>
      <c r="D538" s="5">
        <v>15250</v>
      </c>
      <c r="E538" s="4">
        <v>16792</v>
      </c>
      <c r="F538" s="4">
        <v>19955</v>
      </c>
      <c r="G538" s="4">
        <f t="shared" si="49"/>
        <v>17652.75</v>
      </c>
      <c r="H538" s="7">
        <f t="shared" si="48"/>
        <v>4.4131875000000003</v>
      </c>
      <c r="I538" s="9">
        <f t="shared" si="53"/>
        <v>1</v>
      </c>
      <c r="J538" s="9">
        <f t="shared" si="50"/>
        <v>5.4131875000000003</v>
      </c>
      <c r="K538" s="10">
        <f t="shared" si="51"/>
        <v>6</v>
      </c>
      <c r="O538" s="36">
        <f>'DHS25'!C537</f>
        <v>18923</v>
      </c>
      <c r="P538" s="37">
        <f>'DHS25'!D537</f>
        <v>5321</v>
      </c>
      <c r="Q538" s="37">
        <f>'DHS25'!E537</f>
        <v>8047</v>
      </c>
      <c r="R538" s="38">
        <v>236.38</v>
      </c>
      <c r="S538" s="39">
        <f t="shared" si="52"/>
        <v>1902.1498600000002</v>
      </c>
    </row>
    <row r="539" spans="1:19">
      <c r="A539" s="66">
        <v>45680</v>
      </c>
      <c r="B539" s="24" t="s">
        <v>16</v>
      </c>
      <c r="C539" s="4">
        <v>20039</v>
      </c>
      <c r="D539" s="5">
        <v>14741</v>
      </c>
      <c r="E539" s="4">
        <v>15596</v>
      </c>
      <c r="F539" s="4">
        <v>16216</v>
      </c>
      <c r="G539" s="4">
        <f t="shared" si="49"/>
        <v>16648</v>
      </c>
      <c r="H539" s="7">
        <f t="shared" si="48"/>
        <v>4.1619999999999999</v>
      </c>
      <c r="I539" s="9">
        <f t="shared" si="53"/>
        <v>1</v>
      </c>
      <c r="J539" s="9">
        <f t="shared" si="50"/>
        <v>5.1619999999999999</v>
      </c>
      <c r="K539" s="10">
        <f t="shared" si="51"/>
        <v>6</v>
      </c>
      <c r="O539" s="36">
        <f>'DHS25'!C538</f>
        <v>18165</v>
      </c>
      <c r="P539" s="37">
        <f>'DHS25'!D538</f>
        <v>6185</v>
      </c>
      <c r="Q539" s="37">
        <f>'DHS25'!E538</f>
        <v>8056</v>
      </c>
      <c r="R539" s="38">
        <v>188.58</v>
      </c>
      <c r="S539" s="39">
        <f t="shared" si="52"/>
        <v>1519.20048</v>
      </c>
    </row>
    <row r="540" spans="1:19">
      <c r="A540" s="66">
        <v>45680</v>
      </c>
      <c r="B540" s="24" t="s">
        <v>17</v>
      </c>
      <c r="C540" s="4">
        <v>19380</v>
      </c>
      <c r="D540" s="5">
        <v>15754</v>
      </c>
      <c r="E540" s="4">
        <v>15659</v>
      </c>
      <c r="F540" s="4">
        <v>18022</v>
      </c>
      <c r="G540" s="4">
        <f t="shared" si="49"/>
        <v>17203.75</v>
      </c>
      <c r="H540" s="7">
        <f t="shared" si="48"/>
        <v>4.3009374999999999</v>
      </c>
      <c r="I540" s="9">
        <f t="shared" si="53"/>
        <v>1</v>
      </c>
      <c r="J540" s="9">
        <f t="shared" si="50"/>
        <v>5.3009374999999999</v>
      </c>
      <c r="K540" s="10">
        <f t="shared" si="51"/>
        <v>6</v>
      </c>
      <c r="O540" s="36">
        <f>'DHS25'!C539</f>
        <v>17868</v>
      </c>
      <c r="P540" s="37">
        <f>'DHS25'!D539</f>
        <v>6204</v>
      </c>
      <c r="Q540" s="37">
        <f>'DHS25'!E539</f>
        <v>8055</v>
      </c>
      <c r="R540" s="38">
        <v>172.96</v>
      </c>
      <c r="S540" s="39">
        <f t="shared" si="52"/>
        <v>1393.1928</v>
      </c>
    </row>
    <row r="541" spans="1:19">
      <c r="A541" s="66">
        <v>45680</v>
      </c>
      <c r="B541" s="24" t="s">
        <v>18</v>
      </c>
      <c r="C541" s="4">
        <v>16722</v>
      </c>
      <c r="D541" s="5">
        <v>15401</v>
      </c>
      <c r="E541" s="4">
        <v>15158</v>
      </c>
      <c r="F541" s="4">
        <v>16908</v>
      </c>
      <c r="G541" s="4">
        <f t="shared" si="49"/>
        <v>16047.25</v>
      </c>
      <c r="H541" s="7">
        <f t="shared" si="48"/>
        <v>4.0118124999999996</v>
      </c>
      <c r="I541" s="9">
        <f t="shared" si="53"/>
        <v>1</v>
      </c>
      <c r="J541" s="9">
        <f t="shared" si="50"/>
        <v>5.0118124999999996</v>
      </c>
      <c r="K541" s="10">
        <f t="shared" si="51"/>
        <v>6</v>
      </c>
      <c r="O541" s="36">
        <f>'DHS25'!C540</f>
        <v>17905</v>
      </c>
      <c r="P541" s="37">
        <f>'DHS25'!D540</f>
        <v>7083</v>
      </c>
      <c r="Q541" s="37">
        <f>'DHS25'!E540</f>
        <v>8049</v>
      </c>
      <c r="R541" s="38">
        <v>151.16999999999999</v>
      </c>
      <c r="S541" s="39">
        <f t="shared" si="52"/>
        <v>1216.7673299999999</v>
      </c>
    </row>
    <row r="542" spans="1:19">
      <c r="A542" s="66">
        <v>45680</v>
      </c>
      <c r="B542" s="24" t="s">
        <v>19</v>
      </c>
      <c r="C542" s="4">
        <v>16373</v>
      </c>
      <c r="D542" s="5">
        <v>15081</v>
      </c>
      <c r="E542" s="4">
        <v>13739</v>
      </c>
      <c r="F542" s="4">
        <v>16916</v>
      </c>
      <c r="G542" s="4">
        <f t="shared" si="49"/>
        <v>15527.25</v>
      </c>
      <c r="H542" s="7">
        <f t="shared" si="48"/>
        <v>3.8818125000000001</v>
      </c>
      <c r="I542" s="9">
        <f t="shared" si="53"/>
        <v>1</v>
      </c>
      <c r="J542" s="9">
        <f t="shared" si="50"/>
        <v>4.8818125000000006</v>
      </c>
      <c r="K542" s="10">
        <f t="shared" si="51"/>
        <v>5</v>
      </c>
      <c r="O542" s="36">
        <f>'DHS25'!C541</f>
        <v>16962</v>
      </c>
      <c r="P542" s="37">
        <f>'DHS25'!D541</f>
        <v>6581</v>
      </c>
      <c r="Q542" s="37">
        <f>'DHS25'!E541</f>
        <v>8053</v>
      </c>
      <c r="R542" s="38">
        <v>148.83000000000001</v>
      </c>
      <c r="S542" s="39">
        <f t="shared" si="52"/>
        <v>1198.5279900000003</v>
      </c>
    </row>
    <row r="543" spans="1:19">
      <c r="A543" s="66">
        <v>45680</v>
      </c>
      <c r="B543" s="24" t="s">
        <v>20</v>
      </c>
      <c r="C543" s="4">
        <v>15887</v>
      </c>
      <c r="D543" s="5">
        <v>13733</v>
      </c>
      <c r="E543" s="4">
        <v>14019</v>
      </c>
      <c r="F543" s="4">
        <v>16117</v>
      </c>
      <c r="G543" s="4">
        <f t="shared" si="49"/>
        <v>14939</v>
      </c>
      <c r="H543" s="7">
        <f t="shared" si="48"/>
        <v>3.73475</v>
      </c>
      <c r="I543" s="9">
        <f t="shared" si="53"/>
        <v>1</v>
      </c>
      <c r="J543" s="9">
        <f t="shared" si="50"/>
        <v>4.73475</v>
      </c>
      <c r="K543" s="10">
        <f t="shared" si="51"/>
        <v>5</v>
      </c>
      <c r="O543" s="36">
        <f>'DHS25'!C542</f>
        <v>15987</v>
      </c>
      <c r="P543" s="37">
        <f>'DHS25'!D542</f>
        <v>8537</v>
      </c>
      <c r="Q543" s="37">
        <f>'DHS25'!E542</f>
        <v>8065</v>
      </c>
      <c r="R543" s="38">
        <v>147.99</v>
      </c>
      <c r="S543" s="39">
        <f t="shared" si="52"/>
        <v>1193.53935</v>
      </c>
    </row>
    <row r="544" spans="1:19">
      <c r="A544" s="66">
        <v>45680</v>
      </c>
      <c r="B544" s="24" t="s">
        <v>21</v>
      </c>
      <c r="C544" s="4">
        <v>15950</v>
      </c>
      <c r="D544" s="5">
        <v>13851</v>
      </c>
      <c r="E544" s="4">
        <v>13620</v>
      </c>
      <c r="F544" s="4">
        <v>14806</v>
      </c>
      <c r="G544" s="4">
        <f t="shared" si="49"/>
        <v>14556.75</v>
      </c>
      <c r="H544" s="7">
        <f t="shared" si="48"/>
        <v>3.6391874999999998</v>
      </c>
      <c r="I544" s="9">
        <f t="shared" si="53"/>
        <v>1</v>
      </c>
      <c r="J544" s="9">
        <f t="shared" si="50"/>
        <v>4.6391875000000002</v>
      </c>
      <c r="K544" s="10">
        <f t="shared" si="51"/>
        <v>5</v>
      </c>
      <c r="O544" s="36">
        <f>'DHS25'!C543</f>
        <v>15813</v>
      </c>
      <c r="P544" s="37">
        <f>'DHS25'!D543</f>
        <v>7834</v>
      </c>
      <c r="Q544" s="37">
        <f>'DHS25'!E543</f>
        <v>8055</v>
      </c>
      <c r="R544" s="38">
        <v>160.59</v>
      </c>
      <c r="S544" s="39">
        <f t="shared" si="52"/>
        <v>1293.5524499999999</v>
      </c>
    </row>
    <row r="545" spans="1:19">
      <c r="A545" s="66">
        <v>45680</v>
      </c>
      <c r="B545" s="24" t="s">
        <v>22</v>
      </c>
      <c r="C545" s="4">
        <v>14804</v>
      </c>
      <c r="D545" s="5">
        <v>13230</v>
      </c>
      <c r="E545" s="4">
        <v>13615</v>
      </c>
      <c r="F545" s="4">
        <v>16000</v>
      </c>
      <c r="G545" s="4">
        <f t="shared" si="49"/>
        <v>14412.25</v>
      </c>
      <c r="H545" s="7">
        <f t="shared" si="48"/>
        <v>3.6030625000000001</v>
      </c>
      <c r="I545" s="9">
        <f t="shared" si="53"/>
        <v>1</v>
      </c>
      <c r="J545" s="9">
        <f t="shared" si="50"/>
        <v>4.6030625000000001</v>
      </c>
      <c r="K545" s="10">
        <f t="shared" si="51"/>
        <v>5</v>
      </c>
      <c r="O545" s="36">
        <f>'DHS25'!C544</f>
        <v>15990</v>
      </c>
      <c r="P545" s="37">
        <f>'DHS25'!D544</f>
        <v>8500</v>
      </c>
      <c r="Q545" s="37">
        <f>'DHS25'!E544</f>
        <v>8069</v>
      </c>
      <c r="R545" s="38">
        <v>169.94</v>
      </c>
      <c r="S545" s="39">
        <f t="shared" si="52"/>
        <v>1371.2458600000002</v>
      </c>
    </row>
    <row r="546" spans="1:19">
      <c r="A546" s="66">
        <v>45680</v>
      </c>
      <c r="B546" s="24" t="s">
        <v>23</v>
      </c>
      <c r="C546" s="4">
        <v>15364</v>
      </c>
      <c r="D546" s="5">
        <v>14492</v>
      </c>
      <c r="E546" s="4">
        <v>14436</v>
      </c>
      <c r="F546" s="4">
        <v>15234</v>
      </c>
      <c r="G546" s="4">
        <f t="shared" si="49"/>
        <v>14881.5</v>
      </c>
      <c r="H546" s="7">
        <f t="shared" si="48"/>
        <v>3.7203750000000002</v>
      </c>
      <c r="I546" s="9">
        <f t="shared" si="53"/>
        <v>1</v>
      </c>
      <c r="J546" s="9">
        <f t="shared" si="50"/>
        <v>4.7203750000000007</v>
      </c>
      <c r="K546" s="10">
        <f t="shared" si="51"/>
        <v>5</v>
      </c>
      <c r="O546" s="36">
        <f>'DHS25'!C545</f>
        <v>16494</v>
      </c>
      <c r="P546" s="37">
        <f>'DHS25'!D545</f>
        <v>7291</v>
      </c>
      <c r="Q546" s="37">
        <f>'DHS25'!E545</f>
        <v>8060</v>
      </c>
      <c r="R546" s="38">
        <v>201.73</v>
      </c>
      <c r="S546" s="39">
        <f t="shared" si="52"/>
        <v>1625.9438</v>
      </c>
    </row>
    <row r="547" spans="1:19">
      <c r="A547" s="66">
        <v>45680</v>
      </c>
      <c r="B547" s="24" t="s">
        <v>24</v>
      </c>
      <c r="C547" s="4">
        <v>18971</v>
      </c>
      <c r="D547" s="5">
        <v>15744</v>
      </c>
      <c r="E547" s="4">
        <v>14341</v>
      </c>
      <c r="F547" s="4">
        <v>16699</v>
      </c>
      <c r="G547" s="4">
        <f t="shared" si="49"/>
        <v>16438.75</v>
      </c>
      <c r="H547" s="7">
        <f t="shared" si="48"/>
        <v>4.1096874999999997</v>
      </c>
      <c r="I547" s="9">
        <f t="shared" si="53"/>
        <v>1</v>
      </c>
      <c r="J547" s="9">
        <f t="shared" si="50"/>
        <v>5.1096874999999997</v>
      </c>
      <c r="K547" s="10">
        <f t="shared" si="51"/>
        <v>6</v>
      </c>
      <c r="O547" s="36">
        <f>'DHS25'!C546</f>
        <v>16412</v>
      </c>
      <c r="P547" s="37">
        <f>'DHS25'!D546</f>
        <v>7626</v>
      </c>
      <c r="Q547" s="37">
        <f>'DHS25'!E546</f>
        <v>8082</v>
      </c>
      <c r="R547" s="38">
        <v>230.51</v>
      </c>
      <c r="S547" s="39">
        <f t="shared" si="52"/>
        <v>1862.9818200000002</v>
      </c>
    </row>
    <row r="548" spans="1:19">
      <c r="A548" s="66">
        <v>45680</v>
      </c>
      <c r="B548" s="24" t="s">
        <v>25</v>
      </c>
      <c r="C548" s="4">
        <v>18541</v>
      </c>
      <c r="D548" s="5">
        <v>15911</v>
      </c>
      <c r="E548" s="4">
        <v>14694</v>
      </c>
      <c r="F548" s="4">
        <v>15381</v>
      </c>
      <c r="G548" s="4">
        <f t="shared" si="49"/>
        <v>16131.75</v>
      </c>
      <c r="H548" s="7">
        <f t="shared" si="48"/>
        <v>4.0329375000000001</v>
      </c>
      <c r="I548" s="9">
        <f t="shared" si="53"/>
        <v>1</v>
      </c>
      <c r="J548" s="9">
        <f t="shared" si="50"/>
        <v>5.0329375000000001</v>
      </c>
      <c r="K548" s="10">
        <f t="shared" si="51"/>
        <v>6</v>
      </c>
      <c r="O548" s="36">
        <f>'DHS25'!C547</f>
        <v>15915</v>
      </c>
      <c r="P548" s="37">
        <f>'DHS25'!D547</f>
        <v>8341</v>
      </c>
      <c r="Q548" s="37">
        <f>'DHS25'!E547</f>
        <v>8081</v>
      </c>
      <c r="R548" s="38">
        <v>235.12</v>
      </c>
      <c r="S548" s="39">
        <f t="shared" si="52"/>
        <v>1900.0047199999999</v>
      </c>
    </row>
    <row r="549" spans="1:19">
      <c r="A549" s="66">
        <v>45680</v>
      </c>
      <c r="B549" s="24" t="s">
        <v>26</v>
      </c>
      <c r="C549" s="4">
        <v>19318</v>
      </c>
      <c r="D549" s="5">
        <v>15477</v>
      </c>
      <c r="E549" s="4">
        <v>13656</v>
      </c>
      <c r="F549" s="4">
        <v>16723</v>
      </c>
      <c r="G549" s="4">
        <f t="shared" si="49"/>
        <v>16293.5</v>
      </c>
      <c r="H549" s="7">
        <f t="shared" si="48"/>
        <v>4.0733750000000004</v>
      </c>
      <c r="I549" s="9">
        <f t="shared" si="53"/>
        <v>1</v>
      </c>
      <c r="J549" s="9">
        <f t="shared" si="50"/>
        <v>5.0733750000000004</v>
      </c>
      <c r="K549" s="10">
        <f t="shared" si="51"/>
        <v>6</v>
      </c>
      <c r="O549" s="36">
        <f>'DHS25'!C548</f>
        <v>16300</v>
      </c>
      <c r="P549" s="37">
        <f>'DHS25'!D548</f>
        <v>7864</v>
      </c>
      <c r="Q549" s="37">
        <f>'DHS25'!E548</f>
        <v>8075</v>
      </c>
      <c r="R549" s="38">
        <v>234.41</v>
      </c>
      <c r="S549" s="39">
        <f t="shared" si="52"/>
        <v>1892.8607499999998</v>
      </c>
    </row>
    <row r="550" spans="1:19">
      <c r="A550" s="66">
        <v>45680</v>
      </c>
      <c r="B550" s="24" t="s">
        <v>27</v>
      </c>
      <c r="C550" s="4">
        <v>20672</v>
      </c>
      <c r="D550" s="5">
        <v>15725</v>
      </c>
      <c r="E550" s="4">
        <v>14247</v>
      </c>
      <c r="F550" s="4">
        <v>16648</v>
      </c>
      <c r="G550" s="4">
        <f t="shared" si="49"/>
        <v>16823</v>
      </c>
      <c r="H550" s="7">
        <f t="shared" si="48"/>
        <v>4.2057500000000001</v>
      </c>
      <c r="I550" s="9">
        <f t="shared" si="53"/>
        <v>1</v>
      </c>
      <c r="J550" s="9">
        <f t="shared" si="50"/>
        <v>5.2057500000000001</v>
      </c>
      <c r="K550" s="10">
        <f t="shared" si="51"/>
        <v>6</v>
      </c>
      <c r="O550" s="36">
        <f>'DHS25'!C549</f>
        <v>16313</v>
      </c>
      <c r="P550" s="37">
        <f>'DHS25'!D549</f>
        <v>7869</v>
      </c>
      <c r="Q550" s="37">
        <f>'DHS25'!E549</f>
        <v>8046</v>
      </c>
      <c r="R550" s="38">
        <v>231.78</v>
      </c>
      <c r="S550" s="39">
        <f t="shared" si="52"/>
        <v>1864.9018799999999</v>
      </c>
    </row>
    <row r="551" spans="1:19">
      <c r="A551" s="66">
        <v>45680</v>
      </c>
      <c r="B551" s="24" t="s">
        <v>28</v>
      </c>
      <c r="C551" s="4">
        <v>20792</v>
      </c>
      <c r="D551" s="5">
        <v>15489</v>
      </c>
      <c r="E551" s="4">
        <v>14796</v>
      </c>
      <c r="F551" s="4">
        <v>17704</v>
      </c>
      <c r="G551" s="4">
        <f t="shared" si="49"/>
        <v>17195.25</v>
      </c>
      <c r="H551" s="7">
        <f t="shared" si="48"/>
        <v>4.2988125000000004</v>
      </c>
      <c r="I551" s="9">
        <f t="shared" si="53"/>
        <v>1</v>
      </c>
      <c r="J551" s="9">
        <f t="shared" si="50"/>
        <v>5.2988125000000004</v>
      </c>
      <c r="K551" s="10">
        <f t="shared" si="51"/>
        <v>6</v>
      </c>
      <c r="O551" s="36">
        <f>'DHS25'!C550</f>
        <v>17066</v>
      </c>
      <c r="P551" s="37">
        <f>'DHS25'!D550</f>
        <v>7821</v>
      </c>
      <c r="Q551" s="37">
        <f>'DHS25'!E550</f>
        <v>8065</v>
      </c>
      <c r="R551" s="38">
        <v>244.31</v>
      </c>
      <c r="S551" s="39">
        <f t="shared" si="52"/>
        <v>1970.36015</v>
      </c>
    </row>
    <row r="552" spans="1:19">
      <c r="A552" s="66">
        <v>45680</v>
      </c>
      <c r="B552" s="24" t="s">
        <v>29</v>
      </c>
      <c r="C552" s="4">
        <v>21325</v>
      </c>
      <c r="D552" s="5">
        <v>15898</v>
      </c>
      <c r="E552" s="4">
        <v>15543</v>
      </c>
      <c r="F552" s="4">
        <v>17842</v>
      </c>
      <c r="G552" s="4">
        <f t="shared" si="49"/>
        <v>17652</v>
      </c>
      <c r="H552" s="7">
        <f t="shared" si="48"/>
        <v>4.4130000000000003</v>
      </c>
      <c r="I552" s="9">
        <f t="shared" si="53"/>
        <v>1</v>
      </c>
      <c r="J552" s="9">
        <f t="shared" si="50"/>
        <v>5.4130000000000003</v>
      </c>
      <c r="K552" s="10">
        <f t="shared" si="51"/>
        <v>6</v>
      </c>
      <c r="O552" s="36">
        <f>'DHS25'!C551</f>
        <v>17444</v>
      </c>
      <c r="P552" s="37">
        <f>'DHS25'!D551</f>
        <v>7036</v>
      </c>
      <c r="Q552" s="37">
        <f>'DHS25'!E551</f>
        <v>8065</v>
      </c>
      <c r="R552" s="38">
        <v>195.26</v>
      </c>
      <c r="S552" s="39">
        <f t="shared" si="52"/>
        <v>1574.7718999999997</v>
      </c>
    </row>
    <row r="553" spans="1:19">
      <c r="A553" s="66">
        <v>45680</v>
      </c>
      <c r="B553" s="24" t="s">
        <v>30</v>
      </c>
      <c r="C553" s="4">
        <v>18505</v>
      </c>
      <c r="D553" s="5">
        <v>14107</v>
      </c>
      <c r="E553" s="4">
        <v>14011</v>
      </c>
      <c r="F553" s="4">
        <v>14041</v>
      </c>
      <c r="G553" s="4">
        <f t="shared" si="49"/>
        <v>15166</v>
      </c>
      <c r="H553" s="7">
        <f t="shared" si="48"/>
        <v>3.7915000000000001</v>
      </c>
      <c r="I553" s="9">
        <f t="shared" si="53"/>
        <v>1</v>
      </c>
      <c r="J553" s="9">
        <f t="shared" si="50"/>
        <v>4.7915000000000001</v>
      </c>
      <c r="K553" s="10">
        <f t="shared" si="51"/>
        <v>5</v>
      </c>
      <c r="O553" s="36">
        <f>'DHS25'!C552</f>
        <v>13559</v>
      </c>
      <c r="P553" s="37">
        <f>'DHS25'!D552</f>
        <v>4964</v>
      </c>
      <c r="Q553" s="37">
        <f>'DHS25'!E552</f>
        <v>6214</v>
      </c>
      <c r="R553" s="38">
        <v>190.51</v>
      </c>
      <c r="S553" s="39">
        <f t="shared" si="52"/>
        <v>1183.8291400000001</v>
      </c>
    </row>
    <row r="554" spans="1:19">
      <c r="A554" s="66">
        <v>45680</v>
      </c>
      <c r="B554" s="24" t="s">
        <v>31</v>
      </c>
      <c r="C554" s="4">
        <v>8995</v>
      </c>
      <c r="D554" s="5">
        <v>7362</v>
      </c>
      <c r="E554" s="4">
        <v>7983</v>
      </c>
      <c r="F554" s="4">
        <v>8759</v>
      </c>
      <c r="G554" s="4">
        <f t="shared" si="49"/>
        <v>8274.75</v>
      </c>
      <c r="H554" s="7">
        <f t="shared" si="48"/>
        <v>2.0686874999999998</v>
      </c>
      <c r="I554" s="9">
        <f t="shared" si="53"/>
        <v>1</v>
      </c>
      <c r="J554" s="9">
        <f t="shared" si="50"/>
        <v>3.0686874999999998</v>
      </c>
      <c r="K554" s="10">
        <f t="shared" si="51"/>
        <v>4</v>
      </c>
      <c r="O554" s="36">
        <f>'DHS25'!C553</f>
        <v>7619</v>
      </c>
      <c r="P554" s="37">
        <f>'DHS25'!D553</f>
        <v>7386</v>
      </c>
      <c r="Q554" s="37">
        <f>'DHS25'!E553</f>
        <v>4249</v>
      </c>
      <c r="R554" s="38">
        <v>153.06</v>
      </c>
      <c r="S554" s="39">
        <f t="shared" si="52"/>
        <v>650.35194000000001</v>
      </c>
    </row>
    <row r="555" spans="1:19">
      <c r="A555" s="67">
        <v>45681</v>
      </c>
      <c r="B555" s="25" t="s">
        <v>8</v>
      </c>
      <c r="C555" s="4">
        <v>9774</v>
      </c>
      <c r="D555" s="5">
        <v>4843</v>
      </c>
      <c r="E555" s="4">
        <v>6483</v>
      </c>
      <c r="F555" s="4">
        <v>7996</v>
      </c>
      <c r="G555" s="4">
        <f t="shared" si="49"/>
        <v>7274</v>
      </c>
      <c r="H555" s="7">
        <f t="shared" si="48"/>
        <v>1.8185</v>
      </c>
      <c r="I555" s="9">
        <f t="shared" si="53"/>
        <v>1</v>
      </c>
      <c r="J555" s="9">
        <f t="shared" si="50"/>
        <v>2.8185000000000002</v>
      </c>
      <c r="K555" s="10">
        <f t="shared" si="51"/>
        <v>3</v>
      </c>
      <c r="O555" s="36">
        <f>'DHS25'!C554</f>
        <v>7614</v>
      </c>
      <c r="P555" s="37">
        <f>'DHS25'!D554</f>
        <v>5127</v>
      </c>
      <c r="Q555" s="37">
        <f>'DHS25'!E554</f>
        <v>3164</v>
      </c>
      <c r="R555" s="38">
        <v>133.86000000000001</v>
      </c>
      <c r="S555" s="39">
        <f t="shared" si="52"/>
        <v>423.53304000000009</v>
      </c>
    </row>
    <row r="556" spans="1:19">
      <c r="A556" s="67">
        <v>45681</v>
      </c>
      <c r="B556" s="25" t="s">
        <v>9</v>
      </c>
      <c r="C556" s="4">
        <v>13203</v>
      </c>
      <c r="D556" s="5">
        <v>3886</v>
      </c>
      <c r="E556" s="4">
        <v>7190</v>
      </c>
      <c r="F556" s="4">
        <v>10507</v>
      </c>
      <c r="G556" s="4">
        <f t="shared" si="49"/>
        <v>8696.5</v>
      </c>
      <c r="H556" s="7">
        <f t="shared" si="48"/>
        <v>2.1741250000000001</v>
      </c>
      <c r="I556" s="9">
        <f t="shared" si="53"/>
        <v>1</v>
      </c>
      <c r="J556" s="9">
        <f t="shared" si="50"/>
        <v>3.1741250000000001</v>
      </c>
      <c r="K556" s="10">
        <f t="shared" si="51"/>
        <v>4</v>
      </c>
      <c r="O556" s="36">
        <f>'DHS25'!C555</f>
        <v>9346</v>
      </c>
      <c r="P556" s="37">
        <f>'DHS25'!D555</f>
        <v>3851</v>
      </c>
      <c r="Q556" s="37">
        <f>'DHS25'!E555</f>
        <v>3825</v>
      </c>
      <c r="R556" s="38">
        <v>115.83</v>
      </c>
      <c r="S556" s="39">
        <f t="shared" si="52"/>
        <v>443.04975000000002</v>
      </c>
    </row>
    <row r="557" spans="1:19">
      <c r="A557" s="67">
        <v>45681</v>
      </c>
      <c r="B557" s="25" t="s">
        <v>10</v>
      </c>
      <c r="C557" s="4">
        <v>13845</v>
      </c>
      <c r="D557" s="5">
        <v>2773</v>
      </c>
      <c r="E557" s="4">
        <v>8198</v>
      </c>
      <c r="F557" s="4">
        <v>11804</v>
      </c>
      <c r="G557" s="4">
        <f t="shared" si="49"/>
        <v>9155</v>
      </c>
      <c r="H557" s="7">
        <f t="shared" si="48"/>
        <v>2.2887499999999998</v>
      </c>
      <c r="I557" s="9">
        <f t="shared" si="53"/>
        <v>1</v>
      </c>
      <c r="J557" s="9">
        <f t="shared" si="50"/>
        <v>3.2887499999999998</v>
      </c>
      <c r="K557" s="10">
        <f t="shared" si="51"/>
        <v>4</v>
      </c>
      <c r="O557" s="36">
        <f>'DHS25'!C556</f>
        <v>9360</v>
      </c>
      <c r="P557" s="37">
        <f>'DHS25'!D556</f>
        <v>4571</v>
      </c>
      <c r="Q557" s="37">
        <f>'DHS25'!E556</f>
        <v>4061</v>
      </c>
      <c r="R557" s="38">
        <v>108.36</v>
      </c>
      <c r="S557" s="39">
        <f t="shared" si="52"/>
        <v>440.04996</v>
      </c>
    </row>
    <row r="558" spans="1:19">
      <c r="A558" s="67">
        <v>45681</v>
      </c>
      <c r="B558" s="25" t="s">
        <v>11</v>
      </c>
      <c r="C558" s="4">
        <v>13648</v>
      </c>
      <c r="D558" s="5">
        <v>3053</v>
      </c>
      <c r="E558" s="4">
        <v>9437</v>
      </c>
      <c r="F558" s="4">
        <v>12806</v>
      </c>
      <c r="G558" s="4">
        <f t="shared" si="49"/>
        <v>9736</v>
      </c>
      <c r="H558" s="7">
        <f t="shared" si="48"/>
        <v>2.4340000000000002</v>
      </c>
      <c r="I558" s="9">
        <f t="shared" si="53"/>
        <v>1</v>
      </c>
      <c r="J558" s="9">
        <f t="shared" si="50"/>
        <v>3.4340000000000002</v>
      </c>
      <c r="K558" s="10">
        <f t="shared" si="51"/>
        <v>4</v>
      </c>
      <c r="O558" s="36">
        <f>'DHS25'!C557</f>
        <v>11077</v>
      </c>
      <c r="P558" s="37">
        <f>'DHS25'!D557</f>
        <v>2377</v>
      </c>
      <c r="Q558" s="37">
        <f>'DHS25'!E557</f>
        <v>4069</v>
      </c>
      <c r="R558" s="38">
        <v>107.16</v>
      </c>
      <c r="S558" s="39">
        <f t="shared" si="52"/>
        <v>436.03404</v>
      </c>
    </row>
    <row r="559" spans="1:19">
      <c r="A559" s="67">
        <v>45681</v>
      </c>
      <c r="B559" s="25" t="s">
        <v>12</v>
      </c>
      <c r="C559" s="4">
        <v>20100</v>
      </c>
      <c r="D559" s="5">
        <v>13029</v>
      </c>
      <c r="E559" s="4">
        <v>12937</v>
      </c>
      <c r="F559" s="4">
        <v>16356</v>
      </c>
      <c r="G559" s="4">
        <f t="shared" si="49"/>
        <v>15605.5</v>
      </c>
      <c r="H559" s="7">
        <f t="shared" si="48"/>
        <v>3.9013749999999998</v>
      </c>
      <c r="I559" s="9">
        <f t="shared" si="53"/>
        <v>1</v>
      </c>
      <c r="J559" s="9">
        <f t="shared" si="50"/>
        <v>4.9013749999999998</v>
      </c>
      <c r="K559" s="10">
        <f t="shared" si="51"/>
        <v>5</v>
      </c>
      <c r="O559" s="36">
        <f>'DHS25'!C558</f>
        <v>16683</v>
      </c>
      <c r="P559" s="37">
        <f>'DHS25'!D558</f>
        <v>70</v>
      </c>
      <c r="Q559" s="37">
        <f>'DHS25'!E558</f>
        <v>5079</v>
      </c>
      <c r="R559" s="38">
        <v>113.49</v>
      </c>
      <c r="S559" s="39">
        <f t="shared" si="52"/>
        <v>576.41570999999999</v>
      </c>
    </row>
    <row r="560" spans="1:19">
      <c r="A560" s="67">
        <v>45681</v>
      </c>
      <c r="B560" s="25" t="s">
        <v>13</v>
      </c>
      <c r="C560" s="4">
        <v>20904</v>
      </c>
      <c r="D560" s="5">
        <v>18630</v>
      </c>
      <c r="E560" s="4">
        <v>15844</v>
      </c>
      <c r="F560" s="4">
        <v>18603</v>
      </c>
      <c r="G560" s="4">
        <f t="shared" si="49"/>
        <v>18495.25</v>
      </c>
      <c r="H560" s="7">
        <f t="shared" si="48"/>
        <v>4.6238124999999997</v>
      </c>
      <c r="I560" s="9">
        <f t="shared" si="53"/>
        <v>1</v>
      </c>
      <c r="J560" s="9">
        <f t="shared" si="50"/>
        <v>5.6238124999999997</v>
      </c>
      <c r="K560" s="10">
        <f t="shared" si="51"/>
        <v>6</v>
      </c>
      <c r="O560" s="36">
        <f>'DHS25'!C559</f>
        <v>21981</v>
      </c>
      <c r="P560" s="37">
        <f>'DHS25'!D559</f>
        <v>68</v>
      </c>
      <c r="Q560" s="37">
        <f>'DHS25'!E559</f>
        <v>7597</v>
      </c>
      <c r="R560" s="38">
        <v>148.97999999999999</v>
      </c>
      <c r="S560" s="39">
        <f t="shared" si="52"/>
        <v>1131.80106</v>
      </c>
    </row>
    <row r="561" spans="1:19">
      <c r="A561" s="67">
        <v>45681</v>
      </c>
      <c r="B561" s="25" t="s">
        <v>14</v>
      </c>
      <c r="C561" s="4">
        <v>21425</v>
      </c>
      <c r="D561" s="5">
        <v>17620</v>
      </c>
      <c r="E561" s="4">
        <v>18193</v>
      </c>
      <c r="F561" s="4">
        <v>17858</v>
      </c>
      <c r="G561" s="4">
        <f t="shared" si="49"/>
        <v>18774</v>
      </c>
      <c r="H561" s="7">
        <f t="shared" si="48"/>
        <v>4.6935000000000002</v>
      </c>
      <c r="I561" s="9">
        <f t="shared" si="53"/>
        <v>1</v>
      </c>
      <c r="J561" s="9">
        <f t="shared" si="50"/>
        <v>5.6935000000000002</v>
      </c>
      <c r="K561" s="10">
        <f t="shared" si="51"/>
        <v>6</v>
      </c>
      <c r="O561" s="36">
        <f>'DHS25'!C560</f>
        <v>24011</v>
      </c>
      <c r="P561" s="37">
        <f>'DHS25'!D560</f>
        <v>1570</v>
      </c>
      <c r="Q561" s="37">
        <f>'DHS25'!E560</f>
        <v>8032</v>
      </c>
      <c r="R561" s="38">
        <v>199.58</v>
      </c>
      <c r="S561" s="39">
        <f t="shared" si="52"/>
        <v>1603.02656</v>
      </c>
    </row>
    <row r="562" spans="1:19">
      <c r="A562" s="67">
        <v>45681</v>
      </c>
      <c r="B562" s="25" t="s">
        <v>15</v>
      </c>
      <c r="C562" s="4">
        <v>19568</v>
      </c>
      <c r="D562" s="5">
        <v>13164</v>
      </c>
      <c r="E562" s="4">
        <v>14486</v>
      </c>
      <c r="F562" s="4">
        <v>16838</v>
      </c>
      <c r="G562" s="4">
        <f t="shared" si="49"/>
        <v>16014</v>
      </c>
      <c r="H562" s="7">
        <f t="shared" si="48"/>
        <v>4.0034999999999998</v>
      </c>
      <c r="I562" s="9">
        <f t="shared" si="53"/>
        <v>1</v>
      </c>
      <c r="J562" s="9">
        <f t="shared" si="50"/>
        <v>5.0034999999999998</v>
      </c>
      <c r="K562" s="10">
        <f t="shared" si="51"/>
        <v>6</v>
      </c>
      <c r="O562" s="36">
        <f>'DHS25'!C561</f>
        <v>18067</v>
      </c>
      <c r="P562" s="37">
        <f>'DHS25'!D561</f>
        <v>6293</v>
      </c>
      <c r="Q562" s="37">
        <f>'DHS25'!E561</f>
        <v>7814</v>
      </c>
      <c r="R562" s="38">
        <v>217.1</v>
      </c>
      <c r="S562" s="39">
        <f t="shared" si="52"/>
        <v>1696.4194</v>
      </c>
    </row>
    <row r="563" spans="1:19">
      <c r="A563" s="67">
        <v>45681</v>
      </c>
      <c r="B563" s="25" t="s">
        <v>16</v>
      </c>
      <c r="C563" s="4">
        <v>21341</v>
      </c>
      <c r="D563" s="5">
        <v>13761</v>
      </c>
      <c r="E563" s="4">
        <v>16182</v>
      </c>
      <c r="F563" s="4">
        <v>16018</v>
      </c>
      <c r="G563" s="4">
        <f t="shared" si="49"/>
        <v>16825.5</v>
      </c>
      <c r="H563" s="7">
        <f t="shared" si="48"/>
        <v>4.2063750000000004</v>
      </c>
      <c r="I563" s="9">
        <f t="shared" si="53"/>
        <v>1</v>
      </c>
      <c r="J563" s="9">
        <f t="shared" si="50"/>
        <v>5.2063750000000004</v>
      </c>
      <c r="K563" s="10">
        <f t="shared" si="51"/>
        <v>6</v>
      </c>
      <c r="O563" s="36">
        <f>'DHS25'!C562</f>
        <v>16577</v>
      </c>
      <c r="P563" s="37">
        <f>'DHS25'!D562</f>
        <v>7734</v>
      </c>
      <c r="Q563" s="37">
        <f>'DHS25'!E562</f>
        <v>8041</v>
      </c>
      <c r="R563" s="38">
        <v>178.84</v>
      </c>
      <c r="S563" s="39">
        <f t="shared" si="52"/>
        <v>1438.0524400000002</v>
      </c>
    </row>
    <row r="564" spans="1:19">
      <c r="A564" s="67">
        <v>45681</v>
      </c>
      <c r="B564" s="25" t="s">
        <v>17</v>
      </c>
      <c r="C564" s="4">
        <v>19950</v>
      </c>
      <c r="D564" s="5">
        <v>15168</v>
      </c>
      <c r="E564" s="4">
        <v>14819</v>
      </c>
      <c r="F564" s="4">
        <v>18721</v>
      </c>
      <c r="G564" s="4">
        <f t="shared" si="49"/>
        <v>17164.5</v>
      </c>
      <c r="H564" s="7">
        <f t="shared" si="48"/>
        <v>4.2911250000000001</v>
      </c>
      <c r="I564" s="9">
        <f t="shared" si="53"/>
        <v>1</v>
      </c>
      <c r="J564" s="9">
        <f t="shared" si="50"/>
        <v>5.2911250000000001</v>
      </c>
      <c r="K564" s="10">
        <f t="shared" si="51"/>
        <v>6</v>
      </c>
      <c r="O564" s="36">
        <f>'DHS25'!C563</f>
        <v>17472</v>
      </c>
      <c r="P564" s="37">
        <f>'DHS25'!D563</f>
        <v>6882</v>
      </c>
      <c r="Q564" s="37">
        <f>'DHS25'!E563</f>
        <v>8073</v>
      </c>
      <c r="R564" s="38">
        <v>155</v>
      </c>
      <c r="S564" s="39">
        <f t="shared" si="52"/>
        <v>1251.3150000000001</v>
      </c>
    </row>
    <row r="565" spans="1:19">
      <c r="A565" s="67">
        <v>45681</v>
      </c>
      <c r="B565" s="25" t="s">
        <v>18</v>
      </c>
      <c r="C565" s="4">
        <v>18909</v>
      </c>
      <c r="D565" s="5">
        <v>15150</v>
      </c>
      <c r="E565" s="4">
        <v>14437</v>
      </c>
      <c r="F565" s="4">
        <v>17478</v>
      </c>
      <c r="G565" s="4">
        <f t="shared" si="49"/>
        <v>16493.5</v>
      </c>
      <c r="H565" s="7">
        <f t="shared" si="48"/>
        <v>4.1233750000000002</v>
      </c>
      <c r="I565" s="9">
        <f t="shared" si="53"/>
        <v>1</v>
      </c>
      <c r="J565" s="9">
        <f t="shared" si="50"/>
        <v>5.1233750000000002</v>
      </c>
      <c r="K565" s="10">
        <f t="shared" si="51"/>
        <v>6</v>
      </c>
      <c r="O565" s="36">
        <f>'DHS25'!C564</f>
        <v>15959</v>
      </c>
      <c r="P565" s="37">
        <f>'DHS25'!D564</f>
        <v>7997</v>
      </c>
      <c r="Q565" s="37">
        <f>'DHS25'!E564</f>
        <v>8074</v>
      </c>
      <c r="R565" s="38">
        <v>145.29</v>
      </c>
      <c r="S565" s="39">
        <f t="shared" si="52"/>
        <v>1173.0714599999999</v>
      </c>
    </row>
    <row r="566" spans="1:19">
      <c r="A566" s="67">
        <v>45681</v>
      </c>
      <c r="B566" s="25" t="s">
        <v>19</v>
      </c>
      <c r="C566" s="4">
        <v>18788</v>
      </c>
      <c r="D566" s="5">
        <v>14525</v>
      </c>
      <c r="E566" s="4">
        <v>13163</v>
      </c>
      <c r="F566" s="4">
        <v>16091</v>
      </c>
      <c r="G566" s="4">
        <f t="shared" si="49"/>
        <v>15641.75</v>
      </c>
      <c r="H566" s="7">
        <f t="shared" si="48"/>
        <v>3.9104375</v>
      </c>
      <c r="I566" s="9">
        <f t="shared" si="53"/>
        <v>1</v>
      </c>
      <c r="J566" s="9">
        <f t="shared" si="50"/>
        <v>4.9104375000000005</v>
      </c>
      <c r="K566" s="10">
        <f t="shared" si="51"/>
        <v>5</v>
      </c>
      <c r="O566" s="36">
        <f>'DHS25'!C565</f>
        <v>15075</v>
      </c>
      <c r="P566" s="37">
        <f>'DHS25'!D565</f>
        <v>9207</v>
      </c>
      <c r="Q566" s="37">
        <f>'DHS25'!E565</f>
        <v>8062</v>
      </c>
      <c r="R566" s="38">
        <v>133.87</v>
      </c>
      <c r="S566" s="39">
        <f t="shared" si="52"/>
        <v>1079.2599399999999</v>
      </c>
    </row>
    <row r="567" spans="1:19">
      <c r="A567" s="67">
        <v>45681</v>
      </c>
      <c r="B567" s="25" t="s">
        <v>20</v>
      </c>
      <c r="C567" s="4">
        <v>18904</v>
      </c>
      <c r="D567" s="5">
        <v>14301</v>
      </c>
      <c r="E567" s="4">
        <v>13498</v>
      </c>
      <c r="F567" s="4">
        <v>16141</v>
      </c>
      <c r="G567" s="4">
        <f t="shared" si="49"/>
        <v>15711</v>
      </c>
      <c r="H567" s="7">
        <f t="shared" si="48"/>
        <v>3.9277500000000001</v>
      </c>
      <c r="I567" s="9">
        <f t="shared" si="53"/>
        <v>1</v>
      </c>
      <c r="J567" s="9">
        <f t="shared" si="50"/>
        <v>4.9277499999999996</v>
      </c>
      <c r="K567" s="10">
        <f t="shared" si="51"/>
        <v>5</v>
      </c>
      <c r="O567" s="36">
        <f>'DHS25'!C566</f>
        <v>15659</v>
      </c>
      <c r="P567" s="37">
        <f>'DHS25'!D566</f>
        <v>8020</v>
      </c>
      <c r="Q567" s="37">
        <f>'DHS25'!E566</f>
        <v>7942</v>
      </c>
      <c r="R567" s="38">
        <v>134.53</v>
      </c>
      <c r="S567" s="39">
        <f t="shared" si="52"/>
        <v>1068.4372599999999</v>
      </c>
    </row>
    <row r="568" spans="1:19">
      <c r="A568" s="67">
        <v>45681</v>
      </c>
      <c r="B568" s="25" t="s">
        <v>21</v>
      </c>
      <c r="C568" s="4">
        <v>18800</v>
      </c>
      <c r="D568" s="5">
        <v>14840</v>
      </c>
      <c r="E568" s="4">
        <v>13638</v>
      </c>
      <c r="F568" s="4">
        <v>15796</v>
      </c>
      <c r="G568" s="4">
        <f t="shared" si="49"/>
        <v>15768.5</v>
      </c>
      <c r="H568" s="7">
        <f t="shared" si="48"/>
        <v>3.9421249999999999</v>
      </c>
      <c r="I568" s="9">
        <f t="shared" si="53"/>
        <v>1</v>
      </c>
      <c r="J568" s="9">
        <f t="shared" si="50"/>
        <v>4.9421249999999999</v>
      </c>
      <c r="K568" s="10">
        <f t="shared" si="51"/>
        <v>5</v>
      </c>
      <c r="O568" s="36">
        <f>'DHS25'!C567</f>
        <v>15631</v>
      </c>
      <c r="P568" s="37">
        <f>'DHS25'!D567</f>
        <v>8839</v>
      </c>
      <c r="Q568" s="37">
        <f>'DHS25'!E567</f>
        <v>8048</v>
      </c>
      <c r="R568" s="38">
        <v>132.16999999999999</v>
      </c>
      <c r="S568" s="39">
        <f t="shared" si="52"/>
        <v>1063.70416</v>
      </c>
    </row>
    <row r="569" spans="1:19">
      <c r="A569" s="67">
        <v>45681</v>
      </c>
      <c r="B569" s="25" t="s">
        <v>22</v>
      </c>
      <c r="C569" s="4">
        <v>18590</v>
      </c>
      <c r="D569" s="5">
        <v>14684</v>
      </c>
      <c r="E569" s="4">
        <v>12805</v>
      </c>
      <c r="F569" s="4">
        <v>15770</v>
      </c>
      <c r="G569" s="4">
        <f t="shared" si="49"/>
        <v>15462.25</v>
      </c>
      <c r="H569" s="7">
        <f t="shared" si="48"/>
        <v>3.8655624999999998</v>
      </c>
      <c r="I569" s="9">
        <f t="shared" si="53"/>
        <v>1</v>
      </c>
      <c r="J569" s="9">
        <f t="shared" si="50"/>
        <v>4.8655624999999993</v>
      </c>
      <c r="K569" s="10">
        <f t="shared" si="51"/>
        <v>5</v>
      </c>
      <c r="O569" s="36">
        <f>'DHS25'!C568</f>
        <v>15107</v>
      </c>
      <c r="P569" s="37">
        <f>'DHS25'!D568</f>
        <v>9340</v>
      </c>
      <c r="Q569" s="37">
        <f>'DHS25'!E568</f>
        <v>8072</v>
      </c>
      <c r="R569" s="38">
        <v>136.18</v>
      </c>
      <c r="S569" s="39">
        <f t="shared" si="52"/>
        <v>1099.24496</v>
      </c>
    </row>
    <row r="570" spans="1:19">
      <c r="A570" s="67">
        <v>45681</v>
      </c>
      <c r="B570" s="25" t="s">
        <v>23</v>
      </c>
      <c r="C570" s="4">
        <v>17865</v>
      </c>
      <c r="D570" s="5">
        <v>15451</v>
      </c>
      <c r="E570" s="4">
        <v>14570</v>
      </c>
      <c r="F570" s="4">
        <v>15764</v>
      </c>
      <c r="G570" s="4">
        <f t="shared" si="49"/>
        <v>15912.5</v>
      </c>
      <c r="H570" s="7">
        <f t="shared" si="48"/>
        <v>3.9781249999999999</v>
      </c>
      <c r="I570" s="9">
        <f t="shared" si="53"/>
        <v>1</v>
      </c>
      <c r="J570" s="9">
        <f t="shared" si="50"/>
        <v>4.9781250000000004</v>
      </c>
      <c r="K570" s="10">
        <f t="shared" si="51"/>
        <v>5</v>
      </c>
      <c r="O570" s="36">
        <f>'DHS25'!C569</f>
        <v>13772</v>
      </c>
      <c r="P570" s="37">
        <f>'DHS25'!D569</f>
        <v>10398</v>
      </c>
      <c r="Q570" s="37">
        <f>'DHS25'!E569</f>
        <v>8061</v>
      </c>
      <c r="R570" s="38">
        <v>175.26</v>
      </c>
      <c r="S570" s="39">
        <f t="shared" si="52"/>
        <v>1412.7708599999999</v>
      </c>
    </row>
    <row r="571" spans="1:19">
      <c r="A571" s="67">
        <v>45681</v>
      </c>
      <c r="B571" s="25" t="s">
        <v>24</v>
      </c>
      <c r="C571" s="4">
        <v>19474</v>
      </c>
      <c r="D571" s="5">
        <v>17105</v>
      </c>
      <c r="E571" s="4">
        <v>14131</v>
      </c>
      <c r="F571" s="4">
        <v>15933</v>
      </c>
      <c r="G571" s="4">
        <f t="shared" si="49"/>
        <v>16660.75</v>
      </c>
      <c r="H571" s="7">
        <f t="shared" si="48"/>
        <v>4.1651875</v>
      </c>
      <c r="I571" s="9">
        <f t="shared" si="53"/>
        <v>1</v>
      </c>
      <c r="J571" s="9">
        <f t="shared" si="50"/>
        <v>5.1651875</v>
      </c>
      <c r="K571" s="10">
        <f t="shared" si="51"/>
        <v>6</v>
      </c>
      <c r="O571" s="36">
        <f>'DHS25'!C570</f>
        <v>15234</v>
      </c>
      <c r="P571" s="37">
        <f>'DHS25'!D570</f>
        <v>9389</v>
      </c>
      <c r="Q571" s="37">
        <f>'DHS25'!E570</f>
        <v>8072</v>
      </c>
      <c r="R571" s="38">
        <v>243.35</v>
      </c>
      <c r="S571" s="39">
        <f t="shared" si="52"/>
        <v>1964.3211999999999</v>
      </c>
    </row>
    <row r="572" spans="1:19">
      <c r="A572" s="67">
        <v>45681</v>
      </c>
      <c r="B572" s="25" t="s">
        <v>25</v>
      </c>
      <c r="C572" s="4">
        <v>20089</v>
      </c>
      <c r="D572" s="5">
        <v>17687</v>
      </c>
      <c r="E572" s="4">
        <v>14168</v>
      </c>
      <c r="F572" s="4">
        <v>14321</v>
      </c>
      <c r="G572" s="4">
        <f t="shared" si="49"/>
        <v>16566.25</v>
      </c>
      <c r="H572" s="7">
        <f t="shared" si="48"/>
        <v>4.1415625</v>
      </c>
      <c r="I572" s="9">
        <f t="shared" si="53"/>
        <v>1</v>
      </c>
      <c r="J572" s="9">
        <f t="shared" si="50"/>
        <v>5.1415625</v>
      </c>
      <c r="K572" s="10">
        <f t="shared" si="51"/>
        <v>6</v>
      </c>
      <c r="O572" s="36">
        <f>'DHS25'!C571</f>
        <v>16949</v>
      </c>
      <c r="P572" s="37">
        <f>'DHS25'!D571</f>
        <v>6476</v>
      </c>
      <c r="Q572" s="37">
        <f>'DHS25'!E571</f>
        <v>8048</v>
      </c>
      <c r="R572" s="38">
        <v>227.72</v>
      </c>
      <c r="S572" s="39">
        <f t="shared" si="52"/>
        <v>1832.69056</v>
      </c>
    </row>
    <row r="573" spans="1:19">
      <c r="A573" s="67">
        <v>45681</v>
      </c>
      <c r="B573" s="25" t="s">
        <v>26</v>
      </c>
      <c r="C573" s="4">
        <v>20478</v>
      </c>
      <c r="D573" s="5">
        <v>15137</v>
      </c>
      <c r="E573" s="4">
        <v>14502</v>
      </c>
      <c r="F573" s="4">
        <v>15570</v>
      </c>
      <c r="G573" s="4">
        <f t="shared" si="49"/>
        <v>16421.75</v>
      </c>
      <c r="H573" s="7">
        <f t="shared" si="48"/>
        <v>4.1054374999999999</v>
      </c>
      <c r="I573" s="9">
        <f t="shared" si="53"/>
        <v>1</v>
      </c>
      <c r="J573" s="9">
        <f t="shared" si="50"/>
        <v>5.1054374999999999</v>
      </c>
      <c r="K573" s="10">
        <f t="shared" si="51"/>
        <v>6</v>
      </c>
      <c r="O573" s="36">
        <f>'DHS25'!C572</f>
        <v>16977</v>
      </c>
      <c r="P573" s="37">
        <f>'DHS25'!D572</f>
        <v>6866</v>
      </c>
      <c r="Q573" s="37">
        <f>'DHS25'!E572</f>
        <v>8048</v>
      </c>
      <c r="R573" s="38">
        <v>224.02</v>
      </c>
      <c r="S573" s="39">
        <f t="shared" si="52"/>
        <v>1802.9129600000001</v>
      </c>
    </row>
    <row r="574" spans="1:19">
      <c r="A574" s="67">
        <v>45681</v>
      </c>
      <c r="B574" s="25" t="s">
        <v>27</v>
      </c>
      <c r="C574" s="4">
        <v>20727</v>
      </c>
      <c r="D574" s="5">
        <v>18098</v>
      </c>
      <c r="E574" s="4">
        <v>15291</v>
      </c>
      <c r="F574" s="4">
        <v>16025</v>
      </c>
      <c r="G574" s="4">
        <f t="shared" si="49"/>
        <v>17535.25</v>
      </c>
      <c r="H574" s="7">
        <f t="shared" si="48"/>
        <v>4.3838125000000003</v>
      </c>
      <c r="I574" s="9">
        <f t="shared" si="53"/>
        <v>1</v>
      </c>
      <c r="J574" s="9">
        <f t="shared" si="50"/>
        <v>5.3838125000000003</v>
      </c>
      <c r="K574" s="10">
        <f t="shared" si="51"/>
        <v>6</v>
      </c>
      <c r="O574" s="36">
        <f>'DHS25'!C573</f>
        <v>16164</v>
      </c>
      <c r="P574" s="37">
        <f>'DHS25'!D573</f>
        <v>7378</v>
      </c>
      <c r="Q574" s="37">
        <f>'DHS25'!E573</f>
        <v>8062</v>
      </c>
      <c r="R574" s="38">
        <v>232.56</v>
      </c>
      <c r="S574" s="39">
        <f t="shared" si="52"/>
        <v>1874.8987199999999</v>
      </c>
    </row>
    <row r="575" spans="1:19">
      <c r="A575" s="67">
        <v>45681</v>
      </c>
      <c r="B575" s="25" t="s">
        <v>28</v>
      </c>
      <c r="C575" s="4">
        <v>21104</v>
      </c>
      <c r="D575" s="5">
        <v>17794</v>
      </c>
      <c r="E575" s="4">
        <v>15035</v>
      </c>
      <c r="F575" s="4">
        <v>15957</v>
      </c>
      <c r="G575" s="4">
        <f t="shared" si="49"/>
        <v>17472.5</v>
      </c>
      <c r="H575" s="7">
        <f t="shared" si="48"/>
        <v>4.368125</v>
      </c>
      <c r="I575" s="9">
        <f t="shared" si="53"/>
        <v>1</v>
      </c>
      <c r="J575" s="9">
        <f t="shared" si="50"/>
        <v>5.368125</v>
      </c>
      <c r="K575" s="10">
        <f t="shared" si="51"/>
        <v>6</v>
      </c>
      <c r="O575" s="36">
        <f>'DHS25'!C574</f>
        <v>16102</v>
      </c>
      <c r="P575" s="37">
        <f>'DHS25'!D574</f>
        <v>7422</v>
      </c>
      <c r="Q575" s="37">
        <f>'DHS25'!E574</f>
        <v>8034</v>
      </c>
      <c r="R575" s="38">
        <v>224.99</v>
      </c>
      <c r="S575" s="39">
        <f t="shared" si="52"/>
        <v>1807.5696600000003</v>
      </c>
    </row>
    <row r="576" spans="1:19">
      <c r="A576" s="67">
        <v>45681</v>
      </c>
      <c r="B576" s="25" t="s">
        <v>29</v>
      </c>
      <c r="C576" s="4">
        <v>21112</v>
      </c>
      <c r="D576" s="5">
        <v>16150</v>
      </c>
      <c r="E576" s="4">
        <v>15288</v>
      </c>
      <c r="F576" s="4">
        <v>16484</v>
      </c>
      <c r="G576" s="4">
        <f t="shared" si="49"/>
        <v>17258.5</v>
      </c>
      <c r="H576" s="7">
        <f t="shared" si="48"/>
        <v>4.3146250000000004</v>
      </c>
      <c r="I576" s="9">
        <f t="shared" si="53"/>
        <v>1</v>
      </c>
      <c r="J576" s="9">
        <f t="shared" si="50"/>
        <v>5.3146250000000004</v>
      </c>
      <c r="K576" s="10">
        <f t="shared" si="51"/>
        <v>6</v>
      </c>
      <c r="O576" s="36">
        <f>'DHS25'!C575</f>
        <v>16598</v>
      </c>
      <c r="P576" s="37">
        <f>'DHS25'!D575</f>
        <v>7519</v>
      </c>
      <c r="Q576" s="37">
        <f>'DHS25'!E575</f>
        <v>8061</v>
      </c>
      <c r="R576" s="38">
        <v>212.1</v>
      </c>
      <c r="S576" s="39">
        <f t="shared" si="52"/>
        <v>1709.7381</v>
      </c>
    </row>
    <row r="577" spans="1:19">
      <c r="A577" s="67">
        <v>45681</v>
      </c>
      <c r="B577" s="25" t="s">
        <v>30</v>
      </c>
      <c r="C577" s="4">
        <v>18845</v>
      </c>
      <c r="D577" s="5">
        <v>14864</v>
      </c>
      <c r="E577" s="4">
        <v>13880</v>
      </c>
      <c r="F577" s="4">
        <v>13644</v>
      </c>
      <c r="G577" s="4">
        <f t="shared" si="49"/>
        <v>15308.25</v>
      </c>
      <c r="H577" s="7">
        <f t="shared" si="48"/>
        <v>3.8270624999999998</v>
      </c>
      <c r="I577" s="9">
        <f t="shared" si="53"/>
        <v>1</v>
      </c>
      <c r="J577" s="9">
        <f t="shared" si="50"/>
        <v>4.8270625000000003</v>
      </c>
      <c r="K577" s="10">
        <f t="shared" si="51"/>
        <v>5</v>
      </c>
      <c r="O577" s="36">
        <f>'DHS25'!C576</f>
        <v>15257</v>
      </c>
      <c r="P577" s="37">
        <f>'DHS25'!D576</f>
        <v>4942</v>
      </c>
      <c r="Q577" s="37">
        <f>'DHS25'!E576</f>
        <v>6479</v>
      </c>
      <c r="R577" s="38">
        <v>161.13</v>
      </c>
      <c r="S577" s="39">
        <f t="shared" si="52"/>
        <v>1043.96127</v>
      </c>
    </row>
    <row r="578" spans="1:19">
      <c r="A578" s="67">
        <v>45681</v>
      </c>
      <c r="B578" s="25" t="s">
        <v>31</v>
      </c>
      <c r="C578" s="4">
        <v>9433</v>
      </c>
      <c r="D578" s="5">
        <v>7980</v>
      </c>
      <c r="E578" s="4">
        <v>6047</v>
      </c>
      <c r="F578" s="4">
        <v>8208</v>
      </c>
      <c r="G578" s="4">
        <f t="shared" si="49"/>
        <v>7917</v>
      </c>
      <c r="H578" s="7">
        <f t="shared" si="48"/>
        <v>1.97925</v>
      </c>
      <c r="I578" s="9">
        <f t="shared" si="53"/>
        <v>1</v>
      </c>
      <c r="J578" s="9">
        <f t="shared" si="50"/>
        <v>2.97925</v>
      </c>
      <c r="K578" s="10">
        <f t="shared" si="51"/>
        <v>3</v>
      </c>
      <c r="O578" s="36">
        <f>'DHS25'!C577</f>
        <v>7083</v>
      </c>
      <c r="P578" s="37">
        <f>'DHS25'!D577</f>
        <v>4201</v>
      </c>
      <c r="Q578" s="37">
        <f>'DHS25'!E577</f>
        <v>4002</v>
      </c>
      <c r="R578" s="38">
        <v>125.82</v>
      </c>
      <c r="S578" s="39">
        <f t="shared" si="52"/>
        <v>503.53163999999992</v>
      </c>
    </row>
    <row r="579" spans="1:19">
      <c r="A579" s="66">
        <v>45682</v>
      </c>
      <c r="B579" s="24" t="s">
        <v>8</v>
      </c>
      <c r="C579" s="4">
        <v>10140</v>
      </c>
      <c r="D579" s="5">
        <v>7897</v>
      </c>
      <c r="E579" s="4">
        <v>6825</v>
      </c>
      <c r="F579" s="4">
        <v>9479</v>
      </c>
      <c r="G579" s="4">
        <f t="shared" si="49"/>
        <v>8585.25</v>
      </c>
      <c r="H579" s="7">
        <f t="shared" ref="H579:H642" si="54">G579/$M$2/1000</f>
        <v>2.1463125000000001</v>
      </c>
      <c r="I579" s="9">
        <f t="shared" si="53"/>
        <v>1</v>
      </c>
      <c r="J579" s="9">
        <f t="shared" si="50"/>
        <v>3.1463125000000001</v>
      </c>
      <c r="K579" s="10">
        <f t="shared" si="51"/>
        <v>4</v>
      </c>
      <c r="O579" s="36">
        <f>'DHS25'!C578</f>
        <v>7270</v>
      </c>
      <c r="P579" s="37">
        <f>'DHS25'!D578</f>
        <v>6192</v>
      </c>
      <c r="Q579" s="37">
        <f>'DHS25'!E578</f>
        <v>3960</v>
      </c>
      <c r="R579" s="38">
        <v>129.34</v>
      </c>
      <c r="S579" s="39">
        <f t="shared" si="52"/>
        <v>512.18640000000005</v>
      </c>
    </row>
    <row r="580" spans="1:19">
      <c r="A580" s="66">
        <v>45682</v>
      </c>
      <c r="B580" s="24" t="s">
        <v>9</v>
      </c>
      <c r="C580" s="4">
        <v>11935</v>
      </c>
      <c r="D580" s="5">
        <v>7719</v>
      </c>
      <c r="E580" s="4">
        <v>7672</v>
      </c>
      <c r="F580" s="4">
        <v>9309</v>
      </c>
      <c r="G580" s="4">
        <f t="shared" ref="G580:G643" si="55">AVERAGE(C580:F580)</f>
        <v>9158.75</v>
      </c>
      <c r="H580" s="7">
        <f t="shared" si="54"/>
        <v>2.2896874999999999</v>
      </c>
      <c r="I580" s="9">
        <f t="shared" si="53"/>
        <v>1</v>
      </c>
      <c r="J580" s="9">
        <f t="shared" ref="J580:J643" si="56">H580+I580</f>
        <v>3.2896874999999999</v>
      </c>
      <c r="K580" s="10">
        <f t="shared" ref="K580:K643" si="57">ROUNDUP(J580,0)</f>
        <v>4</v>
      </c>
      <c r="O580" s="36">
        <f>'DHS25'!C579</f>
        <v>7632</v>
      </c>
      <c r="P580" s="37">
        <f>'DHS25'!D579</f>
        <v>5603</v>
      </c>
      <c r="Q580" s="37">
        <f>'DHS25'!E579</f>
        <v>4024</v>
      </c>
      <c r="R580" s="38">
        <v>111.34</v>
      </c>
      <c r="S580" s="39">
        <f t="shared" ref="S580:S643" si="58">(Q580/1000)*R580</f>
        <v>448.03216000000003</v>
      </c>
    </row>
    <row r="581" spans="1:19">
      <c r="A581" s="66">
        <v>45682</v>
      </c>
      <c r="B581" s="24" t="s">
        <v>10</v>
      </c>
      <c r="C581" s="4">
        <v>12192</v>
      </c>
      <c r="D581" s="5">
        <v>9490</v>
      </c>
      <c r="E581" s="4">
        <v>7576</v>
      </c>
      <c r="F581" s="4">
        <v>10327</v>
      </c>
      <c r="G581" s="4">
        <f t="shared" si="55"/>
        <v>9896.25</v>
      </c>
      <c r="H581" s="7">
        <f t="shared" si="54"/>
        <v>2.4740625000000001</v>
      </c>
      <c r="I581" s="9">
        <f t="shared" ref="I581:I644" si="59">I580</f>
        <v>1</v>
      </c>
      <c r="J581" s="9">
        <f t="shared" si="56"/>
        <v>3.4740625000000001</v>
      </c>
      <c r="K581" s="10">
        <f t="shared" si="57"/>
        <v>4</v>
      </c>
      <c r="O581" s="36">
        <f>'DHS25'!C580</f>
        <v>9571</v>
      </c>
      <c r="P581" s="37">
        <f>'DHS25'!D580</f>
        <v>4332</v>
      </c>
      <c r="Q581" s="37">
        <f>'DHS25'!E580</f>
        <v>4077</v>
      </c>
      <c r="R581" s="38">
        <v>87.09</v>
      </c>
      <c r="S581" s="39">
        <f t="shared" si="58"/>
        <v>355.06593000000004</v>
      </c>
    </row>
    <row r="582" spans="1:19">
      <c r="A582" s="66">
        <v>45682</v>
      </c>
      <c r="B582" s="24" t="s">
        <v>11</v>
      </c>
      <c r="C582" s="4">
        <v>13867</v>
      </c>
      <c r="D582" s="5">
        <v>10863</v>
      </c>
      <c r="E582" s="4">
        <v>9505</v>
      </c>
      <c r="F582" s="4">
        <v>11878</v>
      </c>
      <c r="G582" s="4">
        <f t="shared" si="55"/>
        <v>11528.25</v>
      </c>
      <c r="H582" s="7">
        <f t="shared" si="54"/>
        <v>2.8820625</v>
      </c>
      <c r="I582" s="9">
        <f t="shared" si="59"/>
        <v>1</v>
      </c>
      <c r="J582" s="9">
        <f t="shared" si="56"/>
        <v>3.8820625</v>
      </c>
      <c r="K582" s="10">
        <f t="shared" si="57"/>
        <v>4</v>
      </c>
      <c r="O582" s="36">
        <f>'DHS25'!C581</f>
        <v>10859</v>
      </c>
      <c r="P582" s="37">
        <f>'DHS25'!D581</f>
        <v>2744</v>
      </c>
      <c r="Q582" s="37">
        <f>'DHS25'!E581</f>
        <v>4067</v>
      </c>
      <c r="R582" s="38">
        <v>84.36</v>
      </c>
      <c r="S582" s="39">
        <f t="shared" si="58"/>
        <v>343.09212000000002</v>
      </c>
    </row>
    <row r="583" spans="1:19">
      <c r="A583" s="66">
        <v>45682</v>
      </c>
      <c r="B583" s="24" t="s">
        <v>12</v>
      </c>
      <c r="C583" s="4">
        <v>22042</v>
      </c>
      <c r="D583" s="5">
        <v>21557</v>
      </c>
      <c r="E583" s="4">
        <v>16871</v>
      </c>
      <c r="F583" s="4">
        <v>16982</v>
      </c>
      <c r="G583" s="4">
        <f t="shared" si="55"/>
        <v>19363</v>
      </c>
      <c r="H583" s="7">
        <f t="shared" si="54"/>
        <v>4.8407499999999999</v>
      </c>
      <c r="I583" s="9">
        <f t="shared" si="59"/>
        <v>1</v>
      </c>
      <c r="J583" s="9">
        <f t="shared" si="56"/>
        <v>5.8407499999999999</v>
      </c>
      <c r="K583" s="10">
        <f t="shared" si="57"/>
        <v>6</v>
      </c>
      <c r="O583" s="36">
        <f>'DHS25'!C582</f>
        <v>17475</v>
      </c>
      <c r="P583" s="37">
        <f>'DHS25'!D582</f>
        <v>73</v>
      </c>
      <c r="Q583" s="37">
        <f>'DHS25'!E582</f>
        <v>5990</v>
      </c>
      <c r="R583" s="38">
        <v>86.89</v>
      </c>
      <c r="S583" s="39">
        <f t="shared" si="58"/>
        <v>520.47109999999998</v>
      </c>
    </row>
    <row r="584" spans="1:19">
      <c r="A584" s="66">
        <v>45682</v>
      </c>
      <c r="B584" s="24" t="s">
        <v>13</v>
      </c>
      <c r="C584" s="4">
        <v>19419</v>
      </c>
      <c r="D584" s="5">
        <v>20381</v>
      </c>
      <c r="E584" s="4">
        <v>15877</v>
      </c>
      <c r="F584" s="4">
        <v>13822</v>
      </c>
      <c r="G584" s="4">
        <f t="shared" si="55"/>
        <v>17374.75</v>
      </c>
      <c r="H584" s="7">
        <f t="shared" si="54"/>
        <v>4.3436874999999997</v>
      </c>
      <c r="I584" s="9">
        <f t="shared" si="59"/>
        <v>1</v>
      </c>
      <c r="J584" s="9">
        <f t="shared" si="56"/>
        <v>5.3436874999999997</v>
      </c>
      <c r="K584" s="10">
        <f t="shared" si="57"/>
        <v>6</v>
      </c>
      <c r="O584" s="36">
        <f>'DHS25'!C583</f>
        <v>19083</v>
      </c>
      <c r="P584" s="37">
        <f>'DHS25'!D583</f>
        <v>147</v>
      </c>
      <c r="Q584" s="37">
        <f>'DHS25'!E583</f>
        <v>6058</v>
      </c>
      <c r="R584" s="38">
        <v>93.94</v>
      </c>
      <c r="S584" s="39">
        <f t="shared" si="58"/>
        <v>569.08852000000002</v>
      </c>
    </row>
    <row r="585" spans="1:19">
      <c r="A585" s="66">
        <v>45682</v>
      </c>
      <c r="B585" s="24" t="s">
        <v>14</v>
      </c>
      <c r="C585" s="4">
        <v>22371</v>
      </c>
      <c r="D585" s="5">
        <v>18981</v>
      </c>
      <c r="E585" s="4">
        <v>18301</v>
      </c>
      <c r="F585" s="4">
        <v>19033</v>
      </c>
      <c r="G585" s="4">
        <f t="shared" si="55"/>
        <v>19671.5</v>
      </c>
      <c r="H585" s="7">
        <f t="shared" si="54"/>
        <v>4.9178750000000004</v>
      </c>
      <c r="I585" s="9">
        <f t="shared" si="59"/>
        <v>1</v>
      </c>
      <c r="J585" s="9">
        <f t="shared" si="56"/>
        <v>5.9178750000000004</v>
      </c>
      <c r="K585" s="10">
        <f t="shared" si="57"/>
        <v>6</v>
      </c>
      <c r="O585" s="36">
        <f>'DHS25'!C584</f>
        <v>18921</v>
      </c>
      <c r="P585" s="37">
        <f>'DHS25'!D584</f>
        <v>96</v>
      </c>
      <c r="Q585" s="37">
        <f>'DHS25'!E584</f>
        <v>6066</v>
      </c>
      <c r="R585" s="38">
        <v>120.43</v>
      </c>
      <c r="S585" s="39">
        <f t="shared" si="58"/>
        <v>730.52837999999997</v>
      </c>
    </row>
    <row r="586" spans="1:19">
      <c r="A586" s="66">
        <v>45682</v>
      </c>
      <c r="B586" s="24" t="s">
        <v>15</v>
      </c>
      <c r="C586" s="4">
        <v>18638</v>
      </c>
      <c r="D586" s="5">
        <v>16212</v>
      </c>
      <c r="E586" s="4">
        <v>17969</v>
      </c>
      <c r="F586" s="4">
        <v>18020</v>
      </c>
      <c r="G586" s="4">
        <f t="shared" si="55"/>
        <v>17709.75</v>
      </c>
      <c r="H586" s="7">
        <f t="shared" si="54"/>
        <v>4.4274374999999999</v>
      </c>
      <c r="I586" s="9">
        <f t="shared" si="59"/>
        <v>1</v>
      </c>
      <c r="J586" s="9">
        <f t="shared" si="56"/>
        <v>5.4274374999999999</v>
      </c>
      <c r="K586" s="10">
        <f t="shared" si="57"/>
        <v>6</v>
      </c>
      <c r="O586" s="36">
        <f>'DHS25'!C585</f>
        <v>14382</v>
      </c>
      <c r="P586" s="37">
        <f>'DHS25'!D585</f>
        <v>4424</v>
      </c>
      <c r="Q586" s="37">
        <f>'DHS25'!E585</f>
        <v>6061</v>
      </c>
      <c r="R586" s="38">
        <v>128.25</v>
      </c>
      <c r="S586" s="39">
        <f t="shared" si="58"/>
        <v>777.32325000000003</v>
      </c>
    </row>
    <row r="587" spans="1:19">
      <c r="A587" s="66">
        <v>45682</v>
      </c>
      <c r="B587" s="24" t="s">
        <v>16</v>
      </c>
      <c r="C587" s="4">
        <v>20165</v>
      </c>
      <c r="D587" s="5">
        <v>18551</v>
      </c>
      <c r="E587" s="4">
        <v>16654</v>
      </c>
      <c r="F587" s="4">
        <v>15598</v>
      </c>
      <c r="G587" s="4">
        <f t="shared" si="55"/>
        <v>17742</v>
      </c>
      <c r="H587" s="7">
        <f t="shared" si="54"/>
        <v>4.4355000000000002</v>
      </c>
      <c r="I587" s="9">
        <f t="shared" si="59"/>
        <v>1</v>
      </c>
      <c r="J587" s="9">
        <f t="shared" si="56"/>
        <v>5.4355000000000002</v>
      </c>
      <c r="K587" s="10">
        <f t="shared" si="57"/>
        <v>6</v>
      </c>
      <c r="O587" s="36">
        <f>'DHS25'!C586</f>
        <v>14838</v>
      </c>
      <c r="P587" s="37">
        <f>'DHS25'!D586</f>
        <v>4515</v>
      </c>
      <c r="Q587" s="37">
        <f>'DHS25'!E586</f>
        <v>6077</v>
      </c>
      <c r="R587" s="38">
        <v>106.49</v>
      </c>
      <c r="S587" s="39">
        <f t="shared" si="58"/>
        <v>647.13972999999999</v>
      </c>
    </row>
    <row r="588" spans="1:19">
      <c r="A588" s="66">
        <v>45682</v>
      </c>
      <c r="B588" s="24" t="s">
        <v>17</v>
      </c>
      <c r="C588" s="4">
        <v>21151</v>
      </c>
      <c r="D588" s="5">
        <v>16862</v>
      </c>
      <c r="E588" s="4">
        <v>15274</v>
      </c>
      <c r="F588" s="4">
        <v>15321</v>
      </c>
      <c r="G588" s="4">
        <f t="shared" si="55"/>
        <v>17152</v>
      </c>
      <c r="H588" s="7">
        <f t="shared" si="54"/>
        <v>4.2880000000000003</v>
      </c>
      <c r="I588" s="9">
        <f t="shared" si="59"/>
        <v>1</v>
      </c>
      <c r="J588" s="9">
        <f t="shared" si="56"/>
        <v>5.2880000000000003</v>
      </c>
      <c r="K588" s="10">
        <f t="shared" si="57"/>
        <v>6</v>
      </c>
      <c r="O588" s="36">
        <f>'DHS25'!C587</f>
        <v>17060</v>
      </c>
      <c r="P588" s="37">
        <f>'DHS25'!D587</f>
        <v>2018</v>
      </c>
      <c r="Q588" s="37">
        <f>'DHS25'!E587</f>
        <v>6047</v>
      </c>
      <c r="R588" s="38">
        <v>104.47</v>
      </c>
      <c r="S588" s="39">
        <f t="shared" si="58"/>
        <v>631.73009000000002</v>
      </c>
    </row>
    <row r="589" spans="1:19">
      <c r="A589" s="66">
        <v>45682</v>
      </c>
      <c r="B589" s="24" t="s">
        <v>18</v>
      </c>
      <c r="C589" s="4">
        <v>20388</v>
      </c>
      <c r="D589" s="5">
        <v>17717</v>
      </c>
      <c r="E589" s="4">
        <v>14495</v>
      </c>
      <c r="F589" s="4">
        <v>14917</v>
      </c>
      <c r="G589" s="4">
        <f t="shared" si="55"/>
        <v>16879.25</v>
      </c>
      <c r="H589" s="7">
        <f t="shared" si="54"/>
        <v>4.2198124999999997</v>
      </c>
      <c r="I589" s="9">
        <f t="shared" si="59"/>
        <v>1</v>
      </c>
      <c r="J589" s="9">
        <f t="shared" si="56"/>
        <v>5.2198124999999997</v>
      </c>
      <c r="K589" s="10">
        <f t="shared" si="57"/>
        <v>6</v>
      </c>
      <c r="O589" s="36">
        <f>'DHS25'!C588</f>
        <v>16385</v>
      </c>
      <c r="P589" s="37">
        <f>'DHS25'!D588</f>
        <v>2467</v>
      </c>
      <c r="Q589" s="37">
        <f>'DHS25'!E588</f>
        <v>6058</v>
      </c>
      <c r="R589" s="38">
        <v>94.1</v>
      </c>
      <c r="S589" s="39">
        <f t="shared" si="58"/>
        <v>570.05779999999993</v>
      </c>
    </row>
    <row r="590" spans="1:19">
      <c r="A590" s="66">
        <v>45682</v>
      </c>
      <c r="B590" s="24" t="s">
        <v>19</v>
      </c>
      <c r="C590" s="4">
        <v>20327</v>
      </c>
      <c r="D590" s="5">
        <v>17640</v>
      </c>
      <c r="E590" s="4">
        <v>14030</v>
      </c>
      <c r="F590" s="4">
        <v>14947</v>
      </c>
      <c r="G590" s="4">
        <f t="shared" si="55"/>
        <v>16736</v>
      </c>
      <c r="H590" s="7">
        <f t="shared" si="54"/>
        <v>4.1840000000000002</v>
      </c>
      <c r="I590" s="9">
        <f t="shared" si="59"/>
        <v>1</v>
      </c>
      <c r="J590" s="9">
        <f t="shared" si="56"/>
        <v>5.1840000000000002</v>
      </c>
      <c r="K590" s="10">
        <f t="shared" si="57"/>
        <v>6</v>
      </c>
      <c r="O590" s="36">
        <f>'DHS25'!C589</f>
        <v>15535</v>
      </c>
      <c r="P590" s="37">
        <f>'DHS25'!D589</f>
        <v>3985</v>
      </c>
      <c r="Q590" s="37">
        <f>'DHS25'!E589</f>
        <v>6070</v>
      </c>
      <c r="R590" s="38">
        <v>89.38</v>
      </c>
      <c r="S590" s="39">
        <f t="shared" si="58"/>
        <v>542.53660000000002</v>
      </c>
    </row>
    <row r="591" spans="1:19">
      <c r="A591" s="66">
        <v>45682</v>
      </c>
      <c r="B591" s="24" t="s">
        <v>20</v>
      </c>
      <c r="C591" s="4">
        <v>20811</v>
      </c>
      <c r="D591" s="5">
        <v>16725</v>
      </c>
      <c r="E591" s="4">
        <v>14493</v>
      </c>
      <c r="F591" s="4">
        <v>14996</v>
      </c>
      <c r="G591" s="4">
        <f t="shared" si="55"/>
        <v>16756.25</v>
      </c>
      <c r="H591" s="7">
        <f t="shared" si="54"/>
        <v>4.1890625000000004</v>
      </c>
      <c r="I591" s="9">
        <f t="shared" si="59"/>
        <v>1</v>
      </c>
      <c r="J591" s="9">
        <f t="shared" si="56"/>
        <v>5.1890625000000004</v>
      </c>
      <c r="K591" s="10">
        <f t="shared" si="57"/>
        <v>6</v>
      </c>
      <c r="O591" s="36">
        <f>'DHS25'!C590</f>
        <v>14843</v>
      </c>
      <c r="P591" s="37">
        <f>'DHS25'!D590</f>
        <v>4470</v>
      </c>
      <c r="Q591" s="37">
        <f>'DHS25'!E590</f>
        <v>6053</v>
      </c>
      <c r="R591" s="38">
        <v>86.21</v>
      </c>
      <c r="S591" s="39">
        <f t="shared" si="58"/>
        <v>521.82912999999996</v>
      </c>
    </row>
    <row r="592" spans="1:19">
      <c r="A592" s="66">
        <v>45682</v>
      </c>
      <c r="B592" s="24" t="s">
        <v>21</v>
      </c>
      <c r="C592" s="4">
        <v>19507</v>
      </c>
      <c r="D592" s="5">
        <v>17132</v>
      </c>
      <c r="E592" s="4">
        <v>14689</v>
      </c>
      <c r="F592" s="4">
        <v>12848</v>
      </c>
      <c r="G592" s="4">
        <f t="shared" si="55"/>
        <v>16044</v>
      </c>
      <c r="H592" s="7">
        <f t="shared" si="54"/>
        <v>4.0110000000000001</v>
      </c>
      <c r="I592" s="9">
        <f t="shared" si="59"/>
        <v>1</v>
      </c>
      <c r="J592" s="9">
        <f t="shared" si="56"/>
        <v>5.0110000000000001</v>
      </c>
      <c r="K592" s="10">
        <f t="shared" si="57"/>
        <v>6</v>
      </c>
      <c r="O592" s="36">
        <f>'DHS25'!C591</f>
        <v>14413</v>
      </c>
      <c r="P592" s="37">
        <f>'DHS25'!D591</f>
        <v>3932</v>
      </c>
      <c r="Q592" s="37">
        <f>'DHS25'!E591</f>
        <v>6060</v>
      </c>
      <c r="R592" s="38">
        <v>85.04</v>
      </c>
      <c r="S592" s="39">
        <f t="shared" si="58"/>
        <v>515.3424</v>
      </c>
    </row>
    <row r="593" spans="1:19">
      <c r="A593" s="66">
        <v>45682</v>
      </c>
      <c r="B593" s="24" t="s">
        <v>22</v>
      </c>
      <c r="C593" s="4">
        <v>20018</v>
      </c>
      <c r="D593" s="5">
        <v>15801</v>
      </c>
      <c r="E593" s="4">
        <v>15045</v>
      </c>
      <c r="F593" s="4">
        <v>15473</v>
      </c>
      <c r="G593" s="4">
        <f t="shared" si="55"/>
        <v>16584.25</v>
      </c>
      <c r="H593" s="7">
        <f t="shared" si="54"/>
        <v>4.1460625000000002</v>
      </c>
      <c r="I593" s="9">
        <f t="shared" si="59"/>
        <v>1</v>
      </c>
      <c r="J593" s="9">
        <f t="shared" si="56"/>
        <v>5.1460625000000002</v>
      </c>
      <c r="K593" s="10">
        <f t="shared" si="57"/>
        <v>6</v>
      </c>
      <c r="O593" s="36">
        <f>'DHS25'!C592</f>
        <v>14751</v>
      </c>
      <c r="P593" s="37">
        <f>'DHS25'!D592</f>
        <v>4077</v>
      </c>
      <c r="Q593" s="37">
        <f>'DHS25'!E592</f>
        <v>6052</v>
      </c>
      <c r="R593" s="38">
        <v>96.93</v>
      </c>
      <c r="S593" s="39">
        <f t="shared" si="58"/>
        <v>586.62036000000001</v>
      </c>
    </row>
    <row r="594" spans="1:19">
      <c r="A594" s="66">
        <v>45682</v>
      </c>
      <c r="B594" s="24" t="s">
        <v>23</v>
      </c>
      <c r="C594" s="4">
        <v>20073</v>
      </c>
      <c r="D594" s="5">
        <v>16808</v>
      </c>
      <c r="E594" s="4">
        <v>15446</v>
      </c>
      <c r="F594" s="4">
        <v>13580</v>
      </c>
      <c r="G594" s="4">
        <f t="shared" si="55"/>
        <v>16476.75</v>
      </c>
      <c r="H594" s="7">
        <f t="shared" si="54"/>
        <v>4.1191874999999998</v>
      </c>
      <c r="I594" s="9">
        <f t="shared" si="59"/>
        <v>1</v>
      </c>
      <c r="J594" s="9">
        <f t="shared" si="56"/>
        <v>5.1191874999999998</v>
      </c>
      <c r="K594" s="10">
        <f t="shared" si="57"/>
        <v>6</v>
      </c>
      <c r="O594" s="36">
        <f>'DHS25'!C593</f>
        <v>14508</v>
      </c>
      <c r="P594" s="37">
        <f>'DHS25'!D593</f>
        <v>4157</v>
      </c>
      <c r="Q594" s="37">
        <f>'DHS25'!E593</f>
        <v>6059</v>
      </c>
      <c r="R594" s="38">
        <v>120.39</v>
      </c>
      <c r="S594" s="39">
        <f t="shared" si="58"/>
        <v>729.44301000000007</v>
      </c>
    </row>
    <row r="595" spans="1:19">
      <c r="A595" s="66">
        <v>45682</v>
      </c>
      <c r="B595" s="24" t="s">
        <v>24</v>
      </c>
      <c r="C595" s="4">
        <v>20284</v>
      </c>
      <c r="D595" s="5">
        <v>16504</v>
      </c>
      <c r="E595" s="4">
        <v>14783</v>
      </c>
      <c r="F595" s="4">
        <v>13941</v>
      </c>
      <c r="G595" s="4">
        <f t="shared" si="55"/>
        <v>16378</v>
      </c>
      <c r="H595" s="7">
        <f t="shared" si="54"/>
        <v>4.0945</v>
      </c>
      <c r="I595" s="9">
        <f t="shared" si="59"/>
        <v>1</v>
      </c>
      <c r="J595" s="9">
        <f t="shared" si="56"/>
        <v>5.0945</v>
      </c>
      <c r="K595" s="10">
        <f t="shared" si="57"/>
        <v>6</v>
      </c>
      <c r="O595" s="36">
        <f>'DHS25'!C594</f>
        <v>14694</v>
      </c>
      <c r="P595" s="37">
        <f>'DHS25'!D594</f>
        <v>6767</v>
      </c>
      <c r="Q595" s="37">
        <f>'DHS25'!E594</f>
        <v>6925</v>
      </c>
      <c r="R595" s="38">
        <v>166.62</v>
      </c>
      <c r="S595" s="39">
        <f t="shared" si="58"/>
        <v>1153.8434999999999</v>
      </c>
    </row>
    <row r="596" spans="1:19">
      <c r="A596" s="66">
        <v>45682</v>
      </c>
      <c r="B596" s="24" t="s">
        <v>25</v>
      </c>
      <c r="C596" s="4">
        <v>20604</v>
      </c>
      <c r="D596" s="5">
        <v>16806</v>
      </c>
      <c r="E596" s="4">
        <v>15850</v>
      </c>
      <c r="F596" s="4">
        <v>14720</v>
      </c>
      <c r="G596" s="4">
        <f t="shared" si="55"/>
        <v>16995</v>
      </c>
      <c r="H596" s="7">
        <f t="shared" si="54"/>
        <v>4.2487500000000002</v>
      </c>
      <c r="I596" s="9">
        <f t="shared" si="59"/>
        <v>1</v>
      </c>
      <c r="J596" s="9">
        <f t="shared" si="56"/>
        <v>5.2487500000000002</v>
      </c>
      <c r="K596" s="10">
        <f t="shared" si="57"/>
        <v>6</v>
      </c>
      <c r="O596" s="36">
        <f>'DHS25'!C595</f>
        <v>15536</v>
      </c>
      <c r="P596" s="37">
        <f>'DHS25'!D595</f>
        <v>8317</v>
      </c>
      <c r="Q596" s="37">
        <f>'DHS25'!E595</f>
        <v>8078</v>
      </c>
      <c r="R596" s="38">
        <v>164.24</v>
      </c>
      <c r="S596" s="39">
        <f t="shared" si="58"/>
        <v>1326.73072</v>
      </c>
    </row>
    <row r="597" spans="1:19">
      <c r="A597" s="66">
        <v>45682</v>
      </c>
      <c r="B597" s="24" t="s">
        <v>26</v>
      </c>
      <c r="C597" s="4">
        <v>20295</v>
      </c>
      <c r="D597" s="5">
        <v>17219</v>
      </c>
      <c r="E597" s="4">
        <v>15549</v>
      </c>
      <c r="F597" s="4">
        <v>14508</v>
      </c>
      <c r="G597" s="4">
        <f t="shared" si="55"/>
        <v>16892.75</v>
      </c>
      <c r="H597" s="7">
        <f t="shared" si="54"/>
        <v>4.2231874999999999</v>
      </c>
      <c r="I597" s="9">
        <f t="shared" si="59"/>
        <v>1</v>
      </c>
      <c r="J597" s="9">
        <f t="shared" si="56"/>
        <v>5.2231874999999999</v>
      </c>
      <c r="K597" s="10">
        <f t="shared" si="57"/>
        <v>6</v>
      </c>
      <c r="O597" s="36">
        <f>'DHS25'!C596</f>
        <v>15384</v>
      </c>
      <c r="P597" s="37">
        <f>'DHS25'!D596</f>
        <v>8947</v>
      </c>
      <c r="Q597" s="37">
        <f>'DHS25'!E596</f>
        <v>8040</v>
      </c>
      <c r="R597" s="38">
        <v>164.22</v>
      </c>
      <c r="S597" s="39">
        <f t="shared" si="58"/>
        <v>1320.3287999999998</v>
      </c>
    </row>
    <row r="598" spans="1:19">
      <c r="A598" s="66">
        <v>45682</v>
      </c>
      <c r="B598" s="24" t="s">
        <v>27</v>
      </c>
      <c r="C598" s="4">
        <v>20658</v>
      </c>
      <c r="D598" s="5">
        <v>17025</v>
      </c>
      <c r="E598" s="4">
        <v>15625</v>
      </c>
      <c r="F598" s="4">
        <v>15548</v>
      </c>
      <c r="G598" s="4">
        <f t="shared" si="55"/>
        <v>17214</v>
      </c>
      <c r="H598" s="7">
        <f t="shared" si="54"/>
        <v>4.3034999999999997</v>
      </c>
      <c r="I598" s="9">
        <f t="shared" si="59"/>
        <v>1</v>
      </c>
      <c r="J598" s="9">
        <f t="shared" si="56"/>
        <v>5.3034999999999997</v>
      </c>
      <c r="K598" s="10">
        <f t="shared" si="57"/>
        <v>6</v>
      </c>
      <c r="O598" s="36">
        <f>'DHS25'!C597</f>
        <v>15323</v>
      </c>
      <c r="P598" s="37">
        <f>'DHS25'!D597</f>
        <v>8579</v>
      </c>
      <c r="Q598" s="37">
        <f>'DHS25'!E597</f>
        <v>8042</v>
      </c>
      <c r="R598" s="38">
        <v>167.08</v>
      </c>
      <c r="S598" s="39">
        <f t="shared" si="58"/>
        <v>1343.6573600000002</v>
      </c>
    </row>
    <row r="599" spans="1:19">
      <c r="A599" s="66">
        <v>45682</v>
      </c>
      <c r="B599" s="24" t="s">
        <v>28</v>
      </c>
      <c r="C599" s="4">
        <v>19838</v>
      </c>
      <c r="D599" s="5">
        <v>16922</v>
      </c>
      <c r="E599" s="4">
        <v>15044</v>
      </c>
      <c r="F599" s="4">
        <v>14212</v>
      </c>
      <c r="G599" s="4">
        <f t="shared" si="55"/>
        <v>16504</v>
      </c>
      <c r="H599" s="7">
        <f t="shared" si="54"/>
        <v>4.1260000000000003</v>
      </c>
      <c r="I599" s="9">
        <f t="shared" si="59"/>
        <v>1</v>
      </c>
      <c r="J599" s="9">
        <f t="shared" si="56"/>
        <v>5.1260000000000003</v>
      </c>
      <c r="K599" s="10">
        <f t="shared" si="57"/>
        <v>6</v>
      </c>
      <c r="O599" s="36">
        <f>'DHS25'!C598</f>
        <v>15618</v>
      </c>
      <c r="P599" s="37">
        <f>'DHS25'!D598</f>
        <v>8423</v>
      </c>
      <c r="Q599" s="37">
        <f>'DHS25'!E598</f>
        <v>8026</v>
      </c>
      <c r="R599" s="38">
        <v>160</v>
      </c>
      <c r="S599" s="39">
        <f t="shared" si="58"/>
        <v>1284.1599999999999</v>
      </c>
    </row>
    <row r="600" spans="1:19">
      <c r="A600" s="66">
        <v>45682</v>
      </c>
      <c r="B600" s="24" t="s">
        <v>29</v>
      </c>
      <c r="C600" s="4">
        <v>20266</v>
      </c>
      <c r="D600" s="5">
        <v>16882</v>
      </c>
      <c r="E600" s="4">
        <v>15415</v>
      </c>
      <c r="F600" s="4">
        <v>15430</v>
      </c>
      <c r="G600" s="4">
        <f t="shared" si="55"/>
        <v>16998.25</v>
      </c>
      <c r="H600" s="7">
        <f t="shared" si="54"/>
        <v>4.2495624999999997</v>
      </c>
      <c r="I600" s="9">
        <f t="shared" si="59"/>
        <v>1</v>
      </c>
      <c r="J600" s="9">
        <f t="shared" si="56"/>
        <v>5.2495624999999997</v>
      </c>
      <c r="K600" s="10">
        <f t="shared" si="57"/>
        <v>6</v>
      </c>
      <c r="O600" s="36">
        <f>'DHS25'!C599</f>
        <v>14963</v>
      </c>
      <c r="P600" s="37">
        <f>'DHS25'!D599</f>
        <v>8661</v>
      </c>
      <c r="Q600" s="37">
        <f>'DHS25'!E599</f>
        <v>7626</v>
      </c>
      <c r="R600" s="38">
        <v>147.33000000000001</v>
      </c>
      <c r="S600" s="39">
        <f t="shared" si="58"/>
        <v>1123.5385800000001</v>
      </c>
    </row>
    <row r="601" spans="1:19">
      <c r="A601" s="66">
        <v>45682</v>
      </c>
      <c r="B601" s="24" t="s">
        <v>30</v>
      </c>
      <c r="C601" s="4">
        <v>16699</v>
      </c>
      <c r="D601" s="5">
        <v>15733</v>
      </c>
      <c r="E601" s="4">
        <v>14135</v>
      </c>
      <c r="F601" s="4">
        <v>12917</v>
      </c>
      <c r="G601" s="4">
        <f t="shared" si="55"/>
        <v>14871</v>
      </c>
      <c r="H601" s="7">
        <f t="shared" si="54"/>
        <v>3.7177500000000001</v>
      </c>
      <c r="I601" s="9">
        <f t="shared" si="59"/>
        <v>1</v>
      </c>
      <c r="J601" s="9">
        <f t="shared" si="56"/>
        <v>4.7177500000000006</v>
      </c>
      <c r="K601" s="10">
        <f t="shared" si="57"/>
        <v>5</v>
      </c>
      <c r="O601" s="36">
        <f>'DHS25'!C600</f>
        <v>12903</v>
      </c>
      <c r="P601" s="37">
        <f>'DHS25'!D600</f>
        <v>5906</v>
      </c>
      <c r="Q601" s="37">
        <f>'DHS25'!E600</f>
        <v>6018</v>
      </c>
      <c r="R601" s="38">
        <v>136.15</v>
      </c>
      <c r="S601" s="39">
        <f t="shared" si="58"/>
        <v>819.35069999999996</v>
      </c>
    </row>
    <row r="602" spans="1:19">
      <c r="A602" s="66">
        <v>45682</v>
      </c>
      <c r="B602" s="24" t="s">
        <v>31</v>
      </c>
      <c r="C602" s="4">
        <v>9020</v>
      </c>
      <c r="D602" s="5">
        <v>8917</v>
      </c>
      <c r="E602" s="4">
        <v>7341</v>
      </c>
      <c r="F602" s="4">
        <v>6977</v>
      </c>
      <c r="G602" s="4">
        <f t="shared" si="55"/>
        <v>8063.75</v>
      </c>
      <c r="H602" s="7">
        <f t="shared" si="54"/>
        <v>2.0159375000000002</v>
      </c>
      <c r="I602" s="9">
        <f t="shared" si="59"/>
        <v>1</v>
      </c>
      <c r="J602" s="9">
        <f t="shared" si="56"/>
        <v>3.0159375000000002</v>
      </c>
      <c r="K602" s="10">
        <f t="shared" si="57"/>
        <v>4</v>
      </c>
      <c r="O602" s="36">
        <f>'DHS25'!C601</f>
        <v>6267</v>
      </c>
      <c r="P602" s="37">
        <f>'DHS25'!D601</f>
        <v>7951</v>
      </c>
      <c r="Q602" s="37">
        <f>'DHS25'!E601</f>
        <v>4537</v>
      </c>
      <c r="R602" s="38">
        <v>123.6</v>
      </c>
      <c r="S602" s="39">
        <f t="shared" si="58"/>
        <v>560.77319999999997</v>
      </c>
    </row>
    <row r="603" spans="1:19">
      <c r="A603" s="67">
        <v>45683</v>
      </c>
      <c r="B603" s="25" t="s">
        <v>8</v>
      </c>
      <c r="C603" s="4">
        <v>9501</v>
      </c>
      <c r="D603" s="5">
        <v>8493</v>
      </c>
      <c r="E603" s="4">
        <v>7119</v>
      </c>
      <c r="F603" s="4">
        <v>9337</v>
      </c>
      <c r="G603" s="4">
        <f t="shared" si="55"/>
        <v>8612.5</v>
      </c>
      <c r="H603" s="7">
        <f t="shared" si="54"/>
        <v>2.1531250000000002</v>
      </c>
      <c r="I603" s="9">
        <f t="shared" si="59"/>
        <v>1</v>
      </c>
      <c r="J603" s="9">
        <f t="shared" si="56"/>
        <v>3.1531250000000002</v>
      </c>
      <c r="K603" s="10">
        <f t="shared" si="57"/>
        <v>4</v>
      </c>
      <c r="O603" s="36">
        <f>'DHS25'!C602</f>
        <v>6531</v>
      </c>
      <c r="P603" s="37">
        <f>'DHS25'!D602</f>
        <v>6061</v>
      </c>
      <c r="Q603" s="37">
        <f>'DHS25'!E602</f>
        <v>4056</v>
      </c>
      <c r="R603" s="38">
        <v>129.18</v>
      </c>
      <c r="S603" s="39">
        <f t="shared" si="58"/>
        <v>523.95408000000009</v>
      </c>
    </row>
    <row r="604" spans="1:19">
      <c r="A604" s="67">
        <v>45683</v>
      </c>
      <c r="B604" s="25" t="s">
        <v>9</v>
      </c>
      <c r="C604" s="4">
        <v>11872</v>
      </c>
      <c r="D604" s="5">
        <v>9619</v>
      </c>
      <c r="E604" s="4">
        <v>8165</v>
      </c>
      <c r="F604" s="4">
        <v>10006</v>
      </c>
      <c r="G604" s="4">
        <f t="shared" si="55"/>
        <v>9915.5</v>
      </c>
      <c r="H604" s="7">
        <f t="shared" si="54"/>
        <v>2.4788749999999999</v>
      </c>
      <c r="I604" s="9">
        <f t="shared" si="59"/>
        <v>1</v>
      </c>
      <c r="J604" s="9">
        <f t="shared" si="56"/>
        <v>3.4788749999999999</v>
      </c>
      <c r="K604" s="10">
        <f t="shared" si="57"/>
        <v>4</v>
      </c>
      <c r="O604" s="36">
        <f>'DHS25'!C603</f>
        <v>8101</v>
      </c>
      <c r="P604" s="37">
        <f>'DHS25'!D603</f>
        <v>5346</v>
      </c>
      <c r="Q604" s="37">
        <f>'DHS25'!E603</f>
        <v>4052</v>
      </c>
      <c r="R604" s="38">
        <v>118.25</v>
      </c>
      <c r="S604" s="39">
        <f t="shared" si="58"/>
        <v>479.14899999999994</v>
      </c>
    </row>
    <row r="605" spans="1:19">
      <c r="A605" s="67">
        <v>45683</v>
      </c>
      <c r="B605" s="25" t="s">
        <v>10</v>
      </c>
      <c r="C605" s="4">
        <v>13164</v>
      </c>
      <c r="D605" s="5">
        <v>11830</v>
      </c>
      <c r="E605" s="4">
        <v>9905</v>
      </c>
      <c r="F605" s="4">
        <v>8635</v>
      </c>
      <c r="G605" s="4">
        <f t="shared" si="55"/>
        <v>10883.5</v>
      </c>
      <c r="H605" s="7">
        <f t="shared" si="54"/>
        <v>2.7208749999999999</v>
      </c>
      <c r="I605" s="9">
        <f t="shared" si="59"/>
        <v>1</v>
      </c>
      <c r="J605" s="9">
        <f t="shared" si="56"/>
        <v>3.7208749999999999</v>
      </c>
      <c r="K605" s="10">
        <f t="shared" si="57"/>
        <v>4</v>
      </c>
      <c r="O605" s="36">
        <f>'DHS25'!C604</f>
        <v>9176</v>
      </c>
      <c r="P605" s="37">
        <f>'DHS25'!D604</f>
        <v>4781</v>
      </c>
      <c r="Q605" s="37">
        <f>'DHS25'!E604</f>
        <v>4062</v>
      </c>
      <c r="R605" s="38">
        <v>115.03</v>
      </c>
      <c r="S605" s="39">
        <f t="shared" si="58"/>
        <v>467.25186000000002</v>
      </c>
    </row>
    <row r="606" spans="1:19">
      <c r="A606" s="67">
        <v>45683</v>
      </c>
      <c r="B606" s="25" t="s">
        <v>11</v>
      </c>
      <c r="C606" s="4">
        <v>13731</v>
      </c>
      <c r="D606" s="5">
        <v>11511</v>
      </c>
      <c r="E606" s="4">
        <v>8525</v>
      </c>
      <c r="F606" s="4">
        <v>10969</v>
      </c>
      <c r="G606" s="4">
        <f t="shared" si="55"/>
        <v>11184</v>
      </c>
      <c r="H606" s="7">
        <f t="shared" si="54"/>
        <v>2.7959999999999998</v>
      </c>
      <c r="I606" s="9">
        <f t="shared" si="59"/>
        <v>1</v>
      </c>
      <c r="J606" s="9">
        <f t="shared" si="56"/>
        <v>3.7959999999999998</v>
      </c>
      <c r="K606" s="10">
        <f t="shared" si="57"/>
        <v>4</v>
      </c>
      <c r="O606" s="36">
        <f>'DHS25'!C605</f>
        <v>9900</v>
      </c>
      <c r="P606" s="37">
        <f>'DHS25'!D605</f>
        <v>3499</v>
      </c>
      <c r="Q606" s="37">
        <f>'DHS25'!E605</f>
        <v>4051</v>
      </c>
      <c r="R606" s="38">
        <v>109.5</v>
      </c>
      <c r="S606" s="39">
        <f t="shared" si="58"/>
        <v>443.58449999999999</v>
      </c>
    </row>
    <row r="607" spans="1:19">
      <c r="A607" s="67">
        <v>45683</v>
      </c>
      <c r="B607" s="25" t="s">
        <v>12</v>
      </c>
      <c r="C607" s="4">
        <v>22334</v>
      </c>
      <c r="D607" s="5">
        <v>21551</v>
      </c>
      <c r="E607" s="4">
        <v>14907</v>
      </c>
      <c r="F607" s="4">
        <v>14643</v>
      </c>
      <c r="G607" s="4">
        <f t="shared" si="55"/>
        <v>18358.75</v>
      </c>
      <c r="H607" s="7">
        <f t="shared" si="54"/>
        <v>4.5896875000000001</v>
      </c>
      <c r="I607" s="9">
        <f t="shared" si="59"/>
        <v>1</v>
      </c>
      <c r="J607" s="9">
        <f t="shared" si="56"/>
        <v>5.5896875000000001</v>
      </c>
      <c r="K607" s="10">
        <f t="shared" si="57"/>
        <v>6</v>
      </c>
      <c r="O607" s="36">
        <f>'DHS25'!C606</f>
        <v>16721</v>
      </c>
      <c r="P607" s="37">
        <f>'DHS25'!D606</f>
        <v>53</v>
      </c>
      <c r="Q607" s="37">
        <f>'DHS25'!E606</f>
        <v>5468</v>
      </c>
      <c r="R607" s="38">
        <v>109.16</v>
      </c>
      <c r="S607" s="39">
        <f t="shared" si="58"/>
        <v>596.88688000000002</v>
      </c>
    </row>
    <row r="608" spans="1:19">
      <c r="A608" s="67">
        <v>45683</v>
      </c>
      <c r="B608" s="25" t="s">
        <v>13</v>
      </c>
      <c r="C608" s="4">
        <v>17894</v>
      </c>
      <c r="D608" s="5">
        <v>20764</v>
      </c>
      <c r="E608" s="4">
        <v>17028</v>
      </c>
      <c r="F608" s="4">
        <v>12710</v>
      </c>
      <c r="G608" s="4">
        <f t="shared" si="55"/>
        <v>17099</v>
      </c>
      <c r="H608" s="7">
        <f t="shared" si="54"/>
        <v>4.27475</v>
      </c>
      <c r="I608" s="9">
        <f t="shared" si="59"/>
        <v>1</v>
      </c>
      <c r="J608" s="9">
        <f t="shared" si="56"/>
        <v>5.27475</v>
      </c>
      <c r="K608" s="10">
        <f t="shared" si="57"/>
        <v>6</v>
      </c>
      <c r="O608" s="36">
        <f>'DHS25'!C607</f>
        <v>18973</v>
      </c>
      <c r="P608" s="37">
        <f>'DHS25'!D607</f>
        <v>445</v>
      </c>
      <c r="Q608" s="37">
        <f>'DHS25'!E607</f>
        <v>6048</v>
      </c>
      <c r="R608" s="38">
        <v>111.36</v>
      </c>
      <c r="S608" s="39">
        <f t="shared" si="58"/>
        <v>673.50527999999997</v>
      </c>
    </row>
    <row r="609" spans="1:19">
      <c r="A609" s="67">
        <v>45683</v>
      </c>
      <c r="B609" s="25" t="s">
        <v>14</v>
      </c>
      <c r="C609" s="4">
        <v>22151</v>
      </c>
      <c r="D609" s="5">
        <v>21741</v>
      </c>
      <c r="E609" s="4">
        <v>18290</v>
      </c>
      <c r="F609" s="4">
        <v>15083</v>
      </c>
      <c r="G609" s="4">
        <f t="shared" si="55"/>
        <v>19316.25</v>
      </c>
      <c r="H609" s="7">
        <f t="shared" si="54"/>
        <v>4.8290625</v>
      </c>
      <c r="I609" s="9">
        <f t="shared" si="59"/>
        <v>1</v>
      </c>
      <c r="J609" s="9">
        <f t="shared" si="56"/>
        <v>5.8290625</v>
      </c>
      <c r="K609" s="10">
        <f t="shared" si="57"/>
        <v>6</v>
      </c>
      <c r="O609" s="36">
        <f>'DHS25'!C608</f>
        <v>17881</v>
      </c>
      <c r="P609" s="37">
        <f>'DHS25'!D608</f>
        <v>662</v>
      </c>
      <c r="Q609" s="37">
        <f>'DHS25'!E608</f>
        <v>6065</v>
      </c>
      <c r="R609" s="38">
        <v>113.87</v>
      </c>
      <c r="S609" s="39">
        <f t="shared" si="58"/>
        <v>690.62155000000007</v>
      </c>
    </row>
    <row r="610" spans="1:19">
      <c r="A610" s="67">
        <v>45683</v>
      </c>
      <c r="B610" s="25" t="s">
        <v>15</v>
      </c>
      <c r="C610" s="4">
        <v>17271</v>
      </c>
      <c r="D610" s="5">
        <v>18926</v>
      </c>
      <c r="E610" s="4">
        <v>18192</v>
      </c>
      <c r="F610" s="4">
        <v>16214</v>
      </c>
      <c r="G610" s="4">
        <f t="shared" si="55"/>
        <v>17650.75</v>
      </c>
      <c r="H610" s="7">
        <f t="shared" si="54"/>
        <v>4.4126874999999997</v>
      </c>
      <c r="I610" s="9">
        <f t="shared" si="59"/>
        <v>1</v>
      </c>
      <c r="J610" s="9">
        <f t="shared" si="56"/>
        <v>5.4126874999999997</v>
      </c>
      <c r="K610" s="10">
        <f t="shared" si="57"/>
        <v>6</v>
      </c>
      <c r="O610" s="36">
        <f>'DHS25'!C609</f>
        <v>13541</v>
      </c>
      <c r="P610" s="37">
        <f>'DHS25'!D609</f>
        <v>6017</v>
      </c>
      <c r="Q610" s="37">
        <f>'DHS25'!E609</f>
        <v>6078</v>
      </c>
      <c r="R610" s="38">
        <v>121.11</v>
      </c>
      <c r="S610" s="39">
        <f t="shared" si="58"/>
        <v>736.10658000000001</v>
      </c>
    </row>
    <row r="611" spans="1:19">
      <c r="A611" s="67">
        <v>45683</v>
      </c>
      <c r="B611" s="25" t="s">
        <v>16</v>
      </c>
      <c r="C611" s="4">
        <v>18649</v>
      </c>
      <c r="D611" s="5">
        <v>18697</v>
      </c>
      <c r="E611" s="4">
        <v>18115</v>
      </c>
      <c r="F611" s="4">
        <v>17103</v>
      </c>
      <c r="G611" s="4">
        <f t="shared" si="55"/>
        <v>18141</v>
      </c>
      <c r="H611" s="7">
        <f t="shared" si="54"/>
        <v>4.5352499999999996</v>
      </c>
      <c r="I611" s="9">
        <f t="shared" si="59"/>
        <v>1</v>
      </c>
      <c r="J611" s="9">
        <f t="shared" si="56"/>
        <v>5.5352499999999996</v>
      </c>
      <c r="K611" s="10">
        <f t="shared" si="57"/>
        <v>6</v>
      </c>
      <c r="O611" s="36">
        <f>'DHS25'!C610</f>
        <v>14168</v>
      </c>
      <c r="P611" s="37">
        <f>'DHS25'!D610</f>
        <v>4704</v>
      </c>
      <c r="Q611" s="37">
        <f>'DHS25'!E610</f>
        <v>6062</v>
      </c>
      <c r="R611" s="38">
        <v>128.9</v>
      </c>
      <c r="S611" s="39">
        <f t="shared" si="58"/>
        <v>781.3918000000001</v>
      </c>
    </row>
    <row r="612" spans="1:19">
      <c r="A612" s="67">
        <v>45683</v>
      </c>
      <c r="B612" s="25" t="s">
        <v>17</v>
      </c>
      <c r="C612" s="4">
        <v>19965</v>
      </c>
      <c r="D612" s="5">
        <v>17562</v>
      </c>
      <c r="E612" s="4">
        <v>17293</v>
      </c>
      <c r="F612" s="4">
        <v>16628</v>
      </c>
      <c r="G612" s="4">
        <f t="shared" si="55"/>
        <v>17862</v>
      </c>
      <c r="H612" s="7">
        <f t="shared" si="54"/>
        <v>4.4654999999999996</v>
      </c>
      <c r="I612" s="9">
        <f t="shared" si="59"/>
        <v>1</v>
      </c>
      <c r="J612" s="9">
        <f t="shared" si="56"/>
        <v>5.4654999999999996</v>
      </c>
      <c r="K612" s="10">
        <f t="shared" si="57"/>
        <v>6</v>
      </c>
      <c r="O612" s="36">
        <f>'DHS25'!C611</f>
        <v>15569</v>
      </c>
      <c r="P612" s="37">
        <f>'DHS25'!D611</f>
        <v>3187</v>
      </c>
      <c r="Q612" s="37">
        <f>'DHS25'!E611</f>
        <v>6059</v>
      </c>
      <c r="R612" s="38">
        <v>126.32</v>
      </c>
      <c r="S612" s="39">
        <f t="shared" si="58"/>
        <v>765.37288000000001</v>
      </c>
    </row>
    <row r="613" spans="1:19">
      <c r="A613" s="67">
        <v>45683</v>
      </c>
      <c r="B613" s="25" t="s">
        <v>18</v>
      </c>
      <c r="C613" s="4">
        <v>19897</v>
      </c>
      <c r="D613" s="5">
        <v>18963</v>
      </c>
      <c r="E613" s="4">
        <v>14595</v>
      </c>
      <c r="F613" s="4">
        <v>15448</v>
      </c>
      <c r="G613" s="4">
        <f t="shared" si="55"/>
        <v>17225.75</v>
      </c>
      <c r="H613" s="7">
        <f t="shared" si="54"/>
        <v>4.3064375000000004</v>
      </c>
      <c r="I613" s="9">
        <f t="shared" si="59"/>
        <v>1</v>
      </c>
      <c r="J613" s="9">
        <f t="shared" si="56"/>
        <v>5.3064375000000004</v>
      </c>
      <c r="K613" s="10">
        <f t="shared" si="57"/>
        <v>6</v>
      </c>
      <c r="O613" s="36">
        <f>'DHS25'!C612</f>
        <v>14662</v>
      </c>
      <c r="P613" s="37">
        <f>'DHS25'!D612</f>
        <v>3949</v>
      </c>
      <c r="Q613" s="37">
        <f>'DHS25'!E612</f>
        <v>6068</v>
      </c>
      <c r="R613" s="38">
        <v>109.49</v>
      </c>
      <c r="S613" s="39">
        <f t="shared" si="58"/>
        <v>664.38531999999998</v>
      </c>
    </row>
    <row r="614" spans="1:19">
      <c r="A614" s="67">
        <v>45683</v>
      </c>
      <c r="B614" s="25" t="s">
        <v>19</v>
      </c>
      <c r="C614" s="4">
        <v>20017</v>
      </c>
      <c r="D614" s="5">
        <v>14928</v>
      </c>
      <c r="E614" s="4">
        <v>14738</v>
      </c>
      <c r="F614" s="4">
        <v>13902</v>
      </c>
      <c r="G614" s="4">
        <f t="shared" si="55"/>
        <v>15896.25</v>
      </c>
      <c r="H614" s="7">
        <f t="shared" si="54"/>
        <v>3.9740625000000001</v>
      </c>
      <c r="I614" s="9">
        <f t="shared" si="59"/>
        <v>1</v>
      </c>
      <c r="J614" s="9">
        <f t="shared" si="56"/>
        <v>4.9740625000000005</v>
      </c>
      <c r="K614" s="10">
        <f t="shared" si="57"/>
        <v>5</v>
      </c>
      <c r="O614" s="36">
        <f>'DHS25'!C613</f>
        <v>12691</v>
      </c>
      <c r="P614" s="37">
        <f>'DHS25'!D613</f>
        <v>5413</v>
      </c>
      <c r="Q614" s="37">
        <f>'DHS25'!E613</f>
        <v>5650</v>
      </c>
      <c r="R614" s="38">
        <v>103.75</v>
      </c>
      <c r="S614" s="39">
        <f t="shared" si="58"/>
        <v>586.1875</v>
      </c>
    </row>
    <row r="615" spans="1:19">
      <c r="A615" s="67">
        <v>45683</v>
      </c>
      <c r="B615" s="25" t="s">
        <v>20</v>
      </c>
      <c r="C615" s="4">
        <v>18977</v>
      </c>
      <c r="D615" s="5">
        <v>18681</v>
      </c>
      <c r="E615" s="4">
        <v>14294</v>
      </c>
      <c r="F615" s="4">
        <v>12804</v>
      </c>
      <c r="G615" s="4">
        <f t="shared" si="55"/>
        <v>16189</v>
      </c>
      <c r="H615" s="7">
        <f t="shared" si="54"/>
        <v>4.04725</v>
      </c>
      <c r="I615" s="9">
        <f t="shared" si="59"/>
        <v>1</v>
      </c>
      <c r="J615" s="9">
        <f t="shared" si="56"/>
        <v>5.04725</v>
      </c>
      <c r="K615" s="10">
        <f t="shared" si="57"/>
        <v>6</v>
      </c>
      <c r="O615" s="36">
        <f>'DHS25'!C614</f>
        <v>14444</v>
      </c>
      <c r="P615" s="37">
        <f>'DHS25'!D614</f>
        <v>3258</v>
      </c>
      <c r="Q615" s="37">
        <f>'DHS25'!E614</f>
        <v>5934</v>
      </c>
      <c r="R615" s="38">
        <v>97.34</v>
      </c>
      <c r="S615" s="39">
        <f t="shared" si="58"/>
        <v>577.61556000000007</v>
      </c>
    </row>
    <row r="616" spans="1:19">
      <c r="A616" s="67">
        <v>45683</v>
      </c>
      <c r="B616" s="25" t="s">
        <v>21</v>
      </c>
      <c r="C616" s="4">
        <v>19451</v>
      </c>
      <c r="D616" s="5">
        <v>16503</v>
      </c>
      <c r="E616" s="4">
        <v>14653</v>
      </c>
      <c r="F616" s="4">
        <v>13940</v>
      </c>
      <c r="G616" s="4">
        <f t="shared" si="55"/>
        <v>16136.75</v>
      </c>
      <c r="H616" s="7">
        <f t="shared" si="54"/>
        <v>4.0341874999999998</v>
      </c>
      <c r="I616" s="9">
        <f t="shared" si="59"/>
        <v>1</v>
      </c>
      <c r="J616" s="9">
        <f t="shared" si="56"/>
        <v>5.0341874999999998</v>
      </c>
      <c r="K616" s="10">
        <f t="shared" si="57"/>
        <v>6</v>
      </c>
      <c r="O616" s="36">
        <f>'DHS25'!C615</f>
        <v>14829</v>
      </c>
      <c r="P616" s="37">
        <f>'DHS25'!D615</f>
        <v>3569</v>
      </c>
      <c r="Q616" s="37">
        <f>'DHS25'!E615</f>
        <v>6069</v>
      </c>
      <c r="R616" s="38">
        <v>93.21</v>
      </c>
      <c r="S616" s="39">
        <f t="shared" si="58"/>
        <v>565.69148999999993</v>
      </c>
    </row>
    <row r="617" spans="1:19">
      <c r="A617" s="67">
        <v>45683</v>
      </c>
      <c r="B617" s="25" t="s">
        <v>22</v>
      </c>
      <c r="C617" s="4">
        <v>19091</v>
      </c>
      <c r="D617" s="5">
        <v>14745</v>
      </c>
      <c r="E617" s="4">
        <v>15444</v>
      </c>
      <c r="F617" s="4">
        <v>12109</v>
      </c>
      <c r="G617" s="4">
        <f t="shared" si="55"/>
        <v>15347.25</v>
      </c>
      <c r="H617" s="7">
        <f t="shared" si="54"/>
        <v>3.8368125000000002</v>
      </c>
      <c r="I617" s="9">
        <f t="shared" si="59"/>
        <v>1</v>
      </c>
      <c r="J617" s="9">
        <f t="shared" si="56"/>
        <v>4.8368125000000006</v>
      </c>
      <c r="K617" s="10">
        <f t="shared" si="57"/>
        <v>5</v>
      </c>
      <c r="O617" s="36">
        <f>'DHS25'!C616</f>
        <v>14681</v>
      </c>
      <c r="P617" s="37">
        <f>'DHS25'!D616</f>
        <v>3883</v>
      </c>
      <c r="Q617" s="37">
        <f>'DHS25'!E616</f>
        <v>5365</v>
      </c>
      <c r="R617" s="38">
        <v>108.83</v>
      </c>
      <c r="S617" s="39">
        <f t="shared" si="58"/>
        <v>583.87295000000006</v>
      </c>
    </row>
    <row r="618" spans="1:19">
      <c r="A618" s="67">
        <v>45683</v>
      </c>
      <c r="B618" s="25" t="s">
        <v>23</v>
      </c>
      <c r="C618" s="4">
        <v>19541</v>
      </c>
      <c r="D618" s="5">
        <v>16373</v>
      </c>
      <c r="E618" s="4">
        <v>14835</v>
      </c>
      <c r="F618" s="4">
        <v>13679</v>
      </c>
      <c r="G618" s="4">
        <f t="shared" si="55"/>
        <v>16107</v>
      </c>
      <c r="H618" s="7">
        <f t="shared" si="54"/>
        <v>4.0267499999999998</v>
      </c>
      <c r="I618" s="9">
        <f t="shared" si="59"/>
        <v>1</v>
      </c>
      <c r="J618" s="9">
        <f t="shared" si="56"/>
        <v>5.0267499999999998</v>
      </c>
      <c r="K618" s="10">
        <f t="shared" si="57"/>
        <v>6</v>
      </c>
      <c r="O618" s="36">
        <f>'DHS25'!C617</f>
        <v>13097</v>
      </c>
      <c r="P618" s="37">
        <f>'DHS25'!D617</f>
        <v>2505</v>
      </c>
      <c r="Q618" s="37">
        <f>'DHS25'!E617</f>
        <v>5674</v>
      </c>
      <c r="R618" s="38">
        <v>118.27</v>
      </c>
      <c r="S618" s="39">
        <f t="shared" si="58"/>
        <v>671.06398000000002</v>
      </c>
    </row>
    <row r="619" spans="1:19">
      <c r="A619" s="67">
        <v>45683</v>
      </c>
      <c r="B619" s="25" t="s">
        <v>24</v>
      </c>
      <c r="C619" s="4">
        <v>19392</v>
      </c>
      <c r="D619" s="5">
        <v>17450</v>
      </c>
      <c r="E619" s="4">
        <v>14501</v>
      </c>
      <c r="F619" s="4">
        <v>14136</v>
      </c>
      <c r="G619" s="4">
        <f t="shared" si="55"/>
        <v>16369.75</v>
      </c>
      <c r="H619" s="7">
        <f t="shared" si="54"/>
        <v>4.0924375</v>
      </c>
      <c r="I619" s="9">
        <f t="shared" si="59"/>
        <v>1</v>
      </c>
      <c r="J619" s="9">
        <f t="shared" si="56"/>
        <v>5.0924375</v>
      </c>
      <c r="K619" s="10">
        <f t="shared" si="57"/>
        <v>6</v>
      </c>
      <c r="O619" s="36">
        <f>'DHS25'!C618</f>
        <v>14933</v>
      </c>
      <c r="P619" s="37">
        <f>'DHS25'!D618</f>
        <v>7841</v>
      </c>
      <c r="Q619" s="37">
        <f>'DHS25'!E618</f>
        <v>7494</v>
      </c>
      <c r="R619" s="38">
        <v>130.91</v>
      </c>
      <c r="S619" s="39">
        <f t="shared" si="58"/>
        <v>981.03953999999999</v>
      </c>
    </row>
    <row r="620" spans="1:19">
      <c r="A620" s="67">
        <v>45683</v>
      </c>
      <c r="B620" s="25" t="s">
        <v>25</v>
      </c>
      <c r="C620" s="4">
        <v>17640</v>
      </c>
      <c r="D620" s="5">
        <v>20890</v>
      </c>
      <c r="E620" s="4">
        <v>16053</v>
      </c>
      <c r="F620" s="4">
        <v>15346</v>
      </c>
      <c r="G620" s="4">
        <f t="shared" si="55"/>
        <v>17482.25</v>
      </c>
      <c r="H620" s="7">
        <f t="shared" si="54"/>
        <v>4.3705625000000001</v>
      </c>
      <c r="I620" s="9">
        <f t="shared" si="59"/>
        <v>1</v>
      </c>
      <c r="J620" s="9">
        <f t="shared" si="56"/>
        <v>5.3705625000000001</v>
      </c>
      <c r="K620" s="10">
        <f t="shared" si="57"/>
        <v>6</v>
      </c>
      <c r="O620" s="36">
        <f>'DHS25'!C619</f>
        <v>15240</v>
      </c>
      <c r="P620" s="37">
        <f>'DHS25'!D619</f>
        <v>9394</v>
      </c>
      <c r="Q620" s="37">
        <f>'DHS25'!E619</f>
        <v>8086</v>
      </c>
      <c r="R620" s="38">
        <v>143.13</v>
      </c>
      <c r="S620" s="39">
        <f t="shared" si="58"/>
        <v>1157.3491799999999</v>
      </c>
    </row>
    <row r="621" spans="1:19">
      <c r="A621" s="67">
        <v>45683</v>
      </c>
      <c r="B621" s="25" t="s">
        <v>26</v>
      </c>
      <c r="C621" s="4">
        <v>20542</v>
      </c>
      <c r="D621" s="5">
        <v>20113</v>
      </c>
      <c r="E621" s="4">
        <v>16081</v>
      </c>
      <c r="F621" s="4">
        <v>14833</v>
      </c>
      <c r="G621" s="4">
        <f t="shared" si="55"/>
        <v>17892.25</v>
      </c>
      <c r="H621" s="7">
        <f t="shared" si="54"/>
        <v>4.4730625000000002</v>
      </c>
      <c r="I621" s="9">
        <f t="shared" si="59"/>
        <v>1</v>
      </c>
      <c r="J621" s="9">
        <f t="shared" si="56"/>
        <v>5.4730625000000002</v>
      </c>
      <c r="K621" s="10">
        <f t="shared" si="57"/>
        <v>6</v>
      </c>
      <c r="O621" s="36">
        <f>'DHS25'!C620</f>
        <v>15082</v>
      </c>
      <c r="P621" s="37">
        <f>'DHS25'!D620</f>
        <v>9871</v>
      </c>
      <c r="Q621" s="37">
        <f>'DHS25'!E620</f>
        <v>8077</v>
      </c>
      <c r="R621" s="38">
        <v>129.46</v>
      </c>
      <c r="S621" s="39">
        <f t="shared" si="58"/>
        <v>1045.64842</v>
      </c>
    </row>
    <row r="622" spans="1:19">
      <c r="A622" s="67">
        <v>45683</v>
      </c>
      <c r="B622" s="25" t="s">
        <v>27</v>
      </c>
      <c r="C622" s="4">
        <v>20649</v>
      </c>
      <c r="D622" s="5">
        <v>20172</v>
      </c>
      <c r="E622" s="4">
        <v>15770</v>
      </c>
      <c r="F622" s="4">
        <v>15078</v>
      </c>
      <c r="G622" s="4">
        <f t="shared" si="55"/>
        <v>17917.25</v>
      </c>
      <c r="H622" s="7">
        <f t="shared" si="54"/>
        <v>4.4793124999999998</v>
      </c>
      <c r="I622" s="9">
        <f t="shared" si="59"/>
        <v>1</v>
      </c>
      <c r="J622" s="9">
        <f t="shared" si="56"/>
        <v>5.4793124999999998</v>
      </c>
      <c r="K622" s="10">
        <f t="shared" si="57"/>
        <v>6</v>
      </c>
      <c r="O622" s="36">
        <f>'DHS25'!C621</f>
        <v>15212</v>
      </c>
      <c r="P622" s="37">
        <f>'DHS25'!D621</f>
        <v>9075</v>
      </c>
      <c r="Q622" s="37">
        <f>'DHS25'!E621</f>
        <v>8062</v>
      </c>
      <c r="R622" s="38">
        <v>135.32</v>
      </c>
      <c r="S622" s="39">
        <f t="shared" si="58"/>
        <v>1090.9498399999998</v>
      </c>
    </row>
    <row r="623" spans="1:19">
      <c r="A623" s="67">
        <v>45683</v>
      </c>
      <c r="B623" s="25" t="s">
        <v>28</v>
      </c>
      <c r="C623" s="4">
        <v>19400</v>
      </c>
      <c r="D623" s="5">
        <v>21185</v>
      </c>
      <c r="E623" s="4">
        <v>15481</v>
      </c>
      <c r="F623" s="4">
        <v>15206</v>
      </c>
      <c r="G623" s="4">
        <f t="shared" si="55"/>
        <v>17818</v>
      </c>
      <c r="H623" s="7">
        <f t="shared" si="54"/>
        <v>4.4545000000000003</v>
      </c>
      <c r="I623" s="9">
        <f t="shared" si="59"/>
        <v>1</v>
      </c>
      <c r="J623" s="9">
        <f t="shared" si="56"/>
        <v>5.4545000000000003</v>
      </c>
      <c r="K623" s="10">
        <f t="shared" si="57"/>
        <v>6</v>
      </c>
      <c r="O623" s="36">
        <f>'DHS25'!C622</f>
        <v>18063</v>
      </c>
      <c r="P623" s="37">
        <f>'DHS25'!D622</f>
        <v>4082</v>
      </c>
      <c r="Q623" s="37">
        <f>'DHS25'!E622</f>
        <v>6913</v>
      </c>
      <c r="R623" s="38">
        <v>121.83</v>
      </c>
      <c r="S623" s="39">
        <f t="shared" si="58"/>
        <v>842.21078999999997</v>
      </c>
    </row>
    <row r="624" spans="1:19">
      <c r="A624" s="67">
        <v>45683</v>
      </c>
      <c r="B624" s="25" t="s">
        <v>29</v>
      </c>
      <c r="C624" s="4">
        <v>20238</v>
      </c>
      <c r="D624" s="5">
        <v>19989</v>
      </c>
      <c r="E624" s="4">
        <v>16382</v>
      </c>
      <c r="F624" s="4">
        <v>14951</v>
      </c>
      <c r="G624" s="4">
        <f t="shared" si="55"/>
        <v>17890</v>
      </c>
      <c r="H624" s="7">
        <f t="shared" si="54"/>
        <v>4.4725000000000001</v>
      </c>
      <c r="I624" s="9">
        <f t="shared" si="59"/>
        <v>1</v>
      </c>
      <c r="J624" s="9">
        <f t="shared" si="56"/>
        <v>5.4725000000000001</v>
      </c>
      <c r="K624" s="10">
        <f t="shared" si="57"/>
        <v>6</v>
      </c>
      <c r="O624" s="36">
        <f>'DHS25'!C623</f>
        <v>15778</v>
      </c>
      <c r="P624" s="37">
        <f>'DHS25'!D623</f>
        <v>1583</v>
      </c>
      <c r="Q624" s="37">
        <f>'DHS25'!E623</f>
        <v>6042</v>
      </c>
      <c r="R624" s="38">
        <v>111.68</v>
      </c>
      <c r="S624" s="39">
        <f t="shared" si="58"/>
        <v>674.77056000000005</v>
      </c>
    </row>
    <row r="625" spans="1:19">
      <c r="A625" s="67">
        <v>45683</v>
      </c>
      <c r="B625" s="25" t="s">
        <v>30</v>
      </c>
      <c r="C625" s="4">
        <v>18565</v>
      </c>
      <c r="D625" s="5">
        <v>16979</v>
      </c>
      <c r="E625" s="4">
        <v>14342</v>
      </c>
      <c r="F625" s="4">
        <v>13280</v>
      </c>
      <c r="G625" s="4">
        <f t="shared" si="55"/>
        <v>15791.5</v>
      </c>
      <c r="H625" s="7">
        <f t="shared" si="54"/>
        <v>3.9478749999999998</v>
      </c>
      <c r="I625" s="9">
        <f t="shared" si="59"/>
        <v>1</v>
      </c>
      <c r="J625" s="9">
        <f t="shared" si="56"/>
        <v>4.9478749999999998</v>
      </c>
      <c r="K625" s="10">
        <f t="shared" si="57"/>
        <v>5</v>
      </c>
      <c r="O625" s="36">
        <f>'DHS25'!C624</f>
        <v>11623</v>
      </c>
      <c r="P625" s="37">
        <f>'DHS25'!D624</f>
        <v>2584</v>
      </c>
      <c r="Q625" s="37">
        <f>'DHS25'!E624</f>
        <v>5054</v>
      </c>
      <c r="R625" s="38">
        <v>92.96</v>
      </c>
      <c r="S625" s="39">
        <f t="shared" si="58"/>
        <v>469.81984</v>
      </c>
    </row>
    <row r="626" spans="1:19">
      <c r="A626" s="67">
        <v>45683</v>
      </c>
      <c r="B626" s="25" t="s">
        <v>31</v>
      </c>
      <c r="C626" s="4">
        <v>9391</v>
      </c>
      <c r="D626" s="5">
        <v>10728</v>
      </c>
      <c r="E626" s="4">
        <v>6927</v>
      </c>
      <c r="F626" s="4">
        <v>7069</v>
      </c>
      <c r="G626" s="4">
        <f t="shared" si="55"/>
        <v>8528.75</v>
      </c>
      <c r="H626" s="7">
        <f t="shared" si="54"/>
        <v>2.1321875000000001</v>
      </c>
      <c r="I626" s="9">
        <f t="shared" si="59"/>
        <v>1</v>
      </c>
      <c r="J626" s="9">
        <f t="shared" si="56"/>
        <v>3.1321875000000001</v>
      </c>
      <c r="K626" s="10">
        <f t="shared" si="57"/>
        <v>4</v>
      </c>
      <c r="O626" s="36">
        <f>'DHS25'!C625</f>
        <v>6363</v>
      </c>
      <c r="P626" s="37">
        <f>'DHS25'!D625</f>
        <v>6651</v>
      </c>
      <c r="Q626" s="37">
        <f>'DHS25'!E625</f>
        <v>4190</v>
      </c>
      <c r="R626" s="38">
        <v>77</v>
      </c>
      <c r="S626" s="39">
        <f t="shared" si="58"/>
        <v>322.63000000000005</v>
      </c>
    </row>
    <row r="627" spans="1:19">
      <c r="A627" s="66">
        <v>45684</v>
      </c>
      <c r="B627" s="24" t="s">
        <v>8</v>
      </c>
      <c r="C627" s="4">
        <v>9029</v>
      </c>
      <c r="D627" s="5">
        <v>12237</v>
      </c>
      <c r="E627" s="4">
        <v>7505</v>
      </c>
      <c r="F627" s="4">
        <v>7935</v>
      </c>
      <c r="G627" s="4">
        <f t="shared" si="55"/>
        <v>9176.5</v>
      </c>
      <c r="H627" s="7">
        <f t="shared" si="54"/>
        <v>2.2941250000000002</v>
      </c>
      <c r="I627" s="9">
        <f t="shared" si="59"/>
        <v>1</v>
      </c>
      <c r="J627" s="9">
        <f t="shared" si="56"/>
        <v>3.2941250000000002</v>
      </c>
      <c r="K627" s="10">
        <f t="shared" si="57"/>
        <v>4</v>
      </c>
      <c r="O627" s="36">
        <f>'DHS25'!C626</f>
        <v>6362</v>
      </c>
      <c r="P627" s="37">
        <f>'DHS25'!D626</f>
        <v>6429</v>
      </c>
      <c r="Q627" s="37">
        <f>'DHS25'!E626</f>
        <v>4043</v>
      </c>
      <c r="R627" s="38">
        <v>62.09</v>
      </c>
      <c r="S627" s="39">
        <f t="shared" si="58"/>
        <v>251.02987000000002</v>
      </c>
    </row>
    <row r="628" spans="1:19">
      <c r="A628" s="66">
        <v>45684</v>
      </c>
      <c r="B628" s="24" t="s">
        <v>9</v>
      </c>
      <c r="C628" s="4">
        <v>11827</v>
      </c>
      <c r="D628" s="5">
        <v>14097</v>
      </c>
      <c r="E628" s="4">
        <v>8849</v>
      </c>
      <c r="F628" s="4">
        <v>7391</v>
      </c>
      <c r="G628" s="4">
        <f t="shared" si="55"/>
        <v>10541</v>
      </c>
      <c r="H628" s="7">
        <f t="shared" si="54"/>
        <v>2.6352500000000001</v>
      </c>
      <c r="I628" s="9">
        <f t="shared" si="59"/>
        <v>1</v>
      </c>
      <c r="J628" s="9">
        <f t="shared" si="56"/>
        <v>3.6352500000000001</v>
      </c>
      <c r="K628" s="10">
        <f t="shared" si="57"/>
        <v>4</v>
      </c>
      <c r="O628" s="36">
        <f>'DHS25'!C627</f>
        <v>7461</v>
      </c>
      <c r="P628" s="37">
        <f>'DHS25'!D627</f>
        <v>5249</v>
      </c>
      <c r="Q628" s="37">
        <f>'DHS25'!E627</f>
        <v>4048</v>
      </c>
      <c r="R628" s="38">
        <v>57.28</v>
      </c>
      <c r="S628" s="39">
        <f t="shared" si="58"/>
        <v>231.86944</v>
      </c>
    </row>
    <row r="629" spans="1:19">
      <c r="A629" s="66">
        <v>45684</v>
      </c>
      <c r="B629" s="24" t="s">
        <v>10</v>
      </c>
      <c r="C629" s="4">
        <v>13295</v>
      </c>
      <c r="D629" s="5">
        <v>14775</v>
      </c>
      <c r="E629" s="4">
        <v>9402</v>
      </c>
      <c r="F629" s="4">
        <v>8230</v>
      </c>
      <c r="G629" s="4">
        <f t="shared" si="55"/>
        <v>11425.5</v>
      </c>
      <c r="H629" s="7">
        <f t="shared" si="54"/>
        <v>2.8563749999999999</v>
      </c>
      <c r="I629" s="9">
        <f t="shared" si="59"/>
        <v>1</v>
      </c>
      <c r="J629" s="9">
        <f t="shared" si="56"/>
        <v>3.8563749999999999</v>
      </c>
      <c r="K629" s="10">
        <f t="shared" si="57"/>
        <v>4</v>
      </c>
      <c r="O629" s="36">
        <f>'DHS25'!C628</f>
        <v>7068</v>
      </c>
      <c r="P629" s="37">
        <f>'DHS25'!D628</f>
        <v>5700</v>
      </c>
      <c r="Q629" s="37">
        <f>'DHS25'!E628</f>
        <v>4034</v>
      </c>
      <c r="R629" s="38">
        <v>38.520000000000003</v>
      </c>
      <c r="S629" s="39">
        <f t="shared" si="58"/>
        <v>155.38968</v>
      </c>
    </row>
    <row r="630" spans="1:19">
      <c r="A630" s="66">
        <v>45684</v>
      </c>
      <c r="B630" s="24" t="s">
        <v>11</v>
      </c>
      <c r="C630" s="4">
        <v>14604</v>
      </c>
      <c r="D630" s="5">
        <v>14595</v>
      </c>
      <c r="E630" s="4">
        <v>10821</v>
      </c>
      <c r="F630" s="4">
        <v>13388</v>
      </c>
      <c r="G630" s="4">
        <f t="shared" si="55"/>
        <v>13352</v>
      </c>
      <c r="H630" s="7">
        <f t="shared" si="54"/>
        <v>3.3380000000000001</v>
      </c>
      <c r="I630" s="9">
        <f t="shared" si="59"/>
        <v>1</v>
      </c>
      <c r="J630" s="9">
        <f t="shared" si="56"/>
        <v>4.3380000000000001</v>
      </c>
      <c r="K630" s="10">
        <f t="shared" si="57"/>
        <v>5</v>
      </c>
      <c r="O630" s="36">
        <f>'DHS25'!C629</f>
        <v>8026</v>
      </c>
      <c r="P630" s="37">
        <f>'DHS25'!D629</f>
        <v>9210</v>
      </c>
      <c r="Q630" s="37">
        <f>'DHS25'!E629</f>
        <v>5073</v>
      </c>
      <c r="R630" s="38">
        <v>30.97</v>
      </c>
      <c r="S630" s="39">
        <f t="shared" si="58"/>
        <v>157.11081000000001</v>
      </c>
    </row>
    <row r="631" spans="1:19">
      <c r="A631" s="66">
        <v>45684</v>
      </c>
      <c r="B631" s="24" t="s">
        <v>12</v>
      </c>
      <c r="C631" s="4">
        <v>22619</v>
      </c>
      <c r="D631" s="5">
        <v>23805</v>
      </c>
      <c r="E631" s="4">
        <v>15982</v>
      </c>
      <c r="F631" s="4">
        <v>15510</v>
      </c>
      <c r="G631" s="4">
        <f t="shared" si="55"/>
        <v>19479</v>
      </c>
      <c r="H631" s="7">
        <f t="shared" si="54"/>
        <v>4.8697499999999998</v>
      </c>
      <c r="I631" s="9">
        <f t="shared" si="59"/>
        <v>1</v>
      </c>
      <c r="J631" s="9">
        <f t="shared" si="56"/>
        <v>5.8697499999999998</v>
      </c>
      <c r="K631" s="10">
        <f t="shared" si="57"/>
        <v>6</v>
      </c>
      <c r="O631" s="36">
        <f>'DHS25'!C630</f>
        <v>17896</v>
      </c>
      <c r="P631" s="37">
        <f>'DHS25'!D630</f>
        <v>1076</v>
      </c>
      <c r="Q631" s="37">
        <f>'DHS25'!E630</f>
        <v>5909</v>
      </c>
      <c r="R631" s="38">
        <v>49.49</v>
      </c>
      <c r="S631" s="39">
        <f t="shared" si="58"/>
        <v>292.43641000000002</v>
      </c>
    </row>
    <row r="632" spans="1:19">
      <c r="A632" s="66">
        <v>45684</v>
      </c>
      <c r="B632" s="24" t="s">
        <v>13</v>
      </c>
      <c r="C632" s="4">
        <v>23065</v>
      </c>
      <c r="D632" s="5">
        <v>23652</v>
      </c>
      <c r="E632" s="4">
        <v>17431</v>
      </c>
      <c r="F632" s="4">
        <v>14290</v>
      </c>
      <c r="G632" s="4">
        <f t="shared" si="55"/>
        <v>19609.5</v>
      </c>
      <c r="H632" s="7">
        <f t="shared" si="54"/>
        <v>4.9023750000000001</v>
      </c>
      <c r="I632" s="9">
        <f t="shared" si="59"/>
        <v>1</v>
      </c>
      <c r="J632" s="9">
        <f t="shared" si="56"/>
        <v>5.9023750000000001</v>
      </c>
      <c r="K632" s="10">
        <f t="shared" si="57"/>
        <v>6</v>
      </c>
      <c r="O632" s="36">
        <f>'DHS25'!C631</f>
        <v>17918</v>
      </c>
      <c r="P632" s="37">
        <f>'DHS25'!D631</f>
        <v>2827</v>
      </c>
      <c r="Q632" s="37">
        <f>'DHS25'!E631</f>
        <v>6948</v>
      </c>
      <c r="R632" s="38">
        <v>149.24</v>
      </c>
      <c r="S632" s="39">
        <f t="shared" si="58"/>
        <v>1036.9195200000001</v>
      </c>
    </row>
    <row r="633" spans="1:19">
      <c r="A633" s="66">
        <v>45684</v>
      </c>
      <c r="B633" s="24" t="s">
        <v>14</v>
      </c>
      <c r="C633" s="4">
        <v>23387</v>
      </c>
      <c r="D633" s="5">
        <v>23996</v>
      </c>
      <c r="E633" s="4">
        <v>18529</v>
      </c>
      <c r="F633" s="4">
        <v>13551</v>
      </c>
      <c r="G633" s="4">
        <f t="shared" si="55"/>
        <v>19865.75</v>
      </c>
      <c r="H633" s="7">
        <f t="shared" si="54"/>
        <v>4.9664374999999996</v>
      </c>
      <c r="I633" s="9">
        <f t="shared" si="59"/>
        <v>1</v>
      </c>
      <c r="J633" s="9">
        <f t="shared" si="56"/>
        <v>5.9664374999999996</v>
      </c>
      <c r="K633" s="10">
        <f t="shared" si="57"/>
        <v>6</v>
      </c>
      <c r="O633" s="36">
        <f>'DHS25'!C632</f>
        <v>17301</v>
      </c>
      <c r="P633" s="37">
        <f>'DHS25'!D632</f>
        <v>6525</v>
      </c>
      <c r="Q633" s="37">
        <f>'DHS25'!E632</f>
        <v>8044</v>
      </c>
      <c r="R633" s="38">
        <v>159.78</v>
      </c>
      <c r="S633" s="39">
        <f t="shared" si="58"/>
        <v>1285.2703200000001</v>
      </c>
    </row>
    <row r="634" spans="1:19">
      <c r="A634" s="66">
        <v>45684</v>
      </c>
      <c r="B634" s="24" t="s">
        <v>15</v>
      </c>
      <c r="C634" s="4">
        <v>19819</v>
      </c>
      <c r="D634" s="5">
        <v>21400</v>
      </c>
      <c r="E634" s="4">
        <v>18255</v>
      </c>
      <c r="F634" s="4">
        <v>13795</v>
      </c>
      <c r="G634" s="4">
        <f t="shared" si="55"/>
        <v>18317.25</v>
      </c>
      <c r="H634" s="7">
        <f t="shared" si="54"/>
        <v>4.5793125000000003</v>
      </c>
      <c r="I634" s="9">
        <f t="shared" si="59"/>
        <v>1</v>
      </c>
      <c r="J634" s="9">
        <f t="shared" si="56"/>
        <v>5.5793125000000003</v>
      </c>
      <c r="K634" s="10">
        <f t="shared" si="57"/>
        <v>6</v>
      </c>
      <c r="O634" s="36">
        <f>'DHS25'!C633</f>
        <v>17814</v>
      </c>
      <c r="P634" s="37">
        <f>'DHS25'!D633</f>
        <v>6807</v>
      </c>
      <c r="Q634" s="37">
        <f>'DHS25'!E633</f>
        <v>8066</v>
      </c>
      <c r="R634" s="38">
        <v>189.05</v>
      </c>
      <c r="S634" s="39">
        <f t="shared" si="58"/>
        <v>1524.8773000000003</v>
      </c>
    </row>
    <row r="635" spans="1:19">
      <c r="A635" s="66">
        <v>45684</v>
      </c>
      <c r="B635" s="24" t="s">
        <v>16</v>
      </c>
      <c r="C635" s="4">
        <v>20131</v>
      </c>
      <c r="D635" s="5">
        <v>22413</v>
      </c>
      <c r="E635" s="4">
        <v>18348</v>
      </c>
      <c r="F635" s="4">
        <v>13809</v>
      </c>
      <c r="G635" s="4">
        <f t="shared" si="55"/>
        <v>18675.25</v>
      </c>
      <c r="H635" s="7">
        <f t="shared" si="54"/>
        <v>4.6688124999999996</v>
      </c>
      <c r="I635" s="9">
        <f t="shared" si="59"/>
        <v>1</v>
      </c>
      <c r="J635" s="9">
        <f t="shared" si="56"/>
        <v>5.6688124999999996</v>
      </c>
      <c r="K635" s="10">
        <f t="shared" si="57"/>
        <v>6</v>
      </c>
      <c r="O635" s="36">
        <f>'DHS25'!C634</f>
        <v>16483</v>
      </c>
      <c r="P635" s="37">
        <f>'DHS25'!D634</f>
        <v>7968</v>
      </c>
      <c r="Q635" s="37">
        <f>'DHS25'!E634</f>
        <v>8078</v>
      </c>
      <c r="R635" s="38">
        <v>161.61000000000001</v>
      </c>
      <c r="S635" s="39">
        <f t="shared" si="58"/>
        <v>1305.48558</v>
      </c>
    </row>
    <row r="636" spans="1:19">
      <c r="A636" s="66">
        <v>45684</v>
      </c>
      <c r="B636" s="24" t="s">
        <v>17</v>
      </c>
      <c r="C636" s="4">
        <v>19541</v>
      </c>
      <c r="D636" s="5">
        <v>18838</v>
      </c>
      <c r="E636" s="4">
        <v>17355</v>
      </c>
      <c r="F636" s="4">
        <v>16151</v>
      </c>
      <c r="G636" s="4">
        <f t="shared" si="55"/>
        <v>17971.25</v>
      </c>
      <c r="H636" s="7">
        <f t="shared" si="54"/>
        <v>4.4928125000000003</v>
      </c>
      <c r="I636" s="9">
        <f t="shared" si="59"/>
        <v>1</v>
      </c>
      <c r="J636" s="9">
        <f t="shared" si="56"/>
        <v>5.4928125000000003</v>
      </c>
      <c r="K636" s="10">
        <f t="shared" si="57"/>
        <v>6</v>
      </c>
      <c r="O636" s="36">
        <f>'DHS25'!C635</f>
        <v>15083</v>
      </c>
      <c r="P636" s="37">
        <f>'DHS25'!D635</f>
        <v>9824</v>
      </c>
      <c r="Q636" s="37">
        <f>'DHS25'!E635</f>
        <v>8068</v>
      </c>
      <c r="R636" s="38">
        <v>130.33000000000001</v>
      </c>
      <c r="S636" s="39">
        <f t="shared" si="58"/>
        <v>1051.50244</v>
      </c>
    </row>
    <row r="637" spans="1:19">
      <c r="A637" s="66">
        <v>45684</v>
      </c>
      <c r="B637" s="24" t="s">
        <v>18</v>
      </c>
      <c r="C637" s="4">
        <v>17539</v>
      </c>
      <c r="D637" s="5">
        <v>16819</v>
      </c>
      <c r="E637" s="4">
        <v>15625</v>
      </c>
      <c r="F637" s="4">
        <v>15739</v>
      </c>
      <c r="G637" s="4">
        <f t="shared" si="55"/>
        <v>16430.5</v>
      </c>
      <c r="H637" s="7">
        <f t="shared" si="54"/>
        <v>4.1076249999999996</v>
      </c>
      <c r="I637" s="9">
        <f t="shared" si="59"/>
        <v>1</v>
      </c>
      <c r="J637" s="9">
        <f t="shared" si="56"/>
        <v>5.1076249999999996</v>
      </c>
      <c r="K637" s="10">
        <f t="shared" si="57"/>
        <v>6</v>
      </c>
      <c r="O637" s="36">
        <f>'DHS25'!C636</f>
        <v>17188</v>
      </c>
      <c r="P637" s="37">
        <f>'DHS25'!D636</f>
        <v>4813</v>
      </c>
      <c r="Q637" s="37">
        <f>'DHS25'!E636</f>
        <v>7014</v>
      </c>
      <c r="R637" s="38">
        <v>99.15</v>
      </c>
      <c r="S637" s="39">
        <f t="shared" si="58"/>
        <v>695.43810000000008</v>
      </c>
    </row>
    <row r="638" spans="1:19">
      <c r="A638" s="66">
        <v>45684</v>
      </c>
      <c r="B638" s="24" t="s">
        <v>19</v>
      </c>
      <c r="C638" s="4">
        <v>18597</v>
      </c>
      <c r="D638" s="5">
        <v>16767</v>
      </c>
      <c r="E638" s="4">
        <v>14791</v>
      </c>
      <c r="F638" s="4">
        <v>14631</v>
      </c>
      <c r="G638" s="4">
        <f t="shared" si="55"/>
        <v>16196.5</v>
      </c>
      <c r="H638" s="7">
        <f t="shared" si="54"/>
        <v>4.0491250000000001</v>
      </c>
      <c r="I638" s="9">
        <f t="shared" si="59"/>
        <v>1</v>
      </c>
      <c r="J638" s="9">
        <f t="shared" si="56"/>
        <v>5.0491250000000001</v>
      </c>
      <c r="K638" s="10">
        <f t="shared" si="57"/>
        <v>6</v>
      </c>
      <c r="O638" s="36">
        <f>'DHS25'!C637</f>
        <v>15494</v>
      </c>
      <c r="P638" s="37">
        <f>'DHS25'!D637</f>
        <v>3173</v>
      </c>
      <c r="Q638" s="37">
        <f>'DHS25'!E637</f>
        <v>6066</v>
      </c>
      <c r="R638" s="38">
        <v>95.78</v>
      </c>
      <c r="S638" s="39">
        <f t="shared" si="58"/>
        <v>581.00148000000002</v>
      </c>
    </row>
    <row r="639" spans="1:19">
      <c r="A639" s="66">
        <v>45684</v>
      </c>
      <c r="B639" s="24" t="s">
        <v>20</v>
      </c>
      <c r="C639" s="4">
        <v>17427</v>
      </c>
      <c r="D639" s="5">
        <v>16654</v>
      </c>
      <c r="E639" s="4">
        <v>16009</v>
      </c>
      <c r="F639" s="4">
        <v>13988</v>
      </c>
      <c r="G639" s="4">
        <f t="shared" si="55"/>
        <v>16019.5</v>
      </c>
      <c r="H639" s="7">
        <f t="shared" si="54"/>
        <v>4.0048750000000002</v>
      </c>
      <c r="I639" s="9">
        <f t="shared" si="59"/>
        <v>1</v>
      </c>
      <c r="J639" s="9">
        <f t="shared" si="56"/>
        <v>5.0048750000000002</v>
      </c>
      <c r="K639" s="10">
        <f t="shared" si="57"/>
        <v>6</v>
      </c>
      <c r="O639" s="36">
        <f>'DHS25'!C638</f>
        <v>14009</v>
      </c>
      <c r="P639" s="37">
        <f>'DHS25'!D638</f>
        <v>4412</v>
      </c>
      <c r="Q639" s="37">
        <f>'DHS25'!E638</f>
        <v>6055</v>
      </c>
      <c r="R639" s="38">
        <v>94</v>
      </c>
      <c r="S639" s="39">
        <f t="shared" si="58"/>
        <v>569.16999999999996</v>
      </c>
    </row>
    <row r="640" spans="1:19">
      <c r="A640" s="66">
        <v>45684</v>
      </c>
      <c r="B640" s="24" t="s">
        <v>21</v>
      </c>
      <c r="C640" s="4">
        <v>16886</v>
      </c>
      <c r="D640" s="5">
        <v>15774</v>
      </c>
      <c r="E640" s="4">
        <v>16011</v>
      </c>
      <c r="F640" s="4">
        <v>14478</v>
      </c>
      <c r="G640" s="4">
        <f t="shared" si="55"/>
        <v>15787.25</v>
      </c>
      <c r="H640" s="7">
        <f t="shared" si="54"/>
        <v>3.9468125000000001</v>
      </c>
      <c r="I640" s="9">
        <f t="shared" si="59"/>
        <v>1</v>
      </c>
      <c r="J640" s="9">
        <f t="shared" si="56"/>
        <v>4.9468125000000001</v>
      </c>
      <c r="K640" s="10">
        <f t="shared" si="57"/>
        <v>5</v>
      </c>
      <c r="O640" s="36">
        <f>'DHS25'!C639</f>
        <v>13096</v>
      </c>
      <c r="P640" s="37">
        <f>'DHS25'!D639</f>
        <v>2679</v>
      </c>
      <c r="Q640" s="37">
        <f>'DHS25'!E639</f>
        <v>5094</v>
      </c>
      <c r="R640" s="38">
        <v>103.06</v>
      </c>
      <c r="S640" s="39">
        <f t="shared" si="58"/>
        <v>524.98764000000006</v>
      </c>
    </row>
    <row r="641" spans="1:19">
      <c r="A641" s="66">
        <v>45684</v>
      </c>
      <c r="B641" s="24" t="s">
        <v>22</v>
      </c>
      <c r="C641" s="4">
        <v>17772</v>
      </c>
      <c r="D641" s="5">
        <v>17073</v>
      </c>
      <c r="E641" s="4">
        <v>14691</v>
      </c>
      <c r="F641" s="4">
        <v>14597</v>
      </c>
      <c r="G641" s="4">
        <f t="shared" si="55"/>
        <v>16033.25</v>
      </c>
      <c r="H641" s="7">
        <f t="shared" si="54"/>
        <v>4.0083124999999997</v>
      </c>
      <c r="I641" s="9">
        <f t="shared" si="59"/>
        <v>1</v>
      </c>
      <c r="J641" s="9">
        <f t="shared" si="56"/>
        <v>5.0083124999999997</v>
      </c>
      <c r="K641" s="10">
        <f t="shared" si="57"/>
        <v>6</v>
      </c>
      <c r="O641" s="36">
        <f>'DHS25'!C640</f>
        <v>12970</v>
      </c>
      <c r="P641" s="37">
        <f>'DHS25'!D640</f>
        <v>11339</v>
      </c>
      <c r="Q641" s="37">
        <f>'DHS25'!E640</f>
        <v>8006</v>
      </c>
      <c r="R641" s="38">
        <v>131.66999999999999</v>
      </c>
      <c r="S641" s="39">
        <f t="shared" si="58"/>
        <v>1054.15002</v>
      </c>
    </row>
    <row r="642" spans="1:19">
      <c r="A642" s="66">
        <v>45684</v>
      </c>
      <c r="B642" s="24" t="s">
        <v>23</v>
      </c>
      <c r="C642" s="4">
        <v>18140</v>
      </c>
      <c r="D642" s="5">
        <v>17750</v>
      </c>
      <c r="E642" s="4">
        <v>17495</v>
      </c>
      <c r="F642" s="4">
        <v>14812</v>
      </c>
      <c r="G642" s="4">
        <f t="shared" si="55"/>
        <v>17049.25</v>
      </c>
      <c r="H642" s="7">
        <f t="shared" si="54"/>
        <v>4.2623125000000002</v>
      </c>
      <c r="I642" s="9">
        <f t="shared" si="59"/>
        <v>1</v>
      </c>
      <c r="J642" s="9">
        <f t="shared" si="56"/>
        <v>5.2623125000000002</v>
      </c>
      <c r="K642" s="10">
        <f t="shared" si="57"/>
        <v>6</v>
      </c>
      <c r="O642" s="36">
        <f>'DHS25'!C641</f>
        <v>13182</v>
      </c>
      <c r="P642" s="37">
        <f>'DHS25'!D641</f>
        <v>10451</v>
      </c>
      <c r="Q642" s="37">
        <f>'DHS25'!E641</f>
        <v>8059</v>
      </c>
      <c r="R642" s="38">
        <v>147.11000000000001</v>
      </c>
      <c r="S642" s="39">
        <f t="shared" si="58"/>
        <v>1185.5594900000001</v>
      </c>
    </row>
    <row r="643" spans="1:19">
      <c r="A643" s="66">
        <v>45684</v>
      </c>
      <c r="B643" s="24" t="s">
        <v>24</v>
      </c>
      <c r="C643" s="4">
        <v>18652</v>
      </c>
      <c r="D643" s="5">
        <v>16591</v>
      </c>
      <c r="E643" s="4">
        <v>16195</v>
      </c>
      <c r="F643" s="4">
        <v>14225</v>
      </c>
      <c r="G643" s="4">
        <f t="shared" si="55"/>
        <v>16415.75</v>
      </c>
      <c r="H643" s="7">
        <f t="shared" ref="H643:H706" si="60">G643/$M$2/1000</f>
        <v>4.1039374999999998</v>
      </c>
      <c r="I643" s="9">
        <f t="shared" si="59"/>
        <v>1</v>
      </c>
      <c r="J643" s="9">
        <f t="shared" si="56"/>
        <v>5.1039374999999998</v>
      </c>
      <c r="K643" s="10">
        <f t="shared" si="57"/>
        <v>6</v>
      </c>
      <c r="O643" s="36">
        <f>'DHS25'!C642</f>
        <v>14406</v>
      </c>
      <c r="P643" s="37">
        <f>'DHS25'!D642</f>
        <v>9099</v>
      </c>
      <c r="Q643" s="37">
        <f>'DHS25'!E642</f>
        <v>8063</v>
      </c>
      <c r="R643" s="38">
        <v>212.22</v>
      </c>
      <c r="S643" s="39">
        <f t="shared" si="58"/>
        <v>1711.12986</v>
      </c>
    </row>
    <row r="644" spans="1:19">
      <c r="A644" s="66">
        <v>45684</v>
      </c>
      <c r="B644" s="24" t="s">
        <v>25</v>
      </c>
      <c r="C644" s="4">
        <v>16723</v>
      </c>
      <c r="D644" s="5">
        <v>19387</v>
      </c>
      <c r="E644" s="4">
        <v>14984</v>
      </c>
      <c r="F644" s="4">
        <v>14952</v>
      </c>
      <c r="G644" s="4">
        <f t="shared" ref="G644:G707" si="61">AVERAGE(C644:F644)</f>
        <v>16511.5</v>
      </c>
      <c r="H644" s="7">
        <f t="shared" si="60"/>
        <v>4.1278750000000004</v>
      </c>
      <c r="I644" s="9">
        <f t="shared" si="59"/>
        <v>1</v>
      </c>
      <c r="J644" s="9">
        <f t="shared" ref="J644:J707" si="62">H644+I644</f>
        <v>5.1278750000000004</v>
      </c>
      <c r="K644" s="10">
        <f t="shared" ref="K644:K707" si="63">ROUNDUP(J644,0)</f>
        <v>6</v>
      </c>
      <c r="O644" s="36">
        <f>'DHS25'!C643</f>
        <v>12853</v>
      </c>
      <c r="P644" s="37">
        <f>'DHS25'!D643</f>
        <v>11418</v>
      </c>
      <c r="Q644" s="37">
        <f>'DHS25'!E643</f>
        <v>8055</v>
      </c>
      <c r="R644" s="38">
        <v>206.49</v>
      </c>
      <c r="S644" s="39">
        <f t="shared" ref="S644:S707" si="64">(Q644/1000)*R644</f>
        <v>1663.2769499999999</v>
      </c>
    </row>
    <row r="645" spans="1:19">
      <c r="A645" s="66">
        <v>45684</v>
      </c>
      <c r="B645" s="24" t="s">
        <v>26</v>
      </c>
      <c r="C645" s="4">
        <v>18191</v>
      </c>
      <c r="D645" s="5">
        <v>18950</v>
      </c>
      <c r="E645" s="4">
        <v>16113</v>
      </c>
      <c r="F645" s="4">
        <v>15309</v>
      </c>
      <c r="G645" s="4">
        <f t="shared" si="61"/>
        <v>17140.75</v>
      </c>
      <c r="H645" s="7">
        <f t="shared" si="60"/>
        <v>4.2851875000000001</v>
      </c>
      <c r="I645" s="9">
        <f t="shared" ref="I645:I708" si="65">I644</f>
        <v>1</v>
      </c>
      <c r="J645" s="9">
        <f t="shared" si="62"/>
        <v>5.2851875000000001</v>
      </c>
      <c r="K645" s="10">
        <f t="shared" si="63"/>
        <v>6</v>
      </c>
      <c r="O645" s="36">
        <f>'DHS25'!C644</f>
        <v>13048</v>
      </c>
      <c r="P645" s="37">
        <f>'DHS25'!D644</f>
        <v>11078</v>
      </c>
      <c r="Q645" s="37">
        <f>'DHS25'!E644</f>
        <v>8060</v>
      </c>
      <c r="R645" s="38">
        <v>217.63</v>
      </c>
      <c r="S645" s="39">
        <f t="shared" si="64"/>
        <v>1754.0978</v>
      </c>
    </row>
    <row r="646" spans="1:19">
      <c r="A646" s="66">
        <v>45684</v>
      </c>
      <c r="B646" s="24" t="s">
        <v>27</v>
      </c>
      <c r="C646" s="4">
        <v>18659</v>
      </c>
      <c r="D646" s="5">
        <v>16894</v>
      </c>
      <c r="E646" s="4">
        <v>15834</v>
      </c>
      <c r="F646" s="4">
        <v>15060</v>
      </c>
      <c r="G646" s="4">
        <f t="shared" si="61"/>
        <v>16611.75</v>
      </c>
      <c r="H646" s="7">
        <f t="shared" si="60"/>
        <v>4.1529375000000002</v>
      </c>
      <c r="I646" s="9">
        <f t="shared" si="65"/>
        <v>1</v>
      </c>
      <c r="J646" s="9">
        <f t="shared" si="62"/>
        <v>5.1529375000000002</v>
      </c>
      <c r="K646" s="10">
        <f t="shared" si="63"/>
        <v>6</v>
      </c>
      <c r="O646" s="36">
        <f>'DHS25'!C645</f>
        <v>14078</v>
      </c>
      <c r="P646" s="37">
        <f>'DHS25'!D645</f>
        <v>10347</v>
      </c>
      <c r="Q646" s="37">
        <f>'DHS25'!E645</f>
        <v>8060</v>
      </c>
      <c r="R646" s="38">
        <v>212.05</v>
      </c>
      <c r="S646" s="39">
        <f t="shared" si="64"/>
        <v>1709.1230000000003</v>
      </c>
    </row>
    <row r="647" spans="1:19">
      <c r="A647" s="66">
        <v>45684</v>
      </c>
      <c r="B647" s="24" t="s">
        <v>28</v>
      </c>
      <c r="C647" s="4">
        <v>17349</v>
      </c>
      <c r="D647" s="5">
        <v>18358</v>
      </c>
      <c r="E647" s="4">
        <v>14919</v>
      </c>
      <c r="F647" s="4">
        <v>14738</v>
      </c>
      <c r="G647" s="4">
        <f t="shared" si="61"/>
        <v>16341</v>
      </c>
      <c r="H647" s="7">
        <f t="shared" si="60"/>
        <v>4.0852500000000003</v>
      </c>
      <c r="I647" s="9">
        <f t="shared" si="65"/>
        <v>1</v>
      </c>
      <c r="J647" s="9">
        <f t="shared" si="62"/>
        <v>5.0852500000000003</v>
      </c>
      <c r="K647" s="10">
        <f t="shared" si="63"/>
        <v>6</v>
      </c>
      <c r="O647" s="36">
        <f>'DHS25'!C646</f>
        <v>14959</v>
      </c>
      <c r="P647" s="37">
        <f>'DHS25'!D646</f>
        <v>9207</v>
      </c>
      <c r="Q647" s="37">
        <f>'DHS25'!E646</f>
        <v>8043</v>
      </c>
      <c r="R647" s="38">
        <v>188.23</v>
      </c>
      <c r="S647" s="39">
        <f t="shared" si="64"/>
        <v>1513.9338899999998</v>
      </c>
    </row>
    <row r="648" spans="1:19">
      <c r="A648" s="66">
        <v>45684</v>
      </c>
      <c r="B648" s="24" t="s">
        <v>29</v>
      </c>
      <c r="C648" s="4">
        <v>18140</v>
      </c>
      <c r="D648" s="5">
        <v>17681</v>
      </c>
      <c r="E648" s="4">
        <v>15006</v>
      </c>
      <c r="F648" s="4">
        <v>14832</v>
      </c>
      <c r="G648" s="4">
        <f t="shared" si="61"/>
        <v>16414.75</v>
      </c>
      <c r="H648" s="7">
        <f t="shared" si="60"/>
        <v>4.1036875000000004</v>
      </c>
      <c r="I648" s="9">
        <f t="shared" si="65"/>
        <v>1</v>
      </c>
      <c r="J648" s="9">
        <f t="shared" si="62"/>
        <v>5.1036875000000004</v>
      </c>
      <c r="K648" s="10">
        <f t="shared" si="63"/>
        <v>6</v>
      </c>
      <c r="O648" s="36">
        <f>'DHS25'!C647</f>
        <v>15675</v>
      </c>
      <c r="P648" s="37">
        <f>'DHS25'!D647</f>
        <v>6430</v>
      </c>
      <c r="Q648" s="37">
        <f>'DHS25'!E647</f>
        <v>7419</v>
      </c>
      <c r="R648" s="38">
        <v>162.16999999999999</v>
      </c>
      <c r="S648" s="39">
        <f t="shared" si="64"/>
        <v>1203.1392299999998</v>
      </c>
    </row>
    <row r="649" spans="1:19">
      <c r="A649" s="66">
        <v>45684</v>
      </c>
      <c r="B649" s="24" t="s">
        <v>30</v>
      </c>
      <c r="C649" s="4">
        <v>17046</v>
      </c>
      <c r="D649" s="5">
        <v>15961</v>
      </c>
      <c r="E649" s="4">
        <v>14855</v>
      </c>
      <c r="F649" s="4">
        <v>12656</v>
      </c>
      <c r="G649" s="4">
        <f t="shared" si="61"/>
        <v>15129.5</v>
      </c>
      <c r="H649" s="7">
        <f t="shared" si="60"/>
        <v>3.782375</v>
      </c>
      <c r="I649" s="9">
        <f t="shared" si="65"/>
        <v>1</v>
      </c>
      <c r="J649" s="9">
        <f t="shared" si="62"/>
        <v>4.782375</v>
      </c>
      <c r="K649" s="10">
        <f t="shared" si="63"/>
        <v>5</v>
      </c>
      <c r="O649" s="36">
        <f>'DHS25'!C648</f>
        <v>13368</v>
      </c>
      <c r="P649" s="37">
        <f>'DHS25'!D648</f>
        <v>2695</v>
      </c>
      <c r="Q649" s="37">
        <f>'DHS25'!E648</f>
        <v>5067</v>
      </c>
      <c r="R649" s="38">
        <v>130.37</v>
      </c>
      <c r="S649" s="39">
        <f t="shared" si="64"/>
        <v>660.58479</v>
      </c>
    </row>
    <row r="650" spans="1:19">
      <c r="A650" s="66">
        <v>45684</v>
      </c>
      <c r="B650" s="24" t="s">
        <v>31</v>
      </c>
      <c r="C650" s="4">
        <v>7657</v>
      </c>
      <c r="D650" s="5">
        <v>10049</v>
      </c>
      <c r="E650" s="4">
        <v>6047</v>
      </c>
      <c r="F650" s="4">
        <v>6287</v>
      </c>
      <c r="G650" s="4">
        <f t="shared" si="61"/>
        <v>7510</v>
      </c>
      <c r="H650" s="7">
        <f t="shared" si="60"/>
        <v>1.8774999999999999</v>
      </c>
      <c r="I650" s="9">
        <f t="shared" si="65"/>
        <v>1</v>
      </c>
      <c r="J650" s="9">
        <f t="shared" si="62"/>
        <v>2.8774999999999999</v>
      </c>
      <c r="K650" s="10">
        <f t="shared" si="63"/>
        <v>3</v>
      </c>
      <c r="O650" s="36">
        <f>'DHS25'!C649</f>
        <v>7134</v>
      </c>
      <c r="P650" s="37">
        <f>'DHS25'!D649</f>
        <v>6511</v>
      </c>
      <c r="Q650" s="37">
        <f>'DHS25'!E649</f>
        <v>3953</v>
      </c>
      <c r="R650" s="38">
        <v>95.17</v>
      </c>
      <c r="S650" s="39">
        <f t="shared" si="64"/>
        <v>376.20700999999997</v>
      </c>
    </row>
    <row r="651" spans="1:19">
      <c r="A651" s="67">
        <v>45685</v>
      </c>
      <c r="B651" s="25" t="s">
        <v>8</v>
      </c>
      <c r="C651" s="4">
        <v>8017</v>
      </c>
      <c r="D651" s="5">
        <v>9567</v>
      </c>
      <c r="E651" s="4">
        <v>7328</v>
      </c>
      <c r="F651" s="4">
        <v>7111</v>
      </c>
      <c r="G651" s="4">
        <f t="shared" si="61"/>
        <v>8005.75</v>
      </c>
      <c r="H651" s="7">
        <f t="shared" si="60"/>
        <v>2.0014375000000002</v>
      </c>
      <c r="I651" s="9">
        <f t="shared" si="65"/>
        <v>1</v>
      </c>
      <c r="J651" s="9">
        <f t="shared" si="62"/>
        <v>3.0014375000000002</v>
      </c>
      <c r="K651" s="10">
        <f t="shared" si="63"/>
        <v>4</v>
      </c>
      <c r="O651" s="36">
        <f>'DHS25'!C650</f>
        <v>7538</v>
      </c>
      <c r="P651" s="37">
        <f>'DHS25'!D650</f>
        <v>6939</v>
      </c>
      <c r="Q651" s="37">
        <f>'DHS25'!E650</f>
        <v>4017</v>
      </c>
      <c r="R651" s="38">
        <v>115.72</v>
      </c>
      <c r="S651" s="39">
        <f t="shared" si="64"/>
        <v>464.84724000000006</v>
      </c>
    </row>
    <row r="652" spans="1:19">
      <c r="A652" s="67">
        <v>45685</v>
      </c>
      <c r="B652" s="25" t="s">
        <v>9</v>
      </c>
      <c r="C652" s="4">
        <v>8889</v>
      </c>
      <c r="D652" s="5">
        <v>11703</v>
      </c>
      <c r="E652" s="4">
        <v>9673</v>
      </c>
      <c r="F652" s="4">
        <v>8319</v>
      </c>
      <c r="G652" s="4">
        <f t="shared" si="61"/>
        <v>9646</v>
      </c>
      <c r="H652" s="7">
        <f t="shared" si="60"/>
        <v>2.4115000000000002</v>
      </c>
      <c r="I652" s="9">
        <f t="shared" si="65"/>
        <v>1</v>
      </c>
      <c r="J652" s="9">
        <f t="shared" si="62"/>
        <v>3.4115000000000002</v>
      </c>
      <c r="K652" s="10">
        <f t="shared" si="63"/>
        <v>4</v>
      </c>
      <c r="O652" s="36">
        <f>'DHS25'!C651</f>
        <v>8131</v>
      </c>
      <c r="P652" s="37">
        <f>'DHS25'!D651</f>
        <v>5310</v>
      </c>
      <c r="Q652" s="37">
        <f>'DHS25'!E651</f>
        <v>4048</v>
      </c>
      <c r="R652" s="38">
        <v>82.04</v>
      </c>
      <c r="S652" s="39">
        <f t="shared" si="64"/>
        <v>332.09792000000004</v>
      </c>
    </row>
    <row r="653" spans="1:19">
      <c r="A653" s="67">
        <v>45685</v>
      </c>
      <c r="B653" s="25" t="s">
        <v>10</v>
      </c>
      <c r="C653" s="4">
        <v>10543</v>
      </c>
      <c r="D653" s="5">
        <v>13036</v>
      </c>
      <c r="E653" s="4">
        <v>9556</v>
      </c>
      <c r="F653" s="4">
        <v>10077</v>
      </c>
      <c r="G653" s="4">
        <f t="shared" si="61"/>
        <v>10803</v>
      </c>
      <c r="H653" s="7">
        <f t="shared" si="60"/>
        <v>2.7007500000000002</v>
      </c>
      <c r="I653" s="9">
        <f t="shared" si="65"/>
        <v>1</v>
      </c>
      <c r="J653" s="9">
        <f t="shared" si="62"/>
        <v>3.7007500000000002</v>
      </c>
      <c r="K653" s="10">
        <f t="shared" si="63"/>
        <v>4</v>
      </c>
      <c r="O653" s="36">
        <f>'DHS25'!C652</f>
        <v>6850</v>
      </c>
      <c r="P653" s="37">
        <f>'DHS25'!D652</f>
        <v>6456</v>
      </c>
      <c r="Q653" s="37">
        <f>'DHS25'!E652</f>
        <v>4053</v>
      </c>
      <c r="R653" s="38">
        <v>88.18</v>
      </c>
      <c r="S653" s="39">
        <f t="shared" si="64"/>
        <v>357.39354000000003</v>
      </c>
    </row>
    <row r="654" spans="1:19">
      <c r="A654" s="67">
        <v>45685</v>
      </c>
      <c r="B654" s="25" t="s">
        <v>11</v>
      </c>
      <c r="C654" s="4">
        <v>12669</v>
      </c>
      <c r="D654" s="5">
        <v>12956</v>
      </c>
      <c r="E654" s="4">
        <v>9365</v>
      </c>
      <c r="F654" s="4">
        <v>10862</v>
      </c>
      <c r="G654" s="4">
        <f t="shared" si="61"/>
        <v>11463</v>
      </c>
      <c r="H654" s="7">
        <f t="shared" si="60"/>
        <v>2.8657499999999998</v>
      </c>
      <c r="I654" s="9">
        <f t="shared" si="65"/>
        <v>1</v>
      </c>
      <c r="J654" s="9">
        <f t="shared" si="62"/>
        <v>3.8657499999999998</v>
      </c>
      <c r="K654" s="10">
        <f t="shared" si="63"/>
        <v>4</v>
      </c>
      <c r="O654" s="36">
        <f>'DHS25'!C653</f>
        <v>6827</v>
      </c>
      <c r="P654" s="37">
        <f>'DHS25'!D653</f>
        <v>6697</v>
      </c>
      <c r="Q654" s="37">
        <f>'DHS25'!E653</f>
        <v>4058</v>
      </c>
      <c r="R654" s="38">
        <v>83.46</v>
      </c>
      <c r="S654" s="39">
        <f t="shared" si="64"/>
        <v>338.68067999999994</v>
      </c>
    </row>
    <row r="655" spans="1:19">
      <c r="A655" s="67">
        <v>45685</v>
      </c>
      <c r="B655" s="25" t="s">
        <v>12</v>
      </c>
      <c r="C655" s="4">
        <v>21031</v>
      </c>
      <c r="D655" s="5">
        <v>22824</v>
      </c>
      <c r="E655" s="4">
        <v>14792</v>
      </c>
      <c r="F655" s="4">
        <v>15555</v>
      </c>
      <c r="G655" s="4">
        <f t="shared" si="61"/>
        <v>18550.5</v>
      </c>
      <c r="H655" s="7">
        <f t="shared" si="60"/>
        <v>4.6376249999999999</v>
      </c>
      <c r="I655" s="9">
        <f t="shared" si="65"/>
        <v>1</v>
      </c>
      <c r="J655" s="9">
        <f t="shared" si="62"/>
        <v>5.6376249999999999</v>
      </c>
      <c r="K655" s="10">
        <f t="shared" si="63"/>
        <v>6</v>
      </c>
      <c r="O655" s="36">
        <f>'DHS25'!C654</f>
        <v>16068</v>
      </c>
      <c r="P655" s="37">
        <f>'DHS25'!D654</f>
        <v>1008</v>
      </c>
      <c r="Q655" s="37">
        <f>'DHS25'!E654</f>
        <v>5523</v>
      </c>
      <c r="R655" s="38">
        <v>85</v>
      </c>
      <c r="S655" s="39">
        <f t="shared" si="64"/>
        <v>469.45499999999998</v>
      </c>
    </row>
    <row r="656" spans="1:19">
      <c r="A656" s="67">
        <v>45685</v>
      </c>
      <c r="B656" s="25" t="s">
        <v>13</v>
      </c>
      <c r="C656" s="4">
        <v>21172</v>
      </c>
      <c r="D656" s="5">
        <v>22099</v>
      </c>
      <c r="E656" s="4">
        <v>17847</v>
      </c>
      <c r="F656" s="4">
        <v>16143</v>
      </c>
      <c r="G656" s="4">
        <f t="shared" si="61"/>
        <v>19315.25</v>
      </c>
      <c r="H656" s="7">
        <f t="shared" si="60"/>
        <v>4.8288124999999997</v>
      </c>
      <c r="I656" s="9">
        <f t="shared" si="65"/>
        <v>1</v>
      </c>
      <c r="J656" s="9">
        <f t="shared" si="62"/>
        <v>5.8288124999999997</v>
      </c>
      <c r="K656" s="10">
        <f t="shared" si="63"/>
        <v>6</v>
      </c>
      <c r="O656" s="36">
        <f>'DHS25'!C655</f>
        <v>18140</v>
      </c>
      <c r="P656" s="37">
        <f>'DHS25'!D655</f>
        <v>946</v>
      </c>
      <c r="Q656" s="37">
        <f>'DHS25'!E655</f>
        <v>6063</v>
      </c>
      <c r="R656" s="38">
        <v>120.71</v>
      </c>
      <c r="S656" s="39">
        <f t="shared" si="64"/>
        <v>731.86472999999989</v>
      </c>
    </row>
    <row r="657" spans="1:19">
      <c r="A657" s="67">
        <v>45685</v>
      </c>
      <c r="B657" s="25" t="s">
        <v>14</v>
      </c>
      <c r="C657" s="4">
        <v>20873</v>
      </c>
      <c r="D657" s="5">
        <v>22177</v>
      </c>
      <c r="E657" s="4">
        <v>15759</v>
      </c>
      <c r="F657" s="4">
        <v>15123</v>
      </c>
      <c r="G657" s="4">
        <f t="shared" si="61"/>
        <v>18483</v>
      </c>
      <c r="H657" s="7">
        <f t="shared" si="60"/>
        <v>4.6207500000000001</v>
      </c>
      <c r="I657" s="9">
        <f t="shared" si="65"/>
        <v>1</v>
      </c>
      <c r="J657" s="9">
        <f t="shared" si="62"/>
        <v>5.6207500000000001</v>
      </c>
      <c r="K657" s="10">
        <f t="shared" si="63"/>
        <v>6</v>
      </c>
      <c r="O657" s="36">
        <f>'DHS25'!C656</f>
        <v>14767</v>
      </c>
      <c r="P657" s="37">
        <f>'DHS25'!D656</f>
        <v>7778</v>
      </c>
      <c r="Q657" s="37">
        <f>'DHS25'!E656</f>
        <v>7376</v>
      </c>
      <c r="R657" s="38">
        <v>138.91999999999999</v>
      </c>
      <c r="S657" s="39">
        <f t="shared" si="64"/>
        <v>1024.67392</v>
      </c>
    </row>
    <row r="658" spans="1:19">
      <c r="A658" s="67">
        <v>45685</v>
      </c>
      <c r="B658" s="25" t="s">
        <v>15</v>
      </c>
      <c r="C658" s="4">
        <v>20538</v>
      </c>
      <c r="D658" s="5">
        <v>20435</v>
      </c>
      <c r="E658" s="4">
        <v>15834</v>
      </c>
      <c r="F658" s="4">
        <v>12679</v>
      </c>
      <c r="G658" s="4">
        <f t="shared" si="61"/>
        <v>17371.5</v>
      </c>
      <c r="H658" s="7">
        <f t="shared" si="60"/>
        <v>4.3428750000000003</v>
      </c>
      <c r="I658" s="9">
        <f t="shared" si="65"/>
        <v>1</v>
      </c>
      <c r="J658" s="9">
        <f t="shared" si="62"/>
        <v>5.3428750000000003</v>
      </c>
      <c r="K658" s="10">
        <f t="shared" si="63"/>
        <v>6</v>
      </c>
      <c r="O658" s="36">
        <f>'DHS25'!C657</f>
        <v>15103</v>
      </c>
      <c r="P658" s="37">
        <f>'DHS25'!D657</f>
        <v>8946</v>
      </c>
      <c r="Q658" s="37">
        <f>'DHS25'!E657</f>
        <v>8069</v>
      </c>
      <c r="R658" s="38">
        <v>144.26</v>
      </c>
      <c r="S658" s="39">
        <f t="shared" si="64"/>
        <v>1164.03394</v>
      </c>
    </row>
    <row r="659" spans="1:19">
      <c r="A659" s="67">
        <v>45685</v>
      </c>
      <c r="B659" s="25" t="s">
        <v>16</v>
      </c>
      <c r="C659" s="4">
        <v>19883</v>
      </c>
      <c r="D659" s="5">
        <v>20925</v>
      </c>
      <c r="E659" s="4">
        <v>15677</v>
      </c>
      <c r="F659" s="4">
        <v>14051</v>
      </c>
      <c r="G659" s="4">
        <f t="shared" si="61"/>
        <v>17634</v>
      </c>
      <c r="H659" s="7">
        <f t="shared" si="60"/>
        <v>4.4085000000000001</v>
      </c>
      <c r="I659" s="9">
        <f t="shared" si="65"/>
        <v>1</v>
      </c>
      <c r="J659" s="9">
        <f t="shared" si="62"/>
        <v>5.4085000000000001</v>
      </c>
      <c r="K659" s="10">
        <f t="shared" si="63"/>
        <v>6</v>
      </c>
      <c r="O659" s="36">
        <f>'DHS25'!C658</f>
        <v>14870</v>
      </c>
      <c r="P659" s="37">
        <f>'DHS25'!D658</f>
        <v>9224</v>
      </c>
      <c r="Q659" s="37">
        <f>'DHS25'!E658</f>
        <v>7996</v>
      </c>
      <c r="R659" s="38">
        <v>145.76</v>
      </c>
      <c r="S659" s="39">
        <f t="shared" si="64"/>
        <v>1165.4969599999999</v>
      </c>
    </row>
    <row r="660" spans="1:19">
      <c r="A660" s="67">
        <v>45685</v>
      </c>
      <c r="B660" s="25" t="s">
        <v>17</v>
      </c>
      <c r="C660" s="4">
        <v>19116</v>
      </c>
      <c r="D660" s="5">
        <v>20906</v>
      </c>
      <c r="E660" s="4">
        <v>15811</v>
      </c>
      <c r="F660" s="4">
        <v>15701</v>
      </c>
      <c r="G660" s="4">
        <f t="shared" si="61"/>
        <v>17883.5</v>
      </c>
      <c r="H660" s="7">
        <f t="shared" si="60"/>
        <v>4.4708750000000004</v>
      </c>
      <c r="I660" s="9">
        <f t="shared" si="65"/>
        <v>1</v>
      </c>
      <c r="J660" s="9">
        <f t="shared" si="62"/>
        <v>5.4708750000000004</v>
      </c>
      <c r="K660" s="10">
        <f t="shared" si="63"/>
        <v>6</v>
      </c>
      <c r="O660" s="36">
        <f>'DHS25'!C659</f>
        <v>14526</v>
      </c>
      <c r="P660" s="37">
        <f>'DHS25'!D659</f>
        <v>9396</v>
      </c>
      <c r="Q660" s="37">
        <f>'DHS25'!E659</f>
        <v>8058</v>
      </c>
      <c r="R660" s="38">
        <v>130.32</v>
      </c>
      <c r="S660" s="39">
        <f t="shared" si="64"/>
        <v>1050.1185599999999</v>
      </c>
    </row>
    <row r="661" spans="1:19">
      <c r="A661" s="67">
        <v>45685</v>
      </c>
      <c r="B661" s="25" t="s">
        <v>18</v>
      </c>
      <c r="C661" s="4">
        <v>19170</v>
      </c>
      <c r="D661" s="5">
        <v>17302</v>
      </c>
      <c r="E661" s="4">
        <v>15488</v>
      </c>
      <c r="F661" s="4">
        <v>15178</v>
      </c>
      <c r="G661" s="4">
        <f t="shared" si="61"/>
        <v>16784.5</v>
      </c>
      <c r="H661" s="7">
        <f t="shared" si="60"/>
        <v>4.1961250000000003</v>
      </c>
      <c r="I661" s="9">
        <f t="shared" si="65"/>
        <v>1</v>
      </c>
      <c r="J661" s="9">
        <f t="shared" si="62"/>
        <v>5.1961250000000003</v>
      </c>
      <c r="K661" s="10">
        <f t="shared" si="63"/>
        <v>6</v>
      </c>
      <c r="O661" s="36">
        <f>'DHS25'!C660</f>
        <v>12626</v>
      </c>
      <c r="P661" s="37">
        <f>'DHS25'!D660</f>
        <v>10904</v>
      </c>
      <c r="Q661" s="37">
        <f>'DHS25'!E660</f>
        <v>8057</v>
      </c>
      <c r="R661" s="38">
        <v>126.92</v>
      </c>
      <c r="S661" s="39">
        <f t="shared" si="64"/>
        <v>1022.5944400000001</v>
      </c>
    </row>
    <row r="662" spans="1:19">
      <c r="A662" s="67">
        <v>45685</v>
      </c>
      <c r="B662" s="25" t="s">
        <v>19</v>
      </c>
      <c r="C662" s="4">
        <v>19343</v>
      </c>
      <c r="D662" s="5">
        <v>15733</v>
      </c>
      <c r="E662" s="4">
        <v>15852</v>
      </c>
      <c r="F662" s="4">
        <v>14739</v>
      </c>
      <c r="G662" s="4">
        <f t="shared" si="61"/>
        <v>16416.75</v>
      </c>
      <c r="H662" s="7">
        <f t="shared" si="60"/>
        <v>4.1041875000000001</v>
      </c>
      <c r="I662" s="9">
        <f t="shared" si="65"/>
        <v>1</v>
      </c>
      <c r="J662" s="9">
        <f t="shared" si="62"/>
        <v>5.1041875000000001</v>
      </c>
      <c r="K662" s="10">
        <f t="shared" si="63"/>
        <v>6</v>
      </c>
      <c r="O662" s="36">
        <f>'DHS25'!C661</f>
        <v>11064</v>
      </c>
      <c r="P662" s="37">
        <f>'DHS25'!D661</f>
        <v>12857</v>
      </c>
      <c r="Q662" s="37">
        <f>'DHS25'!E661</f>
        <v>8057</v>
      </c>
      <c r="R662" s="38">
        <v>122.11</v>
      </c>
      <c r="S662" s="39">
        <f t="shared" si="64"/>
        <v>983.84027000000003</v>
      </c>
    </row>
    <row r="663" spans="1:19">
      <c r="A663" s="67">
        <v>45685</v>
      </c>
      <c r="B663" s="25" t="s">
        <v>20</v>
      </c>
      <c r="C663" s="4">
        <v>18638</v>
      </c>
      <c r="D663" s="5">
        <v>15095</v>
      </c>
      <c r="E663" s="4">
        <v>15737</v>
      </c>
      <c r="F663" s="4">
        <v>14215</v>
      </c>
      <c r="G663" s="4">
        <f t="shared" si="61"/>
        <v>15921.25</v>
      </c>
      <c r="H663" s="7">
        <f t="shared" si="60"/>
        <v>3.9803125000000001</v>
      </c>
      <c r="I663" s="9">
        <f t="shared" si="65"/>
        <v>1</v>
      </c>
      <c r="J663" s="9">
        <f t="shared" si="62"/>
        <v>4.9803125000000001</v>
      </c>
      <c r="K663" s="10">
        <f t="shared" si="63"/>
        <v>5</v>
      </c>
      <c r="O663" s="36">
        <f>'DHS25'!C662</f>
        <v>11504</v>
      </c>
      <c r="P663" s="37">
        <f>'DHS25'!D662</f>
        <v>13124</v>
      </c>
      <c r="Q663" s="37">
        <f>'DHS25'!E662</f>
        <v>8057</v>
      </c>
      <c r="R663" s="38">
        <v>119.53</v>
      </c>
      <c r="S663" s="39">
        <f t="shared" si="64"/>
        <v>963.05321000000004</v>
      </c>
    </row>
    <row r="664" spans="1:19">
      <c r="A664" s="67">
        <v>45685</v>
      </c>
      <c r="B664" s="25" t="s">
        <v>21</v>
      </c>
      <c r="C664" s="4">
        <v>18725</v>
      </c>
      <c r="D664" s="5">
        <v>15383</v>
      </c>
      <c r="E664" s="4">
        <v>15500</v>
      </c>
      <c r="F664" s="4">
        <v>13990</v>
      </c>
      <c r="G664" s="4">
        <f t="shared" si="61"/>
        <v>15899.5</v>
      </c>
      <c r="H664" s="7">
        <f t="shared" si="60"/>
        <v>3.9748749999999999</v>
      </c>
      <c r="I664" s="9">
        <f t="shared" si="65"/>
        <v>1</v>
      </c>
      <c r="J664" s="9">
        <f t="shared" si="62"/>
        <v>4.9748749999999999</v>
      </c>
      <c r="K664" s="10">
        <f t="shared" si="63"/>
        <v>5</v>
      </c>
      <c r="O664" s="36">
        <f>'DHS25'!C663</f>
        <v>11361</v>
      </c>
      <c r="P664" s="37">
        <f>'DHS25'!D663</f>
        <v>12746</v>
      </c>
      <c r="Q664" s="37">
        <f>'DHS25'!E663</f>
        <v>8064</v>
      </c>
      <c r="R664" s="38">
        <v>123.37</v>
      </c>
      <c r="S664" s="39">
        <f t="shared" si="64"/>
        <v>994.85568000000001</v>
      </c>
    </row>
    <row r="665" spans="1:19">
      <c r="A665" s="67">
        <v>45685</v>
      </c>
      <c r="B665" s="25" t="s">
        <v>22</v>
      </c>
      <c r="C665" s="4">
        <v>17336</v>
      </c>
      <c r="D665" s="5">
        <v>16491</v>
      </c>
      <c r="E665" s="4">
        <v>15753</v>
      </c>
      <c r="F665" s="4">
        <v>12688</v>
      </c>
      <c r="G665" s="4">
        <f t="shared" si="61"/>
        <v>15567</v>
      </c>
      <c r="H665" s="7">
        <f t="shared" si="60"/>
        <v>3.89175</v>
      </c>
      <c r="I665" s="9">
        <f t="shared" si="65"/>
        <v>1</v>
      </c>
      <c r="J665" s="9">
        <f t="shared" si="62"/>
        <v>4.89175</v>
      </c>
      <c r="K665" s="10">
        <f t="shared" si="63"/>
        <v>5</v>
      </c>
      <c r="O665" s="36">
        <f>'DHS25'!C664</f>
        <v>11128</v>
      </c>
      <c r="P665" s="37">
        <f>'DHS25'!D664</f>
        <v>12866</v>
      </c>
      <c r="Q665" s="37">
        <f>'DHS25'!E664</f>
        <v>8060</v>
      </c>
      <c r="R665" s="38">
        <v>127.64</v>
      </c>
      <c r="S665" s="39">
        <f t="shared" si="64"/>
        <v>1028.7784000000001</v>
      </c>
    </row>
    <row r="666" spans="1:19">
      <c r="A666" s="67">
        <v>45685</v>
      </c>
      <c r="B666" s="25" t="s">
        <v>23</v>
      </c>
      <c r="C666" s="4">
        <v>15788</v>
      </c>
      <c r="D666" s="5">
        <v>15831</v>
      </c>
      <c r="E666" s="4">
        <v>15868</v>
      </c>
      <c r="F666" s="4">
        <v>13335</v>
      </c>
      <c r="G666" s="4">
        <f t="shared" si="61"/>
        <v>15205.5</v>
      </c>
      <c r="H666" s="7">
        <f t="shared" si="60"/>
        <v>3.8013750000000002</v>
      </c>
      <c r="I666" s="9">
        <f t="shared" si="65"/>
        <v>1</v>
      </c>
      <c r="J666" s="9">
        <f t="shared" si="62"/>
        <v>4.8013750000000002</v>
      </c>
      <c r="K666" s="10">
        <f t="shared" si="63"/>
        <v>5</v>
      </c>
      <c r="O666" s="36">
        <f>'DHS25'!C665</f>
        <v>10636</v>
      </c>
      <c r="P666" s="37">
        <f>'DHS25'!D665</f>
        <v>13349</v>
      </c>
      <c r="Q666" s="37">
        <f>'DHS25'!E665</f>
        <v>8047</v>
      </c>
      <c r="R666" s="38">
        <v>132.49</v>
      </c>
      <c r="S666" s="39">
        <f t="shared" si="64"/>
        <v>1066.1470300000001</v>
      </c>
    </row>
    <row r="667" spans="1:19">
      <c r="A667" s="67">
        <v>45685</v>
      </c>
      <c r="B667" s="25" t="s">
        <v>24</v>
      </c>
      <c r="C667" s="4">
        <v>17977</v>
      </c>
      <c r="D667" s="5">
        <v>17154</v>
      </c>
      <c r="E667" s="4">
        <v>15860</v>
      </c>
      <c r="F667" s="4">
        <v>14353</v>
      </c>
      <c r="G667" s="4">
        <f t="shared" si="61"/>
        <v>16336</v>
      </c>
      <c r="H667" s="7">
        <f t="shared" si="60"/>
        <v>4.0839999999999996</v>
      </c>
      <c r="I667" s="9">
        <f t="shared" si="65"/>
        <v>1</v>
      </c>
      <c r="J667" s="9">
        <f t="shared" si="62"/>
        <v>5.0839999999999996</v>
      </c>
      <c r="K667" s="10">
        <f t="shared" si="63"/>
        <v>6</v>
      </c>
      <c r="O667" s="36">
        <f>'DHS25'!C666</f>
        <v>11767</v>
      </c>
      <c r="P667" s="37">
        <f>'DHS25'!D666</f>
        <v>12346</v>
      </c>
      <c r="Q667" s="37">
        <f>'DHS25'!E666</f>
        <v>8062</v>
      </c>
      <c r="R667" s="38">
        <v>145.28</v>
      </c>
      <c r="S667" s="39">
        <f t="shared" si="64"/>
        <v>1171.2473599999998</v>
      </c>
    </row>
    <row r="668" spans="1:19">
      <c r="A668" s="67">
        <v>45685</v>
      </c>
      <c r="B668" s="25" t="s">
        <v>25</v>
      </c>
      <c r="C668" s="4">
        <v>17710</v>
      </c>
      <c r="D668" s="5">
        <v>17549</v>
      </c>
      <c r="E668" s="4">
        <v>15716</v>
      </c>
      <c r="F668" s="4">
        <v>13806</v>
      </c>
      <c r="G668" s="4">
        <f t="shared" si="61"/>
        <v>16195.25</v>
      </c>
      <c r="H668" s="7">
        <f t="shared" si="60"/>
        <v>4.0488125000000004</v>
      </c>
      <c r="I668" s="9">
        <f t="shared" si="65"/>
        <v>1</v>
      </c>
      <c r="J668" s="9">
        <f t="shared" si="62"/>
        <v>5.0488125000000004</v>
      </c>
      <c r="K668" s="10">
        <f t="shared" si="63"/>
        <v>6</v>
      </c>
      <c r="O668" s="36">
        <f>'DHS25'!C667</f>
        <v>12857</v>
      </c>
      <c r="P668" s="37">
        <f>'DHS25'!D667</f>
        <v>11437</v>
      </c>
      <c r="Q668" s="37">
        <f>'DHS25'!E667</f>
        <v>8066</v>
      </c>
      <c r="R668" s="38">
        <v>150.91</v>
      </c>
      <c r="S668" s="39">
        <f t="shared" si="64"/>
        <v>1217.2400600000001</v>
      </c>
    </row>
    <row r="669" spans="1:19">
      <c r="A669" s="67">
        <v>45685</v>
      </c>
      <c r="B669" s="25" t="s">
        <v>26</v>
      </c>
      <c r="C669" s="4">
        <v>18477</v>
      </c>
      <c r="D669" s="5">
        <v>17012</v>
      </c>
      <c r="E669" s="4">
        <v>18310</v>
      </c>
      <c r="F669" s="4">
        <v>14519</v>
      </c>
      <c r="G669" s="4">
        <f t="shared" si="61"/>
        <v>17079.5</v>
      </c>
      <c r="H669" s="7">
        <f t="shared" si="60"/>
        <v>4.2698749999999999</v>
      </c>
      <c r="I669" s="9">
        <f t="shared" si="65"/>
        <v>1</v>
      </c>
      <c r="J669" s="9">
        <f t="shared" si="62"/>
        <v>5.2698749999999999</v>
      </c>
      <c r="K669" s="10">
        <f t="shared" si="63"/>
        <v>6</v>
      </c>
      <c r="O669" s="36">
        <f>'DHS25'!C668</f>
        <v>12217</v>
      </c>
      <c r="P669" s="37">
        <f>'DHS25'!D668</f>
        <v>12038</v>
      </c>
      <c r="Q669" s="37">
        <f>'DHS25'!E668</f>
        <v>8051</v>
      </c>
      <c r="R669" s="38">
        <v>144.19</v>
      </c>
      <c r="S669" s="39">
        <f t="shared" si="64"/>
        <v>1160.8736899999999</v>
      </c>
    </row>
    <row r="670" spans="1:19">
      <c r="A670" s="67">
        <v>45685</v>
      </c>
      <c r="B670" s="25" t="s">
        <v>27</v>
      </c>
      <c r="C670" s="4">
        <v>18409</v>
      </c>
      <c r="D670" s="5">
        <v>17597</v>
      </c>
      <c r="E670" s="4">
        <v>18303</v>
      </c>
      <c r="F670" s="4">
        <v>16015</v>
      </c>
      <c r="G670" s="4">
        <f t="shared" si="61"/>
        <v>17581</v>
      </c>
      <c r="H670" s="7">
        <f t="shared" si="60"/>
        <v>4.3952499999999999</v>
      </c>
      <c r="I670" s="9">
        <f t="shared" si="65"/>
        <v>1</v>
      </c>
      <c r="J670" s="9">
        <f t="shared" si="62"/>
        <v>5.3952499999999999</v>
      </c>
      <c r="K670" s="10">
        <f t="shared" si="63"/>
        <v>6</v>
      </c>
      <c r="O670" s="36">
        <f>'DHS25'!C669</f>
        <v>12327</v>
      </c>
      <c r="P670" s="37">
        <f>'DHS25'!D669</f>
        <v>11837</v>
      </c>
      <c r="Q670" s="37">
        <f>'DHS25'!E669</f>
        <v>8048</v>
      </c>
      <c r="R670" s="38">
        <v>136.5</v>
      </c>
      <c r="S670" s="39">
        <f t="shared" si="64"/>
        <v>1098.5519999999999</v>
      </c>
    </row>
    <row r="671" spans="1:19">
      <c r="A671" s="67">
        <v>45685</v>
      </c>
      <c r="B671" s="25" t="s">
        <v>28</v>
      </c>
      <c r="C671" s="4">
        <v>18297</v>
      </c>
      <c r="D671" s="5">
        <v>17968</v>
      </c>
      <c r="E671" s="4">
        <v>13846</v>
      </c>
      <c r="F671" s="4">
        <v>15279</v>
      </c>
      <c r="G671" s="4">
        <f t="shared" si="61"/>
        <v>16347.5</v>
      </c>
      <c r="H671" s="7">
        <f t="shared" si="60"/>
        <v>4.086875</v>
      </c>
      <c r="I671" s="9">
        <f t="shared" si="65"/>
        <v>1</v>
      </c>
      <c r="J671" s="9">
        <f t="shared" si="62"/>
        <v>5.086875</v>
      </c>
      <c r="K671" s="10">
        <f t="shared" si="63"/>
        <v>6</v>
      </c>
      <c r="O671" s="36">
        <f>'DHS25'!C670</f>
        <v>12596</v>
      </c>
      <c r="P671" s="37">
        <f>'DHS25'!D670</f>
        <v>11400</v>
      </c>
      <c r="Q671" s="37">
        <f>'DHS25'!E670</f>
        <v>8058</v>
      </c>
      <c r="R671" s="38">
        <v>133.30000000000001</v>
      </c>
      <c r="S671" s="39">
        <f t="shared" si="64"/>
        <v>1074.1314</v>
      </c>
    </row>
    <row r="672" spans="1:19">
      <c r="A672" s="67">
        <v>45685</v>
      </c>
      <c r="B672" s="25" t="s">
        <v>29</v>
      </c>
      <c r="C672" s="4">
        <v>18869</v>
      </c>
      <c r="D672" s="5">
        <v>17697</v>
      </c>
      <c r="E672" s="4">
        <v>14984</v>
      </c>
      <c r="F672" s="4">
        <v>14826</v>
      </c>
      <c r="G672" s="4">
        <f t="shared" si="61"/>
        <v>16594</v>
      </c>
      <c r="H672" s="7">
        <f t="shared" si="60"/>
        <v>4.1485000000000003</v>
      </c>
      <c r="I672" s="9">
        <f t="shared" si="65"/>
        <v>1</v>
      </c>
      <c r="J672" s="9">
        <f t="shared" si="62"/>
        <v>5.1485000000000003</v>
      </c>
      <c r="K672" s="10">
        <f t="shared" si="63"/>
        <v>6</v>
      </c>
      <c r="O672" s="36">
        <f>'DHS25'!C671</f>
        <v>11492</v>
      </c>
      <c r="P672" s="37">
        <f>'DHS25'!D671</f>
        <v>8376</v>
      </c>
      <c r="Q672" s="37">
        <f>'DHS25'!E671</f>
        <v>6713</v>
      </c>
      <c r="R672" s="38">
        <v>126.59</v>
      </c>
      <c r="S672" s="39">
        <f t="shared" si="64"/>
        <v>849.79867000000002</v>
      </c>
    </row>
    <row r="673" spans="1:19">
      <c r="A673" s="67">
        <v>45685</v>
      </c>
      <c r="B673" s="25" t="s">
        <v>30</v>
      </c>
      <c r="C673" s="4">
        <v>16114</v>
      </c>
      <c r="D673" s="5">
        <v>17055</v>
      </c>
      <c r="E673" s="4">
        <v>15791</v>
      </c>
      <c r="F673" s="4">
        <v>11857</v>
      </c>
      <c r="G673" s="4">
        <f t="shared" si="61"/>
        <v>15204.25</v>
      </c>
      <c r="H673" s="7">
        <f t="shared" si="60"/>
        <v>3.8010625</v>
      </c>
      <c r="I673" s="9">
        <f t="shared" si="65"/>
        <v>1</v>
      </c>
      <c r="J673" s="9">
        <f t="shared" si="62"/>
        <v>4.8010625000000005</v>
      </c>
      <c r="K673" s="10">
        <f t="shared" si="63"/>
        <v>5</v>
      </c>
      <c r="O673" s="36">
        <f>'DHS25'!C672</f>
        <v>9728</v>
      </c>
      <c r="P673" s="37">
        <f>'DHS25'!D672</f>
        <v>7646</v>
      </c>
      <c r="Q673" s="37">
        <f>'DHS25'!E672</f>
        <v>5249</v>
      </c>
      <c r="R673" s="38">
        <v>114.36</v>
      </c>
      <c r="S673" s="39">
        <f t="shared" si="64"/>
        <v>600.27563999999995</v>
      </c>
    </row>
    <row r="674" spans="1:19">
      <c r="A674" s="67">
        <v>45685</v>
      </c>
      <c r="B674" s="25" t="s">
        <v>31</v>
      </c>
      <c r="C674" s="4">
        <v>7386</v>
      </c>
      <c r="D674" s="5">
        <v>9841</v>
      </c>
      <c r="E674" s="4">
        <v>6848</v>
      </c>
      <c r="F674" s="4">
        <v>7277</v>
      </c>
      <c r="G674" s="4">
        <f t="shared" si="61"/>
        <v>7838</v>
      </c>
      <c r="H674" s="7">
        <f t="shared" si="60"/>
        <v>1.9595</v>
      </c>
      <c r="I674" s="9">
        <f t="shared" si="65"/>
        <v>1</v>
      </c>
      <c r="J674" s="9">
        <f t="shared" si="62"/>
        <v>2.9595000000000002</v>
      </c>
      <c r="K674" s="10">
        <f t="shared" si="63"/>
        <v>3</v>
      </c>
      <c r="O674" s="36">
        <f>'DHS25'!C673</f>
        <v>4354</v>
      </c>
      <c r="P674" s="37">
        <f>'DHS25'!D673</f>
        <v>9913</v>
      </c>
      <c r="Q674" s="37">
        <f>'DHS25'!E673</f>
        <v>3945</v>
      </c>
      <c r="R674" s="38">
        <v>93.97</v>
      </c>
      <c r="S674" s="39">
        <f t="shared" si="64"/>
        <v>370.71164999999996</v>
      </c>
    </row>
    <row r="675" spans="1:19">
      <c r="A675" s="66">
        <v>45686</v>
      </c>
      <c r="B675" s="24" t="s">
        <v>8</v>
      </c>
      <c r="C675" s="4">
        <v>8000</v>
      </c>
      <c r="D675" s="5">
        <v>8123</v>
      </c>
      <c r="E675" s="4">
        <v>6901</v>
      </c>
      <c r="F675" s="4">
        <v>6724</v>
      </c>
      <c r="G675" s="4">
        <f t="shared" si="61"/>
        <v>7437</v>
      </c>
      <c r="H675" s="7">
        <f t="shared" si="60"/>
        <v>1.8592500000000001</v>
      </c>
      <c r="I675" s="9">
        <f t="shared" si="65"/>
        <v>1</v>
      </c>
      <c r="J675" s="9">
        <f t="shared" si="62"/>
        <v>2.8592500000000003</v>
      </c>
      <c r="K675" s="10">
        <f t="shared" si="63"/>
        <v>3</v>
      </c>
      <c r="O675" s="36">
        <f>'DHS25'!C674</f>
        <v>2268</v>
      </c>
      <c r="P675" s="37">
        <f>'DHS25'!D674</f>
        <v>8859</v>
      </c>
      <c r="Q675" s="37">
        <f>'DHS25'!E674</f>
        <v>3061</v>
      </c>
      <c r="R675" s="38">
        <v>91.73</v>
      </c>
      <c r="S675" s="39">
        <f t="shared" si="64"/>
        <v>280.78552999999999</v>
      </c>
    </row>
    <row r="676" spans="1:19">
      <c r="A676" s="66">
        <v>45686</v>
      </c>
      <c r="B676" s="24" t="s">
        <v>9</v>
      </c>
      <c r="C676" s="4">
        <v>9124</v>
      </c>
      <c r="D676" s="5">
        <v>9603</v>
      </c>
      <c r="E676" s="4">
        <v>10967</v>
      </c>
      <c r="F676" s="4">
        <v>8117</v>
      </c>
      <c r="G676" s="4">
        <f t="shared" si="61"/>
        <v>9452.75</v>
      </c>
      <c r="H676" s="7">
        <f t="shared" si="60"/>
        <v>2.3631875</v>
      </c>
      <c r="I676" s="9">
        <f t="shared" si="65"/>
        <v>1</v>
      </c>
      <c r="J676" s="9">
        <f t="shared" si="62"/>
        <v>3.3631875</v>
      </c>
      <c r="K676" s="10">
        <f t="shared" si="63"/>
        <v>4</v>
      </c>
      <c r="O676" s="36">
        <f>'DHS25'!C675</f>
        <v>2785</v>
      </c>
      <c r="P676" s="37">
        <f>'DHS25'!D675</f>
        <v>11172</v>
      </c>
      <c r="Q676" s="37">
        <f>'DHS25'!E675</f>
        <v>3976</v>
      </c>
      <c r="R676" s="38">
        <v>87.03</v>
      </c>
      <c r="S676" s="39">
        <f t="shared" si="64"/>
        <v>346.03127999999998</v>
      </c>
    </row>
    <row r="677" spans="1:19">
      <c r="A677" s="66">
        <v>45686</v>
      </c>
      <c r="B677" s="24" t="s">
        <v>10</v>
      </c>
      <c r="C677" s="4">
        <v>10466</v>
      </c>
      <c r="D677" s="5">
        <v>11351</v>
      </c>
      <c r="E677" s="4">
        <v>12661</v>
      </c>
      <c r="F677" s="4">
        <v>9577</v>
      </c>
      <c r="G677" s="4">
        <f t="shared" si="61"/>
        <v>11013.75</v>
      </c>
      <c r="H677" s="7">
        <f t="shared" si="60"/>
        <v>2.7534375</v>
      </c>
      <c r="I677" s="9">
        <f t="shared" si="65"/>
        <v>1</v>
      </c>
      <c r="J677" s="9">
        <f t="shared" si="62"/>
        <v>3.7534375</v>
      </c>
      <c r="K677" s="10">
        <f t="shared" si="63"/>
        <v>4</v>
      </c>
      <c r="O677" s="36">
        <f>'DHS25'!C676</f>
        <v>2615</v>
      </c>
      <c r="P677" s="37">
        <f>'DHS25'!D676</f>
        <v>10890</v>
      </c>
      <c r="Q677" s="37">
        <f>'DHS25'!E676</f>
        <v>4010</v>
      </c>
      <c r="R677" s="38">
        <v>82.03</v>
      </c>
      <c r="S677" s="39">
        <f t="shared" si="64"/>
        <v>328.94029999999998</v>
      </c>
    </row>
    <row r="678" spans="1:19">
      <c r="A678" s="66">
        <v>45686</v>
      </c>
      <c r="B678" s="24" t="s">
        <v>11</v>
      </c>
      <c r="C678" s="4">
        <v>12741</v>
      </c>
      <c r="D678" s="5">
        <v>11767</v>
      </c>
      <c r="E678" s="4">
        <v>11903</v>
      </c>
      <c r="F678" s="4">
        <v>11791</v>
      </c>
      <c r="G678" s="4">
        <f t="shared" si="61"/>
        <v>12050.5</v>
      </c>
      <c r="H678" s="7">
        <f t="shared" si="60"/>
        <v>3.0126249999999999</v>
      </c>
      <c r="I678" s="9">
        <f t="shared" si="65"/>
        <v>1</v>
      </c>
      <c r="J678" s="9">
        <f t="shared" si="62"/>
        <v>4.0126249999999999</v>
      </c>
      <c r="K678" s="10">
        <f t="shared" si="63"/>
        <v>5</v>
      </c>
      <c r="O678" s="36">
        <f>'DHS25'!C677</f>
        <v>3292</v>
      </c>
      <c r="P678" s="37">
        <f>'DHS25'!D677</f>
        <v>14262</v>
      </c>
      <c r="Q678" s="37">
        <f>'DHS25'!E677</f>
        <v>5059</v>
      </c>
      <c r="R678" s="38">
        <v>81.650000000000006</v>
      </c>
      <c r="S678" s="39">
        <f t="shared" si="64"/>
        <v>413.06735000000003</v>
      </c>
    </row>
    <row r="679" spans="1:19">
      <c r="A679" s="66">
        <v>45686</v>
      </c>
      <c r="B679" s="24" t="s">
        <v>12</v>
      </c>
      <c r="C679" s="4">
        <v>22791</v>
      </c>
      <c r="D679" s="5">
        <v>21283</v>
      </c>
      <c r="E679" s="4">
        <v>12898</v>
      </c>
      <c r="F679" s="4">
        <v>13692</v>
      </c>
      <c r="G679" s="4">
        <f t="shared" si="61"/>
        <v>17666</v>
      </c>
      <c r="H679" s="7">
        <f t="shared" si="60"/>
        <v>4.4165000000000001</v>
      </c>
      <c r="I679" s="9">
        <f t="shared" si="65"/>
        <v>1</v>
      </c>
      <c r="J679" s="9">
        <f t="shared" si="62"/>
        <v>5.4165000000000001</v>
      </c>
      <c r="K679" s="10">
        <f t="shared" si="63"/>
        <v>6</v>
      </c>
      <c r="O679" s="36">
        <f>'DHS25'!C678</f>
        <v>9983</v>
      </c>
      <c r="P679" s="37">
        <f>'DHS25'!D678</f>
        <v>9250</v>
      </c>
      <c r="Q679" s="37">
        <f>'DHS25'!E678</f>
        <v>6054</v>
      </c>
      <c r="R679" s="38">
        <v>87.03</v>
      </c>
      <c r="S679" s="39">
        <f t="shared" si="64"/>
        <v>526.87962000000005</v>
      </c>
    </row>
    <row r="680" spans="1:19">
      <c r="A680" s="66">
        <v>45686</v>
      </c>
      <c r="B680" s="24" t="s">
        <v>13</v>
      </c>
      <c r="C680" s="4">
        <v>22021</v>
      </c>
      <c r="D680" s="5">
        <v>19597</v>
      </c>
      <c r="E680" s="4">
        <v>16488</v>
      </c>
      <c r="F680" s="4">
        <v>17367</v>
      </c>
      <c r="G680" s="4">
        <f t="shared" si="61"/>
        <v>18868.25</v>
      </c>
      <c r="H680" s="7">
        <f t="shared" si="60"/>
        <v>4.7170624999999999</v>
      </c>
      <c r="I680" s="9">
        <f t="shared" si="65"/>
        <v>1</v>
      </c>
      <c r="J680" s="9">
        <f t="shared" si="62"/>
        <v>5.7170624999999999</v>
      </c>
      <c r="K680" s="10">
        <f t="shared" si="63"/>
        <v>6</v>
      </c>
      <c r="O680" s="36">
        <f>'DHS25'!C679</f>
        <v>18684</v>
      </c>
      <c r="P680" s="37">
        <f>'DHS25'!D679</f>
        <v>611</v>
      </c>
      <c r="Q680" s="37">
        <f>'DHS25'!E679</f>
        <v>6073</v>
      </c>
      <c r="R680" s="38">
        <v>115.03</v>
      </c>
      <c r="S680" s="39">
        <f t="shared" si="64"/>
        <v>698.57719000000009</v>
      </c>
    </row>
    <row r="681" spans="1:19">
      <c r="A681" s="66">
        <v>45686</v>
      </c>
      <c r="B681" s="24" t="s">
        <v>14</v>
      </c>
      <c r="C681" s="4">
        <v>21889</v>
      </c>
      <c r="D681" s="5">
        <v>19625</v>
      </c>
      <c r="E681" s="4">
        <v>16869</v>
      </c>
      <c r="F681" s="4">
        <v>16999</v>
      </c>
      <c r="G681" s="4">
        <f t="shared" si="61"/>
        <v>18845.5</v>
      </c>
      <c r="H681" s="7">
        <f t="shared" si="60"/>
        <v>4.7113750000000003</v>
      </c>
      <c r="I681" s="9">
        <f t="shared" si="65"/>
        <v>1</v>
      </c>
      <c r="J681" s="9">
        <f t="shared" si="62"/>
        <v>5.7113750000000003</v>
      </c>
      <c r="K681" s="10">
        <f t="shared" si="63"/>
        <v>6</v>
      </c>
      <c r="O681" s="36">
        <f>'DHS25'!C680</f>
        <v>17515</v>
      </c>
      <c r="P681" s="37">
        <f>'DHS25'!D680</f>
        <v>5387</v>
      </c>
      <c r="Q681" s="37">
        <f>'DHS25'!E680</f>
        <v>7641</v>
      </c>
      <c r="R681" s="38">
        <v>145.31</v>
      </c>
      <c r="S681" s="39">
        <f t="shared" si="64"/>
        <v>1110.3137100000001</v>
      </c>
    </row>
    <row r="682" spans="1:19">
      <c r="A682" s="66">
        <v>45686</v>
      </c>
      <c r="B682" s="24" t="s">
        <v>15</v>
      </c>
      <c r="C682" s="4">
        <v>19833</v>
      </c>
      <c r="D682" s="5">
        <v>17157</v>
      </c>
      <c r="E682" s="4">
        <v>14243</v>
      </c>
      <c r="F682" s="4">
        <v>17998</v>
      </c>
      <c r="G682" s="4">
        <f t="shared" si="61"/>
        <v>17307.75</v>
      </c>
      <c r="H682" s="7">
        <f t="shared" si="60"/>
        <v>4.3269374999999997</v>
      </c>
      <c r="I682" s="9">
        <f t="shared" si="65"/>
        <v>1</v>
      </c>
      <c r="J682" s="9">
        <f t="shared" si="62"/>
        <v>5.3269374999999997</v>
      </c>
      <c r="K682" s="10">
        <f t="shared" si="63"/>
        <v>6</v>
      </c>
      <c r="O682" s="36">
        <f>'DHS25'!C681</f>
        <v>14732</v>
      </c>
      <c r="P682" s="37">
        <f>'DHS25'!D681</f>
        <v>9336</v>
      </c>
      <c r="Q682" s="37">
        <f>'DHS25'!E681</f>
        <v>8043</v>
      </c>
      <c r="R682" s="38">
        <v>190.29</v>
      </c>
      <c r="S682" s="39">
        <f t="shared" si="64"/>
        <v>1530.5024699999999</v>
      </c>
    </row>
    <row r="683" spans="1:19">
      <c r="A683" s="66">
        <v>45686</v>
      </c>
      <c r="B683" s="24" t="s">
        <v>16</v>
      </c>
      <c r="C683" s="4">
        <v>20713</v>
      </c>
      <c r="D683" s="5">
        <v>17944</v>
      </c>
      <c r="E683" s="4">
        <v>14315</v>
      </c>
      <c r="F683" s="4">
        <v>18907</v>
      </c>
      <c r="G683" s="4">
        <f t="shared" si="61"/>
        <v>17969.75</v>
      </c>
      <c r="H683" s="7">
        <f t="shared" si="60"/>
        <v>4.4924375000000003</v>
      </c>
      <c r="I683" s="9">
        <f t="shared" si="65"/>
        <v>1</v>
      </c>
      <c r="J683" s="9">
        <f t="shared" si="62"/>
        <v>5.4924375000000003</v>
      </c>
      <c r="K683" s="10">
        <f t="shared" si="63"/>
        <v>6</v>
      </c>
      <c r="O683" s="36">
        <f>'DHS25'!C682</f>
        <v>13560</v>
      </c>
      <c r="P683" s="37">
        <f>'DHS25'!D682</f>
        <v>10136</v>
      </c>
      <c r="Q683" s="37">
        <f>'DHS25'!E682</f>
        <v>8056</v>
      </c>
      <c r="R683" s="38">
        <v>144.81</v>
      </c>
      <c r="S683" s="39">
        <f t="shared" si="64"/>
        <v>1166.5893599999999</v>
      </c>
    </row>
    <row r="684" spans="1:19">
      <c r="A684" s="66">
        <v>45686</v>
      </c>
      <c r="B684" s="24" t="s">
        <v>17</v>
      </c>
      <c r="C684" s="4">
        <v>20156</v>
      </c>
      <c r="D684" s="5">
        <v>19089</v>
      </c>
      <c r="E684" s="4">
        <v>15674</v>
      </c>
      <c r="F684" s="4">
        <v>17642</v>
      </c>
      <c r="G684" s="4">
        <f t="shared" si="61"/>
        <v>18140.25</v>
      </c>
      <c r="H684" s="7">
        <f t="shared" si="60"/>
        <v>4.5350625000000004</v>
      </c>
      <c r="I684" s="9">
        <f t="shared" si="65"/>
        <v>1</v>
      </c>
      <c r="J684" s="9">
        <f t="shared" si="62"/>
        <v>5.5350625000000004</v>
      </c>
      <c r="K684" s="10">
        <f t="shared" si="63"/>
        <v>6</v>
      </c>
      <c r="O684" s="36">
        <f>'DHS25'!C683</f>
        <v>14168</v>
      </c>
      <c r="P684" s="37">
        <f>'DHS25'!D683</f>
        <v>9963</v>
      </c>
      <c r="Q684" s="37">
        <f>'DHS25'!E683</f>
        <v>8073</v>
      </c>
      <c r="R684" s="38">
        <v>134.51</v>
      </c>
      <c r="S684" s="39">
        <f t="shared" si="64"/>
        <v>1085.89923</v>
      </c>
    </row>
    <row r="685" spans="1:19">
      <c r="A685" s="66">
        <v>45686</v>
      </c>
      <c r="B685" s="24" t="s">
        <v>18</v>
      </c>
      <c r="C685" s="4">
        <v>16831</v>
      </c>
      <c r="D685" s="5">
        <v>17002</v>
      </c>
      <c r="E685" s="4">
        <v>15409</v>
      </c>
      <c r="F685" s="4">
        <v>16261</v>
      </c>
      <c r="G685" s="4">
        <f t="shared" si="61"/>
        <v>16375.75</v>
      </c>
      <c r="H685" s="7">
        <f t="shared" si="60"/>
        <v>4.0939375</v>
      </c>
      <c r="I685" s="9">
        <f t="shared" si="65"/>
        <v>1</v>
      </c>
      <c r="J685" s="9">
        <f t="shared" si="62"/>
        <v>5.0939375</v>
      </c>
      <c r="K685" s="10">
        <f t="shared" si="63"/>
        <v>6</v>
      </c>
      <c r="O685" s="36">
        <f>'DHS25'!C684</f>
        <v>13148</v>
      </c>
      <c r="P685" s="37">
        <f>'DHS25'!D684</f>
        <v>8388</v>
      </c>
      <c r="Q685" s="37">
        <f>'DHS25'!E684</f>
        <v>7274</v>
      </c>
      <c r="R685" s="38">
        <v>108.98</v>
      </c>
      <c r="S685" s="39">
        <f t="shared" si="64"/>
        <v>792.72052000000008</v>
      </c>
    </row>
    <row r="686" spans="1:19">
      <c r="A686" s="66">
        <v>45686</v>
      </c>
      <c r="B686" s="24" t="s">
        <v>19</v>
      </c>
      <c r="C686" s="4">
        <v>15890</v>
      </c>
      <c r="D686" s="5">
        <v>16149</v>
      </c>
      <c r="E686" s="4">
        <v>17384</v>
      </c>
      <c r="F686" s="4">
        <v>11180</v>
      </c>
      <c r="G686" s="4">
        <f t="shared" si="61"/>
        <v>15150.75</v>
      </c>
      <c r="H686" s="7">
        <f t="shared" si="60"/>
        <v>3.7876875000000001</v>
      </c>
      <c r="I686" s="9">
        <f t="shared" si="65"/>
        <v>1</v>
      </c>
      <c r="J686" s="9">
        <f t="shared" si="62"/>
        <v>4.7876875000000005</v>
      </c>
      <c r="K686" s="10">
        <f t="shared" si="63"/>
        <v>5</v>
      </c>
      <c r="O686" s="36">
        <f>'DHS25'!C685</f>
        <v>11479</v>
      </c>
      <c r="P686" s="37">
        <f>'DHS25'!D685</f>
        <v>5272</v>
      </c>
      <c r="Q686" s="37">
        <f>'DHS25'!E685</f>
        <v>5411</v>
      </c>
      <c r="R686" s="38">
        <v>92.09</v>
      </c>
      <c r="S686" s="39">
        <f t="shared" si="64"/>
        <v>498.29899</v>
      </c>
    </row>
    <row r="687" spans="1:19">
      <c r="A687" s="66">
        <v>45686</v>
      </c>
      <c r="B687" s="24" t="s">
        <v>20</v>
      </c>
      <c r="C687" s="4">
        <v>16078</v>
      </c>
      <c r="D687" s="5">
        <v>15874</v>
      </c>
      <c r="E687" s="4">
        <v>18242</v>
      </c>
      <c r="F687" s="4">
        <v>15735</v>
      </c>
      <c r="G687" s="4">
        <f t="shared" si="61"/>
        <v>16482.25</v>
      </c>
      <c r="H687" s="7">
        <f t="shared" si="60"/>
        <v>4.1205625000000001</v>
      </c>
      <c r="I687" s="9">
        <f t="shared" si="65"/>
        <v>1</v>
      </c>
      <c r="J687" s="9">
        <f t="shared" si="62"/>
        <v>5.1205625000000001</v>
      </c>
      <c r="K687" s="10">
        <f t="shared" si="63"/>
        <v>6</v>
      </c>
      <c r="O687" s="36">
        <f>'DHS25'!C686</f>
        <v>11529</v>
      </c>
      <c r="P687" s="37">
        <f>'DHS25'!D686</f>
        <v>8585</v>
      </c>
      <c r="Q687" s="37">
        <f>'DHS25'!E686</f>
        <v>6057</v>
      </c>
      <c r="R687" s="38">
        <v>85.79</v>
      </c>
      <c r="S687" s="39">
        <f t="shared" si="64"/>
        <v>519.63003000000003</v>
      </c>
    </row>
    <row r="688" spans="1:19">
      <c r="A688" s="66">
        <v>45686</v>
      </c>
      <c r="B688" s="24" t="s">
        <v>21</v>
      </c>
      <c r="C688" s="4">
        <v>14023</v>
      </c>
      <c r="D688" s="5">
        <v>16293</v>
      </c>
      <c r="E688" s="4">
        <v>18533</v>
      </c>
      <c r="F688" s="4">
        <v>16391</v>
      </c>
      <c r="G688" s="4">
        <f t="shared" si="61"/>
        <v>16310</v>
      </c>
      <c r="H688" s="7">
        <f t="shared" si="60"/>
        <v>4.0774999999999997</v>
      </c>
      <c r="I688" s="9">
        <f t="shared" si="65"/>
        <v>1</v>
      </c>
      <c r="J688" s="9">
        <f t="shared" si="62"/>
        <v>5.0774999999999997</v>
      </c>
      <c r="K688" s="10">
        <f t="shared" si="63"/>
        <v>6</v>
      </c>
      <c r="O688" s="36">
        <f>'DHS25'!C687</f>
        <v>11244</v>
      </c>
      <c r="P688" s="37">
        <f>'DHS25'!D687</f>
        <v>7200</v>
      </c>
      <c r="Q688" s="37">
        <f>'DHS25'!E687</f>
        <v>6057</v>
      </c>
      <c r="R688" s="38">
        <v>86.21</v>
      </c>
      <c r="S688" s="39">
        <f t="shared" si="64"/>
        <v>522.17396999999994</v>
      </c>
    </row>
    <row r="689" spans="1:19">
      <c r="A689" s="66">
        <v>45686</v>
      </c>
      <c r="B689" s="24" t="s">
        <v>22</v>
      </c>
      <c r="C689" s="4">
        <v>15239</v>
      </c>
      <c r="D689" s="5">
        <v>15462</v>
      </c>
      <c r="E689" s="4">
        <v>18553</v>
      </c>
      <c r="F689" s="4">
        <v>12810</v>
      </c>
      <c r="G689" s="4">
        <f t="shared" si="61"/>
        <v>15516</v>
      </c>
      <c r="H689" s="7">
        <f t="shared" si="60"/>
        <v>3.879</v>
      </c>
      <c r="I689" s="9">
        <f t="shared" si="65"/>
        <v>1</v>
      </c>
      <c r="J689" s="9">
        <f t="shared" si="62"/>
        <v>4.8789999999999996</v>
      </c>
      <c r="K689" s="10">
        <f t="shared" si="63"/>
        <v>5</v>
      </c>
      <c r="O689" s="36">
        <f>'DHS25'!C688</f>
        <v>10951</v>
      </c>
      <c r="P689" s="37">
        <f>'DHS25'!D688</f>
        <v>6499</v>
      </c>
      <c r="Q689" s="37">
        <f>'DHS25'!E688</f>
        <v>5610</v>
      </c>
      <c r="R689" s="38">
        <v>96.23</v>
      </c>
      <c r="S689" s="39">
        <f t="shared" si="64"/>
        <v>539.85030000000006</v>
      </c>
    </row>
    <row r="690" spans="1:19">
      <c r="A690" s="66">
        <v>45686</v>
      </c>
      <c r="B690" s="24" t="s">
        <v>23</v>
      </c>
      <c r="C690" s="4">
        <v>15875</v>
      </c>
      <c r="D690" s="5">
        <v>16748</v>
      </c>
      <c r="E690" s="4">
        <v>16062</v>
      </c>
      <c r="F690" s="4">
        <v>11765</v>
      </c>
      <c r="G690" s="4">
        <f t="shared" si="61"/>
        <v>15112.5</v>
      </c>
      <c r="H690" s="7">
        <f t="shared" si="60"/>
        <v>3.7781250000000002</v>
      </c>
      <c r="I690" s="9">
        <f t="shared" si="65"/>
        <v>1</v>
      </c>
      <c r="J690" s="9">
        <f t="shared" si="62"/>
        <v>4.7781250000000002</v>
      </c>
      <c r="K690" s="10">
        <f t="shared" si="63"/>
        <v>5</v>
      </c>
      <c r="O690" s="36">
        <f>'DHS25'!C689</f>
        <v>10913</v>
      </c>
      <c r="P690" s="37">
        <f>'DHS25'!D689</f>
        <v>6214</v>
      </c>
      <c r="Q690" s="37">
        <f>'DHS25'!E689</f>
        <v>5362</v>
      </c>
      <c r="R690" s="38">
        <v>128.13</v>
      </c>
      <c r="S690" s="39">
        <f t="shared" si="64"/>
        <v>687.03305999999998</v>
      </c>
    </row>
    <row r="691" spans="1:19">
      <c r="A691" s="66">
        <v>45686</v>
      </c>
      <c r="B691" s="24" t="s">
        <v>24</v>
      </c>
      <c r="C691" s="4">
        <v>16412</v>
      </c>
      <c r="D691" s="5">
        <v>17381</v>
      </c>
      <c r="E691" s="4">
        <v>16117</v>
      </c>
      <c r="F691" s="4">
        <v>15327</v>
      </c>
      <c r="G691" s="4">
        <f t="shared" si="61"/>
        <v>16309.25</v>
      </c>
      <c r="H691" s="7">
        <f t="shared" si="60"/>
        <v>4.0773124999999997</v>
      </c>
      <c r="I691" s="9">
        <f t="shared" si="65"/>
        <v>1</v>
      </c>
      <c r="J691" s="9">
        <f t="shared" si="62"/>
        <v>5.0773124999999997</v>
      </c>
      <c r="K691" s="10">
        <f t="shared" si="63"/>
        <v>6</v>
      </c>
      <c r="O691" s="36">
        <f>'DHS25'!C690</f>
        <v>11866</v>
      </c>
      <c r="P691" s="37">
        <f>'DHS25'!D690</f>
        <v>10097</v>
      </c>
      <c r="Q691" s="37">
        <f>'DHS25'!E690</f>
        <v>7299</v>
      </c>
      <c r="R691" s="38">
        <v>196.54</v>
      </c>
      <c r="S691" s="39">
        <f t="shared" si="64"/>
        <v>1434.54546</v>
      </c>
    </row>
    <row r="692" spans="1:19">
      <c r="A692" s="66">
        <v>45686</v>
      </c>
      <c r="B692" s="24" t="s">
        <v>25</v>
      </c>
      <c r="C692" s="4">
        <v>16885</v>
      </c>
      <c r="D692" s="5">
        <v>17880</v>
      </c>
      <c r="E692" s="4">
        <v>15957</v>
      </c>
      <c r="F692" s="4">
        <v>14934</v>
      </c>
      <c r="G692" s="4">
        <f t="shared" si="61"/>
        <v>16414</v>
      </c>
      <c r="H692" s="7">
        <f t="shared" si="60"/>
        <v>4.1035000000000004</v>
      </c>
      <c r="I692" s="9">
        <f t="shared" si="65"/>
        <v>1</v>
      </c>
      <c r="J692" s="9">
        <f t="shared" si="62"/>
        <v>5.1035000000000004</v>
      </c>
      <c r="K692" s="10">
        <f t="shared" si="63"/>
        <v>6</v>
      </c>
      <c r="O692" s="36">
        <f>'DHS25'!C691</f>
        <v>13047</v>
      </c>
      <c r="P692" s="37">
        <f>'DHS25'!D691</f>
        <v>11695</v>
      </c>
      <c r="Q692" s="37">
        <f>'DHS25'!E691</f>
        <v>8061</v>
      </c>
      <c r="R692" s="38">
        <v>189.86</v>
      </c>
      <c r="S692" s="39">
        <f t="shared" si="64"/>
        <v>1530.46146</v>
      </c>
    </row>
    <row r="693" spans="1:19">
      <c r="A693" s="66">
        <v>45686</v>
      </c>
      <c r="B693" s="24" t="s">
        <v>26</v>
      </c>
      <c r="C693" s="4">
        <v>17580</v>
      </c>
      <c r="D693" s="5">
        <v>17290</v>
      </c>
      <c r="E693" s="4">
        <v>18675</v>
      </c>
      <c r="F693" s="4">
        <v>16255</v>
      </c>
      <c r="G693" s="4">
        <f t="shared" si="61"/>
        <v>17450</v>
      </c>
      <c r="H693" s="7">
        <f t="shared" si="60"/>
        <v>4.3624999999999998</v>
      </c>
      <c r="I693" s="9">
        <f t="shared" si="65"/>
        <v>1</v>
      </c>
      <c r="J693" s="9">
        <f t="shared" si="62"/>
        <v>5.3624999999999998</v>
      </c>
      <c r="K693" s="10">
        <f t="shared" si="63"/>
        <v>6</v>
      </c>
      <c r="O693" s="36">
        <f>'DHS25'!C692</f>
        <v>14431</v>
      </c>
      <c r="P693" s="37">
        <f>'DHS25'!D692</f>
        <v>10275</v>
      </c>
      <c r="Q693" s="37">
        <f>'DHS25'!E692</f>
        <v>8055</v>
      </c>
      <c r="R693" s="38">
        <v>165.41</v>
      </c>
      <c r="S693" s="39">
        <f t="shared" si="64"/>
        <v>1332.3775499999999</v>
      </c>
    </row>
    <row r="694" spans="1:19">
      <c r="A694" s="66">
        <v>45686</v>
      </c>
      <c r="B694" s="24" t="s">
        <v>27</v>
      </c>
      <c r="C694" s="4">
        <v>18556</v>
      </c>
      <c r="D694" s="5">
        <v>16637</v>
      </c>
      <c r="E694" s="4">
        <v>15787</v>
      </c>
      <c r="F694" s="4">
        <v>16991</v>
      </c>
      <c r="G694" s="4">
        <f t="shared" si="61"/>
        <v>16992.75</v>
      </c>
      <c r="H694" s="7">
        <f t="shared" si="60"/>
        <v>4.2481875000000002</v>
      </c>
      <c r="I694" s="9">
        <f t="shared" si="65"/>
        <v>1</v>
      </c>
      <c r="J694" s="9">
        <f t="shared" si="62"/>
        <v>5.2481875000000002</v>
      </c>
      <c r="K694" s="10">
        <f t="shared" si="63"/>
        <v>6</v>
      </c>
      <c r="O694" s="36">
        <f>'DHS25'!C693</f>
        <v>14044</v>
      </c>
      <c r="P694" s="37">
        <f>'DHS25'!D693</f>
        <v>10391</v>
      </c>
      <c r="Q694" s="37">
        <f>'DHS25'!E693</f>
        <v>8069</v>
      </c>
      <c r="R694" s="38">
        <v>173.48</v>
      </c>
      <c r="S694" s="39">
        <f t="shared" si="64"/>
        <v>1399.8101200000001</v>
      </c>
    </row>
    <row r="695" spans="1:19">
      <c r="A695" s="66">
        <v>45686</v>
      </c>
      <c r="B695" s="24" t="s">
        <v>28</v>
      </c>
      <c r="C695" s="4">
        <v>18084</v>
      </c>
      <c r="D695" s="5">
        <v>17440</v>
      </c>
      <c r="E695" s="4">
        <v>18186</v>
      </c>
      <c r="F695" s="4">
        <v>15706</v>
      </c>
      <c r="G695" s="4">
        <f t="shared" si="61"/>
        <v>17354</v>
      </c>
      <c r="H695" s="7">
        <f t="shared" si="60"/>
        <v>4.3384999999999998</v>
      </c>
      <c r="I695" s="9">
        <f t="shared" si="65"/>
        <v>1</v>
      </c>
      <c r="J695" s="9">
        <f t="shared" si="62"/>
        <v>5.3384999999999998</v>
      </c>
      <c r="K695" s="10">
        <f t="shared" si="63"/>
        <v>6</v>
      </c>
      <c r="O695" s="36">
        <f>'DHS25'!C694</f>
        <v>14293</v>
      </c>
      <c r="P695" s="37">
        <f>'DHS25'!D694</f>
        <v>10187</v>
      </c>
      <c r="Q695" s="37">
        <f>'DHS25'!E694</f>
        <v>8063</v>
      </c>
      <c r="R695" s="38">
        <v>162.6</v>
      </c>
      <c r="S695" s="39">
        <f t="shared" si="64"/>
        <v>1311.0438000000001</v>
      </c>
    </row>
    <row r="696" spans="1:19">
      <c r="A696" s="66">
        <v>45686</v>
      </c>
      <c r="B696" s="24" t="s">
        <v>29</v>
      </c>
      <c r="C696" s="4">
        <v>17645</v>
      </c>
      <c r="D696" s="5">
        <v>16893</v>
      </c>
      <c r="E696" s="4">
        <v>18034</v>
      </c>
      <c r="F696" s="4">
        <v>16427</v>
      </c>
      <c r="G696" s="4">
        <f t="shared" si="61"/>
        <v>17249.75</v>
      </c>
      <c r="H696" s="7">
        <f t="shared" si="60"/>
        <v>4.3124374999999997</v>
      </c>
      <c r="I696" s="9">
        <f t="shared" si="65"/>
        <v>1</v>
      </c>
      <c r="J696" s="9">
        <f t="shared" si="62"/>
        <v>5.3124374999999997</v>
      </c>
      <c r="K696" s="10">
        <f t="shared" si="63"/>
        <v>6</v>
      </c>
      <c r="O696" s="36">
        <f>'DHS25'!C695</f>
        <v>15798</v>
      </c>
      <c r="P696" s="37">
        <f>'DHS25'!D695</f>
        <v>8304</v>
      </c>
      <c r="Q696" s="37">
        <f>'DHS25'!E695</f>
        <v>8072</v>
      </c>
      <c r="R696" s="38">
        <v>152.88999999999999</v>
      </c>
      <c r="S696" s="39">
        <f t="shared" si="64"/>
        <v>1234.1280799999997</v>
      </c>
    </row>
    <row r="697" spans="1:19">
      <c r="A697" s="66">
        <v>45686</v>
      </c>
      <c r="B697" s="24" t="s">
        <v>30</v>
      </c>
      <c r="C697" s="4">
        <v>16017</v>
      </c>
      <c r="D697" s="5">
        <v>16334</v>
      </c>
      <c r="E697" s="4">
        <v>15915</v>
      </c>
      <c r="F697" s="4">
        <v>13548</v>
      </c>
      <c r="G697" s="4">
        <f t="shared" si="61"/>
        <v>15453.5</v>
      </c>
      <c r="H697" s="7">
        <f t="shared" si="60"/>
        <v>3.863375</v>
      </c>
      <c r="I697" s="9">
        <f t="shared" si="65"/>
        <v>1</v>
      </c>
      <c r="J697" s="9">
        <f t="shared" si="62"/>
        <v>4.8633749999999996</v>
      </c>
      <c r="K697" s="10">
        <f t="shared" si="63"/>
        <v>5</v>
      </c>
      <c r="O697" s="36">
        <f>'DHS25'!C696</f>
        <v>14494</v>
      </c>
      <c r="P697" s="37">
        <f>'DHS25'!D696</f>
        <v>5534</v>
      </c>
      <c r="Q697" s="37">
        <f>'DHS25'!E696</f>
        <v>6533</v>
      </c>
      <c r="R697" s="38">
        <v>128.09</v>
      </c>
      <c r="S697" s="39">
        <f t="shared" si="64"/>
        <v>836.81197000000009</v>
      </c>
    </row>
    <row r="698" spans="1:19">
      <c r="A698" s="66">
        <v>45686</v>
      </c>
      <c r="B698" s="24" t="s">
        <v>31</v>
      </c>
      <c r="C698" s="4">
        <v>7505</v>
      </c>
      <c r="D698" s="5">
        <v>8728</v>
      </c>
      <c r="E698" s="4">
        <v>6843</v>
      </c>
      <c r="F698" s="4">
        <v>11894</v>
      </c>
      <c r="G698" s="4">
        <f t="shared" si="61"/>
        <v>8742.5</v>
      </c>
      <c r="H698" s="7">
        <f t="shared" si="60"/>
        <v>2.1856249999999999</v>
      </c>
      <c r="I698" s="9">
        <f t="shared" si="65"/>
        <v>1</v>
      </c>
      <c r="J698" s="9">
        <f t="shared" si="62"/>
        <v>3.1856249999999999</v>
      </c>
      <c r="K698" s="10">
        <f t="shared" si="63"/>
        <v>4</v>
      </c>
      <c r="O698" s="36">
        <f>'DHS25'!C697</f>
        <v>6671</v>
      </c>
      <c r="P698" s="37">
        <f>'DHS25'!D697</f>
        <v>8533</v>
      </c>
      <c r="Q698" s="37">
        <f>'DHS25'!E697</f>
        <v>4474</v>
      </c>
      <c r="R698" s="38">
        <v>106.6</v>
      </c>
      <c r="S698" s="39">
        <f t="shared" si="64"/>
        <v>476.92840000000001</v>
      </c>
    </row>
    <row r="699" spans="1:19">
      <c r="A699" s="67">
        <v>45687</v>
      </c>
      <c r="B699" s="25" t="s">
        <v>8</v>
      </c>
      <c r="C699" s="4">
        <v>8230</v>
      </c>
      <c r="D699" s="5">
        <v>8468</v>
      </c>
      <c r="E699" s="4">
        <v>9220</v>
      </c>
      <c r="F699" s="4">
        <v>13331</v>
      </c>
      <c r="G699" s="4">
        <f t="shared" si="61"/>
        <v>9812.25</v>
      </c>
      <c r="H699" s="7">
        <f t="shared" si="60"/>
        <v>2.4530625000000001</v>
      </c>
      <c r="I699" s="9">
        <f t="shared" si="65"/>
        <v>1</v>
      </c>
      <c r="J699" s="9">
        <f t="shared" si="62"/>
        <v>3.4530625000000001</v>
      </c>
      <c r="K699" s="10">
        <f t="shared" si="63"/>
        <v>4</v>
      </c>
      <c r="O699" s="36">
        <f>'DHS25'!C698</f>
        <v>6458</v>
      </c>
      <c r="P699" s="37">
        <f>'DHS25'!D698</f>
        <v>6490</v>
      </c>
      <c r="Q699" s="37">
        <f>'DHS25'!E698</f>
        <v>4070</v>
      </c>
      <c r="R699" s="38">
        <v>98.65</v>
      </c>
      <c r="S699" s="39">
        <f t="shared" si="64"/>
        <v>401.50550000000004</v>
      </c>
    </row>
    <row r="700" spans="1:19">
      <c r="A700" s="67">
        <v>45687</v>
      </c>
      <c r="B700" s="25" t="s">
        <v>9</v>
      </c>
      <c r="C700" s="4">
        <v>9251</v>
      </c>
      <c r="D700" s="5">
        <v>9776</v>
      </c>
      <c r="E700" s="4">
        <v>10646</v>
      </c>
      <c r="F700" s="4">
        <v>10930</v>
      </c>
      <c r="G700" s="4">
        <f t="shared" si="61"/>
        <v>10150.75</v>
      </c>
      <c r="H700" s="7">
        <f t="shared" si="60"/>
        <v>2.5376875000000001</v>
      </c>
      <c r="I700" s="9">
        <f t="shared" si="65"/>
        <v>1</v>
      </c>
      <c r="J700" s="9">
        <f t="shared" si="62"/>
        <v>3.5376875000000001</v>
      </c>
      <c r="K700" s="10">
        <f t="shared" si="63"/>
        <v>4</v>
      </c>
      <c r="O700" s="36">
        <f>'DHS25'!C699</f>
        <v>8266</v>
      </c>
      <c r="P700" s="37">
        <f>'DHS25'!D699</f>
        <v>5380</v>
      </c>
      <c r="Q700" s="37">
        <f>'DHS25'!E699</f>
        <v>4065</v>
      </c>
      <c r="R700" s="38">
        <v>98.21</v>
      </c>
      <c r="S700" s="39">
        <f t="shared" si="64"/>
        <v>399.22365000000002</v>
      </c>
    </row>
    <row r="701" spans="1:19">
      <c r="A701" s="67">
        <v>45687</v>
      </c>
      <c r="B701" s="25" t="s">
        <v>10</v>
      </c>
      <c r="C701" s="4">
        <v>11023</v>
      </c>
      <c r="D701" s="5">
        <v>11301</v>
      </c>
      <c r="E701" s="4">
        <v>11089</v>
      </c>
      <c r="F701" s="4">
        <v>11466</v>
      </c>
      <c r="G701" s="4">
        <f t="shared" si="61"/>
        <v>11219.75</v>
      </c>
      <c r="H701" s="7">
        <f t="shared" si="60"/>
        <v>2.8049374999999999</v>
      </c>
      <c r="I701" s="9">
        <f t="shared" si="65"/>
        <v>1</v>
      </c>
      <c r="J701" s="9">
        <f t="shared" si="62"/>
        <v>3.8049374999999999</v>
      </c>
      <c r="K701" s="10">
        <f t="shared" si="63"/>
        <v>4</v>
      </c>
      <c r="O701" s="36">
        <f>'DHS25'!C700</f>
        <v>8934</v>
      </c>
      <c r="P701" s="37">
        <f>'DHS25'!D700</f>
        <v>4927</v>
      </c>
      <c r="Q701" s="37">
        <f>'DHS25'!E700</f>
        <v>4037</v>
      </c>
      <c r="R701" s="38">
        <v>96.99</v>
      </c>
      <c r="S701" s="39">
        <f t="shared" si="64"/>
        <v>391.54862999999995</v>
      </c>
    </row>
    <row r="702" spans="1:19">
      <c r="A702" s="67">
        <v>45687</v>
      </c>
      <c r="B702" s="25" t="s">
        <v>11</v>
      </c>
      <c r="C702" s="4">
        <v>12362</v>
      </c>
      <c r="D702" s="5">
        <v>11295</v>
      </c>
      <c r="E702" s="4">
        <v>10054</v>
      </c>
      <c r="F702" s="4">
        <v>14047</v>
      </c>
      <c r="G702" s="4">
        <f t="shared" si="61"/>
        <v>11939.5</v>
      </c>
      <c r="H702" s="7">
        <f t="shared" si="60"/>
        <v>2.9848750000000002</v>
      </c>
      <c r="I702" s="9">
        <f t="shared" si="65"/>
        <v>1</v>
      </c>
      <c r="J702" s="9">
        <f t="shared" si="62"/>
        <v>3.9848750000000002</v>
      </c>
      <c r="K702" s="10">
        <f t="shared" si="63"/>
        <v>4</v>
      </c>
      <c r="O702" s="36">
        <f>'DHS25'!C701</f>
        <v>10186</v>
      </c>
      <c r="P702" s="37">
        <f>'DHS25'!D701</f>
        <v>4165</v>
      </c>
      <c r="Q702" s="37">
        <f>'DHS25'!E701</f>
        <v>4033</v>
      </c>
      <c r="R702" s="38">
        <v>98.68</v>
      </c>
      <c r="S702" s="39">
        <f t="shared" si="64"/>
        <v>397.97644000000008</v>
      </c>
    </row>
    <row r="703" spans="1:19">
      <c r="A703" s="67">
        <v>45687</v>
      </c>
      <c r="B703" s="25" t="s">
        <v>12</v>
      </c>
      <c r="C703" s="4">
        <v>20428</v>
      </c>
      <c r="D703" s="5">
        <v>20947</v>
      </c>
      <c r="E703" s="4">
        <v>13638</v>
      </c>
      <c r="F703" s="4">
        <v>16335</v>
      </c>
      <c r="G703" s="4">
        <f t="shared" si="61"/>
        <v>17837</v>
      </c>
      <c r="H703" s="7">
        <f t="shared" si="60"/>
        <v>4.4592499999999999</v>
      </c>
      <c r="I703" s="9">
        <f t="shared" si="65"/>
        <v>1</v>
      </c>
      <c r="J703" s="9">
        <f t="shared" si="62"/>
        <v>5.4592499999999999</v>
      </c>
      <c r="K703" s="10">
        <f t="shared" si="63"/>
        <v>6</v>
      </c>
      <c r="O703" s="36">
        <f>'DHS25'!C702</f>
        <v>18992</v>
      </c>
      <c r="P703" s="37">
        <f>'DHS25'!D702</f>
        <v>22</v>
      </c>
      <c r="Q703" s="37">
        <f>'DHS25'!E702</f>
        <v>5948</v>
      </c>
      <c r="R703" s="38">
        <v>98.32</v>
      </c>
      <c r="S703" s="39">
        <f t="shared" si="64"/>
        <v>584.80736000000002</v>
      </c>
    </row>
    <row r="704" spans="1:19">
      <c r="A704" s="67">
        <v>45687</v>
      </c>
      <c r="B704" s="25" t="s">
        <v>13</v>
      </c>
      <c r="C704" s="4">
        <v>21339</v>
      </c>
      <c r="D704" s="5">
        <v>18588</v>
      </c>
      <c r="E704" s="4">
        <v>21634</v>
      </c>
      <c r="F704" s="4">
        <v>14378</v>
      </c>
      <c r="G704" s="4">
        <f t="shared" si="61"/>
        <v>18984.75</v>
      </c>
      <c r="H704" s="7">
        <f t="shared" si="60"/>
        <v>4.7461874999999996</v>
      </c>
      <c r="I704" s="9">
        <f t="shared" si="65"/>
        <v>1</v>
      </c>
      <c r="J704" s="9">
        <f t="shared" si="62"/>
        <v>5.7461874999999996</v>
      </c>
      <c r="K704" s="10">
        <f t="shared" si="63"/>
        <v>6</v>
      </c>
      <c r="O704" s="36">
        <f>'DHS25'!C703</f>
        <v>19170</v>
      </c>
      <c r="P704" s="37">
        <f>'DHS25'!D703</f>
        <v>201</v>
      </c>
      <c r="Q704" s="37">
        <f>'DHS25'!E703</f>
        <v>6062</v>
      </c>
      <c r="R704" s="38">
        <v>112.13</v>
      </c>
      <c r="S704" s="39">
        <f t="shared" si="64"/>
        <v>679.73206000000005</v>
      </c>
    </row>
    <row r="705" spans="1:19">
      <c r="A705" s="67">
        <v>45687</v>
      </c>
      <c r="B705" s="25" t="s">
        <v>14</v>
      </c>
      <c r="C705" s="4">
        <v>22115</v>
      </c>
      <c r="D705" s="5">
        <v>19221</v>
      </c>
      <c r="E705" s="4">
        <v>20840</v>
      </c>
      <c r="F705" s="4">
        <v>16287</v>
      </c>
      <c r="G705" s="4">
        <f t="shared" si="61"/>
        <v>19615.75</v>
      </c>
      <c r="H705" s="7">
        <f t="shared" si="60"/>
        <v>4.9039374999999996</v>
      </c>
      <c r="I705" s="9">
        <f t="shared" si="65"/>
        <v>1</v>
      </c>
      <c r="J705" s="9">
        <f t="shared" si="62"/>
        <v>5.9039374999999996</v>
      </c>
      <c r="K705" s="10">
        <f t="shared" si="63"/>
        <v>6</v>
      </c>
      <c r="O705" s="36">
        <f>'DHS25'!C704</f>
        <v>23570</v>
      </c>
      <c r="P705" s="37">
        <f>'DHS25'!D704</f>
        <v>3261</v>
      </c>
      <c r="Q705" s="37">
        <f>'DHS25'!E704</f>
        <v>8037</v>
      </c>
      <c r="R705" s="38">
        <v>144.69</v>
      </c>
      <c r="S705" s="39">
        <f t="shared" si="64"/>
        <v>1162.8735300000001</v>
      </c>
    </row>
    <row r="706" spans="1:19">
      <c r="A706" s="67">
        <v>45687</v>
      </c>
      <c r="B706" s="25" t="s">
        <v>15</v>
      </c>
      <c r="C706" s="4">
        <v>18533</v>
      </c>
      <c r="D706" s="5">
        <v>15932</v>
      </c>
      <c r="E706" s="4">
        <v>18136</v>
      </c>
      <c r="F706" s="4">
        <v>18462</v>
      </c>
      <c r="G706" s="4">
        <f t="shared" si="61"/>
        <v>17765.75</v>
      </c>
      <c r="H706" s="7">
        <f t="shared" si="60"/>
        <v>4.4414375000000001</v>
      </c>
      <c r="I706" s="9">
        <f t="shared" si="65"/>
        <v>1</v>
      </c>
      <c r="J706" s="9">
        <f t="shared" si="62"/>
        <v>5.4414375000000001</v>
      </c>
      <c r="K706" s="10">
        <f t="shared" si="63"/>
        <v>6</v>
      </c>
      <c r="O706" s="36">
        <f>'DHS25'!C705</f>
        <v>17215</v>
      </c>
      <c r="P706" s="37">
        <f>'DHS25'!D705</f>
        <v>7015</v>
      </c>
      <c r="Q706" s="37">
        <f>'DHS25'!E705</f>
        <v>8065</v>
      </c>
      <c r="R706" s="38">
        <v>154.44</v>
      </c>
      <c r="S706" s="39">
        <f t="shared" si="64"/>
        <v>1245.5585999999998</v>
      </c>
    </row>
    <row r="707" spans="1:19">
      <c r="A707" s="67">
        <v>45687</v>
      </c>
      <c r="B707" s="25" t="s">
        <v>16</v>
      </c>
      <c r="C707" s="4">
        <v>19214</v>
      </c>
      <c r="D707" s="5">
        <v>17199</v>
      </c>
      <c r="E707" s="4">
        <v>18400</v>
      </c>
      <c r="F707" s="4">
        <v>17838</v>
      </c>
      <c r="G707" s="4">
        <f t="shared" si="61"/>
        <v>18162.75</v>
      </c>
      <c r="H707" s="7">
        <f t="shared" ref="H707:H746" si="66">G707/$M$2/1000</f>
        <v>4.5406874999999998</v>
      </c>
      <c r="I707" s="9">
        <f t="shared" si="65"/>
        <v>1</v>
      </c>
      <c r="J707" s="9">
        <f t="shared" si="62"/>
        <v>5.5406874999999998</v>
      </c>
      <c r="K707" s="10">
        <f t="shared" si="63"/>
        <v>6</v>
      </c>
      <c r="O707" s="36">
        <f>'DHS25'!C706</f>
        <v>16776</v>
      </c>
      <c r="P707" s="37">
        <f>'DHS25'!D706</f>
        <v>7548</v>
      </c>
      <c r="Q707" s="37">
        <f>'DHS25'!E706</f>
        <v>8048</v>
      </c>
      <c r="R707" s="38">
        <v>160.30000000000001</v>
      </c>
      <c r="S707" s="39">
        <f t="shared" si="64"/>
        <v>1290.0944000000002</v>
      </c>
    </row>
    <row r="708" spans="1:19">
      <c r="A708" s="67">
        <v>45687</v>
      </c>
      <c r="B708" s="25" t="s">
        <v>17</v>
      </c>
      <c r="C708" s="4">
        <v>17855</v>
      </c>
      <c r="D708" s="5">
        <v>16395</v>
      </c>
      <c r="E708" s="4">
        <v>16615</v>
      </c>
      <c r="F708" s="4">
        <v>17486</v>
      </c>
      <c r="G708" s="4">
        <f t="shared" ref="G708:G746" si="67">AVERAGE(C708:F708)</f>
        <v>17087.75</v>
      </c>
      <c r="H708" s="7">
        <f t="shared" si="66"/>
        <v>4.2719374999999999</v>
      </c>
      <c r="I708" s="9">
        <f t="shared" si="65"/>
        <v>1</v>
      </c>
      <c r="J708" s="9">
        <f t="shared" ref="J708:J746" si="68">H708+I708</f>
        <v>5.2719374999999999</v>
      </c>
      <c r="K708" s="10">
        <f t="shared" ref="K708:K746" si="69">ROUNDUP(J708,0)</f>
        <v>6</v>
      </c>
      <c r="O708" s="36">
        <f>'DHS25'!C707</f>
        <v>15791</v>
      </c>
      <c r="P708" s="37">
        <f>'DHS25'!D707</f>
        <v>8687</v>
      </c>
      <c r="Q708" s="37">
        <f>'DHS25'!E707</f>
        <v>8039</v>
      </c>
      <c r="R708" s="38">
        <v>151.69999999999999</v>
      </c>
      <c r="S708" s="39">
        <f t="shared" ref="S708:S746" si="70">(Q708/1000)*R708</f>
        <v>1219.5162999999998</v>
      </c>
    </row>
    <row r="709" spans="1:19">
      <c r="A709" s="67">
        <v>45687</v>
      </c>
      <c r="B709" s="25" t="s">
        <v>18</v>
      </c>
      <c r="C709" s="4">
        <v>16687</v>
      </c>
      <c r="D709" s="5">
        <v>17352</v>
      </c>
      <c r="E709" s="4">
        <v>15968</v>
      </c>
      <c r="F709" s="4">
        <v>16659</v>
      </c>
      <c r="G709" s="4">
        <f t="shared" si="67"/>
        <v>16666.5</v>
      </c>
      <c r="H709" s="7">
        <f t="shared" si="66"/>
        <v>4.1666249999999998</v>
      </c>
      <c r="I709" s="9">
        <f t="shared" ref="I709:I746" si="71">I708</f>
        <v>1</v>
      </c>
      <c r="J709" s="9">
        <f t="shared" si="68"/>
        <v>5.1666249999999998</v>
      </c>
      <c r="K709" s="10">
        <f t="shared" si="69"/>
        <v>6</v>
      </c>
      <c r="O709" s="36">
        <f>'DHS25'!C708</f>
        <v>13514</v>
      </c>
      <c r="P709" s="37">
        <f>'DHS25'!D708</f>
        <v>10656</v>
      </c>
      <c r="Q709" s="37">
        <f>'DHS25'!E708</f>
        <v>8061</v>
      </c>
      <c r="R709" s="38">
        <v>131.41999999999999</v>
      </c>
      <c r="S709" s="39">
        <f t="shared" si="70"/>
        <v>1059.37662</v>
      </c>
    </row>
    <row r="710" spans="1:19">
      <c r="A710" s="67">
        <v>45687</v>
      </c>
      <c r="B710" s="25" t="s">
        <v>19</v>
      </c>
      <c r="C710" s="4">
        <v>13683</v>
      </c>
      <c r="D710" s="5">
        <v>17240</v>
      </c>
      <c r="E710" s="4">
        <v>15187</v>
      </c>
      <c r="F710" s="4">
        <v>14607</v>
      </c>
      <c r="G710" s="4">
        <f t="shared" si="67"/>
        <v>15179.25</v>
      </c>
      <c r="H710" s="7">
        <f t="shared" si="66"/>
        <v>3.7948124999999999</v>
      </c>
      <c r="I710" s="9">
        <f t="shared" si="71"/>
        <v>1</v>
      </c>
      <c r="J710" s="9">
        <f t="shared" si="68"/>
        <v>4.7948124999999999</v>
      </c>
      <c r="K710" s="10">
        <f t="shared" si="69"/>
        <v>5</v>
      </c>
      <c r="O710" s="36">
        <f>'DHS25'!C709</f>
        <v>13915</v>
      </c>
      <c r="P710" s="37">
        <f>'DHS25'!D709</f>
        <v>6557</v>
      </c>
      <c r="Q710" s="37">
        <f>'DHS25'!E709</f>
        <v>6561</v>
      </c>
      <c r="R710" s="38">
        <v>123.25</v>
      </c>
      <c r="S710" s="39">
        <f t="shared" si="70"/>
        <v>808.64324999999997</v>
      </c>
    </row>
    <row r="711" spans="1:19">
      <c r="A711" s="67">
        <v>45687</v>
      </c>
      <c r="B711" s="25" t="s">
        <v>20</v>
      </c>
      <c r="C711" s="4">
        <v>14486</v>
      </c>
      <c r="D711" s="5">
        <v>15024</v>
      </c>
      <c r="E711" s="4">
        <v>15990</v>
      </c>
      <c r="F711" s="4">
        <v>14538</v>
      </c>
      <c r="G711" s="4">
        <f t="shared" si="67"/>
        <v>15009.5</v>
      </c>
      <c r="H711" s="7">
        <f t="shared" si="66"/>
        <v>3.7523749999999998</v>
      </c>
      <c r="I711" s="9">
        <f t="shared" si="71"/>
        <v>1</v>
      </c>
      <c r="J711" s="9">
        <f t="shared" si="68"/>
        <v>4.7523749999999998</v>
      </c>
      <c r="K711" s="10">
        <f t="shared" si="69"/>
        <v>5</v>
      </c>
      <c r="O711" s="36">
        <f>'DHS25'!C710</f>
        <v>11426</v>
      </c>
      <c r="P711" s="37">
        <f>'DHS25'!D710</f>
        <v>4989</v>
      </c>
      <c r="Q711" s="37">
        <f>'DHS25'!E710</f>
        <v>5060</v>
      </c>
      <c r="R711" s="38">
        <v>113.01</v>
      </c>
      <c r="S711" s="39">
        <f t="shared" si="70"/>
        <v>571.8306</v>
      </c>
    </row>
    <row r="712" spans="1:19">
      <c r="A712" s="67">
        <v>45687</v>
      </c>
      <c r="B712" s="25" t="s">
        <v>21</v>
      </c>
      <c r="C712" s="4">
        <v>14696</v>
      </c>
      <c r="D712" s="5">
        <v>17227</v>
      </c>
      <c r="E712" s="4">
        <v>15875</v>
      </c>
      <c r="F712" s="4">
        <v>13454</v>
      </c>
      <c r="G712" s="4">
        <f t="shared" si="67"/>
        <v>15313</v>
      </c>
      <c r="H712" s="7">
        <f t="shared" si="66"/>
        <v>3.8282500000000002</v>
      </c>
      <c r="I712" s="9">
        <f t="shared" si="71"/>
        <v>1</v>
      </c>
      <c r="J712" s="9">
        <f t="shared" si="68"/>
        <v>4.8282500000000006</v>
      </c>
      <c r="K712" s="10">
        <f t="shared" si="69"/>
        <v>5</v>
      </c>
      <c r="O712" s="36">
        <f>'DHS25'!C711</f>
        <v>10622</v>
      </c>
      <c r="P712" s="37">
        <f>'DHS25'!D711</f>
        <v>6218</v>
      </c>
      <c r="Q712" s="37">
        <f>'DHS25'!E711</f>
        <v>5062</v>
      </c>
      <c r="R712" s="38">
        <v>113.3</v>
      </c>
      <c r="S712" s="39">
        <f t="shared" si="70"/>
        <v>573.52459999999996</v>
      </c>
    </row>
    <row r="713" spans="1:19">
      <c r="A713" s="67">
        <v>45687</v>
      </c>
      <c r="B713" s="25" t="s">
        <v>22</v>
      </c>
      <c r="C713" s="4">
        <v>14179</v>
      </c>
      <c r="D713" s="5">
        <v>16761</v>
      </c>
      <c r="E713" s="4">
        <v>16829</v>
      </c>
      <c r="F713" s="4">
        <v>12743</v>
      </c>
      <c r="G713" s="4">
        <f t="shared" si="67"/>
        <v>15128</v>
      </c>
      <c r="H713" s="7">
        <f t="shared" si="66"/>
        <v>3.782</v>
      </c>
      <c r="I713" s="9">
        <f t="shared" si="71"/>
        <v>1</v>
      </c>
      <c r="J713" s="9">
        <f t="shared" si="68"/>
        <v>4.782</v>
      </c>
      <c r="K713" s="10">
        <f t="shared" si="69"/>
        <v>5</v>
      </c>
      <c r="O713" s="36">
        <f>'DHS25'!C712</f>
        <v>9353</v>
      </c>
      <c r="P713" s="37">
        <f>'DHS25'!D712</f>
        <v>11170</v>
      </c>
      <c r="Q713" s="37">
        <f>'DHS25'!E712</f>
        <v>6804</v>
      </c>
      <c r="R713" s="38">
        <v>129.85</v>
      </c>
      <c r="S713" s="39">
        <f t="shared" si="70"/>
        <v>883.49940000000004</v>
      </c>
    </row>
    <row r="714" spans="1:19">
      <c r="A714" s="67">
        <v>45687</v>
      </c>
      <c r="B714" s="25" t="s">
        <v>23</v>
      </c>
      <c r="C714" s="4">
        <v>16062</v>
      </c>
      <c r="D714" s="5">
        <v>16953</v>
      </c>
      <c r="E714" s="4">
        <v>18081</v>
      </c>
      <c r="F714" s="4">
        <v>13420</v>
      </c>
      <c r="G714" s="4">
        <f t="shared" si="67"/>
        <v>16129</v>
      </c>
      <c r="H714" s="7">
        <f t="shared" si="66"/>
        <v>4.0322500000000003</v>
      </c>
      <c r="I714" s="9">
        <f t="shared" si="71"/>
        <v>1</v>
      </c>
      <c r="J714" s="9">
        <f t="shared" si="68"/>
        <v>5.0322500000000003</v>
      </c>
      <c r="K714" s="10">
        <f t="shared" si="69"/>
        <v>6</v>
      </c>
      <c r="O714" s="36">
        <f>'DHS25'!C713</f>
        <v>9893</v>
      </c>
      <c r="P714" s="37">
        <f>'DHS25'!D713</f>
        <v>14430</v>
      </c>
      <c r="Q714" s="37">
        <f>'DHS25'!E713</f>
        <v>8049</v>
      </c>
      <c r="R714" s="38">
        <v>153.56</v>
      </c>
      <c r="S714" s="39">
        <f t="shared" si="70"/>
        <v>1236.0044399999999</v>
      </c>
    </row>
    <row r="715" spans="1:19">
      <c r="A715" s="67">
        <v>45687</v>
      </c>
      <c r="B715" s="25" t="s">
        <v>24</v>
      </c>
      <c r="C715" s="4">
        <v>17296</v>
      </c>
      <c r="D715" s="5">
        <v>18363</v>
      </c>
      <c r="E715" s="4">
        <v>17732</v>
      </c>
      <c r="F715" s="4">
        <v>14383</v>
      </c>
      <c r="G715" s="4">
        <f t="shared" si="67"/>
        <v>16943.5</v>
      </c>
      <c r="H715" s="7">
        <f t="shared" si="66"/>
        <v>4.2358750000000001</v>
      </c>
      <c r="I715" s="9">
        <f t="shared" si="71"/>
        <v>1</v>
      </c>
      <c r="J715" s="9">
        <f t="shared" si="68"/>
        <v>5.2358750000000001</v>
      </c>
      <c r="K715" s="10">
        <f t="shared" si="69"/>
        <v>6</v>
      </c>
      <c r="O715" s="36">
        <f>'DHS25'!C714</f>
        <v>11726</v>
      </c>
      <c r="P715" s="37">
        <f>'DHS25'!D714</f>
        <v>12422</v>
      </c>
      <c r="Q715" s="37">
        <f>'DHS25'!E714</f>
        <v>8060</v>
      </c>
      <c r="R715" s="38">
        <v>161.21</v>
      </c>
      <c r="S715" s="39">
        <f t="shared" si="70"/>
        <v>1299.3526000000002</v>
      </c>
    </row>
    <row r="716" spans="1:19">
      <c r="A716" s="67">
        <v>45687</v>
      </c>
      <c r="B716" s="25" t="s">
        <v>25</v>
      </c>
      <c r="C716" s="4">
        <v>17995</v>
      </c>
      <c r="D716" s="5">
        <v>17725</v>
      </c>
      <c r="E716" s="4">
        <v>17070</v>
      </c>
      <c r="F716" s="4">
        <v>15219</v>
      </c>
      <c r="G716" s="4">
        <f t="shared" si="67"/>
        <v>17002.25</v>
      </c>
      <c r="H716" s="7">
        <f t="shared" si="66"/>
        <v>4.2505625</v>
      </c>
      <c r="I716" s="9">
        <f t="shared" si="71"/>
        <v>1</v>
      </c>
      <c r="J716" s="9">
        <f t="shared" si="68"/>
        <v>5.2505625</v>
      </c>
      <c r="K716" s="10">
        <f t="shared" si="69"/>
        <v>6</v>
      </c>
      <c r="O716" s="36">
        <f>'DHS25'!C715</f>
        <v>13667</v>
      </c>
      <c r="P716" s="37">
        <f>'DHS25'!D715</f>
        <v>11105</v>
      </c>
      <c r="Q716" s="37">
        <f>'DHS25'!E715</f>
        <v>8069</v>
      </c>
      <c r="R716" s="38">
        <v>177.87</v>
      </c>
      <c r="S716" s="39">
        <f t="shared" si="70"/>
        <v>1435.2330300000001</v>
      </c>
    </row>
    <row r="717" spans="1:19">
      <c r="A717" s="67">
        <v>45687</v>
      </c>
      <c r="B717" s="25" t="s">
        <v>26</v>
      </c>
      <c r="C717" s="4">
        <v>17467</v>
      </c>
      <c r="D717" s="5">
        <v>18006</v>
      </c>
      <c r="E717" s="4">
        <v>16767</v>
      </c>
      <c r="F717" s="4">
        <v>15602</v>
      </c>
      <c r="G717" s="4">
        <f t="shared" si="67"/>
        <v>16960.5</v>
      </c>
      <c r="H717" s="7">
        <f t="shared" si="66"/>
        <v>4.2401249999999999</v>
      </c>
      <c r="I717" s="9">
        <f t="shared" si="71"/>
        <v>1</v>
      </c>
      <c r="J717" s="9">
        <f t="shared" si="68"/>
        <v>5.2401249999999999</v>
      </c>
      <c r="K717" s="10">
        <f t="shared" si="69"/>
        <v>6</v>
      </c>
      <c r="O717" s="36">
        <f>'DHS25'!C716</f>
        <v>14933</v>
      </c>
      <c r="P717" s="37">
        <f>'DHS25'!D716</f>
        <v>9720</v>
      </c>
      <c r="Q717" s="37">
        <f>'DHS25'!E716</f>
        <v>8061</v>
      </c>
      <c r="R717" s="38">
        <v>173.96</v>
      </c>
      <c r="S717" s="39">
        <f t="shared" si="70"/>
        <v>1402.2915600000001</v>
      </c>
    </row>
    <row r="718" spans="1:19">
      <c r="A718" s="67">
        <v>45687</v>
      </c>
      <c r="B718" s="25" t="s">
        <v>27</v>
      </c>
      <c r="C718" s="4">
        <v>17866</v>
      </c>
      <c r="D718" s="5">
        <v>18104</v>
      </c>
      <c r="E718" s="4">
        <v>17263</v>
      </c>
      <c r="F718" s="4">
        <v>16585</v>
      </c>
      <c r="G718" s="4">
        <f t="shared" si="67"/>
        <v>17454.5</v>
      </c>
      <c r="H718" s="7">
        <f t="shared" si="66"/>
        <v>4.3636249999999999</v>
      </c>
      <c r="I718" s="9">
        <f t="shared" si="71"/>
        <v>1</v>
      </c>
      <c r="J718" s="9">
        <f t="shared" si="68"/>
        <v>5.3636249999999999</v>
      </c>
      <c r="K718" s="10">
        <f t="shared" si="69"/>
        <v>6</v>
      </c>
      <c r="O718" s="36">
        <f>'DHS25'!C717</f>
        <v>14643</v>
      </c>
      <c r="P718" s="37">
        <f>'DHS25'!D717</f>
        <v>9122</v>
      </c>
      <c r="Q718" s="37">
        <f>'DHS25'!E717</f>
        <v>8070</v>
      </c>
      <c r="R718" s="38">
        <v>161.28</v>
      </c>
      <c r="S718" s="39">
        <f t="shared" si="70"/>
        <v>1301.5296000000001</v>
      </c>
    </row>
    <row r="719" spans="1:19">
      <c r="A719" s="67">
        <v>45687</v>
      </c>
      <c r="B719" s="25" t="s">
        <v>28</v>
      </c>
      <c r="C719" s="4">
        <v>18287</v>
      </c>
      <c r="D719" s="5">
        <v>18921</v>
      </c>
      <c r="E719" s="4">
        <v>17010</v>
      </c>
      <c r="F719" s="4">
        <v>15615</v>
      </c>
      <c r="G719" s="4">
        <f t="shared" si="67"/>
        <v>17458.25</v>
      </c>
      <c r="H719" s="7">
        <f t="shared" si="66"/>
        <v>4.3645624999999999</v>
      </c>
      <c r="I719" s="9">
        <f t="shared" si="71"/>
        <v>1</v>
      </c>
      <c r="J719" s="9">
        <f t="shared" si="68"/>
        <v>5.3645624999999999</v>
      </c>
      <c r="K719" s="10">
        <f t="shared" si="69"/>
        <v>6</v>
      </c>
      <c r="O719" s="36">
        <f>'DHS25'!C718</f>
        <v>15390</v>
      </c>
      <c r="P719" s="37">
        <f>'DHS25'!D718</f>
        <v>8173</v>
      </c>
      <c r="Q719" s="37">
        <f>'DHS25'!E718</f>
        <v>8031</v>
      </c>
      <c r="R719" s="38">
        <v>151.24</v>
      </c>
      <c r="S719" s="39">
        <f t="shared" si="70"/>
        <v>1214.6084400000002</v>
      </c>
    </row>
    <row r="720" spans="1:19">
      <c r="A720" s="67">
        <v>45687</v>
      </c>
      <c r="B720" s="25" t="s">
        <v>29</v>
      </c>
      <c r="C720" s="4">
        <v>14791</v>
      </c>
      <c r="D720" s="5">
        <v>18641</v>
      </c>
      <c r="E720" s="4">
        <v>17545</v>
      </c>
      <c r="F720" s="4">
        <v>15093</v>
      </c>
      <c r="G720" s="4">
        <f t="shared" si="67"/>
        <v>16517.5</v>
      </c>
      <c r="H720" s="7">
        <f t="shared" si="66"/>
        <v>4.1293749999999996</v>
      </c>
      <c r="I720" s="9">
        <f t="shared" si="71"/>
        <v>1</v>
      </c>
      <c r="J720" s="9">
        <f t="shared" si="68"/>
        <v>5.1293749999999996</v>
      </c>
      <c r="K720" s="10">
        <f t="shared" si="69"/>
        <v>6</v>
      </c>
      <c r="O720" s="36">
        <f>'DHS25'!C719</f>
        <v>15942</v>
      </c>
      <c r="P720" s="37">
        <f>'DHS25'!D719</f>
        <v>7572</v>
      </c>
      <c r="Q720" s="37">
        <f>'DHS25'!E719</f>
        <v>8045</v>
      </c>
      <c r="R720" s="38">
        <v>134.93</v>
      </c>
      <c r="S720" s="39">
        <f t="shared" si="70"/>
        <v>1085.5118500000001</v>
      </c>
    </row>
    <row r="721" spans="1:19">
      <c r="A721" s="67">
        <v>45687</v>
      </c>
      <c r="B721" s="25" t="s">
        <v>30</v>
      </c>
      <c r="C721" s="4">
        <v>15603</v>
      </c>
      <c r="D721" s="5">
        <v>17047</v>
      </c>
      <c r="E721" s="4">
        <v>15957</v>
      </c>
      <c r="F721" s="4">
        <v>13364</v>
      </c>
      <c r="G721" s="4">
        <f t="shared" si="67"/>
        <v>15492.75</v>
      </c>
      <c r="H721" s="7">
        <f t="shared" si="66"/>
        <v>3.8731874999999998</v>
      </c>
      <c r="I721" s="9">
        <f t="shared" si="71"/>
        <v>1</v>
      </c>
      <c r="J721" s="9">
        <f t="shared" si="68"/>
        <v>4.8731875000000002</v>
      </c>
      <c r="K721" s="10">
        <f t="shared" si="69"/>
        <v>5</v>
      </c>
      <c r="O721" s="36">
        <f>'DHS25'!C720</f>
        <v>14660</v>
      </c>
      <c r="P721" s="37">
        <f>'DHS25'!D720</f>
        <v>4774</v>
      </c>
      <c r="Q721" s="37">
        <f>'DHS25'!E720</f>
        <v>5792</v>
      </c>
      <c r="R721" s="38">
        <v>126.87</v>
      </c>
      <c r="S721" s="39">
        <f t="shared" si="70"/>
        <v>734.83104000000003</v>
      </c>
    </row>
    <row r="722" spans="1:19">
      <c r="A722" s="67">
        <v>45687</v>
      </c>
      <c r="B722" s="25" t="s">
        <v>31</v>
      </c>
      <c r="C722" s="4">
        <v>7577</v>
      </c>
      <c r="D722" s="5">
        <v>9773</v>
      </c>
      <c r="E722" s="4">
        <v>7751</v>
      </c>
      <c r="F722" s="4">
        <v>7887</v>
      </c>
      <c r="G722" s="4">
        <f t="shared" si="67"/>
        <v>8247</v>
      </c>
      <c r="H722" s="7">
        <f t="shared" si="66"/>
        <v>2.06175</v>
      </c>
      <c r="I722" s="9">
        <f t="shared" si="71"/>
        <v>1</v>
      </c>
      <c r="J722" s="9">
        <f t="shared" si="68"/>
        <v>3.06175</v>
      </c>
      <c r="K722" s="10">
        <f t="shared" si="69"/>
        <v>4</v>
      </c>
      <c r="O722" s="36">
        <f>'DHS25'!C721</f>
        <v>7848</v>
      </c>
      <c r="P722" s="37">
        <f>'DHS25'!D721</f>
        <v>3299</v>
      </c>
      <c r="Q722" s="37">
        <f>'DHS25'!E721</f>
        <v>2914</v>
      </c>
      <c r="R722" s="38">
        <v>120.2</v>
      </c>
      <c r="S722" s="39">
        <f t="shared" si="70"/>
        <v>350.26280000000003</v>
      </c>
    </row>
    <row r="723" spans="1:19">
      <c r="A723" s="66">
        <v>45688</v>
      </c>
      <c r="B723" s="24" t="s">
        <v>8</v>
      </c>
      <c r="C723" s="4">
        <v>7435</v>
      </c>
      <c r="D723" s="5">
        <v>9904</v>
      </c>
      <c r="E723" s="4">
        <v>7721</v>
      </c>
      <c r="F723" s="4">
        <v>7735</v>
      </c>
      <c r="G723" s="4">
        <f t="shared" si="67"/>
        <v>8198.75</v>
      </c>
      <c r="H723" s="7">
        <f t="shared" si="66"/>
        <v>2.0496875000000001</v>
      </c>
      <c r="I723" s="9">
        <f t="shared" si="71"/>
        <v>1</v>
      </c>
      <c r="J723" s="9">
        <f t="shared" si="68"/>
        <v>3.0496875000000001</v>
      </c>
      <c r="K723" s="10">
        <f t="shared" si="69"/>
        <v>4</v>
      </c>
      <c r="O723" s="36">
        <f>'DHS25'!C722</f>
        <v>7235</v>
      </c>
      <c r="P723" s="37">
        <f>'DHS25'!D722</f>
        <v>1321</v>
      </c>
      <c r="Q723" s="37">
        <f>'DHS25'!E722</f>
        <v>2062</v>
      </c>
      <c r="R723" s="38">
        <v>120</v>
      </c>
      <c r="S723" s="39">
        <f t="shared" si="70"/>
        <v>247.43999999999997</v>
      </c>
    </row>
    <row r="724" spans="1:19">
      <c r="A724" s="66">
        <v>45688</v>
      </c>
      <c r="B724" s="24" t="s">
        <v>9</v>
      </c>
      <c r="C724" s="4">
        <v>8760</v>
      </c>
      <c r="D724" s="5">
        <v>11788</v>
      </c>
      <c r="E724" s="4">
        <v>7506</v>
      </c>
      <c r="F724" s="4">
        <v>12334</v>
      </c>
      <c r="G724" s="4">
        <f t="shared" si="67"/>
        <v>10097</v>
      </c>
      <c r="H724" s="7">
        <f t="shared" si="66"/>
        <v>2.5242499999999999</v>
      </c>
      <c r="I724" s="9">
        <f t="shared" si="71"/>
        <v>1</v>
      </c>
      <c r="J724" s="9">
        <f t="shared" si="68"/>
        <v>3.5242499999999999</v>
      </c>
      <c r="K724" s="10">
        <f t="shared" si="69"/>
        <v>4</v>
      </c>
      <c r="O724" s="36">
        <f>'DHS25'!C723</f>
        <v>8304</v>
      </c>
      <c r="P724" s="37">
        <f>'DHS25'!D723</f>
        <v>437</v>
      </c>
      <c r="Q724" s="37">
        <f>'DHS25'!E723</f>
        <v>2053</v>
      </c>
      <c r="R724" s="38">
        <v>117.39</v>
      </c>
      <c r="S724" s="39">
        <f t="shared" si="70"/>
        <v>241.00166999999999</v>
      </c>
    </row>
    <row r="725" spans="1:19">
      <c r="A725" s="66">
        <v>45688</v>
      </c>
      <c r="B725" s="24" t="s">
        <v>10</v>
      </c>
      <c r="C725" s="4">
        <v>10860</v>
      </c>
      <c r="D725" s="5">
        <v>14269</v>
      </c>
      <c r="E725" s="4">
        <v>12281</v>
      </c>
      <c r="F725" s="4">
        <v>14411</v>
      </c>
      <c r="G725" s="4">
        <f t="shared" si="67"/>
        <v>12955.25</v>
      </c>
      <c r="H725" s="7">
        <f t="shared" si="66"/>
        <v>3.2388124999999999</v>
      </c>
      <c r="I725" s="9">
        <f t="shared" si="71"/>
        <v>1</v>
      </c>
      <c r="J725" s="9">
        <f t="shared" si="68"/>
        <v>4.2388124999999999</v>
      </c>
      <c r="K725" s="10">
        <f t="shared" si="69"/>
        <v>5</v>
      </c>
      <c r="O725" s="36">
        <f>'DHS25'!C724</f>
        <v>8637</v>
      </c>
      <c r="P725" s="37">
        <f>'DHS25'!D724</f>
        <v>383</v>
      </c>
      <c r="Q725" s="37">
        <f>'DHS25'!E724</f>
        <v>2073</v>
      </c>
      <c r="R725" s="38">
        <v>114.03</v>
      </c>
      <c r="S725" s="39">
        <f t="shared" si="70"/>
        <v>236.38418999999999</v>
      </c>
    </row>
    <row r="726" spans="1:19">
      <c r="A726" s="66">
        <v>45688</v>
      </c>
      <c r="B726" s="24" t="s">
        <v>11</v>
      </c>
      <c r="C726" s="4">
        <v>12723</v>
      </c>
      <c r="D726" s="5">
        <v>13254</v>
      </c>
      <c r="E726" s="4">
        <v>12256</v>
      </c>
      <c r="F726" s="4">
        <v>12834</v>
      </c>
      <c r="G726" s="4">
        <f t="shared" si="67"/>
        <v>12766.75</v>
      </c>
      <c r="H726" s="7">
        <f t="shared" si="66"/>
        <v>3.1916875</v>
      </c>
      <c r="I726" s="9">
        <f t="shared" si="71"/>
        <v>1</v>
      </c>
      <c r="J726" s="9">
        <f t="shared" si="68"/>
        <v>4.1916875000000005</v>
      </c>
      <c r="K726" s="10">
        <f t="shared" si="69"/>
        <v>5</v>
      </c>
      <c r="O726" s="36">
        <f>'DHS25'!C725</f>
        <v>9711</v>
      </c>
      <c r="P726" s="37">
        <f>'DHS25'!D725</f>
        <v>1959</v>
      </c>
      <c r="Q726" s="37">
        <f>'DHS25'!E725</f>
        <v>3988</v>
      </c>
      <c r="R726" s="38">
        <v>114.12</v>
      </c>
      <c r="S726" s="39">
        <f t="shared" si="70"/>
        <v>455.11056000000002</v>
      </c>
    </row>
    <row r="727" spans="1:19">
      <c r="A727" s="66">
        <v>45688</v>
      </c>
      <c r="B727" s="24" t="s">
        <v>12</v>
      </c>
      <c r="C727" s="4">
        <v>19806</v>
      </c>
      <c r="D727" s="5">
        <v>21054</v>
      </c>
      <c r="E727" s="4">
        <v>16049</v>
      </c>
      <c r="F727" s="4">
        <v>14753</v>
      </c>
      <c r="G727" s="4">
        <f t="shared" si="67"/>
        <v>17915.5</v>
      </c>
      <c r="H727" s="7">
        <f t="shared" si="66"/>
        <v>4.4788750000000004</v>
      </c>
      <c r="I727" s="9">
        <f t="shared" si="71"/>
        <v>1</v>
      </c>
      <c r="J727" s="9">
        <f t="shared" si="68"/>
        <v>5.4788750000000004</v>
      </c>
      <c r="K727" s="10">
        <f t="shared" si="69"/>
        <v>6</v>
      </c>
      <c r="O727" s="36">
        <f>'DHS25'!C726</f>
        <v>18769</v>
      </c>
      <c r="P727" s="37">
        <f>'DHS25'!D726</f>
        <v>813</v>
      </c>
      <c r="Q727" s="37">
        <f>'DHS25'!E726</f>
        <v>6057</v>
      </c>
      <c r="R727" s="38">
        <v>116.76</v>
      </c>
      <c r="S727" s="39">
        <f t="shared" si="70"/>
        <v>707.21532000000002</v>
      </c>
    </row>
    <row r="728" spans="1:19">
      <c r="A728" s="66">
        <v>45688</v>
      </c>
      <c r="B728" s="24" t="s">
        <v>13</v>
      </c>
      <c r="C728" s="4">
        <v>20172</v>
      </c>
      <c r="D728" s="5">
        <v>17605</v>
      </c>
      <c r="E728" s="4">
        <v>21344</v>
      </c>
      <c r="F728" s="4">
        <v>14876</v>
      </c>
      <c r="G728" s="4">
        <f t="shared" si="67"/>
        <v>18499.25</v>
      </c>
      <c r="H728" s="7">
        <f t="shared" si="66"/>
        <v>4.6248125</v>
      </c>
      <c r="I728" s="9">
        <f t="shared" si="71"/>
        <v>1</v>
      </c>
      <c r="J728" s="9">
        <f t="shared" si="68"/>
        <v>5.6248125</v>
      </c>
      <c r="K728" s="10">
        <f t="shared" si="69"/>
        <v>6</v>
      </c>
      <c r="O728" s="36">
        <f>'DHS25'!C727</f>
        <v>16310</v>
      </c>
      <c r="P728" s="37">
        <f>'DHS25'!D727</f>
        <v>3019</v>
      </c>
      <c r="Q728" s="37">
        <f>'DHS25'!E727</f>
        <v>6058</v>
      </c>
      <c r="R728" s="38">
        <v>121.78</v>
      </c>
      <c r="S728" s="39">
        <f t="shared" si="70"/>
        <v>737.74324000000001</v>
      </c>
    </row>
    <row r="729" spans="1:19">
      <c r="A729" s="66">
        <v>45688</v>
      </c>
      <c r="B729" s="24" t="s">
        <v>14</v>
      </c>
      <c r="C729" s="4">
        <v>19661</v>
      </c>
      <c r="D729" s="5">
        <v>21839</v>
      </c>
      <c r="E729" s="4">
        <v>21287</v>
      </c>
      <c r="F729" s="4">
        <v>13019</v>
      </c>
      <c r="G729" s="4">
        <f t="shared" si="67"/>
        <v>18951.5</v>
      </c>
      <c r="H729" s="7">
        <f t="shared" si="66"/>
        <v>4.7378749999999998</v>
      </c>
      <c r="I729" s="9">
        <f t="shared" si="71"/>
        <v>1</v>
      </c>
      <c r="J729" s="9">
        <f t="shared" si="68"/>
        <v>5.7378749999999998</v>
      </c>
      <c r="K729" s="10">
        <f t="shared" si="69"/>
        <v>6</v>
      </c>
      <c r="O729" s="36">
        <f>'DHS25'!C728</f>
        <v>18249</v>
      </c>
      <c r="P729" s="37">
        <f>'DHS25'!D728</f>
        <v>6029</v>
      </c>
      <c r="Q729" s="37">
        <f>'DHS25'!E728</f>
        <v>7973</v>
      </c>
      <c r="R729" s="38">
        <v>148.9</v>
      </c>
      <c r="S729" s="39">
        <f t="shared" si="70"/>
        <v>1187.1796999999999</v>
      </c>
    </row>
    <row r="730" spans="1:19">
      <c r="A730" s="66">
        <v>45688</v>
      </c>
      <c r="B730" s="24" t="s">
        <v>15</v>
      </c>
      <c r="C730" s="4">
        <v>18198</v>
      </c>
      <c r="D730" s="5">
        <v>17443</v>
      </c>
      <c r="E730" s="4">
        <v>18532</v>
      </c>
      <c r="F730" s="4">
        <v>12152</v>
      </c>
      <c r="G730" s="4">
        <f t="shared" si="67"/>
        <v>16581.25</v>
      </c>
      <c r="H730" s="7">
        <f t="shared" si="66"/>
        <v>4.1453125000000002</v>
      </c>
      <c r="I730" s="9">
        <f t="shared" si="71"/>
        <v>1</v>
      </c>
      <c r="J730" s="9">
        <f t="shared" si="68"/>
        <v>5.1453125000000002</v>
      </c>
      <c r="K730" s="10">
        <f t="shared" si="69"/>
        <v>6</v>
      </c>
      <c r="O730" s="36">
        <f>'DHS25'!C729</f>
        <v>17524</v>
      </c>
      <c r="P730" s="37">
        <f>'DHS25'!D729</f>
        <v>7011</v>
      </c>
      <c r="Q730" s="37">
        <f>'DHS25'!E729</f>
        <v>8068</v>
      </c>
      <c r="R730" s="38">
        <v>159.59</v>
      </c>
      <c r="S730" s="39">
        <f t="shared" si="70"/>
        <v>1287.57212</v>
      </c>
    </row>
    <row r="731" spans="1:19">
      <c r="A731" s="66">
        <v>45688</v>
      </c>
      <c r="B731" s="24" t="s">
        <v>16</v>
      </c>
      <c r="C731" s="4">
        <v>18543</v>
      </c>
      <c r="D731" s="5">
        <v>18761</v>
      </c>
      <c r="E731" s="4">
        <v>18362</v>
      </c>
      <c r="F731" s="4">
        <v>13343</v>
      </c>
      <c r="G731" s="4">
        <f t="shared" si="67"/>
        <v>17252.25</v>
      </c>
      <c r="H731" s="7">
        <f t="shared" si="66"/>
        <v>4.3130625</v>
      </c>
      <c r="I731" s="9">
        <f t="shared" si="71"/>
        <v>1</v>
      </c>
      <c r="J731" s="9">
        <f t="shared" si="68"/>
        <v>5.3130625</v>
      </c>
      <c r="K731" s="10">
        <f t="shared" si="69"/>
        <v>6</v>
      </c>
      <c r="O731" s="36">
        <f>'DHS25'!C730</f>
        <v>17229</v>
      </c>
      <c r="P731" s="37">
        <f>'DHS25'!D730</f>
        <v>7055</v>
      </c>
      <c r="Q731" s="37">
        <f>'DHS25'!E730</f>
        <v>8056</v>
      </c>
      <c r="R731" s="38">
        <v>163.69999999999999</v>
      </c>
      <c r="S731" s="39">
        <f t="shared" si="70"/>
        <v>1318.7671999999998</v>
      </c>
    </row>
    <row r="732" spans="1:19">
      <c r="A732" s="66">
        <v>45688</v>
      </c>
      <c r="B732" s="24" t="s">
        <v>17</v>
      </c>
      <c r="C732" s="4">
        <v>17884</v>
      </c>
      <c r="D732" s="5">
        <v>18840</v>
      </c>
      <c r="E732" s="4">
        <v>17324</v>
      </c>
      <c r="F732" s="4">
        <v>16014</v>
      </c>
      <c r="G732" s="4">
        <f t="shared" si="67"/>
        <v>17515.5</v>
      </c>
      <c r="H732" s="7">
        <f t="shared" si="66"/>
        <v>4.3788749999999999</v>
      </c>
      <c r="I732" s="9">
        <f t="shared" si="71"/>
        <v>1</v>
      </c>
      <c r="J732" s="9">
        <f t="shared" si="68"/>
        <v>5.3788749999999999</v>
      </c>
      <c r="K732" s="10">
        <f t="shared" si="69"/>
        <v>6</v>
      </c>
      <c r="O732" s="36">
        <f>'DHS25'!C731</f>
        <v>17025</v>
      </c>
      <c r="P732" s="37">
        <f>'DHS25'!D731</f>
        <v>7465</v>
      </c>
      <c r="Q732" s="37">
        <f>'DHS25'!E731</f>
        <v>8066</v>
      </c>
      <c r="R732" s="38">
        <v>154.82</v>
      </c>
      <c r="S732" s="39">
        <f t="shared" si="70"/>
        <v>1248.7781199999999</v>
      </c>
    </row>
    <row r="733" spans="1:19">
      <c r="A733" s="66">
        <v>45688</v>
      </c>
      <c r="B733" s="24" t="s">
        <v>18</v>
      </c>
      <c r="C733" s="4">
        <v>16817</v>
      </c>
      <c r="D733" s="5">
        <v>18827</v>
      </c>
      <c r="E733" s="4">
        <v>12160</v>
      </c>
      <c r="F733" s="4">
        <v>16197</v>
      </c>
      <c r="G733" s="4">
        <f t="shared" si="67"/>
        <v>16000.25</v>
      </c>
      <c r="H733" s="7">
        <f t="shared" si="66"/>
        <v>4.0000625000000003</v>
      </c>
      <c r="I733" s="9">
        <f t="shared" si="71"/>
        <v>1</v>
      </c>
      <c r="J733" s="9">
        <f t="shared" si="68"/>
        <v>5.0000625000000003</v>
      </c>
      <c r="K733" s="10">
        <f t="shared" si="69"/>
        <v>6</v>
      </c>
      <c r="O733" s="36">
        <f>'DHS25'!C732</f>
        <v>12894</v>
      </c>
      <c r="P733" s="37">
        <f>'DHS25'!D732</f>
        <v>11567</v>
      </c>
      <c r="Q733" s="37">
        <f>'DHS25'!E732</f>
        <v>8068</v>
      </c>
      <c r="R733" s="38">
        <v>130.1</v>
      </c>
      <c r="S733" s="39">
        <f t="shared" si="70"/>
        <v>1049.6468</v>
      </c>
    </row>
    <row r="734" spans="1:19">
      <c r="A734" s="66">
        <v>45688</v>
      </c>
      <c r="B734" s="24" t="s">
        <v>19</v>
      </c>
      <c r="C734" s="4">
        <v>17014</v>
      </c>
      <c r="D734" s="5">
        <v>18549</v>
      </c>
      <c r="E734" s="4">
        <v>13157</v>
      </c>
      <c r="F734" s="4">
        <v>15106</v>
      </c>
      <c r="G734" s="4">
        <f t="shared" si="67"/>
        <v>15956.5</v>
      </c>
      <c r="H734" s="7">
        <f t="shared" si="66"/>
        <v>3.989125</v>
      </c>
      <c r="I734" s="9">
        <f t="shared" si="71"/>
        <v>1</v>
      </c>
      <c r="J734" s="9">
        <f t="shared" si="68"/>
        <v>4.9891249999999996</v>
      </c>
      <c r="K734" s="10">
        <f t="shared" si="69"/>
        <v>5</v>
      </c>
      <c r="O734" s="36">
        <f>'DHS25'!C733</f>
        <v>11460</v>
      </c>
      <c r="P734" s="37">
        <f>'DHS25'!D733</f>
        <v>7777</v>
      </c>
      <c r="Q734" s="37">
        <f>'DHS25'!E733</f>
        <v>6649</v>
      </c>
      <c r="R734" s="38">
        <v>126.2</v>
      </c>
      <c r="S734" s="39">
        <f t="shared" si="70"/>
        <v>839.10379999999998</v>
      </c>
    </row>
    <row r="735" spans="1:19">
      <c r="A735" s="66">
        <v>45688</v>
      </c>
      <c r="B735" s="24" t="s">
        <v>20</v>
      </c>
      <c r="C735" s="4">
        <v>17112</v>
      </c>
      <c r="D735" s="5">
        <v>17508</v>
      </c>
      <c r="E735" s="4">
        <v>14061</v>
      </c>
      <c r="F735" s="4">
        <v>15877</v>
      </c>
      <c r="G735" s="4">
        <f t="shared" si="67"/>
        <v>16139.5</v>
      </c>
      <c r="H735" s="7">
        <f t="shared" si="66"/>
        <v>4.0348750000000004</v>
      </c>
      <c r="I735" s="9">
        <f t="shared" si="71"/>
        <v>1</v>
      </c>
      <c r="J735" s="9">
        <f t="shared" si="68"/>
        <v>5.0348750000000004</v>
      </c>
      <c r="K735" s="10">
        <f t="shared" si="69"/>
        <v>6</v>
      </c>
      <c r="O735" s="36">
        <f>'DHS25'!C734</f>
        <v>12163</v>
      </c>
      <c r="P735" s="37">
        <f>'DHS25'!D734</f>
        <v>5010</v>
      </c>
      <c r="Q735" s="37">
        <f>'DHS25'!E734</f>
        <v>5879</v>
      </c>
      <c r="R735" s="38">
        <v>120.06</v>
      </c>
      <c r="S735" s="39">
        <f t="shared" si="70"/>
        <v>705.83273999999994</v>
      </c>
    </row>
    <row r="736" spans="1:19">
      <c r="A736" s="66">
        <v>45688</v>
      </c>
      <c r="B736" s="24" t="s">
        <v>21</v>
      </c>
      <c r="C736" s="4">
        <v>17052</v>
      </c>
      <c r="D736" s="5">
        <v>16149</v>
      </c>
      <c r="E736" s="4">
        <v>14501</v>
      </c>
      <c r="F736" s="4">
        <v>15027</v>
      </c>
      <c r="G736" s="4">
        <f t="shared" si="67"/>
        <v>15682.25</v>
      </c>
      <c r="H736" s="7">
        <f t="shared" si="66"/>
        <v>3.9205625</v>
      </c>
      <c r="I736" s="9">
        <f t="shared" si="71"/>
        <v>1</v>
      </c>
      <c r="J736" s="9">
        <f t="shared" si="68"/>
        <v>4.9205625</v>
      </c>
      <c r="K736" s="10">
        <f t="shared" si="69"/>
        <v>5</v>
      </c>
      <c r="O736" s="36">
        <f>'DHS25'!C735</f>
        <v>10012</v>
      </c>
      <c r="P736" s="37">
        <f>'DHS25'!D735</f>
        <v>6636</v>
      </c>
      <c r="Q736" s="37">
        <f>'DHS25'!E735</f>
        <v>5173</v>
      </c>
      <c r="R736" s="38">
        <v>121.19</v>
      </c>
      <c r="S736" s="39">
        <f t="shared" si="70"/>
        <v>626.91587000000004</v>
      </c>
    </row>
    <row r="737" spans="1:19">
      <c r="A737" s="66">
        <v>45688</v>
      </c>
      <c r="B737" s="24" t="s">
        <v>22</v>
      </c>
      <c r="C737" s="4">
        <v>14960</v>
      </c>
      <c r="D737" s="5">
        <v>16184</v>
      </c>
      <c r="E737" s="4">
        <v>14951</v>
      </c>
      <c r="F737" s="4">
        <v>14944</v>
      </c>
      <c r="G737" s="4">
        <f t="shared" si="67"/>
        <v>15259.75</v>
      </c>
      <c r="H737" s="7">
        <f t="shared" si="66"/>
        <v>3.8149375000000001</v>
      </c>
      <c r="I737" s="9">
        <f t="shared" si="71"/>
        <v>1</v>
      </c>
      <c r="J737" s="9">
        <f t="shared" si="68"/>
        <v>4.8149375000000001</v>
      </c>
      <c r="K737" s="10">
        <f t="shared" si="69"/>
        <v>5</v>
      </c>
      <c r="O737" s="36">
        <f>'DHS25'!C736</f>
        <v>10700</v>
      </c>
      <c r="P737" s="37">
        <f>'DHS25'!D736</f>
        <v>6075</v>
      </c>
      <c r="Q737" s="37">
        <f>'DHS25'!E736</f>
        <v>5076</v>
      </c>
      <c r="R737" s="38">
        <v>119.94</v>
      </c>
      <c r="S737" s="39">
        <f t="shared" si="70"/>
        <v>608.81543999999997</v>
      </c>
    </row>
    <row r="738" spans="1:19">
      <c r="A738" s="66">
        <v>45688</v>
      </c>
      <c r="B738" s="24" t="s">
        <v>23</v>
      </c>
      <c r="C738" s="4">
        <v>17294</v>
      </c>
      <c r="D738" s="5">
        <v>16470</v>
      </c>
      <c r="E738" s="4">
        <v>12527</v>
      </c>
      <c r="F738" s="4">
        <v>14998</v>
      </c>
      <c r="G738" s="4">
        <f t="shared" si="67"/>
        <v>15322.25</v>
      </c>
      <c r="H738" s="7">
        <f t="shared" si="66"/>
        <v>3.8305625000000001</v>
      </c>
      <c r="I738" s="9">
        <f t="shared" si="71"/>
        <v>1</v>
      </c>
      <c r="J738" s="9">
        <f t="shared" si="68"/>
        <v>4.8305625000000001</v>
      </c>
      <c r="K738" s="10">
        <f t="shared" si="69"/>
        <v>5</v>
      </c>
      <c r="O738" s="36">
        <f>'DHS25'!C737</f>
        <v>10697</v>
      </c>
      <c r="P738" s="37">
        <f>'DHS25'!D737</f>
        <v>10512</v>
      </c>
      <c r="Q738" s="37">
        <f>'DHS25'!E737</f>
        <v>6943</v>
      </c>
      <c r="R738" s="38">
        <v>152.02000000000001</v>
      </c>
      <c r="S738" s="39">
        <f t="shared" si="70"/>
        <v>1055.47486</v>
      </c>
    </row>
    <row r="739" spans="1:19">
      <c r="A739" s="66">
        <v>45688</v>
      </c>
      <c r="B739" s="24" t="s">
        <v>24</v>
      </c>
      <c r="C739" s="4">
        <v>17782</v>
      </c>
      <c r="D739" s="5">
        <v>17143</v>
      </c>
      <c r="E739" s="4">
        <v>14203</v>
      </c>
      <c r="F739" s="4">
        <v>16325</v>
      </c>
      <c r="G739" s="4">
        <f t="shared" si="67"/>
        <v>16363.25</v>
      </c>
      <c r="H739" s="7">
        <f t="shared" si="66"/>
        <v>4.0908125000000002</v>
      </c>
      <c r="I739" s="9">
        <f t="shared" si="71"/>
        <v>1</v>
      </c>
      <c r="J739" s="9">
        <f t="shared" si="68"/>
        <v>5.0908125000000002</v>
      </c>
      <c r="K739" s="10">
        <f t="shared" si="69"/>
        <v>6</v>
      </c>
      <c r="O739" s="36">
        <f>'DHS25'!C738</f>
        <v>11138</v>
      </c>
      <c r="P739" s="37">
        <f>'DHS25'!D738</f>
        <v>12583</v>
      </c>
      <c r="Q739" s="37">
        <f>'DHS25'!E738</f>
        <v>8014</v>
      </c>
      <c r="R739" s="38">
        <v>168.26</v>
      </c>
      <c r="S739" s="39">
        <f t="shared" si="70"/>
        <v>1348.4356399999999</v>
      </c>
    </row>
    <row r="740" spans="1:19">
      <c r="A740" s="66">
        <v>45688</v>
      </c>
      <c r="B740" s="24" t="s">
        <v>25</v>
      </c>
      <c r="C740" s="4">
        <v>17084</v>
      </c>
      <c r="D740" s="5">
        <v>21112</v>
      </c>
      <c r="E740" s="4">
        <v>15976</v>
      </c>
      <c r="F740" s="4">
        <v>15068</v>
      </c>
      <c r="G740" s="4">
        <f t="shared" si="67"/>
        <v>17310</v>
      </c>
      <c r="H740" s="7">
        <f t="shared" si="66"/>
        <v>4.3274999999999997</v>
      </c>
      <c r="I740" s="9">
        <f t="shared" si="71"/>
        <v>1</v>
      </c>
      <c r="J740" s="9">
        <f t="shared" si="68"/>
        <v>5.3274999999999997</v>
      </c>
      <c r="K740" s="10">
        <f t="shared" si="69"/>
        <v>6</v>
      </c>
      <c r="O740" s="36">
        <f>'DHS25'!C739</f>
        <v>13979</v>
      </c>
      <c r="P740" s="37">
        <f>'DHS25'!D739</f>
        <v>9782</v>
      </c>
      <c r="Q740" s="37">
        <f>'DHS25'!E739</f>
        <v>8040</v>
      </c>
      <c r="R740" s="38">
        <v>183.97</v>
      </c>
      <c r="S740" s="39">
        <f t="shared" si="70"/>
        <v>1479.1187999999997</v>
      </c>
    </row>
    <row r="741" spans="1:19">
      <c r="A741" s="66">
        <v>45688</v>
      </c>
      <c r="B741" s="24" t="s">
        <v>26</v>
      </c>
      <c r="C741" s="4">
        <v>17334</v>
      </c>
      <c r="D741" s="5">
        <v>21211</v>
      </c>
      <c r="E741" s="4">
        <v>16352</v>
      </c>
      <c r="F741" s="4">
        <v>15559</v>
      </c>
      <c r="G741" s="4">
        <f t="shared" si="67"/>
        <v>17614</v>
      </c>
      <c r="H741" s="7">
        <f t="shared" si="66"/>
        <v>4.4035000000000002</v>
      </c>
      <c r="I741" s="9">
        <f t="shared" si="71"/>
        <v>1</v>
      </c>
      <c r="J741" s="9">
        <f t="shared" si="68"/>
        <v>5.4035000000000002</v>
      </c>
      <c r="K741" s="10">
        <f t="shared" si="69"/>
        <v>6</v>
      </c>
      <c r="O741" s="36">
        <f>'DHS25'!C740</f>
        <v>13871</v>
      </c>
      <c r="P741" s="37">
        <f>'DHS25'!D740</f>
        <v>10292</v>
      </c>
      <c r="Q741" s="37">
        <f>'DHS25'!E740</f>
        <v>8060</v>
      </c>
      <c r="R741" s="38">
        <v>184.48</v>
      </c>
      <c r="S741" s="39">
        <f t="shared" si="70"/>
        <v>1486.9087999999999</v>
      </c>
    </row>
    <row r="742" spans="1:19">
      <c r="A742" s="66">
        <v>45688</v>
      </c>
      <c r="B742" s="24" t="s">
        <v>27</v>
      </c>
      <c r="C742" s="4">
        <v>17328</v>
      </c>
      <c r="D742" s="5">
        <v>21125</v>
      </c>
      <c r="E742" s="4">
        <v>15981</v>
      </c>
      <c r="F742" s="4">
        <v>14381</v>
      </c>
      <c r="G742" s="4">
        <f t="shared" si="67"/>
        <v>17203.75</v>
      </c>
      <c r="H742" s="7">
        <f t="shared" si="66"/>
        <v>4.3009374999999999</v>
      </c>
      <c r="I742" s="9">
        <f t="shared" si="71"/>
        <v>1</v>
      </c>
      <c r="J742" s="9">
        <f t="shared" si="68"/>
        <v>5.3009374999999999</v>
      </c>
      <c r="K742" s="10">
        <f t="shared" si="69"/>
        <v>6</v>
      </c>
      <c r="O742" s="36">
        <f>'DHS25'!C741</f>
        <v>13546</v>
      </c>
      <c r="P742" s="37">
        <f>'DHS25'!D741</f>
        <v>10587</v>
      </c>
      <c r="Q742" s="37">
        <f>'DHS25'!E741</f>
        <v>8063</v>
      </c>
      <c r="R742" s="38">
        <v>178.99</v>
      </c>
      <c r="S742" s="39">
        <f t="shared" si="70"/>
        <v>1443.1963700000001</v>
      </c>
    </row>
    <row r="743" spans="1:19">
      <c r="A743" s="66">
        <v>45688</v>
      </c>
      <c r="B743" s="24" t="s">
        <v>28</v>
      </c>
      <c r="C743" s="4">
        <v>17102</v>
      </c>
      <c r="D743" s="5">
        <v>22629</v>
      </c>
      <c r="E743" s="4">
        <v>16095</v>
      </c>
      <c r="F743" s="4">
        <v>15733</v>
      </c>
      <c r="G743" s="4">
        <f t="shared" si="67"/>
        <v>17889.75</v>
      </c>
      <c r="H743" s="7">
        <f t="shared" si="66"/>
        <v>4.4724374999999998</v>
      </c>
      <c r="I743" s="9">
        <f t="shared" si="71"/>
        <v>1</v>
      </c>
      <c r="J743" s="9">
        <f t="shared" si="68"/>
        <v>5.4724374999999998</v>
      </c>
      <c r="K743" s="10">
        <f t="shared" si="69"/>
        <v>6</v>
      </c>
      <c r="O743" s="36">
        <f>'DHS25'!C742</f>
        <v>14001</v>
      </c>
      <c r="P743" s="37">
        <f>'DHS25'!D742</f>
        <v>9861</v>
      </c>
      <c r="Q743" s="37">
        <f>'DHS25'!E742</f>
        <v>8050</v>
      </c>
      <c r="R743" s="38">
        <v>162.66</v>
      </c>
      <c r="S743" s="39">
        <f t="shared" si="70"/>
        <v>1309.413</v>
      </c>
    </row>
    <row r="744" spans="1:19">
      <c r="A744" s="66">
        <v>45688</v>
      </c>
      <c r="B744" s="24" t="s">
        <v>29</v>
      </c>
      <c r="C744" s="4">
        <v>16613</v>
      </c>
      <c r="D744" s="5">
        <v>22283</v>
      </c>
      <c r="E744" s="4">
        <v>16018</v>
      </c>
      <c r="F744" s="4">
        <v>15366</v>
      </c>
      <c r="G744" s="4">
        <f t="shared" si="67"/>
        <v>17570</v>
      </c>
      <c r="H744" s="7">
        <f t="shared" si="66"/>
        <v>4.3925000000000001</v>
      </c>
      <c r="I744" s="9">
        <f t="shared" si="71"/>
        <v>1</v>
      </c>
      <c r="J744" s="9">
        <f t="shared" si="68"/>
        <v>5.3925000000000001</v>
      </c>
      <c r="K744" s="10">
        <f t="shared" si="69"/>
        <v>6</v>
      </c>
      <c r="O744" s="36">
        <f>'DHS25'!C743</f>
        <v>13728</v>
      </c>
      <c r="P744" s="37">
        <f>'DHS25'!D743</f>
        <v>10133</v>
      </c>
      <c r="Q744" s="37">
        <f>'DHS25'!E743</f>
        <v>8054</v>
      </c>
      <c r="R744" s="38">
        <v>152.69999999999999</v>
      </c>
      <c r="S744" s="39">
        <f t="shared" si="70"/>
        <v>1229.8458000000001</v>
      </c>
    </row>
    <row r="745" spans="1:19">
      <c r="A745" s="66">
        <v>45688</v>
      </c>
      <c r="B745" s="24" t="s">
        <v>30</v>
      </c>
      <c r="C745" s="4">
        <v>14865</v>
      </c>
      <c r="D745" s="5">
        <v>20533</v>
      </c>
      <c r="E745" s="4">
        <v>14808</v>
      </c>
      <c r="F745" s="4">
        <v>13886</v>
      </c>
      <c r="G745" s="4">
        <f t="shared" si="67"/>
        <v>16023</v>
      </c>
      <c r="H745" s="7">
        <f t="shared" si="66"/>
        <v>4.0057499999999999</v>
      </c>
      <c r="I745" s="9">
        <f t="shared" si="71"/>
        <v>1</v>
      </c>
      <c r="J745" s="9">
        <f t="shared" si="68"/>
        <v>5.0057499999999999</v>
      </c>
      <c r="K745" s="10">
        <f t="shared" si="69"/>
        <v>6</v>
      </c>
      <c r="O745" s="36">
        <f>'DHS25'!C744</f>
        <v>11370</v>
      </c>
      <c r="P745" s="37">
        <f>'DHS25'!D744</f>
        <v>11253</v>
      </c>
      <c r="Q745" s="37">
        <f>'DHS25'!E744</f>
        <v>7393</v>
      </c>
      <c r="R745" s="38">
        <v>150.49</v>
      </c>
      <c r="S745" s="39">
        <f t="shared" si="70"/>
        <v>1112.57257</v>
      </c>
    </row>
    <row r="746" spans="1:19" ht="13.5" thickBot="1">
      <c r="A746" s="66">
        <v>45688</v>
      </c>
      <c r="B746" s="24" t="s">
        <v>31</v>
      </c>
      <c r="C746" s="4">
        <v>7323</v>
      </c>
      <c r="D746" s="5">
        <v>12484</v>
      </c>
      <c r="E746" s="4">
        <v>7973</v>
      </c>
      <c r="F746" s="4">
        <v>8266</v>
      </c>
      <c r="G746" s="4">
        <f t="shared" si="67"/>
        <v>9011.5</v>
      </c>
      <c r="H746" s="7">
        <f t="shared" si="66"/>
        <v>2.252875</v>
      </c>
      <c r="I746" s="9">
        <f t="shared" si="71"/>
        <v>1</v>
      </c>
      <c r="J746" s="9">
        <f t="shared" si="68"/>
        <v>3.252875</v>
      </c>
      <c r="K746" s="10">
        <f t="shared" si="69"/>
        <v>4</v>
      </c>
      <c r="O746" s="40">
        <f>'DHS25'!C745</f>
        <v>7665</v>
      </c>
      <c r="P746" s="41">
        <f>'DHS25'!D745</f>
        <v>4758</v>
      </c>
      <c r="Q746" s="41">
        <f>'DHS25'!E745</f>
        <v>3932</v>
      </c>
      <c r="R746" s="42">
        <v>134.18</v>
      </c>
      <c r="S746" s="43">
        <f t="shared" si="70"/>
        <v>527.59576000000004</v>
      </c>
    </row>
    <row r="747" spans="1:19" ht="13.5" thickBot="1">
      <c r="G747" s="115">
        <f>SUM(G3:G746)/1000</f>
        <v>11321.177750000001</v>
      </c>
      <c r="H747" s="11">
        <f>SUM(H3:H746)</f>
        <v>2830.2944374999956</v>
      </c>
      <c r="I747" s="116">
        <f>SUM(I3:I746)</f>
        <v>744</v>
      </c>
      <c r="J747" s="118">
        <f>SUM(J3:J746)</f>
        <v>3574.2944374999961</v>
      </c>
      <c r="K747" s="117">
        <f>SUM(K3:K746)</f>
        <v>3968</v>
      </c>
      <c r="O747" s="30"/>
      <c r="P747" s="30"/>
      <c r="Q747" s="30"/>
      <c r="R747" s="30"/>
      <c r="S747" s="119">
        <f>SUM(S3:S746)</f>
        <v>701120.03603000031</v>
      </c>
    </row>
  </sheetData>
  <mergeCells count="1">
    <mergeCell ref="O1:S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46"/>
  <sheetViews>
    <sheetView zoomScaleNormal="100" workbookViewId="0">
      <selection activeCell="D35" sqref="D35"/>
    </sheetView>
  </sheetViews>
  <sheetFormatPr defaultRowHeight="12.75"/>
  <cols>
    <col min="1" max="2" width="8.5703125"/>
    <col min="3" max="3" width="18.7109375"/>
    <col min="4" max="4" width="21.5703125"/>
    <col min="5" max="5" width="36.85546875"/>
    <col min="6" max="6" width="31.85546875"/>
    <col min="7" max="7" width="29.140625"/>
    <col min="8" max="1025" width="11.57031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 t="s">
        <v>8</v>
      </c>
      <c r="C2">
        <v>6127</v>
      </c>
      <c r="D2">
        <v>78</v>
      </c>
      <c r="E2">
        <v>-0.42</v>
      </c>
      <c r="F2">
        <v>17146</v>
      </c>
      <c r="G2">
        <v>8188</v>
      </c>
    </row>
    <row r="3" spans="1:7">
      <c r="A3" t="s">
        <v>7</v>
      </c>
      <c r="B3" s="1" t="s">
        <v>9</v>
      </c>
      <c r="C3">
        <v>7742</v>
      </c>
      <c r="D3">
        <v>78.2</v>
      </c>
      <c r="E3">
        <v>-0.42799999999999999</v>
      </c>
      <c r="F3">
        <v>16107</v>
      </c>
      <c r="G3">
        <v>8210</v>
      </c>
    </row>
    <row r="4" spans="1:7">
      <c r="A4" t="s">
        <v>7</v>
      </c>
      <c r="B4" s="1" t="s">
        <v>10</v>
      </c>
      <c r="C4">
        <v>9368</v>
      </c>
      <c r="D4">
        <v>77.7</v>
      </c>
      <c r="E4">
        <v>-0.435</v>
      </c>
      <c r="F4">
        <v>14446</v>
      </c>
      <c r="G4">
        <v>8180</v>
      </c>
    </row>
    <row r="5" spans="1:7">
      <c r="A5" t="s">
        <v>7</v>
      </c>
      <c r="B5" s="1" t="s">
        <v>11</v>
      </c>
      <c r="C5">
        <v>11370</v>
      </c>
      <c r="D5">
        <v>77.8</v>
      </c>
      <c r="E5">
        <v>-0.436</v>
      </c>
      <c r="F5">
        <v>12534</v>
      </c>
      <c r="G5">
        <v>8195</v>
      </c>
    </row>
    <row r="6" spans="1:7">
      <c r="A6" t="s">
        <v>7</v>
      </c>
      <c r="B6" s="1" t="s">
        <v>12</v>
      </c>
      <c r="C6">
        <v>20378</v>
      </c>
      <c r="D6">
        <v>78.2</v>
      </c>
      <c r="E6">
        <v>-0.42199999999999999</v>
      </c>
      <c r="F6">
        <v>3282</v>
      </c>
      <c r="G6">
        <v>8212</v>
      </c>
    </row>
    <row r="7" spans="1:7">
      <c r="A7" t="s">
        <v>7</v>
      </c>
      <c r="B7" s="1" t="s">
        <v>13</v>
      </c>
      <c r="C7">
        <v>20060</v>
      </c>
      <c r="D7">
        <v>78.099999999999994</v>
      </c>
      <c r="E7">
        <v>-0.41599999999999998</v>
      </c>
      <c r="F7">
        <v>3889</v>
      </c>
      <c r="G7">
        <v>8202</v>
      </c>
    </row>
    <row r="8" spans="1:7">
      <c r="A8" t="s">
        <v>7</v>
      </c>
      <c r="B8" s="1" t="s">
        <v>14</v>
      </c>
      <c r="C8">
        <v>19128</v>
      </c>
      <c r="D8">
        <v>78.5</v>
      </c>
      <c r="E8">
        <v>-0.40899999999999997</v>
      </c>
      <c r="F8">
        <v>4434</v>
      </c>
      <c r="G8">
        <v>8178</v>
      </c>
    </row>
    <row r="9" spans="1:7">
      <c r="A9" t="s">
        <v>7</v>
      </c>
      <c r="B9" s="1" t="s">
        <v>15</v>
      </c>
      <c r="C9">
        <v>15697</v>
      </c>
      <c r="D9">
        <v>78.599999999999994</v>
      </c>
      <c r="E9">
        <v>-0.41099999999999998</v>
      </c>
      <c r="F9">
        <v>8280</v>
      </c>
      <c r="G9">
        <v>8204</v>
      </c>
    </row>
    <row r="10" spans="1:7">
      <c r="A10" t="s">
        <v>7</v>
      </c>
      <c r="B10" s="1" t="s">
        <v>16</v>
      </c>
      <c r="C10">
        <v>16072</v>
      </c>
      <c r="D10">
        <v>78.7</v>
      </c>
      <c r="E10">
        <v>-0.41299999999999998</v>
      </c>
      <c r="F10">
        <v>7760</v>
      </c>
      <c r="G10">
        <v>8204</v>
      </c>
    </row>
    <row r="11" spans="1:7">
      <c r="A11" t="s">
        <v>7</v>
      </c>
      <c r="B11" s="1" t="s">
        <v>17</v>
      </c>
      <c r="C11">
        <v>16398</v>
      </c>
      <c r="D11">
        <v>78.3</v>
      </c>
      <c r="E11">
        <v>-0.42</v>
      </c>
      <c r="F11">
        <v>7779</v>
      </c>
      <c r="G11">
        <v>8206</v>
      </c>
    </row>
    <row r="12" spans="1:7">
      <c r="A12" t="s">
        <v>7</v>
      </c>
      <c r="B12" s="1" t="s">
        <v>18</v>
      </c>
      <c r="C12">
        <v>15771</v>
      </c>
      <c r="D12">
        <v>77.900000000000006</v>
      </c>
      <c r="E12">
        <v>-0.41799999999999998</v>
      </c>
      <c r="F12">
        <v>7728</v>
      </c>
      <c r="G12">
        <v>8201</v>
      </c>
    </row>
    <row r="13" spans="1:7">
      <c r="A13" t="s">
        <v>7</v>
      </c>
      <c r="B13" s="1" t="s">
        <v>19</v>
      </c>
      <c r="C13">
        <v>15834</v>
      </c>
      <c r="D13">
        <v>77.7</v>
      </c>
      <c r="E13">
        <v>-0.41699999999999998</v>
      </c>
      <c r="F13">
        <v>7458</v>
      </c>
      <c r="G13">
        <v>8171</v>
      </c>
    </row>
    <row r="14" spans="1:7">
      <c r="A14" t="s">
        <v>7</v>
      </c>
      <c r="B14" s="1" t="s">
        <v>20</v>
      </c>
      <c r="C14">
        <v>16020</v>
      </c>
      <c r="D14">
        <v>78.099999999999994</v>
      </c>
      <c r="E14">
        <v>-0.41599999999999998</v>
      </c>
      <c r="F14">
        <v>7806</v>
      </c>
      <c r="G14">
        <v>8203</v>
      </c>
    </row>
    <row r="15" spans="1:7">
      <c r="A15" t="s">
        <v>7</v>
      </c>
      <c r="B15" s="1" t="s">
        <v>21</v>
      </c>
      <c r="C15">
        <v>16600</v>
      </c>
      <c r="D15">
        <v>78.2</v>
      </c>
      <c r="E15">
        <v>-0.42</v>
      </c>
      <c r="F15">
        <v>7296</v>
      </c>
      <c r="G15">
        <v>8195</v>
      </c>
    </row>
    <row r="16" spans="1:7">
      <c r="A16" t="s">
        <v>7</v>
      </c>
      <c r="B16" s="1" t="s">
        <v>22</v>
      </c>
      <c r="C16">
        <v>15680</v>
      </c>
      <c r="D16">
        <v>77.099999999999994</v>
      </c>
      <c r="E16">
        <v>-0.43099999999999999</v>
      </c>
      <c r="F16">
        <v>7715</v>
      </c>
      <c r="G16">
        <v>8188</v>
      </c>
    </row>
    <row r="17" spans="1:7">
      <c r="A17" t="s">
        <v>7</v>
      </c>
      <c r="B17" s="1" t="s">
        <v>23</v>
      </c>
      <c r="C17">
        <v>16079</v>
      </c>
      <c r="D17">
        <v>78.3</v>
      </c>
      <c r="E17">
        <v>-0.41499999999999998</v>
      </c>
      <c r="F17">
        <v>7178</v>
      </c>
      <c r="G17">
        <v>8194</v>
      </c>
    </row>
    <row r="18" spans="1:7">
      <c r="A18" t="s">
        <v>7</v>
      </c>
      <c r="B18" s="1" t="s">
        <v>24</v>
      </c>
      <c r="C18">
        <v>17070</v>
      </c>
      <c r="D18">
        <v>78.400000000000006</v>
      </c>
      <c r="E18">
        <v>-0.41</v>
      </c>
      <c r="F18">
        <v>6192</v>
      </c>
      <c r="G18">
        <v>8202</v>
      </c>
    </row>
    <row r="19" spans="1:7">
      <c r="A19" t="s">
        <v>7</v>
      </c>
      <c r="B19" s="1" t="s">
        <v>25</v>
      </c>
      <c r="C19">
        <v>18961</v>
      </c>
      <c r="D19">
        <v>79.900000000000006</v>
      </c>
      <c r="E19">
        <v>-0.39</v>
      </c>
      <c r="F19">
        <v>4788</v>
      </c>
      <c r="G19">
        <v>8199</v>
      </c>
    </row>
    <row r="20" spans="1:7">
      <c r="A20" t="s">
        <v>7</v>
      </c>
      <c r="B20" s="1" t="s">
        <v>26</v>
      </c>
      <c r="C20">
        <v>18411</v>
      </c>
      <c r="D20">
        <v>80.400000000000006</v>
      </c>
      <c r="E20">
        <v>-0.373</v>
      </c>
      <c r="F20">
        <v>5423</v>
      </c>
      <c r="G20">
        <v>8213</v>
      </c>
    </row>
    <row r="21" spans="1:7">
      <c r="A21" t="s">
        <v>7</v>
      </c>
      <c r="B21" s="1" t="s">
        <v>27</v>
      </c>
      <c r="C21">
        <v>18783</v>
      </c>
      <c r="D21">
        <v>80.7</v>
      </c>
      <c r="E21">
        <v>-0.377</v>
      </c>
      <c r="F21">
        <v>5848</v>
      </c>
      <c r="G21">
        <v>8200</v>
      </c>
    </row>
    <row r="22" spans="1:7">
      <c r="A22" t="s">
        <v>7</v>
      </c>
      <c r="B22" s="1" t="s">
        <v>28</v>
      </c>
      <c r="C22">
        <v>19138</v>
      </c>
      <c r="D22">
        <v>80.900000000000006</v>
      </c>
      <c r="E22">
        <v>-0.377</v>
      </c>
      <c r="F22">
        <v>5649</v>
      </c>
      <c r="G22">
        <v>8211</v>
      </c>
    </row>
    <row r="23" spans="1:7">
      <c r="A23" t="s">
        <v>7</v>
      </c>
      <c r="B23" s="1" t="s">
        <v>29</v>
      </c>
      <c r="C23">
        <v>19210</v>
      </c>
      <c r="D23">
        <v>81.2</v>
      </c>
      <c r="E23">
        <v>-0.36299999999999999</v>
      </c>
      <c r="F23">
        <v>5325</v>
      </c>
      <c r="G23">
        <v>8215</v>
      </c>
    </row>
    <row r="24" spans="1:7">
      <c r="A24" t="s">
        <v>7</v>
      </c>
      <c r="B24" s="1" t="s">
        <v>30</v>
      </c>
      <c r="C24">
        <v>16991</v>
      </c>
      <c r="D24">
        <v>81.5</v>
      </c>
      <c r="E24">
        <v>-0.374</v>
      </c>
      <c r="F24">
        <v>8186</v>
      </c>
      <c r="G24">
        <v>8201</v>
      </c>
    </row>
    <row r="25" spans="1:7">
      <c r="A25" t="s">
        <v>7</v>
      </c>
      <c r="B25" s="1" t="s">
        <v>31</v>
      </c>
      <c r="C25">
        <v>8933</v>
      </c>
      <c r="D25">
        <v>83.1</v>
      </c>
      <c r="E25">
        <v>-0.34200000000000003</v>
      </c>
      <c r="F25">
        <v>15684</v>
      </c>
      <c r="G25">
        <v>8207</v>
      </c>
    </row>
    <row r="26" spans="1:7">
      <c r="A26" t="s">
        <v>32</v>
      </c>
      <c r="B26" s="1" t="s">
        <v>8</v>
      </c>
      <c r="C26">
        <v>9955</v>
      </c>
      <c r="D26">
        <v>83.3</v>
      </c>
      <c r="E26">
        <v>-0.33</v>
      </c>
      <c r="F26">
        <v>13688</v>
      </c>
      <c r="G26">
        <v>8188</v>
      </c>
    </row>
    <row r="27" spans="1:7">
      <c r="A27" t="s">
        <v>32</v>
      </c>
      <c r="B27" s="1" t="s">
        <v>9</v>
      </c>
      <c r="C27">
        <v>13334</v>
      </c>
      <c r="D27">
        <v>84</v>
      </c>
      <c r="E27">
        <v>-0.33700000000000002</v>
      </c>
      <c r="F27">
        <v>11190</v>
      </c>
      <c r="G27">
        <v>8021</v>
      </c>
    </row>
    <row r="28" spans="1:7">
      <c r="A28" t="s">
        <v>32</v>
      </c>
      <c r="B28" s="1" t="s">
        <v>10</v>
      </c>
      <c r="C28">
        <v>13725</v>
      </c>
      <c r="D28">
        <v>84.1</v>
      </c>
      <c r="E28">
        <v>-0.32800000000000001</v>
      </c>
      <c r="F28">
        <v>10720</v>
      </c>
      <c r="G28">
        <v>8202</v>
      </c>
    </row>
    <row r="29" spans="1:7">
      <c r="A29" t="s">
        <v>32</v>
      </c>
      <c r="B29" s="1" t="s">
        <v>11</v>
      </c>
      <c r="C29">
        <v>15140</v>
      </c>
      <c r="D29">
        <v>84.2</v>
      </c>
      <c r="E29">
        <v>-0.314</v>
      </c>
      <c r="F29">
        <v>8057</v>
      </c>
      <c r="G29">
        <v>8138</v>
      </c>
    </row>
    <row r="30" spans="1:7">
      <c r="A30" t="s">
        <v>32</v>
      </c>
      <c r="B30" s="1" t="s">
        <v>12</v>
      </c>
      <c r="C30">
        <v>23168</v>
      </c>
      <c r="D30">
        <v>83.9</v>
      </c>
      <c r="E30">
        <v>-0.313</v>
      </c>
      <c r="F30">
        <v>744</v>
      </c>
      <c r="G30">
        <v>8022</v>
      </c>
    </row>
    <row r="31" spans="1:7">
      <c r="A31" t="s">
        <v>32</v>
      </c>
      <c r="B31" s="1" t="s">
        <v>13</v>
      </c>
      <c r="C31">
        <v>22629</v>
      </c>
      <c r="D31">
        <v>84.1</v>
      </c>
      <c r="E31">
        <v>-0.307</v>
      </c>
      <c r="F31">
        <v>1724</v>
      </c>
      <c r="G31">
        <v>8144</v>
      </c>
    </row>
    <row r="32" spans="1:7">
      <c r="A32" t="s">
        <v>32</v>
      </c>
      <c r="B32" s="1" t="s">
        <v>14</v>
      </c>
      <c r="C32">
        <v>22791</v>
      </c>
      <c r="D32">
        <v>84.2</v>
      </c>
      <c r="E32">
        <v>-0.3</v>
      </c>
      <c r="F32">
        <v>1187</v>
      </c>
      <c r="G32">
        <v>8202</v>
      </c>
    </row>
    <row r="33" spans="1:7">
      <c r="A33" t="s">
        <v>32</v>
      </c>
      <c r="B33" s="1" t="s">
        <v>15</v>
      </c>
      <c r="C33">
        <v>17399</v>
      </c>
      <c r="D33">
        <v>81.599999999999994</v>
      </c>
      <c r="E33">
        <v>-0.36699999999999999</v>
      </c>
      <c r="F33">
        <v>7924</v>
      </c>
      <c r="G33">
        <v>8214</v>
      </c>
    </row>
    <row r="34" spans="1:7">
      <c r="A34" t="s">
        <v>32</v>
      </c>
      <c r="B34" s="1" t="s">
        <v>16</v>
      </c>
      <c r="C34">
        <v>18914</v>
      </c>
      <c r="D34">
        <v>82.8</v>
      </c>
      <c r="E34">
        <v>-0.32200000000000001</v>
      </c>
      <c r="F34">
        <v>3329</v>
      </c>
      <c r="G34">
        <v>8174</v>
      </c>
    </row>
    <row r="35" spans="1:7">
      <c r="A35" t="s">
        <v>32</v>
      </c>
      <c r="B35" s="1" t="s">
        <v>17</v>
      </c>
      <c r="C35">
        <v>19853</v>
      </c>
      <c r="D35">
        <v>81</v>
      </c>
      <c r="E35">
        <v>-0.374</v>
      </c>
      <c r="F35">
        <v>4180</v>
      </c>
      <c r="G35">
        <v>8215</v>
      </c>
    </row>
    <row r="36" spans="1:7">
      <c r="A36" t="s">
        <v>32</v>
      </c>
      <c r="B36" s="1" t="s">
        <v>18</v>
      </c>
      <c r="C36">
        <v>18433</v>
      </c>
      <c r="D36">
        <v>80.5</v>
      </c>
      <c r="E36">
        <v>-0.38100000000000001</v>
      </c>
      <c r="F36">
        <v>5739</v>
      </c>
      <c r="G36">
        <v>8200</v>
      </c>
    </row>
    <row r="37" spans="1:7">
      <c r="A37" t="s">
        <v>32</v>
      </c>
      <c r="B37" s="1" t="s">
        <v>19</v>
      </c>
      <c r="C37">
        <v>18196</v>
      </c>
      <c r="D37">
        <v>79.900000000000006</v>
      </c>
      <c r="E37">
        <v>-0.38300000000000001</v>
      </c>
      <c r="F37">
        <v>5455</v>
      </c>
      <c r="G37">
        <v>8206</v>
      </c>
    </row>
    <row r="38" spans="1:7">
      <c r="A38" t="s">
        <v>32</v>
      </c>
      <c r="B38" s="1" t="s">
        <v>20</v>
      </c>
      <c r="C38">
        <v>18014</v>
      </c>
      <c r="D38">
        <v>79.599999999999994</v>
      </c>
      <c r="E38">
        <v>-0.39600000000000002</v>
      </c>
      <c r="F38">
        <v>6934</v>
      </c>
      <c r="G38">
        <v>8203</v>
      </c>
    </row>
    <row r="39" spans="1:7">
      <c r="A39" t="s">
        <v>32</v>
      </c>
      <c r="B39" s="1" t="s">
        <v>21</v>
      </c>
      <c r="C39">
        <v>17780</v>
      </c>
      <c r="D39">
        <v>78.7</v>
      </c>
      <c r="E39">
        <v>-0.40799999999999997</v>
      </c>
      <c r="F39">
        <v>6018</v>
      </c>
      <c r="G39">
        <v>8198</v>
      </c>
    </row>
    <row r="40" spans="1:7">
      <c r="A40" t="s">
        <v>32</v>
      </c>
      <c r="B40" s="1" t="s">
        <v>22</v>
      </c>
      <c r="C40">
        <v>18377</v>
      </c>
      <c r="D40">
        <v>79.2</v>
      </c>
      <c r="E40">
        <v>-0.40300000000000002</v>
      </c>
      <c r="F40">
        <v>5997</v>
      </c>
      <c r="G40">
        <v>8188</v>
      </c>
    </row>
    <row r="41" spans="1:7">
      <c r="A41" t="s">
        <v>32</v>
      </c>
      <c r="B41" s="1" t="s">
        <v>23</v>
      </c>
      <c r="C41">
        <v>19284</v>
      </c>
      <c r="D41">
        <v>79.7</v>
      </c>
      <c r="E41">
        <v>-0.39</v>
      </c>
      <c r="F41">
        <v>4498</v>
      </c>
      <c r="G41">
        <v>8199</v>
      </c>
    </row>
    <row r="42" spans="1:7">
      <c r="A42" t="s">
        <v>32</v>
      </c>
      <c r="B42" s="1" t="s">
        <v>24</v>
      </c>
      <c r="C42">
        <v>18521</v>
      </c>
      <c r="D42">
        <v>79.7</v>
      </c>
      <c r="E42">
        <v>-0.38500000000000001</v>
      </c>
      <c r="F42">
        <v>4893</v>
      </c>
      <c r="G42">
        <v>8188</v>
      </c>
    </row>
    <row r="43" spans="1:7">
      <c r="A43" t="s">
        <v>32</v>
      </c>
      <c r="B43" s="1" t="s">
        <v>25</v>
      </c>
      <c r="C43">
        <v>19037</v>
      </c>
      <c r="D43">
        <v>80.2</v>
      </c>
      <c r="E43">
        <v>-0.373</v>
      </c>
      <c r="F43">
        <v>4673</v>
      </c>
      <c r="G43">
        <v>8201</v>
      </c>
    </row>
    <row r="44" spans="1:7">
      <c r="A44" t="s">
        <v>32</v>
      </c>
      <c r="B44" s="1" t="s">
        <v>26</v>
      </c>
      <c r="C44">
        <v>18476</v>
      </c>
      <c r="D44">
        <v>80.2</v>
      </c>
      <c r="E44">
        <v>-0.38</v>
      </c>
      <c r="F44">
        <v>5658</v>
      </c>
      <c r="G44">
        <v>8182</v>
      </c>
    </row>
    <row r="45" spans="1:7">
      <c r="A45" t="s">
        <v>32</v>
      </c>
      <c r="B45" s="1" t="s">
        <v>27</v>
      </c>
      <c r="C45">
        <v>19078</v>
      </c>
      <c r="D45">
        <v>80.599999999999994</v>
      </c>
      <c r="E45">
        <v>-0.36499999999999999</v>
      </c>
      <c r="F45">
        <v>4500</v>
      </c>
      <c r="G45">
        <v>8187</v>
      </c>
    </row>
    <row r="46" spans="1:7">
      <c r="A46" t="s">
        <v>32</v>
      </c>
      <c r="B46" s="1" t="s">
        <v>28</v>
      </c>
      <c r="C46">
        <v>19085</v>
      </c>
      <c r="D46">
        <v>80.400000000000006</v>
      </c>
      <c r="E46">
        <v>-0.374</v>
      </c>
      <c r="F46">
        <v>4565</v>
      </c>
      <c r="G46">
        <v>8198</v>
      </c>
    </row>
    <row r="47" spans="1:7">
      <c r="A47" t="s">
        <v>32</v>
      </c>
      <c r="B47" s="1" t="s">
        <v>29</v>
      </c>
      <c r="C47">
        <v>19147</v>
      </c>
      <c r="D47">
        <v>80.599999999999994</v>
      </c>
      <c r="E47">
        <v>-0.371</v>
      </c>
      <c r="F47">
        <v>4693</v>
      </c>
      <c r="G47">
        <v>8190</v>
      </c>
    </row>
    <row r="48" spans="1:7">
      <c r="A48" t="s">
        <v>32</v>
      </c>
      <c r="B48" s="1" t="s">
        <v>30</v>
      </c>
      <c r="C48">
        <v>17809</v>
      </c>
      <c r="D48">
        <v>81</v>
      </c>
      <c r="E48">
        <v>-0.36499999999999999</v>
      </c>
      <c r="F48">
        <v>6113</v>
      </c>
      <c r="G48">
        <v>8196</v>
      </c>
    </row>
    <row r="49" spans="1:7">
      <c r="A49" t="s">
        <v>32</v>
      </c>
      <c r="B49" s="1" t="s">
        <v>31</v>
      </c>
      <c r="C49">
        <v>8038</v>
      </c>
      <c r="D49">
        <v>81.099999999999994</v>
      </c>
      <c r="E49">
        <v>-0.379</v>
      </c>
      <c r="F49">
        <v>16317</v>
      </c>
      <c r="G49">
        <v>8204</v>
      </c>
    </row>
    <row r="50" spans="1:7">
      <c r="A50" t="s">
        <v>33</v>
      </c>
      <c r="B50" s="1" t="s">
        <v>8</v>
      </c>
    </row>
    <row r="51" spans="1:7">
      <c r="A51" t="s">
        <v>33</v>
      </c>
      <c r="B51" s="1" t="s">
        <v>9</v>
      </c>
    </row>
    <row r="52" spans="1:7">
      <c r="A52" t="s">
        <v>33</v>
      </c>
      <c r="B52" s="1" t="s">
        <v>10</v>
      </c>
    </row>
    <row r="53" spans="1:7">
      <c r="A53" t="s">
        <v>33</v>
      </c>
      <c r="B53" s="1" t="s">
        <v>11</v>
      </c>
    </row>
    <row r="54" spans="1:7">
      <c r="A54" t="s">
        <v>33</v>
      </c>
      <c r="B54" s="1" t="s">
        <v>12</v>
      </c>
    </row>
    <row r="55" spans="1:7">
      <c r="A55" t="s">
        <v>33</v>
      </c>
      <c r="B55" s="1" t="s">
        <v>13</v>
      </c>
    </row>
    <row r="56" spans="1:7">
      <c r="A56" t="s">
        <v>33</v>
      </c>
      <c r="B56" s="1" t="s">
        <v>14</v>
      </c>
    </row>
    <row r="57" spans="1:7">
      <c r="A57" t="s">
        <v>33</v>
      </c>
      <c r="B57" s="1" t="s">
        <v>15</v>
      </c>
    </row>
    <row r="58" spans="1:7">
      <c r="A58" t="s">
        <v>33</v>
      </c>
      <c r="B58" s="1" t="s">
        <v>16</v>
      </c>
      <c r="C58">
        <v>18692</v>
      </c>
      <c r="D58">
        <v>81.3</v>
      </c>
      <c r="E58">
        <v>-0.34399999999999997</v>
      </c>
      <c r="F58">
        <v>4711</v>
      </c>
      <c r="G58">
        <v>8177</v>
      </c>
    </row>
    <row r="59" spans="1:7">
      <c r="A59" t="s">
        <v>33</v>
      </c>
      <c r="B59" s="1" t="s">
        <v>17</v>
      </c>
      <c r="C59">
        <v>19893</v>
      </c>
      <c r="D59">
        <v>81.3</v>
      </c>
      <c r="E59">
        <v>-0.35299999999999998</v>
      </c>
      <c r="F59">
        <v>3701</v>
      </c>
      <c r="G59">
        <v>8082</v>
      </c>
    </row>
    <row r="60" spans="1:7">
      <c r="A60" t="s">
        <v>33</v>
      </c>
      <c r="B60" s="1" t="s">
        <v>18</v>
      </c>
      <c r="C60">
        <v>19605</v>
      </c>
      <c r="D60">
        <v>81.2</v>
      </c>
      <c r="E60">
        <v>-0.35299999999999998</v>
      </c>
      <c r="F60">
        <v>3932</v>
      </c>
      <c r="G60">
        <v>8178</v>
      </c>
    </row>
    <row r="61" spans="1:7">
      <c r="A61" t="s">
        <v>33</v>
      </c>
      <c r="B61" s="1" t="s">
        <v>19</v>
      </c>
      <c r="C61">
        <v>20343</v>
      </c>
      <c r="D61">
        <v>81.400000000000006</v>
      </c>
      <c r="E61">
        <v>-0.35</v>
      </c>
      <c r="F61">
        <v>3639</v>
      </c>
      <c r="G61">
        <v>8146</v>
      </c>
    </row>
    <row r="62" spans="1:7">
      <c r="A62" t="s">
        <v>33</v>
      </c>
      <c r="B62" s="1" t="s">
        <v>20</v>
      </c>
      <c r="C62">
        <v>19411</v>
      </c>
      <c r="D62">
        <v>81.2</v>
      </c>
      <c r="E62">
        <v>-0.35299999999999998</v>
      </c>
      <c r="F62">
        <v>4410</v>
      </c>
      <c r="G62">
        <v>8152</v>
      </c>
    </row>
    <row r="63" spans="1:7">
      <c r="A63" t="s">
        <v>33</v>
      </c>
      <c r="B63" s="1" t="s">
        <v>21</v>
      </c>
      <c r="C63">
        <v>19432</v>
      </c>
      <c r="D63">
        <v>81.2</v>
      </c>
      <c r="E63">
        <v>-0.35399999999999998</v>
      </c>
      <c r="F63">
        <v>4813</v>
      </c>
      <c r="G63">
        <v>8181</v>
      </c>
    </row>
    <row r="64" spans="1:7">
      <c r="A64" t="s">
        <v>33</v>
      </c>
      <c r="B64" s="1" t="s">
        <v>22</v>
      </c>
      <c r="C64">
        <v>19107</v>
      </c>
      <c r="D64">
        <v>81</v>
      </c>
      <c r="E64">
        <v>-0.35299999999999998</v>
      </c>
      <c r="F64">
        <v>4469</v>
      </c>
      <c r="G64">
        <v>8205</v>
      </c>
    </row>
    <row r="65" spans="1:7">
      <c r="A65" t="s">
        <v>33</v>
      </c>
      <c r="B65" s="1" t="s">
        <v>23</v>
      </c>
      <c r="C65">
        <v>19440</v>
      </c>
      <c r="D65">
        <v>81.099999999999994</v>
      </c>
      <c r="E65">
        <v>-0.35299999999999998</v>
      </c>
      <c r="F65">
        <v>4616</v>
      </c>
      <c r="G65">
        <v>8190</v>
      </c>
    </row>
    <row r="66" spans="1:7">
      <c r="A66" t="s">
        <v>33</v>
      </c>
      <c r="B66" s="1" t="s">
        <v>24</v>
      </c>
      <c r="C66">
        <v>18906</v>
      </c>
      <c r="D66">
        <v>80.900000000000006</v>
      </c>
      <c r="E66">
        <v>-0.36</v>
      </c>
      <c r="F66">
        <v>4764</v>
      </c>
      <c r="G66">
        <v>8160</v>
      </c>
    </row>
    <row r="67" spans="1:7">
      <c r="A67" t="s">
        <v>33</v>
      </c>
      <c r="B67" s="1" t="s">
        <v>25</v>
      </c>
      <c r="C67">
        <v>18865</v>
      </c>
      <c r="D67">
        <v>80.3</v>
      </c>
      <c r="E67">
        <v>-0.374</v>
      </c>
      <c r="F67">
        <v>5129</v>
      </c>
      <c r="G67">
        <v>8200</v>
      </c>
    </row>
    <row r="68" spans="1:7">
      <c r="A68" t="s">
        <v>33</v>
      </c>
      <c r="B68" s="1" t="s">
        <v>26</v>
      </c>
      <c r="C68">
        <v>19659</v>
      </c>
      <c r="D68">
        <v>81</v>
      </c>
      <c r="E68">
        <v>-0.35</v>
      </c>
      <c r="F68">
        <v>3989</v>
      </c>
      <c r="G68">
        <v>8206</v>
      </c>
    </row>
    <row r="69" spans="1:7">
      <c r="A69" t="s">
        <v>33</v>
      </c>
      <c r="B69" s="1" t="s">
        <v>27</v>
      </c>
      <c r="C69">
        <v>19864</v>
      </c>
      <c r="D69">
        <v>81.3</v>
      </c>
      <c r="E69">
        <v>-0.34699999999999998</v>
      </c>
      <c r="F69">
        <v>4340</v>
      </c>
      <c r="G69">
        <v>8195</v>
      </c>
    </row>
    <row r="70" spans="1:7">
      <c r="A70" t="s">
        <v>33</v>
      </c>
      <c r="B70" s="1" t="s">
        <v>28</v>
      </c>
      <c r="C70">
        <v>19634</v>
      </c>
      <c r="D70">
        <v>81</v>
      </c>
      <c r="E70">
        <v>-0.35299999999999998</v>
      </c>
      <c r="F70">
        <v>4423</v>
      </c>
      <c r="G70">
        <v>8203</v>
      </c>
    </row>
    <row r="71" spans="1:7">
      <c r="A71" t="s">
        <v>33</v>
      </c>
      <c r="B71" s="1" t="s">
        <v>29</v>
      </c>
      <c r="C71">
        <v>19580</v>
      </c>
      <c r="D71">
        <v>81.5</v>
      </c>
      <c r="E71">
        <v>-0.34399999999999997</v>
      </c>
      <c r="F71">
        <v>4447</v>
      </c>
      <c r="G71">
        <v>8196</v>
      </c>
    </row>
    <row r="72" spans="1:7">
      <c r="A72" t="s">
        <v>33</v>
      </c>
      <c r="B72" s="1" t="s">
        <v>30</v>
      </c>
      <c r="C72">
        <v>17151</v>
      </c>
      <c r="D72">
        <v>81.2</v>
      </c>
      <c r="E72">
        <v>-0.34899999999999998</v>
      </c>
      <c r="F72">
        <v>6063</v>
      </c>
      <c r="G72">
        <v>8184</v>
      </c>
    </row>
    <row r="73" spans="1:7">
      <c r="A73" t="s">
        <v>33</v>
      </c>
      <c r="B73" s="1" t="s">
        <v>31</v>
      </c>
      <c r="C73">
        <v>8328</v>
      </c>
      <c r="D73">
        <v>81.5</v>
      </c>
      <c r="E73">
        <v>-0.35399999999999998</v>
      </c>
      <c r="F73">
        <v>15807</v>
      </c>
      <c r="G73">
        <v>8198</v>
      </c>
    </row>
    <row r="74" spans="1:7">
      <c r="A74" t="s">
        <v>34</v>
      </c>
      <c r="B74" s="1" t="s">
        <v>8</v>
      </c>
      <c r="C74">
        <v>8694</v>
      </c>
      <c r="D74">
        <v>81.099999999999994</v>
      </c>
      <c r="E74">
        <v>-0.35699999999999998</v>
      </c>
      <c r="F74">
        <v>15181</v>
      </c>
      <c r="G74">
        <v>8181</v>
      </c>
    </row>
    <row r="75" spans="1:7">
      <c r="A75" t="s">
        <v>34</v>
      </c>
      <c r="B75" s="1" t="s">
        <v>9</v>
      </c>
      <c r="C75">
        <v>11317</v>
      </c>
      <c r="D75">
        <v>81.400000000000006</v>
      </c>
      <c r="E75">
        <v>-0.36199999999999999</v>
      </c>
      <c r="F75">
        <v>12589</v>
      </c>
      <c r="G75">
        <v>8201</v>
      </c>
    </row>
    <row r="76" spans="1:7">
      <c r="A76" t="s">
        <v>34</v>
      </c>
      <c r="B76" s="1" t="s">
        <v>10</v>
      </c>
      <c r="C76">
        <v>12217</v>
      </c>
      <c r="D76">
        <v>81.2</v>
      </c>
      <c r="E76">
        <v>-0.37</v>
      </c>
      <c r="F76">
        <v>11976</v>
      </c>
      <c r="G76">
        <v>8220</v>
      </c>
    </row>
    <row r="77" spans="1:7">
      <c r="A77" t="s">
        <v>34</v>
      </c>
      <c r="B77" s="1" t="s">
        <v>11</v>
      </c>
      <c r="C77">
        <v>13852</v>
      </c>
      <c r="D77">
        <v>81.2</v>
      </c>
      <c r="E77">
        <v>-0.36699999999999999</v>
      </c>
      <c r="F77">
        <v>10344</v>
      </c>
      <c r="G77">
        <v>8200</v>
      </c>
    </row>
    <row r="78" spans="1:7">
      <c r="A78" t="s">
        <v>34</v>
      </c>
      <c r="B78" s="1" t="s">
        <v>12</v>
      </c>
      <c r="C78">
        <v>21771</v>
      </c>
      <c r="D78">
        <v>81.2</v>
      </c>
      <c r="E78">
        <v>-0.35699999999999998</v>
      </c>
      <c r="F78">
        <v>2205</v>
      </c>
      <c r="G78">
        <v>8197</v>
      </c>
    </row>
    <row r="79" spans="1:7">
      <c r="A79" t="s">
        <v>34</v>
      </c>
      <c r="B79" s="1" t="s">
        <v>13</v>
      </c>
      <c r="C79">
        <v>20246</v>
      </c>
      <c r="D79">
        <v>81</v>
      </c>
      <c r="E79">
        <v>-0.34399999999999997</v>
      </c>
      <c r="F79">
        <v>3392</v>
      </c>
      <c r="G79">
        <v>8201</v>
      </c>
    </row>
    <row r="80" spans="1:7">
      <c r="A80" t="s">
        <v>34</v>
      </c>
      <c r="B80" s="1" t="s">
        <v>14</v>
      </c>
      <c r="C80">
        <v>21888</v>
      </c>
      <c r="D80">
        <v>81.5</v>
      </c>
      <c r="E80">
        <v>-0.33400000000000002</v>
      </c>
      <c r="F80">
        <v>1445</v>
      </c>
      <c r="G80">
        <v>8180</v>
      </c>
    </row>
    <row r="81" spans="1:7">
      <c r="A81" t="s">
        <v>34</v>
      </c>
      <c r="B81" s="1" t="s">
        <v>15</v>
      </c>
      <c r="C81">
        <v>17500</v>
      </c>
      <c r="D81">
        <v>81.3</v>
      </c>
      <c r="E81">
        <v>-0.34300000000000003</v>
      </c>
      <c r="F81">
        <v>6068</v>
      </c>
      <c r="G81">
        <v>8176</v>
      </c>
    </row>
    <row r="82" spans="1:7">
      <c r="A82" t="s">
        <v>34</v>
      </c>
      <c r="B82" s="1" t="s">
        <v>16</v>
      </c>
      <c r="C82">
        <v>18132</v>
      </c>
      <c r="D82">
        <v>81</v>
      </c>
      <c r="E82">
        <v>-0.35099999999999998</v>
      </c>
      <c r="F82">
        <v>5754</v>
      </c>
      <c r="G82">
        <v>8203</v>
      </c>
    </row>
    <row r="83" spans="1:7">
      <c r="A83" t="s">
        <v>34</v>
      </c>
      <c r="B83" s="1" t="s">
        <v>17</v>
      </c>
      <c r="C83">
        <v>19528</v>
      </c>
      <c r="D83">
        <v>81.3</v>
      </c>
      <c r="E83">
        <v>-0.34399999999999997</v>
      </c>
      <c r="F83">
        <v>4211</v>
      </c>
      <c r="G83">
        <v>8188</v>
      </c>
    </row>
    <row r="84" spans="1:7">
      <c r="A84" t="s">
        <v>34</v>
      </c>
      <c r="B84" s="1" t="s">
        <v>18</v>
      </c>
      <c r="C84">
        <v>18537</v>
      </c>
      <c r="D84">
        <v>80.599999999999994</v>
      </c>
      <c r="E84">
        <v>-0.35099999999999998</v>
      </c>
      <c r="F84">
        <v>4599</v>
      </c>
      <c r="G84">
        <v>8190</v>
      </c>
    </row>
    <row r="85" spans="1:7">
      <c r="A85" t="s">
        <v>34</v>
      </c>
      <c r="B85" s="1" t="s">
        <v>19</v>
      </c>
      <c r="C85">
        <v>18950</v>
      </c>
      <c r="D85">
        <v>80.5</v>
      </c>
      <c r="E85">
        <v>-0.35899999999999999</v>
      </c>
      <c r="F85">
        <v>4014</v>
      </c>
      <c r="G85">
        <v>8206</v>
      </c>
    </row>
    <row r="86" spans="1:7">
      <c r="A86" t="s">
        <v>34</v>
      </c>
      <c r="B86" s="1" t="s">
        <v>20</v>
      </c>
      <c r="C86">
        <v>18510</v>
      </c>
      <c r="D86">
        <v>80.3</v>
      </c>
      <c r="E86">
        <v>-0.36199999999999999</v>
      </c>
      <c r="F86">
        <v>4728</v>
      </c>
      <c r="G86">
        <v>8200</v>
      </c>
    </row>
    <row r="87" spans="1:7">
      <c r="A87" t="s">
        <v>34</v>
      </c>
      <c r="B87" s="1" t="s">
        <v>21</v>
      </c>
      <c r="C87">
        <v>19687</v>
      </c>
      <c r="D87">
        <v>80.8</v>
      </c>
      <c r="E87">
        <v>-0.35299999999999998</v>
      </c>
      <c r="F87">
        <v>3930</v>
      </c>
      <c r="G87">
        <v>8201</v>
      </c>
    </row>
    <row r="88" spans="1:7">
      <c r="A88" t="s">
        <v>34</v>
      </c>
      <c r="B88" s="1" t="s">
        <v>22</v>
      </c>
      <c r="C88">
        <v>20029</v>
      </c>
      <c r="D88">
        <v>80.599999999999994</v>
      </c>
      <c r="E88">
        <v>-0.35599999999999998</v>
      </c>
      <c r="F88">
        <v>3858</v>
      </c>
      <c r="G88">
        <v>8185</v>
      </c>
    </row>
    <row r="89" spans="1:7">
      <c r="A89" t="s">
        <v>34</v>
      </c>
      <c r="B89" s="1" t="s">
        <v>23</v>
      </c>
      <c r="C89">
        <v>19161</v>
      </c>
      <c r="D89">
        <v>80.599999999999994</v>
      </c>
      <c r="E89">
        <v>-0.35499999999999998</v>
      </c>
      <c r="F89">
        <v>4385</v>
      </c>
      <c r="G89">
        <v>8206</v>
      </c>
    </row>
    <row r="90" spans="1:7">
      <c r="A90" t="s">
        <v>34</v>
      </c>
      <c r="B90" s="1" t="s">
        <v>24</v>
      </c>
      <c r="C90">
        <v>19775</v>
      </c>
      <c r="D90">
        <v>80.7</v>
      </c>
      <c r="E90">
        <v>-0.35</v>
      </c>
      <c r="F90">
        <v>3768</v>
      </c>
      <c r="G90">
        <v>8196</v>
      </c>
    </row>
    <row r="91" spans="1:7">
      <c r="A91" t="s">
        <v>34</v>
      </c>
      <c r="B91" s="1" t="s">
        <v>25</v>
      </c>
      <c r="C91">
        <v>19891</v>
      </c>
      <c r="D91">
        <v>80.8</v>
      </c>
      <c r="E91">
        <v>-0.34899999999999998</v>
      </c>
      <c r="F91">
        <v>3824</v>
      </c>
      <c r="G91">
        <v>8191</v>
      </c>
    </row>
    <row r="92" spans="1:7">
      <c r="A92" t="s">
        <v>34</v>
      </c>
      <c r="B92" s="1" t="s">
        <v>26</v>
      </c>
      <c r="C92">
        <v>19315</v>
      </c>
      <c r="D92">
        <v>80.8</v>
      </c>
      <c r="E92">
        <v>-0.34799999999999998</v>
      </c>
      <c r="F92">
        <v>4432</v>
      </c>
      <c r="G92">
        <v>8199</v>
      </c>
    </row>
    <row r="93" spans="1:7">
      <c r="A93" t="s">
        <v>34</v>
      </c>
      <c r="B93" s="1" t="s">
        <v>27</v>
      </c>
      <c r="C93">
        <v>19896</v>
      </c>
      <c r="D93">
        <v>81</v>
      </c>
      <c r="E93">
        <v>-0.34200000000000003</v>
      </c>
      <c r="F93">
        <v>3847</v>
      </c>
      <c r="G93">
        <v>8204</v>
      </c>
    </row>
    <row r="94" spans="1:7">
      <c r="A94" t="s">
        <v>34</v>
      </c>
      <c r="B94" s="1" t="s">
        <v>28</v>
      </c>
      <c r="C94">
        <v>19396</v>
      </c>
      <c r="D94">
        <v>80.599999999999994</v>
      </c>
      <c r="E94">
        <v>-0.35099999999999998</v>
      </c>
      <c r="F94">
        <v>4426</v>
      </c>
      <c r="G94">
        <v>8196</v>
      </c>
    </row>
    <row r="95" spans="1:7">
      <c r="A95" t="s">
        <v>34</v>
      </c>
      <c r="B95" s="1" t="s">
        <v>29</v>
      </c>
      <c r="C95">
        <v>19258</v>
      </c>
      <c r="D95">
        <v>81.099999999999994</v>
      </c>
      <c r="E95">
        <v>-0.34100000000000003</v>
      </c>
      <c r="F95">
        <v>4388</v>
      </c>
      <c r="G95">
        <v>8204</v>
      </c>
    </row>
    <row r="96" spans="1:7">
      <c r="A96" t="s">
        <v>34</v>
      </c>
      <c r="B96" s="1" t="s">
        <v>30</v>
      </c>
      <c r="C96">
        <v>17536</v>
      </c>
      <c r="D96">
        <v>80.7</v>
      </c>
      <c r="E96">
        <v>-0.35299999999999998</v>
      </c>
      <c r="F96">
        <v>6397</v>
      </c>
      <c r="G96">
        <v>8205</v>
      </c>
    </row>
    <row r="97" spans="1:7">
      <c r="A97" t="s">
        <v>34</v>
      </c>
      <c r="B97" s="1" t="s">
        <v>31</v>
      </c>
      <c r="C97">
        <v>8378</v>
      </c>
      <c r="D97">
        <v>80.900000000000006</v>
      </c>
      <c r="E97">
        <v>-0.35799999999999998</v>
      </c>
      <c r="F97">
        <v>15225</v>
      </c>
      <c r="G97">
        <v>8203</v>
      </c>
    </row>
    <row r="98" spans="1:7">
      <c r="A98" t="s">
        <v>35</v>
      </c>
      <c r="B98" s="1" t="s">
        <v>8</v>
      </c>
      <c r="C98">
        <v>9294</v>
      </c>
      <c r="D98">
        <v>81.599999999999994</v>
      </c>
      <c r="E98">
        <v>-0.35099999999999998</v>
      </c>
      <c r="F98">
        <v>14987</v>
      </c>
      <c r="G98">
        <v>8179</v>
      </c>
    </row>
    <row r="99" spans="1:7">
      <c r="A99" t="s">
        <v>35</v>
      </c>
      <c r="B99" s="1" t="s">
        <v>9</v>
      </c>
      <c r="C99">
        <v>11596</v>
      </c>
      <c r="D99">
        <v>81.5</v>
      </c>
      <c r="E99">
        <v>-0.35499999999999998</v>
      </c>
      <c r="F99">
        <v>11742</v>
      </c>
      <c r="G99">
        <v>8193</v>
      </c>
    </row>
    <row r="100" spans="1:7">
      <c r="A100" t="s">
        <v>35</v>
      </c>
      <c r="B100" s="1" t="s">
        <v>10</v>
      </c>
      <c r="C100">
        <v>12346</v>
      </c>
      <c r="D100">
        <v>81.400000000000006</v>
      </c>
      <c r="E100">
        <v>-0.36199999999999999</v>
      </c>
      <c r="F100">
        <v>11668</v>
      </c>
      <c r="G100">
        <v>8210</v>
      </c>
    </row>
    <row r="101" spans="1:7">
      <c r="A101" t="s">
        <v>35</v>
      </c>
      <c r="B101" s="1" t="s">
        <v>11</v>
      </c>
      <c r="C101">
        <v>13319</v>
      </c>
      <c r="D101">
        <v>81</v>
      </c>
      <c r="E101">
        <v>-0.376</v>
      </c>
      <c r="F101">
        <v>11181</v>
      </c>
      <c r="G101">
        <v>8199</v>
      </c>
    </row>
    <row r="102" spans="1:7">
      <c r="A102" t="s">
        <v>35</v>
      </c>
      <c r="B102" s="1" t="s">
        <v>12</v>
      </c>
      <c r="C102">
        <v>20120</v>
      </c>
      <c r="D102">
        <v>79.900000000000006</v>
      </c>
      <c r="E102">
        <v>-0.379</v>
      </c>
      <c r="F102">
        <v>3832</v>
      </c>
      <c r="G102">
        <v>8208</v>
      </c>
    </row>
    <row r="103" spans="1:7">
      <c r="A103" t="s">
        <v>35</v>
      </c>
      <c r="B103" s="1" t="s">
        <v>13</v>
      </c>
      <c r="C103">
        <v>18458</v>
      </c>
      <c r="D103">
        <v>79.400000000000006</v>
      </c>
      <c r="E103">
        <v>-0.38100000000000001</v>
      </c>
      <c r="F103">
        <v>5219</v>
      </c>
      <c r="G103">
        <v>8186</v>
      </c>
    </row>
    <row r="104" spans="1:7">
      <c r="A104" t="s">
        <v>35</v>
      </c>
      <c r="B104" s="1" t="s">
        <v>14</v>
      </c>
      <c r="C104">
        <v>19944</v>
      </c>
      <c r="D104">
        <v>79.5</v>
      </c>
      <c r="E104">
        <v>-0.38100000000000001</v>
      </c>
      <c r="F104">
        <v>3915</v>
      </c>
      <c r="G104">
        <v>8202</v>
      </c>
    </row>
    <row r="105" spans="1:7">
      <c r="A105" t="s">
        <v>35</v>
      </c>
      <c r="B105" s="1" t="s">
        <v>15</v>
      </c>
      <c r="C105">
        <v>18035</v>
      </c>
      <c r="D105">
        <v>79.400000000000006</v>
      </c>
      <c r="E105">
        <v>-0.38400000000000001</v>
      </c>
      <c r="F105">
        <v>5685</v>
      </c>
      <c r="G105">
        <v>8209</v>
      </c>
    </row>
    <row r="106" spans="1:7">
      <c r="A106" t="s">
        <v>35</v>
      </c>
      <c r="B106" s="1" t="s">
        <v>16</v>
      </c>
      <c r="C106">
        <v>18038</v>
      </c>
      <c r="D106">
        <v>79.599999999999994</v>
      </c>
      <c r="E106">
        <v>-0.377</v>
      </c>
      <c r="F106">
        <v>6056</v>
      </c>
      <c r="G106">
        <v>8193</v>
      </c>
    </row>
    <row r="107" spans="1:7">
      <c r="A107" t="s">
        <v>35</v>
      </c>
      <c r="B107" s="1" t="s">
        <v>17</v>
      </c>
      <c r="C107">
        <v>18737</v>
      </c>
      <c r="D107">
        <v>79.2</v>
      </c>
      <c r="E107">
        <v>-0.39</v>
      </c>
      <c r="F107">
        <v>4877</v>
      </c>
      <c r="G107">
        <v>8204</v>
      </c>
    </row>
    <row r="108" spans="1:7">
      <c r="A108" t="s">
        <v>35</v>
      </c>
      <c r="B108" s="1" t="s">
        <v>18</v>
      </c>
      <c r="C108">
        <v>18683</v>
      </c>
      <c r="D108">
        <v>78.900000000000006</v>
      </c>
      <c r="E108">
        <v>-0.39300000000000002</v>
      </c>
      <c r="F108">
        <v>5024</v>
      </c>
      <c r="G108">
        <v>8201</v>
      </c>
    </row>
    <row r="109" spans="1:7">
      <c r="A109" t="s">
        <v>35</v>
      </c>
      <c r="B109" s="1" t="s">
        <v>19</v>
      </c>
      <c r="C109">
        <v>18477</v>
      </c>
      <c r="D109">
        <v>79</v>
      </c>
      <c r="E109">
        <v>-0.39900000000000002</v>
      </c>
      <c r="F109">
        <v>5580</v>
      </c>
      <c r="G109">
        <v>8198</v>
      </c>
    </row>
    <row r="110" spans="1:7">
      <c r="A110" t="s">
        <v>35</v>
      </c>
      <c r="B110" s="1" t="s">
        <v>20</v>
      </c>
      <c r="C110">
        <v>18566</v>
      </c>
      <c r="D110">
        <v>79</v>
      </c>
      <c r="E110">
        <v>-0.40600000000000003</v>
      </c>
      <c r="F110">
        <v>5835</v>
      </c>
      <c r="G110">
        <v>8209</v>
      </c>
    </row>
    <row r="111" spans="1:7">
      <c r="A111" t="s">
        <v>35</v>
      </c>
      <c r="B111" s="1" t="s">
        <v>21</v>
      </c>
      <c r="C111">
        <v>17643</v>
      </c>
      <c r="D111">
        <v>78.900000000000006</v>
      </c>
      <c r="E111">
        <v>-0.39500000000000002</v>
      </c>
      <c r="F111">
        <v>6039</v>
      </c>
      <c r="G111">
        <v>8198</v>
      </c>
    </row>
    <row r="112" spans="1:7">
      <c r="A112" t="s">
        <v>35</v>
      </c>
      <c r="B112" s="1" t="s">
        <v>22</v>
      </c>
      <c r="C112">
        <v>18444</v>
      </c>
      <c r="D112">
        <v>79.3</v>
      </c>
      <c r="E112">
        <v>-0.38700000000000001</v>
      </c>
      <c r="F112">
        <v>5212</v>
      </c>
      <c r="G112">
        <v>8197</v>
      </c>
    </row>
    <row r="113" spans="1:7">
      <c r="A113" t="s">
        <v>35</v>
      </c>
      <c r="B113" s="1" t="s">
        <v>23</v>
      </c>
      <c r="C113">
        <v>18433</v>
      </c>
      <c r="D113">
        <v>79.3</v>
      </c>
      <c r="E113">
        <v>-0.39100000000000001</v>
      </c>
      <c r="F113">
        <v>5303</v>
      </c>
      <c r="G113">
        <v>8198</v>
      </c>
    </row>
    <row r="114" spans="1:7">
      <c r="A114" t="s">
        <v>35</v>
      </c>
      <c r="B114" s="1" t="s">
        <v>24</v>
      </c>
      <c r="C114">
        <v>18518</v>
      </c>
      <c r="D114">
        <v>80</v>
      </c>
      <c r="E114">
        <v>-0.374</v>
      </c>
      <c r="F114">
        <v>4947</v>
      </c>
      <c r="G114">
        <v>8181</v>
      </c>
    </row>
    <row r="115" spans="1:7">
      <c r="A115" t="s">
        <v>35</v>
      </c>
      <c r="B115" s="1" t="s">
        <v>25</v>
      </c>
      <c r="C115">
        <v>19946</v>
      </c>
      <c r="D115">
        <v>80.599999999999994</v>
      </c>
      <c r="E115">
        <v>-0.36599999999999999</v>
      </c>
      <c r="F115">
        <v>3901</v>
      </c>
      <c r="G115">
        <v>8196</v>
      </c>
    </row>
    <row r="116" spans="1:7">
      <c r="A116" t="s">
        <v>35</v>
      </c>
      <c r="B116" s="1" t="s">
        <v>26</v>
      </c>
      <c r="C116">
        <v>15995</v>
      </c>
      <c r="D116">
        <v>77.8</v>
      </c>
      <c r="E116">
        <v>-0.42399999999999999</v>
      </c>
      <c r="F116">
        <v>7290</v>
      </c>
      <c r="G116">
        <v>8203</v>
      </c>
    </row>
    <row r="117" spans="1:7">
      <c r="A117" t="s">
        <v>35</v>
      </c>
      <c r="B117" s="1" t="s">
        <v>27</v>
      </c>
      <c r="C117">
        <v>19505</v>
      </c>
      <c r="D117">
        <v>80.099999999999994</v>
      </c>
      <c r="E117">
        <v>-0.376</v>
      </c>
      <c r="F117">
        <v>4354</v>
      </c>
      <c r="G117">
        <v>8203</v>
      </c>
    </row>
    <row r="118" spans="1:7">
      <c r="A118" t="s">
        <v>35</v>
      </c>
      <c r="B118" s="1" t="s">
        <v>28</v>
      </c>
      <c r="C118">
        <v>18443</v>
      </c>
      <c r="D118">
        <v>79.2</v>
      </c>
      <c r="E118">
        <v>-0.39700000000000002</v>
      </c>
      <c r="F118">
        <v>5640</v>
      </c>
      <c r="G118">
        <v>8205</v>
      </c>
    </row>
    <row r="119" spans="1:7">
      <c r="A119" t="s">
        <v>35</v>
      </c>
      <c r="B119" s="1" t="s">
        <v>29</v>
      </c>
      <c r="C119">
        <v>18150</v>
      </c>
      <c r="D119">
        <v>79.400000000000006</v>
      </c>
      <c r="E119">
        <v>-0.39300000000000002</v>
      </c>
      <c r="F119">
        <v>5469</v>
      </c>
      <c r="G119">
        <v>8199</v>
      </c>
    </row>
    <row r="120" spans="1:7">
      <c r="A120" t="s">
        <v>35</v>
      </c>
      <c r="B120" s="1" t="s">
        <v>30</v>
      </c>
      <c r="C120">
        <v>17197</v>
      </c>
      <c r="D120">
        <v>78.400000000000006</v>
      </c>
      <c r="E120">
        <v>-0.41299999999999998</v>
      </c>
      <c r="F120">
        <v>6037</v>
      </c>
      <c r="G120">
        <v>8203</v>
      </c>
    </row>
    <row r="121" spans="1:7">
      <c r="A121" t="s">
        <v>35</v>
      </c>
      <c r="B121" s="1" t="s">
        <v>31</v>
      </c>
      <c r="C121">
        <v>8257</v>
      </c>
      <c r="D121">
        <v>79.8</v>
      </c>
      <c r="E121">
        <v>-0.40200000000000002</v>
      </c>
      <c r="F121">
        <v>15791</v>
      </c>
      <c r="G121">
        <v>8193</v>
      </c>
    </row>
    <row r="122" spans="1:7">
      <c r="A122" t="s">
        <v>36</v>
      </c>
      <c r="B122" s="1" t="s">
        <v>8</v>
      </c>
      <c r="C122">
        <v>7998</v>
      </c>
      <c r="D122">
        <v>79.900000000000006</v>
      </c>
      <c r="E122">
        <v>-0.39700000000000002</v>
      </c>
      <c r="F122">
        <v>14992</v>
      </c>
      <c r="G122">
        <v>7986</v>
      </c>
    </row>
    <row r="123" spans="1:7">
      <c r="A123" t="s">
        <v>36</v>
      </c>
      <c r="B123" s="1" t="s">
        <v>9</v>
      </c>
      <c r="C123">
        <v>10100</v>
      </c>
      <c r="D123">
        <v>79.8</v>
      </c>
      <c r="E123">
        <v>-0.4</v>
      </c>
      <c r="F123">
        <v>12696</v>
      </c>
      <c r="G123">
        <v>8088</v>
      </c>
    </row>
    <row r="124" spans="1:7">
      <c r="A124" t="s">
        <v>36</v>
      </c>
      <c r="B124" s="1" t="s">
        <v>10</v>
      </c>
      <c r="C124">
        <v>12440</v>
      </c>
      <c r="D124">
        <v>80.2</v>
      </c>
      <c r="E124">
        <v>-0.4</v>
      </c>
      <c r="F124">
        <v>11162</v>
      </c>
      <c r="G124">
        <v>8198</v>
      </c>
    </row>
    <row r="125" spans="1:7">
      <c r="A125" t="s">
        <v>36</v>
      </c>
      <c r="B125" s="1" t="s">
        <v>11</v>
      </c>
      <c r="C125">
        <v>15011</v>
      </c>
      <c r="D125">
        <v>81.5</v>
      </c>
      <c r="E125">
        <v>-0.371</v>
      </c>
      <c r="F125">
        <v>8912</v>
      </c>
      <c r="G125">
        <v>8196</v>
      </c>
    </row>
    <row r="126" spans="1:7">
      <c r="A126" t="s">
        <v>36</v>
      </c>
      <c r="B126" s="1" t="s">
        <v>12</v>
      </c>
      <c r="C126">
        <v>23954</v>
      </c>
      <c r="D126">
        <v>82.9</v>
      </c>
      <c r="E126">
        <v>-0.33700000000000002</v>
      </c>
      <c r="F126">
        <v>47</v>
      </c>
      <c r="G126">
        <v>8184</v>
      </c>
    </row>
    <row r="127" spans="1:7">
      <c r="A127" t="s">
        <v>36</v>
      </c>
      <c r="B127" s="1" t="s">
        <v>13</v>
      </c>
      <c r="C127">
        <v>23798</v>
      </c>
      <c r="D127">
        <v>83.5</v>
      </c>
      <c r="E127">
        <v>-0.315</v>
      </c>
      <c r="F127">
        <v>27</v>
      </c>
      <c r="G127">
        <v>8087</v>
      </c>
    </row>
    <row r="128" spans="1:7">
      <c r="A128" t="s">
        <v>36</v>
      </c>
      <c r="B128" s="1" t="s">
        <v>14</v>
      </c>
      <c r="C128">
        <v>24011</v>
      </c>
      <c r="D128">
        <v>83.4</v>
      </c>
      <c r="E128">
        <v>-0.314</v>
      </c>
      <c r="F128">
        <v>22</v>
      </c>
      <c r="G128">
        <v>8104</v>
      </c>
    </row>
    <row r="129" spans="1:7">
      <c r="A129" t="s">
        <v>36</v>
      </c>
      <c r="B129" s="1" t="s">
        <v>15</v>
      </c>
      <c r="C129">
        <v>16733</v>
      </c>
      <c r="D129">
        <v>82.4</v>
      </c>
      <c r="E129">
        <v>-0.33700000000000002</v>
      </c>
      <c r="F129">
        <v>7201</v>
      </c>
      <c r="G129">
        <v>8207</v>
      </c>
    </row>
    <row r="130" spans="1:7">
      <c r="A130" t="s">
        <v>36</v>
      </c>
      <c r="B130" s="1" t="s">
        <v>16</v>
      </c>
      <c r="C130">
        <v>20453</v>
      </c>
      <c r="D130">
        <v>82.7</v>
      </c>
      <c r="E130">
        <v>-0.34699999999999998</v>
      </c>
      <c r="F130">
        <v>4381</v>
      </c>
      <c r="G130">
        <v>8127</v>
      </c>
    </row>
    <row r="131" spans="1:7">
      <c r="A131" t="s">
        <v>36</v>
      </c>
      <c r="B131" s="1" t="s">
        <v>17</v>
      </c>
      <c r="C131">
        <v>20012</v>
      </c>
      <c r="D131">
        <v>82.2</v>
      </c>
      <c r="E131">
        <v>-0.34699999999999998</v>
      </c>
      <c r="F131">
        <v>4285</v>
      </c>
      <c r="G131">
        <v>8123</v>
      </c>
    </row>
    <row r="132" spans="1:7">
      <c r="A132" t="s">
        <v>36</v>
      </c>
      <c r="B132" s="1" t="s">
        <v>18</v>
      </c>
      <c r="C132">
        <v>18371</v>
      </c>
      <c r="D132">
        <v>81</v>
      </c>
      <c r="E132">
        <v>-0.36899999999999999</v>
      </c>
      <c r="F132">
        <v>5083</v>
      </c>
      <c r="G132">
        <v>8204</v>
      </c>
    </row>
    <row r="133" spans="1:7">
      <c r="A133" t="s">
        <v>36</v>
      </c>
      <c r="B133" s="1" t="s">
        <v>19</v>
      </c>
      <c r="C133">
        <v>17332</v>
      </c>
      <c r="D133">
        <v>79.8</v>
      </c>
      <c r="E133">
        <v>-0.39100000000000001</v>
      </c>
      <c r="F133">
        <v>6257</v>
      </c>
      <c r="G133">
        <v>8204</v>
      </c>
    </row>
    <row r="134" spans="1:7">
      <c r="A134" t="s">
        <v>36</v>
      </c>
      <c r="B134" s="1" t="s">
        <v>20</v>
      </c>
      <c r="C134">
        <v>17216</v>
      </c>
      <c r="D134">
        <v>79.599999999999994</v>
      </c>
      <c r="E134">
        <v>-0.39100000000000001</v>
      </c>
      <c r="F134">
        <v>6583</v>
      </c>
      <c r="G134">
        <v>8204</v>
      </c>
    </row>
    <row r="135" spans="1:7">
      <c r="A135" t="s">
        <v>36</v>
      </c>
      <c r="B135" s="1" t="s">
        <v>21</v>
      </c>
      <c r="C135">
        <v>17742</v>
      </c>
      <c r="D135">
        <v>79.3</v>
      </c>
      <c r="E135">
        <v>-0.38700000000000001</v>
      </c>
      <c r="F135">
        <v>4939</v>
      </c>
      <c r="G135">
        <v>8203</v>
      </c>
    </row>
    <row r="136" spans="1:7">
      <c r="A136" t="s">
        <v>36</v>
      </c>
      <c r="B136" s="1" t="s">
        <v>22</v>
      </c>
      <c r="C136">
        <v>18436</v>
      </c>
      <c r="D136">
        <v>79.400000000000006</v>
      </c>
      <c r="E136">
        <v>-0.39200000000000002</v>
      </c>
      <c r="F136">
        <v>5383</v>
      </c>
      <c r="G136">
        <v>8199</v>
      </c>
    </row>
    <row r="137" spans="1:7">
      <c r="A137" t="s">
        <v>36</v>
      </c>
      <c r="B137" s="1" t="s">
        <v>23</v>
      </c>
      <c r="C137">
        <v>18418</v>
      </c>
      <c r="D137">
        <v>79.8</v>
      </c>
      <c r="E137">
        <v>-0.38800000000000001</v>
      </c>
      <c r="F137">
        <v>5194</v>
      </c>
      <c r="G137">
        <v>8202</v>
      </c>
    </row>
    <row r="138" spans="1:7">
      <c r="A138" t="s">
        <v>36</v>
      </c>
      <c r="B138" s="1" t="s">
        <v>24</v>
      </c>
      <c r="C138">
        <v>19147</v>
      </c>
      <c r="D138">
        <v>79.7</v>
      </c>
      <c r="E138">
        <v>-0.38300000000000001</v>
      </c>
      <c r="F138">
        <v>3833</v>
      </c>
      <c r="G138">
        <v>8182</v>
      </c>
    </row>
    <row r="139" spans="1:7">
      <c r="A139" t="s">
        <v>36</v>
      </c>
      <c r="B139" s="1" t="s">
        <v>25</v>
      </c>
      <c r="C139">
        <v>20306</v>
      </c>
      <c r="D139">
        <v>80.599999999999994</v>
      </c>
      <c r="E139">
        <v>-0.36499999999999999</v>
      </c>
      <c r="F139">
        <v>3056</v>
      </c>
      <c r="G139">
        <v>8205</v>
      </c>
    </row>
    <row r="140" spans="1:7">
      <c r="A140" t="s">
        <v>36</v>
      </c>
      <c r="B140" s="1" t="s">
        <v>26</v>
      </c>
      <c r="C140">
        <v>21043</v>
      </c>
      <c r="D140">
        <v>81.3</v>
      </c>
      <c r="E140">
        <v>-0.35699999999999998</v>
      </c>
      <c r="F140">
        <v>2980</v>
      </c>
      <c r="G140">
        <v>8141</v>
      </c>
    </row>
    <row r="141" spans="1:7">
      <c r="A141" t="s">
        <v>36</v>
      </c>
      <c r="B141" s="1" t="s">
        <v>27</v>
      </c>
      <c r="C141">
        <v>21854</v>
      </c>
      <c r="D141">
        <v>82.9</v>
      </c>
      <c r="E141">
        <v>-0.32200000000000001</v>
      </c>
      <c r="F141">
        <v>2071</v>
      </c>
      <c r="G141">
        <v>8190</v>
      </c>
    </row>
    <row r="142" spans="1:7">
      <c r="A142" t="s">
        <v>36</v>
      </c>
      <c r="B142" s="1" t="s">
        <v>28</v>
      </c>
      <c r="C142">
        <v>21972</v>
      </c>
      <c r="D142">
        <v>83.2</v>
      </c>
      <c r="E142">
        <v>-0.313</v>
      </c>
      <c r="F142">
        <v>1813</v>
      </c>
      <c r="G142">
        <v>8200</v>
      </c>
    </row>
    <row r="143" spans="1:7">
      <c r="A143" t="s">
        <v>36</v>
      </c>
      <c r="B143" s="1" t="s">
        <v>29</v>
      </c>
      <c r="C143">
        <v>22578</v>
      </c>
      <c r="D143">
        <v>84.3</v>
      </c>
      <c r="E143">
        <v>-0.29699999999999999</v>
      </c>
      <c r="F143">
        <v>1237</v>
      </c>
      <c r="G143">
        <v>8180</v>
      </c>
    </row>
    <row r="144" spans="1:7">
      <c r="A144" t="s">
        <v>36</v>
      </c>
      <c r="B144" s="1" t="s">
        <v>30</v>
      </c>
      <c r="C144">
        <v>17941</v>
      </c>
      <c r="D144">
        <v>83.5</v>
      </c>
      <c r="E144">
        <v>-0.315</v>
      </c>
      <c r="F144">
        <v>4894</v>
      </c>
      <c r="G144">
        <v>8051</v>
      </c>
    </row>
    <row r="145" spans="1:7">
      <c r="A145" t="s">
        <v>36</v>
      </c>
      <c r="B145" s="1" t="s">
        <v>31</v>
      </c>
      <c r="C145">
        <v>10153</v>
      </c>
      <c r="D145">
        <v>84.1</v>
      </c>
      <c r="E145">
        <v>-0.32300000000000001</v>
      </c>
      <c r="F145">
        <v>13871</v>
      </c>
      <c r="G145">
        <v>8010</v>
      </c>
    </row>
    <row r="146" spans="1:7">
      <c r="A146" t="s">
        <v>37</v>
      </c>
      <c r="B146" s="1" t="s">
        <v>8</v>
      </c>
      <c r="C146">
        <v>12149</v>
      </c>
      <c r="D146">
        <v>84.1</v>
      </c>
      <c r="E146">
        <v>-0.32800000000000001</v>
      </c>
      <c r="F146">
        <v>11938</v>
      </c>
      <c r="G146">
        <v>8025</v>
      </c>
    </row>
    <row r="147" spans="1:7">
      <c r="A147" t="s">
        <v>37</v>
      </c>
      <c r="B147" s="1" t="s">
        <v>9</v>
      </c>
      <c r="C147">
        <v>14661</v>
      </c>
      <c r="D147">
        <v>83.9</v>
      </c>
      <c r="E147">
        <v>-0.32500000000000001</v>
      </c>
      <c r="F147">
        <v>8373</v>
      </c>
      <c r="G147">
        <v>7954</v>
      </c>
    </row>
    <row r="148" spans="1:7">
      <c r="A148" t="s">
        <v>37</v>
      </c>
      <c r="B148" s="1" t="s">
        <v>10</v>
      </c>
      <c r="C148">
        <v>15563</v>
      </c>
      <c r="D148">
        <v>84.3</v>
      </c>
      <c r="E148">
        <v>-0.314</v>
      </c>
      <c r="F148">
        <v>8453</v>
      </c>
      <c r="G148">
        <v>8200</v>
      </c>
    </row>
    <row r="149" spans="1:7">
      <c r="A149" t="s">
        <v>37</v>
      </c>
      <c r="B149" s="1" t="s">
        <v>11</v>
      </c>
      <c r="C149">
        <v>17175</v>
      </c>
      <c r="D149">
        <v>83.8</v>
      </c>
      <c r="E149">
        <v>-0.318</v>
      </c>
      <c r="F149">
        <v>6978</v>
      </c>
      <c r="G149">
        <v>8188</v>
      </c>
    </row>
    <row r="150" spans="1:7">
      <c r="A150" t="s">
        <v>37</v>
      </c>
      <c r="B150" s="1" t="s">
        <v>12</v>
      </c>
      <c r="C150">
        <v>24085</v>
      </c>
      <c r="D150">
        <v>84</v>
      </c>
      <c r="E150">
        <v>-0.30299999999999999</v>
      </c>
      <c r="F150">
        <v>17</v>
      </c>
      <c r="G150">
        <v>8190</v>
      </c>
    </row>
    <row r="151" spans="1:7">
      <c r="A151" t="s">
        <v>37</v>
      </c>
      <c r="B151" s="1" t="s">
        <v>13</v>
      </c>
      <c r="C151">
        <v>24127</v>
      </c>
      <c r="D151">
        <v>84.1</v>
      </c>
      <c r="E151">
        <v>-0.29299999999999998</v>
      </c>
      <c r="F151">
        <v>65</v>
      </c>
      <c r="G151">
        <v>8201</v>
      </c>
    </row>
    <row r="152" spans="1:7">
      <c r="A152" t="s">
        <v>37</v>
      </c>
      <c r="B152" s="1" t="s">
        <v>14</v>
      </c>
      <c r="C152">
        <v>24122</v>
      </c>
      <c r="D152">
        <v>84</v>
      </c>
      <c r="E152">
        <v>-0.29899999999999999</v>
      </c>
      <c r="F152">
        <v>32</v>
      </c>
      <c r="G152">
        <v>8189</v>
      </c>
    </row>
    <row r="153" spans="1:7">
      <c r="A153" t="s">
        <v>37</v>
      </c>
      <c r="B153" s="1" t="s">
        <v>15</v>
      </c>
      <c r="C153">
        <v>24246</v>
      </c>
      <c r="D153">
        <v>84.1</v>
      </c>
      <c r="E153">
        <v>-0.29599999999999999</v>
      </c>
      <c r="F153">
        <v>24</v>
      </c>
      <c r="G153">
        <v>8135</v>
      </c>
    </row>
    <row r="154" spans="1:7">
      <c r="A154" t="s">
        <v>37</v>
      </c>
      <c r="B154" s="1" t="s">
        <v>16</v>
      </c>
      <c r="C154">
        <v>22796</v>
      </c>
      <c r="D154">
        <v>84</v>
      </c>
      <c r="E154">
        <v>-0.30199999999999999</v>
      </c>
      <c r="F154">
        <v>962</v>
      </c>
      <c r="G154">
        <v>8118</v>
      </c>
    </row>
    <row r="155" spans="1:7">
      <c r="A155" t="s">
        <v>37</v>
      </c>
      <c r="B155" s="1" t="s">
        <v>17</v>
      </c>
      <c r="C155">
        <v>23344</v>
      </c>
      <c r="D155">
        <v>85.1</v>
      </c>
      <c r="E155">
        <v>-0.26700000000000002</v>
      </c>
      <c r="F155">
        <v>1005</v>
      </c>
      <c r="G155">
        <v>8156</v>
      </c>
    </row>
    <row r="156" spans="1:7">
      <c r="A156" t="s">
        <v>37</v>
      </c>
      <c r="B156" s="1" t="s">
        <v>18</v>
      </c>
      <c r="C156">
        <v>21398</v>
      </c>
      <c r="D156">
        <v>84.1</v>
      </c>
      <c r="E156">
        <v>-0.29499999999999998</v>
      </c>
      <c r="F156">
        <v>2584</v>
      </c>
      <c r="G156">
        <v>8067</v>
      </c>
    </row>
    <row r="157" spans="1:7">
      <c r="A157" t="s">
        <v>37</v>
      </c>
      <c r="B157" s="1" t="s">
        <v>19</v>
      </c>
      <c r="C157">
        <v>19425</v>
      </c>
      <c r="D157">
        <v>83.2</v>
      </c>
      <c r="E157">
        <v>-0.31900000000000001</v>
      </c>
      <c r="F157">
        <v>4479</v>
      </c>
      <c r="G157">
        <v>8197</v>
      </c>
    </row>
    <row r="158" spans="1:7">
      <c r="A158" t="s">
        <v>37</v>
      </c>
      <c r="B158" s="1" t="s">
        <v>20</v>
      </c>
      <c r="C158">
        <v>19131</v>
      </c>
      <c r="D158">
        <v>82.5</v>
      </c>
      <c r="E158">
        <v>-0.33200000000000002</v>
      </c>
      <c r="F158">
        <v>4126</v>
      </c>
      <c r="G158">
        <v>8197</v>
      </c>
    </row>
    <row r="159" spans="1:7">
      <c r="A159" t="s">
        <v>37</v>
      </c>
      <c r="B159" s="1" t="s">
        <v>21</v>
      </c>
      <c r="C159">
        <v>20157</v>
      </c>
      <c r="D159">
        <v>82.2</v>
      </c>
      <c r="E159">
        <v>-0.34100000000000003</v>
      </c>
      <c r="F159">
        <v>4371</v>
      </c>
      <c r="G159">
        <v>8205</v>
      </c>
    </row>
    <row r="160" spans="1:7">
      <c r="A160" t="s">
        <v>37</v>
      </c>
      <c r="B160" s="1" t="s">
        <v>22</v>
      </c>
      <c r="C160">
        <v>20251</v>
      </c>
      <c r="D160">
        <v>81.8</v>
      </c>
      <c r="E160">
        <v>-0.34699999999999998</v>
      </c>
      <c r="F160">
        <v>3444</v>
      </c>
      <c r="G160">
        <v>8200</v>
      </c>
    </row>
    <row r="161" spans="1:7">
      <c r="A161" t="s">
        <v>37</v>
      </c>
      <c r="B161" s="1" t="s">
        <v>23</v>
      </c>
      <c r="C161">
        <v>19701</v>
      </c>
      <c r="D161">
        <v>81.599999999999994</v>
      </c>
      <c r="E161">
        <v>-0.34799999999999998</v>
      </c>
      <c r="F161">
        <v>3095</v>
      </c>
      <c r="G161">
        <v>8192</v>
      </c>
    </row>
    <row r="162" spans="1:7">
      <c r="A162" t="s">
        <v>37</v>
      </c>
      <c r="B162" s="1" t="s">
        <v>24</v>
      </c>
      <c r="C162">
        <v>21163</v>
      </c>
      <c r="D162">
        <v>82.2</v>
      </c>
      <c r="E162">
        <v>-0.33700000000000002</v>
      </c>
      <c r="F162">
        <v>2670</v>
      </c>
      <c r="G162">
        <v>8195</v>
      </c>
    </row>
    <row r="163" spans="1:7">
      <c r="A163" t="s">
        <v>37</v>
      </c>
      <c r="B163" s="1" t="s">
        <v>25</v>
      </c>
      <c r="C163">
        <v>21591</v>
      </c>
      <c r="D163">
        <v>82.5</v>
      </c>
      <c r="E163">
        <v>-0.33</v>
      </c>
      <c r="F163">
        <v>2140</v>
      </c>
      <c r="G163">
        <v>8197</v>
      </c>
    </row>
    <row r="164" spans="1:7">
      <c r="A164" t="s">
        <v>37</v>
      </c>
      <c r="B164" s="1" t="s">
        <v>26</v>
      </c>
      <c r="C164">
        <v>21603</v>
      </c>
      <c r="D164">
        <v>83.1</v>
      </c>
      <c r="E164">
        <v>-0.316</v>
      </c>
      <c r="F164">
        <v>2356</v>
      </c>
      <c r="G164">
        <v>8194</v>
      </c>
    </row>
    <row r="165" spans="1:7">
      <c r="A165" t="s">
        <v>37</v>
      </c>
      <c r="B165" s="1" t="s">
        <v>27</v>
      </c>
      <c r="C165">
        <v>21052</v>
      </c>
      <c r="D165">
        <v>82.6</v>
      </c>
      <c r="E165">
        <v>-0.32700000000000001</v>
      </c>
      <c r="F165">
        <v>2514</v>
      </c>
      <c r="G165">
        <v>8191</v>
      </c>
    </row>
    <row r="166" spans="1:7">
      <c r="A166" t="s">
        <v>37</v>
      </c>
      <c r="B166" s="1" t="s">
        <v>28</v>
      </c>
      <c r="C166">
        <v>22090</v>
      </c>
      <c r="D166">
        <v>82.6</v>
      </c>
      <c r="E166">
        <v>-0.33200000000000002</v>
      </c>
      <c r="F166">
        <v>2296</v>
      </c>
      <c r="G166">
        <v>8199</v>
      </c>
    </row>
    <row r="167" spans="1:7">
      <c r="A167" t="s">
        <v>37</v>
      </c>
      <c r="B167" s="1" t="s">
        <v>29</v>
      </c>
      <c r="C167">
        <v>22734</v>
      </c>
      <c r="D167">
        <v>83.2</v>
      </c>
      <c r="E167">
        <v>-0.31900000000000001</v>
      </c>
      <c r="F167">
        <v>1316</v>
      </c>
      <c r="G167">
        <v>8200</v>
      </c>
    </row>
    <row r="168" spans="1:7">
      <c r="A168" t="s">
        <v>37</v>
      </c>
      <c r="B168" s="1" t="s">
        <v>30</v>
      </c>
      <c r="C168">
        <v>19939</v>
      </c>
      <c r="D168">
        <v>83.4</v>
      </c>
      <c r="E168">
        <v>-0.32500000000000001</v>
      </c>
      <c r="F168">
        <v>4365</v>
      </c>
      <c r="G168">
        <v>8218</v>
      </c>
    </row>
    <row r="169" spans="1:7">
      <c r="A169" t="s">
        <v>37</v>
      </c>
      <c r="B169" s="1" t="s">
        <v>31</v>
      </c>
      <c r="C169">
        <v>9063</v>
      </c>
      <c r="D169">
        <v>82.5</v>
      </c>
      <c r="E169">
        <v>-0.34899999999999998</v>
      </c>
      <c r="F169">
        <v>14785</v>
      </c>
      <c r="G169">
        <v>8205</v>
      </c>
    </row>
    <row r="170" spans="1:7">
      <c r="A170" t="s">
        <v>38</v>
      </c>
      <c r="B170" s="1" t="s">
        <v>8</v>
      </c>
      <c r="C170">
        <v>10316</v>
      </c>
      <c r="D170">
        <v>83</v>
      </c>
      <c r="E170">
        <v>-0.34300000000000003</v>
      </c>
      <c r="F170">
        <v>13997</v>
      </c>
      <c r="G170">
        <v>8201</v>
      </c>
    </row>
    <row r="171" spans="1:7">
      <c r="A171" t="s">
        <v>38</v>
      </c>
      <c r="B171" s="1" t="s">
        <v>9</v>
      </c>
      <c r="C171">
        <v>14218</v>
      </c>
      <c r="D171">
        <v>83.3</v>
      </c>
      <c r="E171">
        <v>-0.34899999999999998</v>
      </c>
      <c r="F171">
        <v>10646</v>
      </c>
      <c r="G171">
        <v>8210</v>
      </c>
    </row>
    <row r="172" spans="1:7">
      <c r="A172" t="s">
        <v>38</v>
      </c>
      <c r="B172" s="1" t="s">
        <v>10</v>
      </c>
      <c r="C172">
        <v>14136</v>
      </c>
      <c r="D172">
        <v>82.8</v>
      </c>
      <c r="E172">
        <v>-0.34899999999999998</v>
      </c>
      <c r="F172">
        <v>10237</v>
      </c>
      <c r="G172">
        <v>8200</v>
      </c>
    </row>
    <row r="173" spans="1:7">
      <c r="A173" t="s">
        <v>38</v>
      </c>
      <c r="B173" s="1" t="s">
        <v>11</v>
      </c>
      <c r="C173">
        <v>14548</v>
      </c>
      <c r="D173">
        <v>82.3</v>
      </c>
      <c r="E173">
        <v>-0.35</v>
      </c>
      <c r="F173">
        <v>9360</v>
      </c>
      <c r="G173">
        <v>8115</v>
      </c>
    </row>
    <row r="174" spans="1:7">
      <c r="A174" t="s">
        <v>38</v>
      </c>
      <c r="B174" s="1" t="s">
        <v>12</v>
      </c>
      <c r="C174">
        <v>22696</v>
      </c>
      <c r="D174">
        <v>82.3</v>
      </c>
      <c r="E174">
        <v>-0.34399999999999997</v>
      </c>
      <c r="F174">
        <v>1142</v>
      </c>
      <c r="G174">
        <v>8194</v>
      </c>
    </row>
    <row r="175" spans="1:7">
      <c r="A175" t="s">
        <v>38</v>
      </c>
      <c r="B175" s="1" t="s">
        <v>13</v>
      </c>
      <c r="C175">
        <v>23574</v>
      </c>
      <c r="D175">
        <v>82</v>
      </c>
      <c r="E175">
        <v>-0.35099999999999998</v>
      </c>
      <c r="F175">
        <v>590</v>
      </c>
      <c r="G175">
        <v>8196</v>
      </c>
    </row>
    <row r="176" spans="1:7">
      <c r="A176" t="s">
        <v>38</v>
      </c>
      <c r="B176" s="1" t="s">
        <v>14</v>
      </c>
      <c r="C176">
        <v>23862</v>
      </c>
      <c r="D176">
        <v>82</v>
      </c>
      <c r="E176">
        <v>-0.34399999999999997</v>
      </c>
      <c r="F176">
        <v>43</v>
      </c>
      <c r="G176">
        <v>8188</v>
      </c>
    </row>
    <row r="177" spans="1:7">
      <c r="A177" t="s">
        <v>38</v>
      </c>
      <c r="B177" s="1" t="s">
        <v>15</v>
      </c>
      <c r="C177">
        <v>23445</v>
      </c>
      <c r="D177">
        <v>84.3</v>
      </c>
      <c r="E177">
        <v>-0.28999999999999998</v>
      </c>
      <c r="F177">
        <v>671</v>
      </c>
      <c r="G177">
        <v>8210</v>
      </c>
    </row>
    <row r="178" spans="1:7">
      <c r="A178" t="s">
        <v>38</v>
      </c>
      <c r="B178" s="1" t="s">
        <v>16</v>
      </c>
      <c r="C178">
        <v>20351</v>
      </c>
      <c r="D178">
        <v>82.1</v>
      </c>
      <c r="E178">
        <v>-0.32800000000000001</v>
      </c>
      <c r="F178">
        <v>3236</v>
      </c>
      <c r="G178">
        <v>8183</v>
      </c>
    </row>
    <row r="179" spans="1:7">
      <c r="A179" t="s">
        <v>38</v>
      </c>
      <c r="B179" s="1" t="s">
        <v>17</v>
      </c>
      <c r="C179">
        <v>20988</v>
      </c>
      <c r="D179">
        <v>82.1</v>
      </c>
      <c r="E179">
        <v>-0.33200000000000002</v>
      </c>
      <c r="F179">
        <v>2780</v>
      </c>
      <c r="G179">
        <v>8188</v>
      </c>
    </row>
    <row r="180" spans="1:7">
      <c r="A180" t="s">
        <v>38</v>
      </c>
      <c r="B180" s="1" t="s">
        <v>18</v>
      </c>
      <c r="C180">
        <v>19986</v>
      </c>
      <c r="D180">
        <v>81.2</v>
      </c>
      <c r="E180">
        <v>-0.35399999999999998</v>
      </c>
      <c r="F180">
        <v>4008</v>
      </c>
      <c r="G180">
        <v>8212</v>
      </c>
    </row>
    <row r="181" spans="1:7">
      <c r="A181" t="s">
        <v>38</v>
      </c>
      <c r="B181" s="1" t="s">
        <v>19</v>
      </c>
      <c r="C181">
        <v>19262</v>
      </c>
      <c r="D181">
        <v>80.599999999999994</v>
      </c>
      <c r="E181">
        <v>-0.371</v>
      </c>
      <c r="F181">
        <v>4077</v>
      </c>
      <c r="G181">
        <v>8185</v>
      </c>
    </row>
    <row r="182" spans="1:7">
      <c r="A182" t="s">
        <v>38</v>
      </c>
      <c r="B182" s="1" t="s">
        <v>20</v>
      </c>
      <c r="C182">
        <v>18279</v>
      </c>
      <c r="D182">
        <v>79.8</v>
      </c>
      <c r="E182">
        <v>-0.38300000000000001</v>
      </c>
      <c r="F182">
        <v>4967</v>
      </c>
      <c r="G182">
        <v>8186</v>
      </c>
    </row>
    <row r="183" spans="1:7">
      <c r="A183" t="s">
        <v>38</v>
      </c>
      <c r="B183" s="1" t="s">
        <v>21</v>
      </c>
      <c r="C183">
        <v>18702</v>
      </c>
      <c r="D183">
        <v>80.099999999999994</v>
      </c>
      <c r="E183">
        <v>-0.379</v>
      </c>
      <c r="F183">
        <v>4541</v>
      </c>
      <c r="G183">
        <v>8187</v>
      </c>
    </row>
    <row r="184" spans="1:7">
      <c r="A184" t="s">
        <v>38</v>
      </c>
      <c r="B184" s="1" t="s">
        <v>22</v>
      </c>
    </row>
    <row r="185" spans="1:7">
      <c r="A185" t="s">
        <v>38</v>
      </c>
      <c r="B185" s="1" t="s">
        <v>23</v>
      </c>
      <c r="C185">
        <v>18738</v>
      </c>
      <c r="D185">
        <v>79.900000000000006</v>
      </c>
      <c r="E185">
        <v>-0.38</v>
      </c>
      <c r="F185">
        <v>4881</v>
      </c>
      <c r="G185">
        <v>8185</v>
      </c>
    </row>
    <row r="186" spans="1:7">
      <c r="A186" t="s">
        <v>38</v>
      </c>
      <c r="B186" s="1" t="s">
        <v>24</v>
      </c>
      <c r="C186">
        <v>19651</v>
      </c>
      <c r="D186">
        <v>80.8</v>
      </c>
      <c r="E186">
        <v>-0.36699999999999999</v>
      </c>
      <c r="F186">
        <v>3918</v>
      </c>
      <c r="G186">
        <v>8200</v>
      </c>
    </row>
    <row r="187" spans="1:7">
      <c r="A187" t="s">
        <v>38</v>
      </c>
      <c r="B187" s="1" t="s">
        <v>25</v>
      </c>
      <c r="C187">
        <v>21800</v>
      </c>
      <c r="D187">
        <v>81.2</v>
      </c>
      <c r="E187">
        <v>-0.35899999999999999</v>
      </c>
      <c r="F187">
        <v>1458</v>
      </c>
      <c r="G187">
        <v>7946</v>
      </c>
    </row>
    <row r="188" spans="1:7">
      <c r="A188" t="s">
        <v>38</v>
      </c>
      <c r="B188" s="1" t="s">
        <v>26</v>
      </c>
      <c r="C188">
        <v>22238</v>
      </c>
      <c r="D188">
        <v>82</v>
      </c>
      <c r="E188">
        <v>-0.34</v>
      </c>
      <c r="F188">
        <v>1618</v>
      </c>
      <c r="G188">
        <v>8124</v>
      </c>
    </row>
    <row r="189" spans="1:7">
      <c r="A189" t="s">
        <v>38</v>
      </c>
      <c r="B189" s="1" t="s">
        <v>27</v>
      </c>
      <c r="C189">
        <v>20538</v>
      </c>
      <c r="D189">
        <v>81.599999999999994</v>
      </c>
      <c r="E189">
        <v>-0.35799999999999998</v>
      </c>
      <c r="F189">
        <v>3937</v>
      </c>
      <c r="G189">
        <v>8202</v>
      </c>
    </row>
    <row r="190" spans="1:7">
      <c r="A190" t="s">
        <v>38</v>
      </c>
      <c r="B190" s="1" t="s">
        <v>28</v>
      </c>
      <c r="C190">
        <v>20012</v>
      </c>
      <c r="D190">
        <v>81.8</v>
      </c>
      <c r="E190">
        <v>-0.34599999999999997</v>
      </c>
      <c r="F190">
        <v>3614</v>
      </c>
      <c r="G190">
        <v>8200</v>
      </c>
    </row>
    <row r="191" spans="1:7">
      <c r="A191" t="s">
        <v>38</v>
      </c>
      <c r="B191" s="1" t="s">
        <v>29</v>
      </c>
      <c r="C191">
        <v>20758</v>
      </c>
      <c r="D191">
        <v>82.2</v>
      </c>
      <c r="E191">
        <v>-0.33900000000000002</v>
      </c>
      <c r="F191">
        <v>3048</v>
      </c>
      <c r="G191">
        <v>8209</v>
      </c>
    </row>
    <row r="192" spans="1:7">
      <c r="A192" t="s">
        <v>38</v>
      </c>
      <c r="B192" s="1" t="s">
        <v>30</v>
      </c>
      <c r="C192">
        <v>17474</v>
      </c>
      <c r="D192">
        <v>81.400000000000006</v>
      </c>
      <c r="E192">
        <v>-0.35799999999999998</v>
      </c>
      <c r="F192">
        <v>6207</v>
      </c>
      <c r="G192">
        <v>8200</v>
      </c>
    </row>
    <row r="193" spans="1:7">
      <c r="A193" t="s">
        <v>38</v>
      </c>
      <c r="B193" s="1" t="s">
        <v>31</v>
      </c>
      <c r="C193">
        <v>9640</v>
      </c>
      <c r="D193">
        <v>82.1</v>
      </c>
      <c r="E193">
        <v>-0.36199999999999999</v>
      </c>
      <c r="F193">
        <v>14966</v>
      </c>
      <c r="G193">
        <v>8202</v>
      </c>
    </row>
    <row r="194" spans="1:7">
      <c r="A194" t="s">
        <v>39</v>
      </c>
      <c r="B194" s="1" t="s">
        <v>8</v>
      </c>
      <c r="C194">
        <v>9897</v>
      </c>
      <c r="D194">
        <v>82.4</v>
      </c>
      <c r="E194">
        <v>-0.35499999999999998</v>
      </c>
      <c r="F194">
        <v>14402</v>
      </c>
      <c r="G194">
        <v>8117</v>
      </c>
    </row>
    <row r="195" spans="1:7">
      <c r="A195" t="s">
        <v>39</v>
      </c>
      <c r="B195" s="1" t="s">
        <v>9</v>
      </c>
      <c r="C195">
        <v>12422</v>
      </c>
      <c r="D195">
        <v>82.5</v>
      </c>
      <c r="E195">
        <v>-0.35499999999999998</v>
      </c>
      <c r="F195">
        <v>11866</v>
      </c>
      <c r="G195">
        <v>8198</v>
      </c>
    </row>
    <row r="196" spans="1:7">
      <c r="A196" t="s">
        <v>39</v>
      </c>
      <c r="B196" s="1" t="s">
        <v>10</v>
      </c>
      <c r="C196">
        <v>13446</v>
      </c>
      <c r="D196">
        <v>82</v>
      </c>
      <c r="E196">
        <v>-0.35699999999999998</v>
      </c>
      <c r="F196">
        <v>10066</v>
      </c>
      <c r="G196">
        <v>8205</v>
      </c>
    </row>
    <row r="197" spans="1:7">
      <c r="A197" t="s">
        <v>39</v>
      </c>
      <c r="B197" s="1" t="s">
        <v>11</v>
      </c>
      <c r="C197">
        <v>14168</v>
      </c>
      <c r="D197">
        <v>81.8</v>
      </c>
      <c r="E197">
        <v>-0.372</v>
      </c>
      <c r="F197">
        <v>10334</v>
      </c>
      <c r="G197">
        <v>8208</v>
      </c>
    </row>
    <row r="198" spans="1:7">
      <c r="A198" t="s">
        <v>39</v>
      </c>
      <c r="B198" s="1" t="s">
        <v>12</v>
      </c>
      <c r="C198">
        <v>21694</v>
      </c>
      <c r="D198">
        <v>81.5</v>
      </c>
      <c r="E198">
        <v>-0.35599999999999998</v>
      </c>
      <c r="F198">
        <v>1985</v>
      </c>
      <c r="G198">
        <v>8190</v>
      </c>
    </row>
    <row r="199" spans="1:7">
      <c r="A199" t="s">
        <v>39</v>
      </c>
      <c r="B199" s="1" t="s">
        <v>13</v>
      </c>
      <c r="C199">
        <v>22884</v>
      </c>
      <c r="D199">
        <v>81.400000000000006</v>
      </c>
      <c r="E199">
        <v>-0.35099999999999998</v>
      </c>
      <c r="F199">
        <v>1275</v>
      </c>
      <c r="G199">
        <v>8203</v>
      </c>
    </row>
    <row r="200" spans="1:7">
      <c r="A200" t="s">
        <v>39</v>
      </c>
      <c r="B200" s="1" t="s">
        <v>14</v>
      </c>
      <c r="C200">
        <v>22856</v>
      </c>
      <c r="D200">
        <v>81.599999999999994</v>
      </c>
      <c r="E200">
        <v>-0.34599999999999997</v>
      </c>
      <c r="F200">
        <v>1045</v>
      </c>
      <c r="G200">
        <v>8203</v>
      </c>
    </row>
    <row r="201" spans="1:7">
      <c r="A201" t="s">
        <v>39</v>
      </c>
      <c r="B201" s="1" t="s">
        <v>15</v>
      </c>
      <c r="C201">
        <v>22169</v>
      </c>
      <c r="D201">
        <v>82.4</v>
      </c>
      <c r="E201">
        <v>-0.33300000000000002</v>
      </c>
      <c r="F201">
        <v>2178</v>
      </c>
      <c r="G201">
        <v>8222</v>
      </c>
    </row>
    <row r="202" spans="1:7">
      <c r="A202" t="s">
        <v>39</v>
      </c>
      <c r="B202" s="1" t="s">
        <v>16</v>
      </c>
      <c r="C202">
        <v>20525</v>
      </c>
      <c r="D202">
        <v>81.2</v>
      </c>
      <c r="E202">
        <v>-0.34899999999999998</v>
      </c>
      <c r="F202">
        <v>3368</v>
      </c>
      <c r="G202">
        <v>8132</v>
      </c>
    </row>
    <row r="203" spans="1:7">
      <c r="A203" t="s">
        <v>39</v>
      </c>
      <c r="B203" s="1" t="s">
        <v>17</v>
      </c>
      <c r="C203">
        <v>20916</v>
      </c>
      <c r="D203">
        <v>81.5</v>
      </c>
      <c r="E203">
        <v>-0.34599999999999997</v>
      </c>
      <c r="F203">
        <v>2592</v>
      </c>
      <c r="G203">
        <v>8211</v>
      </c>
    </row>
    <row r="204" spans="1:7">
      <c r="A204" t="s">
        <v>39</v>
      </c>
      <c r="B204" s="1" t="s">
        <v>18</v>
      </c>
      <c r="C204">
        <v>20552</v>
      </c>
      <c r="D204">
        <v>81.599999999999994</v>
      </c>
      <c r="E204">
        <v>-0.34699999999999998</v>
      </c>
      <c r="F204">
        <v>3325</v>
      </c>
      <c r="G204">
        <v>8217</v>
      </c>
    </row>
    <row r="205" spans="1:7">
      <c r="A205" t="s">
        <v>39</v>
      </c>
      <c r="B205" s="1" t="s">
        <v>19</v>
      </c>
      <c r="C205">
        <v>17849</v>
      </c>
      <c r="D205">
        <v>80.5</v>
      </c>
      <c r="E205">
        <v>-0.372</v>
      </c>
      <c r="F205">
        <v>6213</v>
      </c>
      <c r="G205">
        <v>8139</v>
      </c>
    </row>
    <row r="206" spans="1:7">
      <c r="A206" t="s">
        <v>39</v>
      </c>
      <c r="B206" s="1" t="s">
        <v>20</v>
      </c>
      <c r="C206">
        <v>17864</v>
      </c>
      <c r="D206">
        <v>80.3</v>
      </c>
      <c r="E206">
        <v>-0.374</v>
      </c>
      <c r="F206">
        <v>6077</v>
      </c>
      <c r="G206">
        <v>8202</v>
      </c>
    </row>
    <row r="207" spans="1:7">
      <c r="A207" t="s">
        <v>39</v>
      </c>
      <c r="B207" s="1" t="s">
        <v>21</v>
      </c>
      <c r="C207">
        <v>18230</v>
      </c>
      <c r="D207">
        <v>79.400000000000006</v>
      </c>
      <c r="E207">
        <v>-0.39200000000000002</v>
      </c>
      <c r="F207">
        <v>5586</v>
      </c>
      <c r="G207">
        <v>8201</v>
      </c>
    </row>
    <row r="208" spans="1:7">
      <c r="A208" t="s">
        <v>39</v>
      </c>
      <c r="B208" s="1" t="s">
        <v>22</v>
      </c>
      <c r="C208">
        <v>18296</v>
      </c>
      <c r="D208">
        <v>80.099999999999994</v>
      </c>
      <c r="E208">
        <v>-0.36899999999999999</v>
      </c>
      <c r="F208">
        <v>4764</v>
      </c>
      <c r="G208">
        <v>8183</v>
      </c>
    </row>
    <row r="209" spans="1:7">
      <c r="A209" t="s">
        <v>39</v>
      </c>
      <c r="B209" s="1" t="s">
        <v>23</v>
      </c>
      <c r="C209">
        <v>18529</v>
      </c>
      <c r="D209">
        <v>80</v>
      </c>
      <c r="E209">
        <v>-0.38600000000000001</v>
      </c>
      <c r="F209">
        <v>5612</v>
      </c>
      <c r="G209">
        <v>8206</v>
      </c>
    </row>
    <row r="210" spans="1:7">
      <c r="A210" t="s">
        <v>39</v>
      </c>
      <c r="B210" s="1" t="s">
        <v>24</v>
      </c>
      <c r="C210">
        <v>19115</v>
      </c>
      <c r="D210">
        <v>80.3</v>
      </c>
      <c r="E210">
        <v>-0.374</v>
      </c>
      <c r="F210">
        <v>4558</v>
      </c>
      <c r="G210">
        <v>8197</v>
      </c>
    </row>
    <row r="211" spans="1:7">
      <c r="A211" t="s">
        <v>39</v>
      </c>
      <c r="B211" s="1" t="s">
        <v>25</v>
      </c>
      <c r="C211">
        <v>19971</v>
      </c>
      <c r="D211">
        <v>80.400000000000006</v>
      </c>
      <c r="E211">
        <v>-0.37</v>
      </c>
      <c r="F211">
        <v>3863</v>
      </c>
      <c r="G211">
        <v>8203</v>
      </c>
    </row>
    <row r="212" spans="1:7">
      <c r="A212" t="s">
        <v>39</v>
      </c>
      <c r="B212" s="1" t="s">
        <v>26</v>
      </c>
      <c r="C212">
        <v>19773</v>
      </c>
      <c r="D212">
        <v>80.3</v>
      </c>
      <c r="E212">
        <v>-0.37</v>
      </c>
      <c r="F212">
        <v>4314</v>
      </c>
      <c r="G212">
        <v>8170</v>
      </c>
    </row>
    <row r="213" spans="1:7">
      <c r="A213" t="s">
        <v>39</v>
      </c>
      <c r="B213" s="1" t="s">
        <v>27</v>
      </c>
      <c r="C213">
        <v>22596</v>
      </c>
      <c r="D213">
        <v>80.900000000000006</v>
      </c>
      <c r="E213">
        <v>-0.35899999999999999</v>
      </c>
      <c r="F213">
        <v>1051</v>
      </c>
      <c r="G213">
        <v>8199</v>
      </c>
    </row>
    <row r="214" spans="1:7">
      <c r="A214" t="s">
        <v>39</v>
      </c>
      <c r="B214" s="1" t="s">
        <v>28</v>
      </c>
      <c r="C214">
        <v>20340</v>
      </c>
      <c r="D214">
        <v>80.400000000000006</v>
      </c>
      <c r="E214">
        <v>-0.373</v>
      </c>
      <c r="F214">
        <v>3475</v>
      </c>
      <c r="G214">
        <v>8207</v>
      </c>
    </row>
    <row r="215" spans="1:7">
      <c r="A215" t="s">
        <v>39</v>
      </c>
      <c r="B215" s="1" t="s">
        <v>29</v>
      </c>
      <c r="C215">
        <v>20158</v>
      </c>
      <c r="D215">
        <v>80.599999999999994</v>
      </c>
      <c r="E215">
        <v>-0.36</v>
      </c>
      <c r="F215">
        <v>3404</v>
      </c>
      <c r="G215">
        <v>8194</v>
      </c>
    </row>
    <row r="216" spans="1:7">
      <c r="A216" t="s">
        <v>39</v>
      </c>
      <c r="B216" s="1" t="s">
        <v>30</v>
      </c>
      <c r="C216">
        <v>18040</v>
      </c>
      <c r="D216">
        <v>81</v>
      </c>
      <c r="E216">
        <v>-0.35099999999999998</v>
      </c>
      <c r="F216">
        <v>5821</v>
      </c>
      <c r="G216">
        <v>8197</v>
      </c>
    </row>
    <row r="217" spans="1:7">
      <c r="A217" t="s">
        <v>39</v>
      </c>
      <c r="B217" s="1" t="s">
        <v>31</v>
      </c>
      <c r="C217">
        <v>9663</v>
      </c>
      <c r="D217">
        <v>80.5</v>
      </c>
      <c r="E217">
        <v>-0.377</v>
      </c>
      <c r="F217">
        <v>14700</v>
      </c>
      <c r="G217">
        <v>8197</v>
      </c>
    </row>
    <row r="218" spans="1:7">
      <c r="A218" t="s">
        <v>40</v>
      </c>
      <c r="B218" s="1" t="s">
        <v>8</v>
      </c>
      <c r="C218">
        <v>9244</v>
      </c>
      <c r="D218">
        <v>80.7</v>
      </c>
      <c r="E218">
        <v>-0.38500000000000001</v>
      </c>
      <c r="F218">
        <v>14774</v>
      </c>
      <c r="G218">
        <v>8207</v>
      </c>
    </row>
    <row r="219" spans="1:7">
      <c r="A219" t="s">
        <v>40</v>
      </c>
      <c r="B219" s="1" t="s">
        <v>9</v>
      </c>
      <c r="C219">
        <v>11505</v>
      </c>
      <c r="D219">
        <v>80.900000000000006</v>
      </c>
      <c r="E219">
        <v>-0.38</v>
      </c>
      <c r="F219">
        <v>12601</v>
      </c>
      <c r="G219">
        <v>8208</v>
      </c>
    </row>
    <row r="220" spans="1:7">
      <c r="A220" t="s">
        <v>40</v>
      </c>
      <c r="B220" s="1" t="s">
        <v>10</v>
      </c>
      <c r="C220">
        <v>12658</v>
      </c>
      <c r="D220">
        <v>80.3</v>
      </c>
      <c r="E220">
        <v>-0.38100000000000001</v>
      </c>
      <c r="F220">
        <v>11081</v>
      </c>
      <c r="G220">
        <v>8189</v>
      </c>
    </row>
    <row r="221" spans="1:7">
      <c r="A221" t="s">
        <v>40</v>
      </c>
      <c r="B221" s="1" t="s">
        <v>11</v>
      </c>
      <c r="C221">
        <v>14125</v>
      </c>
      <c r="D221">
        <v>80.5</v>
      </c>
      <c r="E221">
        <v>-0.38800000000000001</v>
      </c>
      <c r="F221">
        <v>10470</v>
      </c>
      <c r="G221">
        <v>8211</v>
      </c>
    </row>
    <row r="222" spans="1:7">
      <c r="A222" t="s">
        <v>40</v>
      </c>
      <c r="B222" s="1" t="s">
        <v>12</v>
      </c>
      <c r="C222">
        <v>22353</v>
      </c>
      <c r="D222">
        <v>80.400000000000006</v>
      </c>
      <c r="E222">
        <v>-0.36699999999999999</v>
      </c>
      <c r="F222">
        <v>1525</v>
      </c>
      <c r="G222">
        <v>8202</v>
      </c>
    </row>
    <row r="223" spans="1:7">
      <c r="A223" t="s">
        <v>40</v>
      </c>
      <c r="B223" s="1" t="s">
        <v>13</v>
      </c>
      <c r="C223">
        <v>21901</v>
      </c>
      <c r="D223">
        <v>80.2</v>
      </c>
      <c r="E223">
        <v>-0.373</v>
      </c>
      <c r="F223">
        <v>1651</v>
      </c>
      <c r="G223">
        <v>8195</v>
      </c>
    </row>
    <row r="224" spans="1:7">
      <c r="A224" t="s">
        <v>40</v>
      </c>
      <c r="B224" s="1" t="s">
        <v>14</v>
      </c>
      <c r="C224">
        <v>22690</v>
      </c>
      <c r="D224">
        <v>80.099999999999994</v>
      </c>
      <c r="E224">
        <v>-0.371</v>
      </c>
      <c r="F224">
        <v>753</v>
      </c>
      <c r="G224">
        <v>8200</v>
      </c>
    </row>
    <row r="225" spans="1:7">
      <c r="A225" t="s">
        <v>40</v>
      </c>
      <c r="B225" s="1" t="s">
        <v>15</v>
      </c>
      <c r="C225">
        <v>22887</v>
      </c>
      <c r="D225">
        <v>81.7</v>
      </c>
      <c r="E225">
        <v>-0.33400000000000002</v>
      </c>
      <c r="F225">
        <v>1166</v>
      </c>
      <c r="G225">
        <v>8188</v>
      </c>
    </row>
    <row r="226" spans="1:7">
      <c r="A226" t="s">
        <v>40</v>
      </c>
      <c r="B226" s="1" t="s">
        <v>16</v>
      </c>
      <c r="C226">
        <v>17856</v>
      </c>
      <c r="D226">
        <v>78.8</v>
      </c>
      <c r="E226">
        <v>-0.39100000000000001</v>
      </c>
      <c r="F226">
        <v>5046</v>
      </c>
      <c r="G226">
        <v>8208</v>
      </c>
    </row>
    <row r="227" spans="1:7">
      <c r="A227" t="s">
        <v>40</v>
      </c>
      <c r="B227" s="1" t="s">
        <v>17</v>
      </c>
      <c r="C227">
        <v>22607</v>
      </c>
      <c r="D227">
        <v>81.599999999999994</v>
      </c>
      <c r="E227">
        <v>-0.35899999999999999</v>
      </c>
      <c r="F227">
        <v>289</v>
      </c>
      <c r="G227">
        <v>7739</v>
      </c>
    </row>
    <row r="228" spans="1:7">
      <c r="A228" t="s">
        <v>40</v>
      </c>
      <c r="B228" s="1" t="s">
        <v>18</v>
      </c>
      <c r="C228">
        <v>18324</v>
      </c>
      <c r="D228">
        <v>78.5</v>
      </c>
      <c r="E228">
        <v>-0.39600000000000002</v>
      </c>
      <c r="F228">
        <v>4845</v>
      </c>
      <c r="G228">
        <v>8195</v>
      </c>
    </row>
    <row r="229" spans="1:7">
      <c r="A229" t="s">
        <v>40</v>
      </c>
      <c r="B229" s="1" t="s">
        <v>19</v>
      </c>
      <c r="C229">
        <v>19602</v>
      </c>
      <c r="D229">
        <v>79.7</v>
      </c>
      <c r="E229">
        <v>-0.39</v>
      </c>
      <c r="F229">
        <v>3106</v>
      </c>
      <c r="G229">
        <v>7909</v>
      </c>
    </row>
    <row r="230" spans="1:7">
      <c r="A230" t="s">
        <v>40</v>
      </c>
      <c r="B230" s="1" t="s">
        <v>20</v>
      </c>
      <c r="C230">
        <v>19965</v>
      </c>
      <c r="D230">
        <v>79.7</v>
      </c>
      <c r="E230">
        <v>-0.374</v>
      </c>
      <c r="F230">
        <v>4010</v>
      </c>
      <c r="G230">
        <v>8208</v>
      </c>
    </row>
    <row r="231" spans="1:7">
      <c r="A231" t="s">
        <v>40</v>
      </c>
      <c r="B231" s="1" t="s">
        <v>21</v>
      </c>
      <c r="C231">
        <v>19787</v>
      </c>
      <c r="D231">
        <v>80</v>
      </c>
      <c r="E231">
        <v>-0.379</v>
      </c>
      <c r="F231">
        <v>3709</v>
      </c>
      <c r="G231">
        <v>8193</v>
      </c>
    </row>
    <row r="232" spans="1:7">
      <c r="A232" t="s">
        <v>40</v>
      </c>
      <c r="B232" s="1" t="s">
        <v>22</v>
      </c>
      <c r="C232">
        <v>18066</v>
      </c>
      <c r="D232">
        <v>79.099999999999994</v>
      </c>
      <c r="E232">
        <v>-0.39300000000000002</v>
      </c>
      <c r="F232">
        <v>5754</v>
      </c>
      <c r="G232">
        <v>8199</v>
      </c>
    </row>
    <row r="233" spans="1:7">
      <c r="A233" t="s">
        <v>40</v>
      </c>
      <c r="B233" s="1" t="s">
        <v>23</v>
      </c>
      <c r="C233">
        <v>18633</v>
      </c>
      <c r="D233">
        <v>79.599999999999994</v>
      </c>
      <c r="E233">
        <v>-0.38100000000000001</v>
      </c>
      <c r="F233">
        <v>4716</v>
      </c>
      <c r="G233">
        <v>8152</v>
      </c>
    </row>
    <row r="234" spans="1:7">
      <c r="A234" t="s">
        <v>40</v>
      </c>
      <c r="B234" s="1" t="s">
        <v>24</v>
      </c>
      <c r="C234">
        <v>18797</v>
      </c>
      <c r="D234">
        <v>79.599999999999994</v>
      </c>
      <c r="E234">
        <v>-0.38800000000000001</v>
      </c>
      <c r="F234">
        <v>5189</v>
      </c>
      <c r="G234">
        <v>8208</v>
      </c>
    </row>
    <row r="235" spans="1:7">
      <c r="A235" t="s">
        <v>40</v>
      </c>
      <c r="B235" s="1" t="s">
        <v>25</v>
      </c>
      <c r="C235">
        <v>19534</v>
      </c>
      <c r="D235">
        <v>79.7</v>
      </c>
      <c r="E235">
        <v>-0.38</v>
      </c>
      <c r="F235">
        <v>4553</v>
      </c>
      <c r="G235">
        <v>8203</v>
      </c>
    </row>
    <row r="236" spans="1:7">
      <c r="A236" t="s">
        <v>40</v>
      </c>
      <c r="B236" s="1" t="s">
        <v>26</v>
      </c>
      <c r="C236">
        <v>19007</v>
      </c>
      <c r="D236">
        <v>79.8</v>
      </c>
      <c r="E236">
        <v>-0.373</v>
      </c>
      <c r="F236">
        <v>4958</v>
      </c>
      <c r="G236">
        <v>8202</v>
      </c>
    </row>
    <row r="237" spans="1:7">
      <c r="A237" t="s">
        <v>40</v>
      </c>
      <c r="B237" s="1" t="s">
        <v>27</v>
      </c>
      <c r="C237">
        <v>18694</v>
      </c>
      <c r="D237">
        <v>79.5</v>
      </c>
      <c r="E237">
        <v>-0.38100000000000001</v>
      </c>
      <c r="F237">
        <v>5016</v>
      </c>
      <c r="G237">
        <v>8190</v>
      </c>
    </row>
    <row r="238" spans="1:7">
      <c r="A238" t="s">
        <v>40</v>
      </c>
      <c r="B238" s="1" t="s">
        <v>28</v>
      </c>
      <c r="C238">
        <v>19135</v>
      </c>
      <c r="D238">
        <v>79.599999999999994</v>
      </c>
      <c r="E238">
        <v>-0.38500000000000001</v>
      </c>
      <c r="F238">
        <v>4637</v>
      </c>
      <c r="G238">
        <v>8202</v>
      </c>
    </row>
    <row r="239" spans="1:7">
      <c r="A239" t="s">
        <v>40</v>
      </c>
      <c r="B239" s="1" t="s">
        <v>29</v>
      </c>
      <c r="C239">
        <v>19635</v>
      </c>
      <c r="D239">
        <v>80.099999999999994</v>
      </c>
      <c r="E239">
        <v>-0.38300000000000001</v>
      </c>
      <c r="F239">
        <v>4918</v>
      </c>
      <c r="G239">
        <v>8190</v>
      </c>
    </row>
    <row r="240" spans="1:7">
      <c r="A240" t="s">
        <v>40</v>
      </c>
      <c r="B240" s="1" t="s">
        <v>30</v>
      </c>
      <c r="C240">
        <v>16509</v>
      </c>
      <c r="D240">
        <v>79.900000000000006</v>
      </c>
      <c r="E240">
        <v>-0.38100000000000001</v>
      </c>
      <c r="F240">
        <v>6905</v>
      </c>
      <c r="G240">
        <v>8196</v>
      </c>
    </row>
    <row r="241" spans="1:7">
      <c r="A241" t="s">
        <v>40</v>
      </c>
      <c r="B241" s="1" t="s">
        <v>31</v>
      </c>
      <c r="C241">
        <v>8924</v>
      </c>
      <c r="D241">
        <v>79.8</v>
      </c>
      <c r="E241">
        <v>-0.40200000000000002</v>
      </c>
      <c r="F241">
        <v>14915</v>
      </c>
      <c r="G241">
        <v>8204</v>
      </c>
    </row>
    <row r="242" spans="1:7">
      <c r="A242" t="s">
        <v>41</v>
      </c>
      <c r="B242" s="1" t="s">
        <v>8</v>
      </c>
      <c r="C242">
        <v>8464</v>
      </c>
      <c r="D242">
        <v>79.8</v>
      </c>
      <c r="E242">
        <v>-0.39600000000000002</v>
      </c>
      <c r="F242">
        <v>15642</v>
      </c>
      <c r="G242">
        <v>8202</v>
      </c>
    </row>
    <row r="243" spans="1:7">
      <c r="A243" t="s">
        <v>41</v>
      </c>
      <c r="B243" s="1" t="s">
        <v>9</v>
      </c>
      <c r="C243">
        <v>10489</v>
      </c>
      <c r="D243">
        <v>80.099999999999994</v>
      </c>
      <c r="E243">
        <v>-0.4</v>
      </c>
      <c r="F243">
        <v>13465</v>
      </c>
      <c r="G243">
        <v>8205</v>
      </c>
    </row>
    <row r="244" spans="1:7">
      <c r="A244" t="s">
        <v>41</v>
      </c>
      <c r="B244" s="1" t="s">
        <v>10</v>
      </c>
      <c r="C244">
        <v>11686</v>
      </c>
      <c r="D244">
        <v>79.8</v>
      </c>
      <c r="E244">
        <v>-0.39600000000000002</v>
      </c>
      <c r="F244">
        <v>11549</v>
      </c>
      <c r="G244">
        <v>8189</v>
      </c>
    </row>
    <row r="245" spans="1:7">
      <c r="A245" t="s">
        <v>41</v>
      </c>
      <c r="B245" s="1" t="s">
        <v>11</v>
      </c>
      <c r="C245">
        <v>13078</v>
      </c>
      <c r="D245">
        <v>79.8</v>
      </c>
      <c r="E245">
        <v>-0.4</v>
      </c>
      <c r="F245">
        <v>10700</v>
      </c>
      <c r="G245">
        <v>8196</v>
      </c>
    </row>
    <row r="246" spans="1:7">
      <c r="A246" t="s">
        <v>41</v>
      </c>
      <c r="B246" s="1" t="s">
        <v>12</v>
      </c>
      <c r="C246">
        <v>22272</v>
      </c>
      <c r="D246">
        <v>79.900000000000006</v>
      </c>
      <c r="E246">
        <v>-0.38100000000000001</v>
      </c>
      <c r="F246">
        <v>1387</v>
      </c>
      <c r="G246">
        <v>8198</v>
      </c>
    </row>
    <row r="247" spans="1:7">
      <c r="A247" t="s">
        <v>41</v>
      </c>
      <c r="B247" s="1" t="s">
        <v>13</v>
      </c>
      <c r="C247">
        <v>19838</v>
      </c>
      <c r="D247">
        <v>79.599999999999994</v>
      </c>
      <c r="E247">
        <v>-0.39</v>
      </c>
      <c r="F247">
        <v>3999</v>
      </c>
      <c r="G247">
        <v>8199</v>
      </c>
    </row>
    <row r="248" spans="1:7">
      <c r="A248" t="s">
        <v>41</v>
      </c>
      <c r="B248" s="1" t="s">
        <v>14</v>
      </c>
      <c r="C248">
        <v>20997</v>
      </c>
      <c r="D248">
        <v>79.900000000000006</v>
      </c>
      <c r="E248">
        <v>-0.38400000000000001</v>
      </c>
      <c r="F248">
        <v>2379</v>
      </c>
      <c r="G248">
        <v>8203</v>
      </c>
    </row>
    <row r="249" spans="1:7">
      <c r="A249" t="s">
        <v>41</v>
      </c>
      <c r="B249" s="1" t="s">
        <v>15</v>
      </c>
      <c r="C249">
        <v>16795</v>
      </c>
      <c r="D249">
        <v>79.900000000000006</v>
      </c>
      <c r="E249">
        <v>-0.38</v>
      </c>
      <c r="F249">
        <v>6630</v>
      </c>
      <c r="G249">
        <v>8204</v>
      </c>
    </row>
    <row r="250" spans="1:7">
      <c r="A250" t="s">
        <v>41</v>
      </c>
      <c r="B250" s="1" t="s">
        <v>16</v>
      </c>
      <c r="C250">
        <v>17748</v>
      </c>
      <c r="D250">
        <v>79.7</v>
      </c>
      <c r="E250">
        <v>-0.39100000000000001</v>
      </c>
      <c r="F250">
        <v>5794</v>
      </c>
      <c r="G250">
        <v>8198</v>
      </c>
    </row>
    <row r="251" spans="1:7">
      <c r="A251" t="s">
        <v>41</v>
      </c>
      <c r="B251" s="1" t="s">
        <v>17</v>
      </c>
      <c r="C251">
        <v>18488</v>
      </c>
      <c r="D251">
        <v>79.3</v>
      </c>
      <c r="E251">
        <v>-0.39</v>
      </c>
      <c r="F251">
        <v>4553</v>
      </c>
      <c r="G251">
        <v>8206</v>
      </c>
    </row>
    <row r="252" spans="1:7">
      <c r="A252" t="s">
        <v>41</v>
      </c>
      <c r="B252" s="1" t="s">
        <v>18</v>
      </c>
      <c r="C252">
        <v>19017</v>
      </c>
      <c r="D252">
        <v>79.599999999999994</v>
      </c>
      <c r="E252">
        <v>-0.39200000000000002</v>
      </c>
      <c r="F252">
        <v>4667</v>
      </c>
      <c r="G252">
        <v>8196</v>
      </c>
    </row>
    <row r="253" spans="1:7">
      <c r="A253" t="s">
        <v>41</v>
      </c>
      <c r="B253" s="1" t="s">
        <v>19</v>
      </c>
      <c r="C253">
        <v>19016</v>
      </c>
      <c r="D253">
        <v>79.7</v>
      </c>
      <c r="E253">
        <v>-0.376</v>
      </c>
      <c r="F253">
        <v>4910</v>
      </c>
      <c r="G253">
        <v>8206</v>
      </c>
    </row>
    <row r="254" spans="1:7">
      <c r="A254" t="s">
        <v>41</v>
      </c>
      <c r="B254" s="1" t="s">
        <v>20</v>
      </c>
      <c r="C254">
        <v>17404</v>
      </c>
      <c r="D254">
        <v>79.400000000000006</v>
      </c>
      <c r="E254">
        <v>-0.39</v>
      </c>
      <c r="F254">
        <v>5716</v>
      </c>
      <c r="G254">
        <v>8192</v>
      </c>
    </row>
    <row r="255" spans="1:7">
      <c r="A255" t="s">
        <v>41</v>
      </c>
      <c r="B255" s="1" t="s">
        <v>21</v>
      </c>
      <c r="C255">
        <v>19746</v>
      </c>
      <c r="D255">
        <v>80.5</v>
      </c>
      <c r="E255">
        <v>-0.38100000000000001</v>
      </c>
      <c r="F255">
        <v>4748</v>
      </c>
      <c r="G255">
        <v>8212</v>
      </c>
    </row>
    <row r="256" spans="1:7">
      <c r="A256" t="s">
        <v>41</v>
      </c>
      <c r="B256" s="1" t="s">
        <v>22</v>
      </c>
      <c r="C256">
        <v>18322</v>
      </c>
      <c r="D256">
        <v>79.099999999999994</v>
      </c>
      <c r="E256">
        <v>-0.39500000000000002</v>
      </c>
      <c r="F256">
        <v>5191</v>
      </c>
      <c r="G256">
        <v>8193</v>
      </c>
    </row>
    <row r="257" spans="1:7">
      <c r="A257" t="s">
        <v>41</v>
      </c>
      <c r="B257" s="1" t="s">
        <v>23</v>
      </c>
      <c r="C257">
        <v>18480</v>
      </c>
      <c r="D257">
        <v>79.3</v>
      </c>
      <c r="E257">
        <v>-0.40100000000000002</v>
      </c>
      <c r="F257">
        <v>5057</v>
      </c>
      <c r="G257">
        <v>8165</v>
      </c>
    </row>
    <row r="258" spans="1:7">
      <c r="A258" t="s">
        <v>41</v>
      </c>
      <c r="B258" s="1" t="s">
        <v>24</v>
      </c>
      <c r="C258">
        <v>18112</v>
      </c>
      <c r="D258">
        <v>78.900000000000006</v>
      </c>
      <c r="E258">
        <v>-0.41099999999999998</v>
      </c>
      <c r="F258">
        <v>6151</v>
      </c>
      <c r="G258">
        <v>8199</v>
      </c>
    </row>
    <row r="259" spans="1:7">
      <c r="A259" t="s">
        <v>41</v>
      </c>
      <c r="B259" s="1" t="s">
        <v>25</v>
      </c>
      <c r="C259">
        <v>18934</v>
      </c>
      <c r="D259">
        <v>78.900000000000006</v>
      </c>
      <c r="E259">
        <v>-0.40200000000000002</v>
      </c>
      <c r="F259">
        <v>4655</v>
      </c>
      <c r="G259">
        <v>8198</v>
      </c>
    </row>
    <row r="260" spans="1:7">
      <c r="A260" t="s">
        <v>41</v>
      </c>
      <c r="B260" s="1" t="s">
        <v>26</v>
      </c>
      <c r="C260">
        <v>17553</v>
      </c>
      <c r="D260">
        <v>78.400000000000006</v>
      </c>
      <c r="E260">
        <v>-0.41499999999999998</v>
      </c>
      <c r="F260">
        <v>6074</v>
      </c>
      <c r="G260">
        <v>8184</v>
      </c>
    </row>
    <row r="261" spans="1:7">
      <c r="A261" t="s">
        <v>41</v>
      </c>
      <c r="B261" s="1" t="s">
        <v>27</v>
      </c>
      <c r="C261">
        <v>17839</v>
      </c>
      <c r="D261">
        <v>79.3</v>
      </c>
      <c r="E261">
        <v>-0.40400000000000003</v>
      </c>
      <c r="F261">
        <v>6340</v>
      </c>
      <c r="G261">
        <v>8205</v>
      </c>
    </row>
    <row r="262" spans="1:7">
      <c r="A262" t="s">
        <v>41</v>
      </c>
      <c r="B262" s="1" t="s">
        <v>28</v>
      </c>
      <c r="C262">
        <v>18133</v>
      </c>
      <c r="D262">
        <v>78.8</v>
      </c>
      <c r="E262">
        <v>-0.39600000000000002</v>
      </c>
      <c r="F262">
        <v>5324</v>
      </c>
      <c r="G262">
        <v>8187</v>
      </c>
    </row>
    <row r="263" spans="1:7">
      <c r="A263" t="s">
        <v>41</v>
      </c>
      <c r="B263" s="1" t="s">
        <v>29</v>
      </c>
      <c r="C263">
        <v>18693</v>
      </c>
      <c r="D263">
        <v>79.5</v>
      </c>
      <c r="E263">
        <v>-0.38700000000000001</v>
      </c>
      <c r="F263">
        <v>4391</v>
      </c>
      <c r="G263">
        <v>8187</v>
      </c>
    </row>
    <row r="264" spans="1:7">
      <c r="A264" t="s">
        <v>41</v>
      </c>
      <c r="B264" s="1" t="s">
        <v>30</v>
      </c>
      <c r="C264">
        <v>15855</v>
      </c>
      <c r="D264">
        <v>78.900000000000006</v>
      </c>
      <c r="E264">
        <v>-0.40300000000000002</v>
      </c>
      <c r="F264">
        <v>7832</v>
      </c>
      <c r="G264">
        <v>8201</v>
      </c>
    </row>
    <row r="265" spans="1:7">
      <c r="A265" t="s">
        <v>41</v>
      </c>
      <c r="B265" s="1" t="s">
        <v>31</v>
      </c>
      <c r="C265">
        <v>7231</v>
      </c>
      <c r="D265">
        <v>79.5</v>
      </c>
      <c r="E265">
        <v>-0.40600000000000003</v>
      </c>
      <c r="F265">
        <v>16353</v>
      </c>
      <c r="G265">
        <v>8197</v>
      </c>
    </row>
    <row r="266" spans="1:7">
      <c r="A266" t="s">
        <v>42</v>
      </c>
      <c r="B266" s="1" t="s">
        <v>8</v>
      </c>
      <c r="C266">
        <v>7910</v>
      </c>
      <c r="D266">
        <v>79.599999999999994</v>
      </c>
      <c r="E266">
        <v>-0.40100000000000002</v>
      </c>
      <c r="F266">
        <v>15189</v>
      </c>
      <c r="G266">
        <v>8197</v>
      </c>
    </row>
    <row r="267" spans="1:7">
      <c r="A267" t="s">
        <v>42</v>
      </c>
      <c r="B267" s="1" t="s">
        <v>9</v>
      </c>
      <c r="C267">
        <v>10579</v>
      </c>
      <c r="D267">
        <v>79.599999999999994</v>
      </c>
      <c r="E267">
        <v>-0.39600000000000002</v>
      </c>
      <c r="F267">
        <v>12369</v>
      </c>
      <c r="G267">
        <v>8188</v>
      </c>
    </row>
    <row r="268" spans="1:7">
      <c r="A268" t="s">
        <v>42</v>
      </c>
      <c r="B268" s="1" t="s">
        <v>10</v>
      </c>
      <c r="C268">
        <v>12757</v>
      </c>
      <c r="D268">
        <v>80.900000000000006</v>
      </c>
      <c r="E268">
        <v>-0.38300000000000001</v>
      </c>
      <c r="F268">
        <v>11074</v>
      </c>
      <c r="G268">
        <v>8198</v>
      </c>
    </row>
    <row r="269" spans="1:7">
      <c r="A269" t="s">
        <v>42</v>
      </c>
      <c r="B269" s="1" t="s">
        <v>11</v>
      </c>
      <c r="C269">
        <v>13506</v>
      </c>
      <c r="D269">
        <v>81</v>
      </c>
      <c r="E269">
        <v>-0.379</v>
      </c>
      <c r="F269">
        <v>10286</v>
      </c>
      <c r="G269">
        <v>8199</v>
      </c>
    </row>
    <row r="270" spans="1:7">
      <c r="A270" t="s">
        <v>42</v>
      </c>
      <c r="B270" s="1" t="s">
        <v>12</v>
      </c>
      <c r="C270">
        <v>21509</v>
      </c>
      <c r="D270">
        <v>80.400000000000006</v>
      </c>
      <c r="E270">
        <v>-0.374</v>
      </c>
      <c r="F270">
        <v>2046</v>
      </c>
      <c r="G270">
        <v>8182</v>
      </c>
    </row>
    <row r="271" spans="1:7">
      <c r="A271" t="s">
        <v>42</v>
      </c>
      <c r="B271" s="1" t="s">
        <v>13</v>
      </c>
      <c r="C271">
        <v>20054</v>
      </c>
      <c r="D271">
        <v>80.3</v>
      </c>
      <c r="E271">
        <v>-0.374</v>
      </c>
      <c r="F271">
        <v>3607</v>
      </c>
      <c r="G271">
        <v>8194</v>
      </c>
    </row>
    <row r="272" spans="1:7">
      <c r="A272" t="s">
        <v>42</v>
      </c>
      <c r="B272" s="1" t="s">
        <v>14</v>
      </c>
      <c r="C272">
        <v>21869</v>
      </c>
      <c r="D272">
        <v>80.900000000000006</v>
      </c>
      <c r="E272">
        <v>-0.36199999999999999</v>
      </c>
      <c r="F272">
        <v>1658</v>
      </c>
      <c r="G272">
        <v>8200</v>
      </c>
    </row>
    <row r="273" spans="1:7">
      <c r="A273" t="s">
        <v>42</v>
      </c>
      <c r="B273" s="1" t="s">
        <v>15</v>
      </c>
      <c r="C273">
        <v>17818</v>
      </c>
      <c r="D273">
        <v>80.5</v>
      </c>
      <c r="E273">
        <v>-0.36899999999999999</v>
      </c>
      <c r="F273">
        <v>5868</v>
      </c>
      <c r="G273">
        <v>8197</v>
      </c>
    </row>
    <row r="274" spans="1:7">
      <c r="A274" t="s">
        <v>42</v>
      </c>
      <c r="B274" s="1" t="s">
        <v>16</v>
      </c>
      <c r="C274">
        <v>17975</v>
      </c>
      <c r="D274">
        <v>80.900000000000006</v>
      </c>
      <c r="E274">
        <v>-0.371</v>
      </c>
      <c r="F274">
        <v>6421</v>
      </c>
      <c r="G274">
        <v>8204</v>
      </c>
    </row>
    <row r="275" spans="1:7">
      <c r="A275" t="s">
        <v>42</v>
      </c>
      <c r="B275" s="1" t="s">
        <v>17</v>
      </c>
      <c r="C275">
        <v>20628</v>
      </c>
      <c r="D275">
        <v>82</v>
      </c>
      <c r="E275">
        <v>-0.33700000000000002</v>
      </c>
      <c r="F275">
        <v>2784</v>
      </c>
      <c r="G275">
        <v>8176</v>
      </c>
    </row>
    <row r="276" spans="1:7">
      <c r="A276" t="s">
        <v>42</v>
      </c>
      <c r="B276" s="1" t="s">
        <v>18</v>
      </c>
      <c r="C276">
        <v>18840</v>
      </c>
      <c r="D276">
        <v>80.8</v>
      </c>
      <c r="E276">
        <v>-0.36199999999999999</v>
      </c>
      <c r="F276">
        <v>4658</v>
      </c>
      <c r="G276">
        <v>8181</v>
      </c>
    </row>
    <row r="277" spans="1:7">
      <c r="A277" t="s">
        <v>42</v>
      </c>
      <c r="B277" s="1" t="s">
        <v>19</v>
      </c>
      <c r="C277">
        <v>18915</v>
      </c>
      <c r="D277">
        <v>80.8</v>
      </c>
      <c r="E277">
        <v>-0.36599999999999999</v>
      </c>
      <c r="F277">
        <v>4223</v>
      </c>
      <c r="G277">
        <v>8201</v>
      </c>
    </row>
    <row r="278" spans="1:7">
      <c r="A278" t="s">
        <v>42</v>
      </c>
      <c r="B278" s="1" t="s">
        <v>20</v>
      </c>
      <c r="C278">
        <v>18111</v>
      </c>
      <c r="D278">
        <v>80.400000000000006</v>
      </c>
      <c r="E278">
        <v>-0.38400000000000001</v>
      </c>
      <c r="F278">
        <v>6109</v>
      </c>
      <c r="G278">
        <v>8202</v>
      </c>
    </row>
    <row r="279" spans="1:7">
      <c r="A279" t="s">
        <v>42</v>
      </c>
      <c r="B279" s="1" t="s">
        <v>21</v>
      </c>
      <c r="C279">
        <v>16212</v>
      </c>
      <c r="D279">
        <v>79.3</v>
      </c>
      <c r="E279">
        <v>-0.39200000000000002</v>
      </c>
      <c r="F279">
        <v>7283</v>
      </c>
      <c r="G279">
        <v>8186</v>
      </c>
    </row>
    <row r="280" spans="1:7">
      <c r="A280" t="s">
        <v>42</v>
      </c>
      <c r="B280" s="1" t="s">
        <v>22</v>
      </c>
      <c r="C280">
        <v>18440</v>
      </c>
      <c r="D280">
        <v>79.599999999999994</v>
      </c>
      <c r="E280">
        <v>-0.39</v>
      </c>
      <c r="F280">
        <v>5586</v>
      </c>
      <c r="G280">
        <v>8203</v>
      </c>
    </row>
    <row r="281" spans="1:7">
      <c r="A281" t="s">
        <v>42</v>
      </c>
      <c r="B281" s="1" t="s">
        <v>23</v>
      </c>
      <c r="C281">
        <v>17881</v>
      </c>
      <c r="D281">
        <v>78.900000000000006</v>
      </c>
      <c r="E281">
        <v>-0.39900000000000002</v>
      </c>
      <c r="F281">
        <v>5520</v>
      </c>
      <c r="G281">
        <v>8214</v>
      </c>
    </row>
    <row r="282" spans="1:7">
      <c r="A282" t="s">
        <v>42</v>
      </c>
      <c r="B282" s="1" t="s">
        <v>24</v>
      </c>
      <c r="C282">
        <v>18625</v>
      </c>
      <c r="D282">
        <v>79.5</v>
      </c>
      <c r="E282">
        <v>-0.39100000000000001</v>
      </c>
      <c r="F282">
        <v>5193</v>
      </c>
      <c r="G282">
        <v>8191</v>
      </c>
    </row>
    <row r="283" spans="1:7">
      <c r="A283" t="s">
        <v>42</v>
      </c>
      <c r="B283" s="1" t="s">
        <v>25</v>
      </c>
      <c r="C283">
        <v>18969</v>
      </c>
      <c r="D283">
        <v>79.7</v>
      </c>
      <c r="E283">
        <v>-0.38</v>
      </c>
      <c r="F283">
        <v>4109</v>
      </c>
      <c r="G283">
        <v>8176</v>
      </c>
    </row>
    <row r="284" spans="1:7">
      <c r="A284" t="s">
        <v>42</v>
      </c>
      <c r="B284" s="1" t="s">
        <v>26</v>
      </c>
      <c r="C284">
        <v>18003</v>
      </c>
      <c r="D284">
        <v>79.2</v>
      </c>
      <c r="E284">
        <v>-0.38800000000000001</v>
      </c>
      <c r="F284">
        <v>5145</v>
      </c>
      <c r="G284">
        <v>8189</v>
      </c>
    </row>
    <row r="285" spans="1:7">
      <c r="A285" t="s">
        <v>42</v>
      </c>
      <c r="B285" s="1" t="s">
        <v>27</v>
      </c>
      <c r="C285">
        <v>17228</v>
      </c>
      <c r="D285">
        <v>78.599999999999994</v>
      </c>
      <c r="E285">
        <v>-0.40300000000000002</v>
      </c>
      <c r="F285">
        <v>5559</v>
      </c>
      <c r="G285">
        <v>8200</v>
      </c>
    </row>
    <row r="286" spans="1:7">
      <c r="A286" t="s">
        <v>42</v>
      </c>
      <c r="B286" s="1" t="s">
        <v>28</v>
      </c>
      <c r="C286">
        <v>18806</v>
      </c>
      <c r="D286">
        <v>79.5</v>
      </c>
      <c r="E286">
        <v>-0.38300000000000001</v>
      </c>
      <c r="F286">
        <v>4543</v>
      </c>
      <c r="G286">
        <v>8199</v>
      </c>
    </row>
    <row r="287" spans="1:7">
      <c r="A287" t="s">
        <v>42</v>
      </c>
      <c r="B287" s="1" t="s">
        <v>29</v>
      </c>
      <c r="C287">
        <v>19194</v>
      </c>
      <c r="D287">
        <v>79.7</v>
      </c>
      <c r="E287">
        <v>-0.38100000000000001</v>
      </c>
      <c r="F287">
        <v>4878</v>
      </c>
      <c r="G287">
        <v>8178</v>
      </c>
    </row>
    <row r="288" spans="1:7">
      <c r="A288" t="s">
        <v>42</v>
      </c>
      <c r="B288" s="1" t="s">
        <v>30</v>
      </c>
      <c r="C288">
        <v>17542</v>
      </c>
      <c r="D288">
        <v>79.900000000000006</v>
      </c>
      <c r="E288">
        <v>-0.38</v>
      </c>
      <c r="F288">
        <v>5731</v>
      </c>
      <c r="G288">
        <v>8196</v>
      </c>
    </row>
    <row r="289" spans="1:7">
      <c r="A289" t="s">
        <v>42</v>
      </c>
      <c r="B289" s="1" t="s">
        <v>31</v>
      </c>
      <c r="C289">
        <v>7646</v>
      </c>
      <c r="D289">
        <v>80.099999999999994</v>
      </c>
      <c r="E289">
        <v>-0.39</v>
      </c>
      <c r="F289">
        <v>16039</v>
      </c>
      <c r="G289">
        <v>8203</v>
      </c>
    </row>
    <row r="290" spans="1:7">
      <c r="A290" t="s">
        <v>43</v>
      </c>
      <c r="B290" s="1" t="s">
        <v>8</v>
      </c>
      <c r="C290">
        <v>8332</v>
      </c>
      <c r="D290">
        <v>80</v>
      </c>
      <c r="E290">
        <v>-0.38300000000000001</v>
      </c>
      <c r="F290">
        <v>15176</v>
      </c>
      <c r="G290">
        <v>8191</v>
      </c>
    </row>
    <row r="291" spans="1:7">
      <c r="A291" t="s">
        <v>43</v>
      </c>
      <c r="B291" s="1" t="s">
        <v>9</v>
      </c>
      <c r="C291">
        <v>10763</v>
      </c>
      <c r="D291">
        <v>80.2</v>
      </c>
      <c r="E291">
        <v>-0.39300000000000002</v>
      </c>
      <c r="F291">
        <v>13462</v>
      </c>
      <c r="G291">
        <v>8195</v>
      </c>
    </row>
    <row r="292" spans="1:7">
      <c r="A292" t="s">
        <v>43</v>
      </c>
      <c r="B292" s="1" t="s">
        <v>10</v>
      </c>
      <c r="C292">
        <v>11576</v>
      </c>
      <c r="D292">
        <v>79.8</v>
      </c>
      <c r="E292">
        <v>-0.39200000000000002</v>
      </c>
      <c r="F292">
        <v>11388</v>
      </c>
      <c r="G292">
        <v>8194</v>
      </c>
    </row>
    <row r="293" spans="1:7">
      <c r="A293" t="s">
        <v>43</v>
      </c>
      <c r="B293" s="1" t="s">
        <v>11</v>
      </c>
      <c r="C293">
        <v>13206</v>
      </c>
      <c r="D293">
        <v>80.2</v>
      </c>
      <c r="E293">
        <v>-0.38500000000000001</v>
      </c>
      <c r="F293">
        <v>9837</v>
      </c>
      <c r="G293">
        <v>8188</v>
      </c>
    </row>
    <row r="294" spans="1:7">
      <c r="A294" t="s">
        <v>43</v>
      </c>
      <c r="B294" s="1" t="s">
        <v>12</v>
      </c>
      <c r="C294">
        <v>21838</v>
      </c>
      <c r="D294">
        <v>80.099999999999994</v>
      </c>
      <c r="E294">
        <v>-0.38700000000000001</v>
      </c>
      <c r="F294">
        <v>2011</v>
      </c>
      <c r="G294">
        <v>8187</v>
      </c>
    </row>
    <row r="295" spans="1:7">
      <c r="A295" t="s">
        <v>43</v>
      </c>
      <c r="B295" s="1" t="s">
        <v>13</v>
      </c>
      <c r="C295">
        <v>21524</v>
      </c>
      <c r="D295">
        <v>79.8</v>
      </c>
      <c r="E295">
        <v>-0.38</v>
      </c>
      <c r="F295">
        <v>2155</v>
      </c>
      <c r="G295">
        <v>8196</v>
      </c>
    </row>
    <row r="296" spans="1:7">
      <c r="A296" t="s">
        <v>43</v>
      </c>
      <c r="B296" s="1" t="s">
        <v>14</v>
      </c>
      <c r="C296">
        <v>22620</v>
      </c>
      <c r="D296">
        <v>80</v>
      </c>
      <c r="E296">
        <v>-0.38</v>
      </c>
      <c r="F296">
        <v>1276</v>
      </c>
      <c r="G296">
        <v>8210</v>
      </c>
    </row>
    <row r="297" spans="1:7">
      <c r="A297" t="s">
        <v>43</v>
      </c>
      <c r="B297" s="1" t="s">
        <v>15</v>
      </c>
      <c r="C297">
        <v>18607</v>
      </c>
      <c r="D297">
        <v>79.900000000000006</v>
      </c>
      <c r="E297">
        <v>-0.378</v>
      </c>
      <c r="F297">
        <v>4875</v>
      </c>
      <c r="G297">
        <v>8201</v>
      </c>
    </row>
    <row r="298" spans="1:7">
      <c r="A298" t="s">
        <v>43</v>
      </c>
      <c r="B298" s="1" t="s">
        <v>16</v>
      </c>
      <c r="C298">
        <v>20091</v>
      </c>
      <c r="D298">
        <v>80.099999999999994</v>
      </c>
      <c r="E298">
        <v>-0.36899999999999999</v>
      </c>
      <c r="F298">
        <v>3401</v>
      </c>
      <c r="G298">
        <v>8202</v>
      </c>
    </row>
    <row r="299" spans="1:7">
      <c r="A299" t="s">
        <v>43</v>
      </c>
      <c r="B299" s="1" t="s">
        <v>17</v>
      </c>
      <c r="C299">
        <v>19305</v>
      </c>
      <c r="D299">
        <v>80.2</v>
      </c>
      <c r="E299">
        <v>-0.376</v>
      </c>
      <c r="F299">
        <v>4053</v>
      </c>
      <c r="G299">
        <v>8191</v>
      </c>
    </row>
    <row r="300" spans="1:7">
      <c r="A300" t="s">
        <v>43</v>
      </c>
      <c r="B300" s="1" t="s">
        <v>18</v>
      </c>
      <c r="C300">
        <v>17685</v>
      </c>
      <c r="D300">
        <v>79.900000000000006</v>
      </c>
      <c r="E300">
        <v>-0.38400000000000001</v>
      </c>
      <c r="F300">
        <v>5630</v>
      </c>
      <c r="G300">
        <v>8198</v>
      </c>
    </row>
    <row r="301" spans="1:7">
      <c r="A301" t="s">
        <v>43</v>
      </c>
      <c r="B301" s="1" t="s">
        <v>19</v>
      </c>
      <c r="C301">
        <v>18431</v>
      </c>
      <c r="D301">
        <v>79.599999999999994</v>
      </c>
      <c r="E301">
        <v>-0.38600000000000001</v>
      </c>
      <c r="F301">
        <v>6005</v>
      </c>
      <c r="G301">
        <v>8224</v>
      </c>
    </row>
    <row r="302" spans="1:7">
      <c r="A302" t="s">
        <v>43</v>
      </c>
      <c r="B302" s="1" t="s">
        <v>20</v>
      </c>
      <c r="C302">
        <v>17950</v>
      </c>
      <c r="D302">
        <v>79.599999999999994</v>
      </c>
      <c r="E302">
        <v>-0.38</v>
      </c>
      <c r="F302">
        <v>5171</v>
      </c>
      <c r="G302">
        <v>8163</v>
      </c>
    </row>
    <row r="303" spans="1:7">
      <c r="A303" t="s">
        <v>43</v>
      </c>
      <c r="B303" s="1" t="s">
        <v>21</v>
      </c>
      <c r="C303">
        <v>19666</v>
      </c>
      <c r="D303">
        <v>80.2</v>
      </c>
      <c r="E303">
        <v>-0.38400000000000001</v>
      </c>
      <c r="F303">
        <v>3546</v>
      </c>
      <c r="G303">
        <v>7921</v>
      </c>
    </row>
    <row r="304" spans="1:7">
      <c r="A304" t="s">
        <v>43</v>
      </c>
      <c r="B304" s="1" t="s">
        <v>22</v>
      </c>
      <c r="C304">
        <v>18842</v>
      </c>
      <c r="D304">
        <v>80.3</v>
      </c>
      <c r="E304">
        <v>-0.38100000000000001</v>
      </c>
      <c r="F304">
        <v>4872</v>
      </c>
      <c r="G304">
        <v>8081</v>
      </c>
    </row>
    <row r="305" spans="1:7">
      <c r="A305" t="s">
        <v>43</v>
      </c>
      <c r="B305" s="1" t="s">
        <v>23</v>
      </c>
      <c r="C305">
        <v>18423</v>
      </c>
      <c r="D305">
        <v>79.8</v>
      </c>
      <c r="E305">
        <v>-0.38600000000000001</v>
      </c>
      <c r="F305">
        <v>5344</v>
      </c>
      <c r="G305">
        <v>8122</v>
      </c>
    </row>
    <row r="306" spans="1:7">
      <c r="A306" t="s">
        <v>43</v>
      </c>
      <c r="B306" s="1" t="s">
        <v>24</v>
      </c>
      <c r="C306">
        <v>19165</v>
      </c>
      <c r="D306">
        <v>80.099999999999994</v>
      </c>
      <c r="E306">
        <v>-0.371</v>
      </c>
      <c r="F306">
        <v>4156</v>
      </c>
      <c r="G306">
        <v>8180</v>
      </c>
    </row>
    <row r="307" spans="1:7">
      <c r="A307" t="s">
        <v>43</v>
      </c>
      <c r="B307" s="1" t="s">
        <v>25</v>
      </c>
      <c r="C307">
        <v>18615</v>
      </c>
      <c r="D307">
        <v>79.900000000000006</v>
      </c>
      <c r="E307">
        <v>-0.376</v>
      </c>
      <c r="F307">
        <v>4069</v>
      </c>
      <c r="G307">
        <v>8181</v>
      </c>
    </row>
    <row r="308" spans="1:7">
      <c r="A308" t="s">
        <v>43</v>
      </c>
      <c r="B308" s="1" t="s">
        <v>26</v>
      </c>
      <c r="C308">
        <v>18423</v>
      </c>
      <c r="D308">
        <v>79.599999999999994</v>
      </c>
      <c r="E308">
        <v>-0.38600000000000001</v>
      </c>
      <c r="F308">
        <v>5524</v>
      </c>
      <c r="G308">
        <v>8207</v>
      </c>
    </row>
    <row r="309" spans="1:7">
      <c r="A309" t="s">
        <v>43</v>
      </c>
      <c r="B309" s="1" t="s">
        <v>27</v>
      </c>
      <c r="C309">
        <v>18563</v>
      </c>
      <c r="D309">
        <v>80</v>
      </c>
      <c r="E309">
        <v>-0.38300000000000001</v>
      </c>
      <c r="F309">
        <v>5447</v>
      </c>
      <c r="G309">
        <v>8209</v>
      </c>
    </row>
    <row r="310" spans="1:7">
      <c r="A310" t="s">
        <v>43</v>
      </c>
      <c r="B310" s="1" t="s">
        <v>28</v>
      </c>
      <c r="C310">
        <v>18959</v>
      </c>
      <c r="D310">
        <v>80.2</v>
      </c>
      <c r="E310">
        <v>-0.377</v>
      </c>
      <c r="F310">
        <v>4876</v>
      </c>
      <c r="G310">
        <v>8190</v>
      </c>
    </row>
    <row r="311" spans="1:7">
      <c r="A311" t="s">
        <v>43</v>
      </c>
      <c r="B311" s="1" t="s">
        <v>29</v>
      </c>
      <c r="C311">
        <v>19227</v>
      </c>
      <c r="D311">
        <v>80.099999999999994</v>
      </c>
      <c r="E311">
        <v>-0.377</v>
      </c>
      <c r="F311">
        <v>4644</v>
      </c>
      <c r="G311">
        <v>8193</v>
      </c>
    </row>
    <row r="312" spans="1:7">
      <c r="A312" t="s">
        <v>43</v>
      </c>
      <c r="B312" s="1" t="s">
        <v>30</v>
      </c>
      <c r="C312">
        <v>17632</v>
      </c>
      <c r="D312">
        <v>80.8</v>
      </c>
      <c r="E312">
        <v>-0.35299999999999998</v>
      </c>
      <c r="F312">
        <v>6594</v>
      </c>
      <c r="G312">
        <v>8197</v>
      </c>
    </row>
    <row r="313" spans="1:7">
      <c r="A313" t="s">
        <v>43</v>
      </c>
      <c r="B313" s="1" t="s">
        <v>31</v>
      </c>
      <c r="C313">
        <v>8010</v>
      </c>
      <c r="D313">
        <v>80.3</v>
      </c>
      <c r="E313">
        <v>-0.38500000000000001</v>
      </c>
      <c r="F313">
        <v>15855</v>
      </c>
      <c r="G313">
        <v>8202</v>
      </c>
    </row>
    <row r="314" spans="1:7">
      <c r="A314" t="s">
        <v>44</v>
      </c>
      <c r="B314" s="1" t="s">
        <v>8</v>
      </c>
      <c r="C314">
        <v>8683</v>
      </c>
      <c r="D314">
        <v>80.400000000000006</v>
      </c>
      <c r="E314">
        <v>-0.38500000000000001</v>
      </c>
      <c r="F314">
        <v>15145</v>
      </c>
      <c r="G314">
        <v>8193</v>
      </c>
    </row>
    <row r="315" spans="1:7">
      <c r="A315" t="s">
        <v>44</v>
      </c>
      <c r="B315" s="1" t="s">
        <v>9</v>
      </c>
      <c r="C315">
        <v>10764</v>
      </c>
      <c r="D315">
        <v>80.400000000000006</v>
      </c>
      <c r="E315">
        <v>-0.39400000000000002</v>
      </c>
      <c r="F315">
        <v>12774</v>
      </c>
      <c r="G315">
        <v>8033</v>
      </c>
    </row>
    <row r="316" spans="1:7">
      <c r="A316" t="s">
        <v>44</v>
      </c>
      <c r="B316" s="1" t="s">
        <v>10</v>
      </c>
      <c r="C316">
        <v>12011</v>
      </c>
      <c r="D316">
        <v>80.599999999999994</v>
      </c>
      <c r="E316">
        <v>-0.38100000000000001</v>
      </c>
      <c r="F316">
        <v>12096</v>
      </c>
      <c r="G316">
        <v>8200</v>
      </c>
    </row>
    <row r="317" spans="1:7">
      <c r="A317" t="s">
        <v>44</v>
      </c>
      <c r="B317" s="1" t="s">
        <v>11</v>
      </c>
      <c r="C317">
        <v>13131</v>
      </c>
      <c r="D317">
        <v>80.5</v>
      </c>
      <c r="E317">
        <v>-0.38300000000000001</v>
      </c>
      <c r="F317">
        <v>10514</v>
      </c>
      <c r="G317">
        <v>8202</v>
      </c>
    </row>
    <row r="318" spans="1:7">
      <c r="A318" t="s">
        <v>44</v>
      </c>
      <c r="B318" s="1" t="s">
        <v>12</v>
      </c>
      <c r="C318">
        <v>21483</v>
      </c>
      <c r="D318">
        <v>80.400000000000006</v>
      </c>
      <c r="E318">
        <v>-0.38</v>
      </c>
      <c r="F318">
        <v>2481</v>
      </c>
      <c r="G318">
        <v>8200</v>
      </c>
    </row>
    <row r="319" spans="1:7">
      <c r="A319" t="s">
        <v>44</v>
      </c>
      <c r="B319" s="1" t="s">
        <v>13</v>
      </c>
      <c r="C319">
        <v>21403</v>
      </c>
      <c r="D319">
        <v>80.599999999999994</v>
      </c>
      <c r="E319">
        <v>-0.37</v>
      </c>
      <c r="F319">
        <v>2255</v>
      </c>
      <c r="G319">
        <v>8196</v>
      </c>
    </row>
    <row r="320" spans="1:7">
      <c r="A320" t="s">
        <v>44</v>
      </c>
      <c r="B320" s="1" t="s">
        <v>14</v>
      </c>
      <c r="C320">
        <v>22044</v>
      </c>
      <c r="D320">
        <v>80.2</v>
      </c>
      <c r="E320">
        <v>-0.371</v>
      </c>
      <c r="F320">
        <v>2169</v>
      </c>
      <c r="G320">
        <v>8206</v>
      </c>
    </row>
    <row r="321" spans="1:7">
      <c r="A321" t="s">
        <v>44</v>
      </c>
      <c r="B321" s="1" t="s">
        <v>15</v>
      </c>
      <c r="C321">
        <v>20079</v>
      </c>
      <c r="D321">
        <v>80</v>
      </c>
      <c r="E321">
        <v>-0.372</v>
      </c>
      <c r="F321">
        <v>3548</v>
      </c>
      <c r="G321">
        <v>8193</v>
      </c>
    </row>
    <row r="322" spans="1:7">
      <c r="A322" t="s">
        <v>44</v>
      </c>
      <c r="B322" s="1" t="s">
        <v>16</v>
      </c>
      <c r="C322">
        <v>20205</v>
      </c>
      <c r="D322">
        <v>80.3</v>
      </c>
      <c r="E322">
        <v>-0.36499999999999999</v>
      </c>
      <c r="F322">
        <v>3741</v>
      </c>
      <c r="G322">
        <v>8197</v>
      </c>
    </row>
    <row r="323" spans="1:7">
      <c r="A323" t="s">
        <v>44</v>
      </c>
      <c r="B323" s="1" t="s">
        <v>17</v>
      </c>
      <c r="C323">
        <v>19377</v>
      </c>
      <c r="D323">
        <v>79.900000000000006</v>
      </c>
      <c r="E323">
        <v>-0.371</v>
      </c>
      <c r="F323">
        <v>4072</v>
      </c>
      <c r="G323">
        <v>8197</v>
      </c>
    </row>
    <row r="324" spans="1:7">
      <c r="A324" t="s">
        <v>44</v>
      </c>
      <c r="B324" s="1" t="s">
        <v>18</v>
      </c>
      <c r="C324">
        <v>18518</v>
      </c>
      <c r="D324">
        <v>79.900000000000006</v>
      </c>
      <c r="E324">
        <v>-0.38300000000000001</v>
      </c>
      <c r="F324">
        <v>5232</v>
      </c>
      <c r="G324">
        <v>8202</v>
      </c>
    </row>
    <row r="325" spans="1:7">
      <c r="A325" t="s">
        <v>44</v>
      </c>
      <c r="B325" s="1" t="s">
        <v>19</v>
      </c>
      <c r="C325">
        <v>18283</v>
      </c>
      <c r="D325">
        <v>78.900000000000006</v>
      </c>
      <c r="E325">
        <v>-0.4</v>
      </c>
      <c r="F325">
        <v>5713</v>
      </c>
      <c r="G325">
        <v>8195</v>
      </c>
    </row>
    <row r="326" spans="1:7">
      <c r="A326" t="s">
        <v>44</v>
      </c>
      <c r="B326" s="1" t="s">
        <v>20</v>
      </c>
      <c r="C326">
        <v>17209</v>
      </c>
      <c r="D326">
        <v>78.3</v>
      </c>
      <c r="E326">
        <v>-0.40200000000000002</v>
      </c>
      <c r="F326">
        <v>5858</v>
      </c>
      <c r="G326">
        <v>8196</v>
      </c>
    </row>
    <row r="327" spans="1:7">
      <c r="A327" t="s">
        <v>44</v>
      </c>
      <c r="B327" s="1" t="s">
        <v>21</v>
      </c>
      <c r="C327">
        <v>18075</v>
      </c>
      <c r="D327">
        <v>78.8</v>
      </c>
      <c r="E327">
        <v>-0.39700000000000002</v>
      </c>
      <c r="F327">
        <v>5726</v>
      </c>
      <c r="G327">
        <v>8195</v>
      </c>
    </row>
    <row r="328" spans="1:7">
      <c r="A328" t="s">
        <v>44</v>
      </c>
      <c r="B328" s="1" t="s">
        <v>22</v>
      </c>
      <c r="C328">
        <v>18474</v>
      </c>
      <c r="D328">
        <v>79</v>
      </c>
      <c r="E328">
        <v>-0.38500000000000001</v>
      </c>
      <c r="F328">
        <v>5477</v>
      </c>
      <c r="G328">
        <v>8185</v>
      </c>
    </row>
    <row r="329" spans="1:7">
      <c r="A329" t="s">
        <v>44</v>
      </c>
      <c r="B329" s="1" t="s">
        <v>23</v>
      </c>
      <c r="C329">
        <v>18242</v>
      </c>
      <c r="D329">
        <v>78.900000000000006</v>
      </c>
      <c r="E329">
        <v>-0.39</v>
      </c>
      <c r="F329">
        <v>5033</v>
      </c>
      <c r="G329">
        <v>8155</v>
      </c>
    </row>
    <row r="330" spans="1:7">
      <c r="A330" t="s">
        <v>44</v>
      </c>
      <c r="B330" s="1" t="s">
        <v>24</v>
      </c>
      <c r="C330">
        <v>18336</v>
      </c>
      <c r="D330">
        <v>78.8</v>
      </c>
      <c r="E330">
        <v>-0.40100000000000002</v>
      </c>
      <c r="F330">
        <v>5192</v>
      </c>
      <c r="G330">
        <v>8188</v>
      </c>
    </row>
    <row r="331" spans="1:7">
      <c r="A331" t="s">
        <v>44</v>
      </c>
      <c r="B331" s="1" t="s">
        <v>25</v>
      </c>
      <c r="C331">
        <v>17999</v>
      </c>
      <c r="D331">
        <v>78.2</v>
      </c>
      <c r="E331">
        <v>-0.40200000000000002</v>
      </c>
      <c r="F331">
        <v>5678</v>
      </c>
      <c r="G331">
        <v>8213</v>
      </c>
    </row>
    <row r="332" spans="1:7">
      <c r="A332" t="s">
        <v>44</v>
      </c>
      <c r="B332" s="1" t="s">
        <v>26</v>
      </c>
      <c r="C332">
        <v>18553</v>
      </c>
      <c r="D332">
        <v>79.099999999999994</v>
      </c>
      <c r="E332">
        <v>-0.39200000000000002</v>
      </c>
      <c r="F332">
        <v>5018</v>
      </c>
      <c r="G332">
        <v>8195</v>
      </c>
    </row>
    <row r="333" spans="1:7">
      <c r="A333" t="s">
        <v>44</v>
      </c>
      <c r="B333" s="1" t="s">
        <v>27</v>
      </c>
      <c r="C333">
        <v>18747</v>
      </c>
      <c r="D333">
        <v>79</v>
      </c>
      <c r="E333">
        <v>-0.39400000000000002</v>
      </c>
      <c r="F333">
        <v>4675</v>
      </c>
      <c r="G333">
        <v>8197</v>
      </c>
    </row>
    <row r="334" spans="1:7">
      <c r="A334" t="s">
        <v>44</v>
      </c>
      <c r="B334" s="1" t="s">
        <v>28</v>
      </c>
      <c r="C334">
        <v>19663</v>
      </c>
      <c r="D334">
        <v>80.099999999999994</v>
      </c>
      <c r="E334">
        <v>-0.36699999999999999</v>
      </c>
      <c r="F334">
        <v>3450</v>
      </c>
      <c r="G334">
        <v>8198</v>
      </c>
    </row>
    <row r="335" spans="1:7">
      <c r="A335" t="s">
        <v>44</v>
      </c>
      <c r="B335" s="1" t="s">
        <v>29</v>
      </c>
      <c r="C335">
        <v>19561</v>
      </c>
      <c r="D335">
        <v>80.400000000000006</v>
      </c>
      <c r="E335">
        <v>-0.36699999999999999</v>
      </c>
      <c r="F335">
        <v>3838</v>
      </c>
      <c r="G335">
        <v>8197</v>
      </c>
    </row>
    <row r="336" spans="1:7">
      <c r="A336" t="s">
        <v>44</v>
      </c>
      <c r="B336" s="1" t="s">
        <v>30</v>
      </c>
      <c r="C336">
        <v>16442</v>
      </c>
      <c r="D336">
        <v>80.3</v>
      </c>
      <c r="E336">
        <v>-0.371</v>
      </c>
      <c r="F336">
        <v>6613</v>
      </c>
      <c r="G336">
        <v>8198</v>
      </c>
    </row>
    <row r="337" spans="1:7">
      <c r="A337" t="s">
        <v>44</v>
      </c>
      <c r="B337" s="1" t="s">
        <v>31</v>
      </c>
      <c r="C337">
        <v>7991</v>
      </c>
      <c r="D337">
        <v>80.8</v>
      </c>
      <c r="E337">
        <v>-0.374</v>
      </c>
      <c r="F337">
        <v>15485</v>
      </c>
      <c r="G337">
        <v>8202</v>
      </c>
    </row>
    <row r="338" spans="1:7">
      <c r="A338" t="s">
        <v>45</v>
      </c>
      <c r="B338" s="1" t="s">
        <v>8</v>
      </c>
      <c r="C338">
        <v>8983</v>
      </c>
      <c r="D338">
        <v>81.2</v>
      </c>
      <c r="E338">
        <v>-0.36899999999999999</v>
      </c>
      <c r="F338">
        <v>15378</v>
      </c>
      <c r="G338">
        <v>8197</v>
      </c>
    </row>
    <row r="339" spans="1:7">
      <c r="A339" t="s">
        <v>45</v>
      </c>
      <c r="B339" s="1" t="s">
        <v>9</v>
      </c>
      <c r="C339">
        <v>10888</v>
      </c>
      <c r="D339">
        <v>80.900000000000006</v>
      </c>
      <c r="E339">
        <v>-0.374</v>
      </c>
      <c r="F339">
        <v>12125</v>
      </c>
      <c r="G339">
        <v>8198</v>
      </c>
    </row>
    <row r="340" spans="1:7">
      <c r="A340" t="s">
        <v>45</v>
      </c>
      <c r="B340" s="1" t="s">
        <v>10</v>
      </c>
      <c r="C340">
        <v>12175</v>
      </c>
      <c r="D340">
        <v>80.7</v>
      </c>
      <c r="E340">
        <v>-0.38</v>
      </c>
      <c r="F340">
        <v>12152</v>
      </c>
      <c r="G340">
        <v>8207</v>
      </c>
    </row>
    <row r="341" spans="1:7">
      <c r="A341" t="s">
        <v>45</v>
      </c>
      <c r="B341" s="1" t="s">
        <v>11</v>
      </c>
      <c r="C341">
        <v>13362</v>
      </c>
      <c r="D341">
        <v>80.8</v>
      </c>
      <c r="E341">
        <v>-0.38100000000000001</v>
      </c>
      <c r="F341">
        <v>10557</v>
      </c>
      <c r="G341">
        <v>8197</v>
      </c>
    </row>
    <row r="342" spans="1:7">
      <c r="A342" t="s">
        <v>45</v>
      </c>
      <c r="B342" s="1" t="s">
        <v>12</v>
      </c>
      <c r="C342">
        <v>21650</v>
      </c>
      <c r="D342">
        <v>80.599999999999994</v>
      </c>
      <c r="E342">
        <v>-0.376</v>
      </c>
      <c r="F342">
        <v>2590</v>
      </c>
      <c r="G342">
        <v>8204</v>
      </c>
    </row>
    <row r="343" spans="1:7">
      <c r="A343" t="s">
        <v>45</v>
      </c>
      <c r="B343" s="1" t="s">
        <v>13</v>
      </c>
      <c r="C343">
        <v>21462</v>
      </c>
      <c r="D343">
        <v>80.400000000000006</v>
      </c>
      <c r="E343">
        <v>-0.377</v>
      </c>
      <c r="F343">
        <v>1602</v>
      </c>
      <c r="G343">
        <v>8199</v>
      </c>
    </row>
    <row r="344" spans="1:7">
      <c r="A344" t="s">
        <v>45</v>
      </c>
      <c r="B344" s="1" t="s">
        <v>14</v>
      </c>
      <c r="C344">
        <v>23842</v>
      </c>
      <c r="D344">
        <v>81</v>
      </c>
      <c r="E344">
        <v>-0.35699999999999998</v>
      </c>
      <c r="F344">
        <v>21</v>
      </c>
      <c r="G344">
        <v>8198</v>
      </c>
    </row>
    <row r="345" spans="1:7">
      <c r="A345" t="s">
        <v>45</v>
      </c>
      <c r="B345" s="1" t="s">
        <v>15</v>
      </c>
      <c r="C345">
        <v>18163</v>
      </c>
      <c r="D345">
        <v>79</v>
      </c>
      <c r="E345">
        <v>-0.40400000000000003</v>
      </c>
      <c r="F345">
        <v>5151</v>
      </c>
      <c r="G345">
        <v>8192</v>
      </c>
    </row>
    <row r="346" spans="1:7">
      <c r="A346" t="s">
        <v>45</v>
      </c>
      <c r="B346" s="1" t="s">
        <v>16</v>
      </c>
      <c r="C346">
        <v>20166</v>
      </c>
      <c r="D346">
        <v>80.900000000000006</v>
      </c>
      <c r="E346">
        <v>-0.36499999999999999</v>
      </c>
      <c r="F346">
        <v>4020</v>
      </c>
      <c r="G346">
        <v>8214</v>
      </c>
    </row>
    <row r="347" spans="1:7">
      <c r="A347" t="s">
        <v>45</v>
      </c>
      <c r="B347" s="1" t="s">
        <v>17</v>
      </c>
      <c r="C347">
        <v>20028</v>
      </c>
      <c r="D347">
        <v>80.3</v>
      </c>
      <c r="E347">
        <v>-0.376</v>
      </c>
      <c r="F347">
        <v>4200</v>
      </c>
      <c r="G347">
        <v>8206</v>
      </c>
    </row>
    <row r="348" spans="1:7">
      <c r="A348" t="s">
        <v>45</v>
      </c>
      <c r="B348" s="1" t="s">
        <v>18</v>
      </c>
      <c r="C348">
        <v>19238</v>
      </c>
      <c r="D348">
        <v>80.400000000000006</v>
      </c>
      <c r="E348">
        <v>-0.372</v>
      </c>
      <c r="F348">
        <v>4556</v>
      </c>
      <c r="G348">
        <v>8200</v>
      </c>
    </row>
    <row r="349" spans="1:7">
      <c r="A349" t="s">
        <v>45</v>
      </c>
      <c r="B349" s="1" t="s">
        <v>19</v>
      </c>
      <c r="C349">
        <v>17689</v>
      </c>
      <c r="D349">
        <v>79.7</v>
      </c>
      <c r="E349">
        <v>-0.38600000000000001</v>
      </c>
      <c r="F349">
        <v>5653</v>
      </c>
      <c r="G349">
        <v>8199</v>
      </c>
    </row>
    <row r="350" spans="1:7">
      <c r="A350" t="s">
        <v>45</v>
      </c>
      <c r="B350" s="1" t="s">
        <v>20</v>
      </c>
      <c r="C350">
        <v>18636</v>
      </c>
      <c r="D350">
        <v>80</v>
      </c>
      <c r="E350">
        <v>-0.379</v>
      </c>
      <c r="F350">
        <v>5137</v>
      </c>
      <c r="G350">
        <v>8198</v>
      </c>
    </row>
    <row r="351" spans="1:7">
      <c r="A351" t="s">
        <v>45</v>
      </c>
      <c r="B351" s="1" t="s">
        <v>21</v>
      </c>
      <c r="C351">
        <v>19340</v>
      </c>
      <c r="D351">
        <v>80.3</v>
      </c>
      <c r="E351">
        <v>-0.376</v>
      </c>
      <c r="F351">
        <v>4771</v>
      </c>
      <c r="G351">
        <v>8078</v>
      </c>
    </row>
    <row r="352" spans="1:7">
      <c r="A352" t="s">
        <v>45</v>
      </c>
      <c r="B352" s="1" t="s">
        <v>22</v>
      </c>
      <c r="C352">
        <v>18847</v>
      </c>
      <c r="D352">
        <v>79.599999999999994</v>
      </c>
      <c r="E352">
        <v>-0.38400000000000001</v>
      </c>
      <c r="F352">
        <v>5091</v>
      </c>
      <c r="G352">
        <v>8197</v>
      </c>
    </row>
    <row r="353" spans="1:7">
      <c r="A353" t="s">
        <v>45</v>
      </c>
      <c r="B353" s="1" t="s">
        <v>23</v>
      </c>
      <c r="C353">
        <v>18550</v>
      </c>
      <c r="D353">
        <v>80</v>
      </c>
      <c r="E353">
        <v>-0.377</v>
      </c>
      <c r="F353">
        <v>4888</v>
      </c>
      <c r="G353">
        <v>8201</v>
      </c>
    </row>
    <row r="354" spans="1:7">
      <c r="A354" t="s">
        <v>45</v>
      </c>
      <c r="B354" s="1" t="s">
        <v>24</v>
      </c>
      <c r="C354">
        <v>19104</v>
      </c>
      <c r="D354">
        <v>80.3</v>
      </c>
      <c r="E354">
        <v>-0.374</v>
      </c>
      <c r="F354">
        <v>4788</v>
      </c>
      <c r="G354">
        <v>8181</v>
      </c>
    </row>
    <row r="355" spans="1:7">
      <c r="A355" t="s">
        <v>45</v>
      </c>
      <c r="B355" s="1" t="s">
        <v>25</v>
      </c>
      <c r="C355">
        <v>18947</v>
      </c>
      <c r="D355">
        <v>80</v>
      </c>
      <c r="E355">
        <v>-0.38300000000000001</v>
      </c>
      <c r="F355">
        <v>5213</v>
      </c>
      <c r="G355">
        <v>8130</v>
      </c>
    </row>
    <row r="356" spans="1:7">
      <c r="A356" t="s">
        <v>45</v>
      </c>
      <c r="B356" s="1" t="s">
        <v>26</v>
      </c>
      <c r="C356">
        <v>18993</v>
      </c>
      <c r="D356">
        <v>79.900000000000006</v>
      </c>
      <c r="E356">
        <v>-0.38100000000000001</v>
      </c>
      <c r="F356">
        <v>4703</v>
      </c>
      <c r="G356">
        <v>8205</v>
      </c>
    </row>
    <row r="357" spans="1:7">
      <c r="A357" t="s">
        <v>45</v>
      </c>
      <c r="B357" s="1" t="s">
        <v>27</v>
      </c>
      <c r="C357">
        <v>19395</v>
      </c>
      <c r="D357">
        <v>80.2</v>
      </c>
      <c r="E357">
        <v>-0.371</v>
      </c>
      <c r="F357">
        <v>4374</v>
      </c>
      <c r="G357">
        <v>8189</v>
      </c>
    </row>
    <row r="358" spans="1:7">
      <c r="A358" t="s">
        <v>45</v>
      </c>
      <c r="B358" s="1" t="s">
        <v>28</v>
      </c>
      <c r="C358">
        <v>19830</v>
      </c>
      <c r="D358">
        <v>80.400000000000006</v>
      </c>
      <c r="E358">
        <v>-0.377</v>
      </c>
      <c r="F358">
        <v>4148</v>
      </c>
      <c r="G358">
        <v>8200</v>
      </c>
    </row>
    <row r="359" spans="1:7">
      <c r="A359" t="s">
        <v>45</v>
      </c>
      <c r="B359" s="1" t="s">
        <v>29</v>
      </c>
      <c r="C359">
        <v>18947</v>
      </c>
      <c r="D359">
        <v>79.7</v>
      </c>
      <c r="E359">
        <v>-0.38100000000000001</v>
      </c>
      <c r="F359">
        <v>4554</v>
      </c>
      <c r="G359">
        <v>8204</v>
      </c>
    </row>
    <row r="360" spans="1:7">
      <c r="A360" t="s">
        <v>45</v>
      </c>
      <c r="B360" s="1" t="s">
        <v>30</v>
      </c>
      <c r="C360">
        <v>16569</v>
      </c>
      <c r="D360">
        <v>79.099999999999994</v>
      </c>
      <c r="E360">
        <v>-0.39900000000000002</v>
      </c>
      <c r="F360">
        <v>7938</v>
      </c>
      <c r="G360">
        <v>8218</v>
      </c>
    </row>
    <row r="361" spans="1:7">
      <c r="A361" t="s">
        <v>45</v>
      </c>
      <c r="B361" s="1" t="s">
        <v>31</v>
      </c>
      <c r="C361">
        <v>9168</v>
      </c>
      <c r="D361">
        <v>79.7</v>
      </c>
      <c r="E361">
        <v>-0.4</v>
      </c>
      <c r="F361">
        <v>15341</v>
      </c>
      <c r="G361">
        <v>8203</v>
      </c>
    </row>
    <row r="362" spans="1:7">
      <c r="A362" t="s">
        <v>46</v>
      </c>
      <c r="B362" s="1" t="s">
        <v>8</v>
      </c>
      <c r="C362">
        <v>8415</v>
      </c>
      <c r="D362">
        <v>80.400000000000006</v>
      </c>
      <c r="E362">
        <v>-0.38800000000000001</v>
      </c>
      <c r="F362">
        <v>15448</v>
      </c>
      <c r="G362">
        <v>8207</v>
      </c>
    </row>
    <row r="363" spans="1:7">
      <c r="A363" t="s">
        <v>46</v>
      </c>
      <c r="B363" s="1" t="s">
        <v>9</v>
      </c>
      <c r="C363">
        <v>10432</v>
      </c>
      <c r="D363">
        <v>80.2</v>
      </c>
      <c r="E363">
        <v>-0.38700000000000001</v>
      </c>
      <c r="F363">
        <v>12787</v>
      </c>
      <c r="G363">
        <v>8194</v>
      </c>
    </row>
    <row r="364" spans="1:7">
      <c r="A364" t="s">
        <v>46</v>
      </c>
      <c r="B364" s="1" t="s">
        <v>10</v>
      </c>
      <c r="C364">
        <v>12284</v>
      </c>
      <c r="D364">
        <v>80.099999999999994</v>
      </c>
      <c r="E364">
        <v>-0.40899999999999997</v>
      </c>
      <c r="F364">
        <v>11992</v>
      </c>
      <c r="G364">
        <v>8202</v>
      </c>
    </row>
    <row r="365" spans="1:7">
      <c r="A365" t="s">
        <v>46</v>
      </c>
      <c r="B365" s="1" t="s">
        <v>11</v>
      </c>
      <c r="C365">
        <v>13029</v>
      </c>
      <c r="D365">
        <v>79.8</v>
      </c>
      <c r="E365">
        <v>-0.39600000000000002</v>
      </c>
      <c r="F365">
        <v>10577</v>
      </c>
      <c r="G365">
        <v>8199</v>
      </c>
    </row>
    <row r="366" spans="1:7">
      <c r="A366" t="s">
        <v>46</v>
      </c>
      <c r="B366" s="1" t="s">
        <v>12</v>
      </c>
      <c r="C366">
        <v>21343</v>
      </c>
      <c r="D366">
        <v>79.900000000000006</v>
      </c>
      <c r="E366">
        <v>-0.39300000000000002</v>
      </c>
      <c r="F366">
        <v>2321</v>
      </c>
      <c r="G366">
        <v>8195</v>
      </c>
    </row>
    <row r="367" spans="1:7">
      <c r="A367" t="s">
        <v>46</v>
      </c>
      <c r="B367" s="1" t="s">
        <v>13</v>
      </c>
      <c r="C367">
        <v>21327</v>
      </c>
      <c r="D367">
        <v>79.900000000000006</v>
      </c>
      <c r="E367">
        <v>-0.39</v>
      </c>
      <c r="F367">
        <v>2560</v>
      </c>
      <c r="G367">
        <v>8217</v>
      </c>
    </row>
    <row r="368" spans="1:7">
      <c r="A368" t="s">
        <v>46</v>
      </c>
      <c r="B368" s="1" t="s">
        <v>14</v>
      </c>
      <c r="C368">
        <v>23274</v>
      </c>
      <c r="D368">
        <v>79.8</v>
      </c>
      <c r="E368">
        <v>-0.39</v>
      </c>
      <c r="F368">
        <v>956</v>
      </c>
      <c r="G368">
        <v>8205</v>
      </c>
    </row>
    <row r="369" spans="1:7">
      <c r="A369" t="s">
        <v>46</v>
      </c>
      <c r="B369" s="1" t="s">
        <v>15</v>
      </c>
      <c r="C369">
        <v>21640</v>
      </c>
      <c r="D369">
        <v>81.3</v>
      </c>
      <c r="E369">
        <v>-0.35</v>
      </c>
      <c r="F369">
        <v>1939</v>
      </c>
      <c r="G369">
        <v>8187</v>
      </c>
    </row>
    <row r="370" spans="1:7">
      <c r="A370" t="s">
        <v>46</v>
      </c>
      <c r="B370" s="1" t="s">
        <v>16</v>
      </c>
      <c r="C370">
        <v>19414</v>
      </c>
      <c r="D370">
        <v>79.900000000000006</v>
      </c>
      <c r="E370">
        <v>-0.38600000000000001</v>
      </c>
      <c r="F370">
        <v>4765</v>
      </c>
      <c r="G370">
        <v>8148</v>
      </c>
    </row>
    <row r="371" spans="1:7">
      <c r="A371" t="s">
        <v>46</v>
      </c>
      <c r="B371" s="1" t="s">
        <v>17</v>
      </c>
      <c r="C371">
        <v>19339</v>
      </c>
      <c r="D371">
        <v>79.7</v>
      </c>
      <c r="E371">
        <v>-0.38100000000000001</v>
      </c>
      <c r="F371">
        <v>4651</v>
      </c>
      <c r="G371">
        <v>8199</v>
      </c>
    </row>
    <row r="372" spans="1:7">
      <c r="A372" t="s">
        <v>46</v>
      </c>
      <c r="B372" s="1" t="s">
        <v>18</v>
      </c>
      <c r="C372">
        <v>18971</v>
      </c>
      <c r="D372">
        <v>80</v>
      </c>
      <c r="E372">
        <v>-0.39900000000000002</v>
      </c>
      <c r="F372">
        <v>553</v>
      </c>
      <c r="G372">
        <v>0</v>
      </c>
    </row>
    <row r="373" spans="1:7">
      <c r="A373" t="s">
        <v>46</v>
      </c>
      <c r="B373" s="1" t="s">
        <v>19</v>
      </c>
      <c r="C373">
        <v>19104</v>
      </c>
      <c r="D373">
        <v>80.099999999999994</v>
      </c>
      <c r="E373">
        <v>-0.39900000000000002</v>
      </c>
      <c r="F373">
        <v>385</v>
      </c>
      <c r="G373">
        <v>0</v>
      </c>
    </row>
    <row r="374" spans="1:7">
      <c r="A374" t="s">
        <v>46</v>
      </c>
      <c r="B374" s="1" t="s">
        <v>20</v>
      </c>
      <c r="C374">
        <v>16717</v>
      </c>
      <c r="D374">
        <v>78.7</v>
      </c>
      <c r="E374">
        <v>-0.44800000000000001</v>
      </c>
      <c r="F374">
        <v>5037</v>
      </c>
      <c r="G374">
        <v>7772</v>
      </c>
    </row>
    <row r="375" spans="1:7">
      <c r="A375" t="s">
        <v>46</v>
      </c>
      <c r="B375" s="1" t="s">
        <v>21</v>
      </c>
      <c r="C375">
        <v>18860</v>
      </c>
      <c r="D375">
        <v>79.900000000000006</v>
      </c>
      <c r="E375">
        <v>-0.39600000000000002</v>
      </c>
      <c r="F375">
        <v>4653</v>
      </c>
      <c r="G375">
        <v>8188</v>
      </c>
    </row>
    <row r="376" spans="1:7">
      <c r="A376" t="s">
        <v>46</v>
      </c>
      <c r="B376" s="1" t="s">
        <v>22</v>
      </c>
      <c r="C376">
        <v>17733</v>
      </c>
      <c r="D376">
        <v>79.7</v>
      </c>
      <c r="E376">
        <v>-0.39900000000000002</v>
      </c>
      <c r="F376">
        <v>5803</v>
      </c>
      <c r="G376">
        <v>8196</v>
      </c>
    </row>
    <row r="377" spans="1:7">
      <c r="A377" t="s">
        <v>46</v>
      </c>
      <c r="B377" s="1" t="s">
        <v>23</v>
      </c>
      <c r="C377">
        <v>17471</v>
      </c>
      <c r="D377">
        <v>79.8</v>
      </c>
      <c r="E377">
        <v>-0.39900000000000002</v>
      </c>
      <c r="F377">
        <v>6607</v>
      </c>
      <c r="G377">
        <v>8200</v>
      </c>
    </row>
    <row r="378" spans="1:7">
      <c r="A378" t="s">
        <v>46</v>
      </c>
      <c r="B378" s="1" t="s">
        <v>24</v>
      </c>
      <c r="C378">
        <v>19149</v>
      </c>
      <c r="D378">
        <v>79.8</v>
      </c>
      <c r="E378">
        <v>-0.39600000000000002</v>
      </c>
      <c r="F378">
        <v>4560</v>
      </c>
      <c r="G378">
        <v>8087</v>
      </c>
    </row>
    <row r="379" spans="1:7">
      <c r="A379" t="s">
        <v>46</v>
      </c>
      <c r="B379" s="1" t="s">
        <v>25</v>
      </c>
      <c r="C379">
        <v>19154</v>
      </c>
      <c r="D379">
        <v>79.900000000000006</v>
      </c>
      <c r="E379">
        <v>-0.39700000000000002</v>
      </c>
      <c r="F379">
        <v>5207</v>
      </c>
      <c r="G379">
        <v>8204</v>
      </c>
    </row>
    <row r="380" spans="1:7">
      <c r="A380" t="s">
        <v>46</v>
      </c>
      <c r="B380" s="1" t="s">
        <v>26</v>
      </c>
      <c r="C380">
        <v>20584</v>
      </c>
      <c r="D380">
        <v>80.3</v>
      </c>
      <c r="E380">
        <v>-0.38600000000000001</v>
      </c>
      <c r="F380">
        <v>3703</v>
      </c>
      <c r="G380">
        <v>8208</v>
      </c>
    </row>
    <row r="381" spans="1:7">
      <c r="A381" t="s">
        <v>46</v>
      </c>
      <c r="B381" s="1" t="s">
        <v>27</v>
      </c>
      <c r="C381">
        <v>19333</v>
      </c>
      <c r="D381">
        <v>79.8</v>
      </c>
      <c r="E381">
        <v>-0.39</v>
      </c>
      <c r="F381">
        <v>4764</v>
      </c>
      <c r="G381">
        <v>8205</v>
      </c>
    </row>
    <row r="382" spans="1:7">
      <c r="A382" t="s">
        <v>46</v>
      </c>
      <c r="B382" s="1" t="s">
        <v>28</v>
      </c>
      <c r="C382">
        <v>19114</v>
      </c>
      <c r="D382">
        <v>79.7</v>
      </c>
      <c r="E382">
        <v>-0.39400000000000002</v>
      </c>
      <c r="F382">
        <v>5001</v>
      </c>
      <c r="G382">
        <v>8194</v>
      </c>
    </row>
    <row r="383" spans="1:7">
      <c r="A383" t="s">
        <v>46</v>
      </c>
      <c r="B383" s="1" t="s">
        <v>29</v>
      </c>
      <c r="C383">
        <v>19597</v>
      </c>
      <c r="D383">
        <v>80.099999999999994</v>
      </c>
      <c r="E383">
        <v>-0.39</v>
      </c>
      <c r="F383">
        <v>4478</v>
      </c>
      <c r="G383">
        <v>8194</v>
      </c>
    </row>
    <row r="384" spans="1:7">
      <c r="A384" t="s">
        <v>46</v>
      </c>
      <c r="B384" s="1" t="s">
        <v>30</v>
      </c>
      <c r="C384">
        <v>17593</v>
      </c>
      <c r="D384">
        <v>79.900000000000006</v>
      </c>
      <c r="E384">
        <v>-0.39100000000000001</v>
      </c>
      <c r="F384">
        <v>6250</v>
      </c>
      <c r="G384">
        <v>8206</v>
      </c>
    </row>
    <row r="385" spans="1:7">
      <c r="A385" t="s">
        <v>46</v>
      </c>
      <c r="B385" s="1" t="s">
        <v>31</v>
      </c>
      <c r="C385">
        <v>9347</v>
      </c>
      <c r="D385">
        <v>81.2</v>
      </c>
      <c r="E385">
        <v>-0.379</v>
      </c>
      <c r="F385">
        <v>14718</v>
      </c>
      <c r="G385">
        <v>8205</v>
      </c>
    </row>
    <row r="386" spans="1:7">
      <c r="A386" t="s">
        <v>47</v>
      </c>
      <c r="B386" s="1" t="s">
        <v>8</v>
      </c>
      <c r="C386">
        <v>9227</v>
      </c>
      <c r="D386">
        <v>81.5</v>
      </c>
      <c r="E386">
        <v>-0.37</v>
      </c>
      <c r="F386">
        <v>14544</v>
      </c>
      <c r="G386">
        <v>8207</v>
      </c>
    </row>
    <row r="387" spans="1:7">
      <c r="A387" t="s">
        <v>47</v>
      </c>
      <c r="B387" s="1" t="s">
        <v>9</v>
      </c>
      <c r="C387">
        <v>12598</v>
      </c>
      <c r="D387">
        <v>82</v>
      </c>
      <c r="E387">
        <v>-0.36399999999999999</v>
      </c>
      <c r="F387">
        <v>11752</v>
      </c>
      <c r="G387">
        <v>8201</v>
      </c>
    </row>
    <row r="388" spans="1:7">
      <c r="A388" t="s">
        <v>47</v>
      </c>
      <c r="B388" s="1" t="s">
        <v>10</v>
      </c>
      <c r="C388">
        <v>14242</v>
      </c>
      <c r="D388">
        <v>82.4</v>
      </c>
      <c r="E388">
        <v>-0.36699999999999999</v>
      </c>
      <c r="F388">
        <v>10559</v>
      </c>
      <c r="G388">
        <v>8200</v>
      </c>
    </row>
    <row r="389" spans="1:7">
      <c r="A389" t="s">
        <v>47</v>
      </c>
      <c r="B389" s="1" t="s">
        <v>11</v>
      </c>
      <c r="C389">
        <v>14714</v>
      </c>
      <c r="D389">
        <v>82.6</v>
      </c>
      <c r="E389">
        <v>-0.35499999999999998</v>
      </c>
      <c r="F389">
        <v>9116</v>
      </c>
      <c r="G389">
        <v>8189</v>
      </c>
    </row>
    <row r="390" spans="1:7">
      <c r="A390" t="s">
        <v>47</v>
      </c>
      <c r="B390" s="1" t="s">
        <v>12</v>
      </c>
      <c r="C390">
        <v>22993</v>
      </c>
      <c r="D390">
        <v>82.3</v>
      </c>
      <c r="E390">
        <v>-0.35</v>
      </c>
      <c r="F390">
        <v>1454</v>
      </c>
      <c r="G390">
        <v>8211</v>
      </c>
    </row>
    <row r="391" spans="1:7">
      <c r="A391" t="s">
        <v>47</v>
      </c>
      <c r="B391" s="1" t="s">
        <v>13</v>
      </c>
      <c r="C391">
        <v>22096</v>
      </c>
      <c r="D391">
        <v>82.1</v>
      </c>
      <c r="E391">
        <v>-0.33600000000000002</v>
      </c>
      <c r="F391">
        <v>1508</v>
      </c>
      <c r="G391">
        <v>8197</v>
      </c>
    </row>
    <row r="392" spans="1:7">
      <c r="A392" t="s">
        <v>47</v>
      </c>
      <c r="B392" s="1" t="s">
        <v>14</v>
      </c>
      <c r="C392">
        <v>24389</v>
      </c>
      <c r="D392">
        <v>82.7</v>
      </c>
      <c r="E392">
        <v>-0.33300000000000002</v>
      </c>
      <c r="F392">
        <v>27</v>
      </c>
      <c r="G392">
        <v>8202</v>
      </c>
    </row>
    <row r="393" spans="1:7">
      <c r="A393" t="s">
        <v>47</v>
      </c>
      <c r="B393" s="1" t="s">
        <v>15</v>
      </c>
      <c r="C393">
        <v>20577</v>
      </c>
      <c r="D393">
        <v>82.6</v>
      </c>
      <c r="E393">
        <v>-0.32900000000000001</v>
      </c>
      <c r="F393">
        <v>3452</v>
      </c>
      <c r="G393">
        <v>8211</v>
      </c>
    </row>
    <row r="394" spans="1:7">
      <c r="A394" t="s">
        <v>47</v>
      </c>
      <c r="B394" s="1" t="s">
        <v>16</v>
      </c>
      <c r="C394">
        <v>19397</v>
      </c>
      <c r="D394">
        <v>82</v>
      </c>
      <c r="E394">
        <v>-0.34699999999999998</v>
      </c>
      <c r="F394">
        <v>4622</v>
      </c>
      <c r="G394">
        <v>8194</v>
      </c>
    </row>
    <row r="395" spans="1:7">
      <c r="A395" t="s">
        <v>47</v>
      </c>
      <c r="B395" s="1" t="s">
        <v>17</v>
      </c>
      <c r="C395">
        <v>19615</v>
      </c>
      <c r="D395">
        <v>81.400000000000006</v>
      </c>
      <c r="E395">
        <v>-0.35699999999999998</v>
      </c>
      <c r="F395">
        <v>4522</v>
      </c>
      <c r="G395">
        <v>8193</v>
      </c>
    </row>
    <row r="396" spans="1:7">
      <c r="A396" t="s">
        <v>47</v>
      </c>
      <c r="B396" s="1" t="s">
        <v>18</v>
      </c>
      <c r="C396">
        <v>18281</v>
      </c>
      <c r="D396">
        <v>80.7</v>
      </c>
      <c r="E396">
        <v>-0.36699999999999999</v>
      </c>
      <c r="F396">
        <v>5776</v>
      </c>
      <c r="G396">
        <v>8181</v>
      </c>
    </row>
    <row r="397" spans="1:7">
      <c r="A397" t="s">
        <v>47</v>
      </c>
      <c r="B397" s="1" t="s">
        <v>19</v>
      </c>
      <c r="C397">
        <v>17632</v>
      </c>
      <c r="D397">
        <v>80</v>
      </c>
      <c r="E397">
        <v>-0.38100000000000001</v>
      </c>
      <c r="F397">
        <v>5424</v>
      </c>
      <c r="G397">
        <v>8195</v>
      </c>
    </row>
    <row r="398" spans="1:7">
      <c r="A398" t="s">
        <v>47</v>
      </c>
      <c r="B398" s="1" t="s">
        <v>20</v>
      </c>
      <c r="C398">
        <v>18033</v>
      </c>
      <c r="D398">
        <v>79.8</v>
      </c>
      <c r="E398">
        <v>-0.38500000000000001</v>
      </c>
      <c r="F398">
        <v>5232</v>
      </c>
      <c r="G398">
        <v>8198</v>
      </c>
    </row>
    <row r="399" spans="1:7">
      <c r="A399" t="s">
        <v>47</v>
      </c>
      <c r="B399" s="1" t="s">
        <v>21</v>
      </c>
      <c r="C399">
        <v>17324</v>
      </c>
      <c r="D399">
        <v>78.900000000000006</v>
      </c>
      <c r="E399">
        <v>-0.40300000000000002</v>
      </c>
      <c r="F399">
        <v>6229</v>
      </c>
      <c r="G399">
        <v>8197</v>
      </c>
    </row>
    <row r="400" spans="1:7">
      <c r="A400" t="s">
        <v>47</v>
      </c>
      <c r="B400" s="1" t="s">
        <v>22</v>
      </c>
      <c r="C400">
        <v>18187</v>
      </c>
      <c r="D400">
        <v>79.900000000000006</v>
      </c>
      <c r="E400">
        <v>-0.39</v>
      </c>
      <c r="F400">
        <v>5882</v>
      </c>
      <c r="G400">
        <v>8094</v>
      </c>
    </row>
    <row r="401" spans="1:7">
      <c r="A401" t="s">
        <v>47</v>
      </c>
      <c r="B401" s="1" t="s">
        <v>23</v>
      </c>
      <c r="C401">
        <v>17415</v>
      </c>
      <c r="D401">
        <v>79.3</v>
      </c>
      <c r="E401">
        <v>-0.39900000000000002</v>
      </c>
      <c r="F401">
        <v>5935</v>
      </c>
      <c r="G401">
        <v>8191</v>
      </c>
    </row>
    <row r="402" spans="1:7">
      <c r="A402" t="s">
        <v>47</v>
      </c>
      <c r="B402" s="1" t="s">
        <v>24</v>
      </c>
      <c r="C402">
        <v>18365</v>
      </c>
      <c r="D402">
        <v>79.8</v>
      </c>
      <c r="E402">
        <v>-0.38600000000000001</v>
      </c>
      <c r="F402">
        <v>5363</v>
      </c>
      <c r="G402">
        <v>8183</v>
      </c>
    </row>
    <row r="403" spans="1:7">
      <c r="A403" t="s">
        <v>47</v>
      </c>
      <c r="B403" s="1" t="s">
        <v>25</v>
      </c>
      <c r="C403">
        <v>18542</v>
      </c>
      <c r="D403">
        <v>79.5</v>
      </c>
      <c r="E403">
        <v>-0.38600000000000001</v>
      </c>
      <c r="F403">
        <v>5184</v>
      </c>
      <c r="G403">
        <v>8205</v>
      </c>
    </row>
    <row r="404" spans="1:7">
      <c r="A404" t="s">
        <v>47</v>
      </c>
      <c r="B404" s="1" t="s">
        <v>26</v>
      </c>
      <c r="C404">
        <v>18898</v>
      </c>
      <c r="D404">
        <v>80.3</v>
      </c>
      <c r="E404">
        <v>-0.373</v>
      </c>
      <c r="F404">
        <v>5218</v>
      </c>
      <c r="G404">
        <v>8204</v>
      </c>
    </row>
    <row r="405" spans="1:7">
      <c r="A405" t="s">
        <v>47</v>
      </c>
      <c r="B405" s="1" t="s">
        <v>27</v>
      </c>
      <c r="C405">
        <v>18240</v>
      </c>
      <c r="D405">
        <v>79.099999999999994</v>
      </c>
      <c r="E405">
        <v>-0.39700000000000002</v>
      </c>
      <c r="F405">
        <v>5291</v>
      </c>
      <c r="G405">
        <v>8200</v>
      </c>
    </row>
    <row r="406" spans="1:7">
      <c r="A406" t="s">
        <v>47</v>
      </c>
      <c r="B406" s="1" t="s">
        <v>28</v>
      </c>
      <c r="C406">
        <v>18555</v>
      </c>
      <c r="D406">
        <v>79.400000000000006</v>
      </c>
      <c r="E406">
        <v>-0.39300000000000002</v>
      </c>
      <c r="F406">
        <v>5566</v>
      </c>
      <c r="G406">
        <v>8201</v>
      </c>
    </row>
    <row r="407" spans="1:7">
      <c r="A407" t="s">
        <v>47</v>
      </c>
      <c r="B407" s="1" t="s">
        <v>29</v>
      </c>
      <c r="C407">
        <v>19183</v>
      </c>
      <c r="D407">
        <v>79.8</v>
      </c>
      <c r="E407">
        <v>-0.38100000000000001</v>
      </c>
      <c r="F407">
        <v>4865</v>
      </c>
      <c r="G407">
        <v>8201</v>
      </c>
    </row>
    <row r="408" spans="1:7">
      <c r="A408" t="s">
        <v>47</v>
      </c>
      <c r="B408" s="1" t="s">
        <v>30</v>
      </c>
      <c r="C408">
        <v>17427</v>
      </c>
      <c r="D408">
        <v>79.900000000000006</v>
      </c>
      <c r="E408">
        <v>-0.374</v>
      </c>
      <c r="F408">
        <v>5624</v>
      </c>
      <c r="G408">
        <v>8195</v>
      </c>
    </row>
    <row r="409" spans="1:7">
      <c r="A409" t="s">
        <v>47</v>
      </c>
      <c r="B409" s="1" t="s">
        <v>31</v>
      </c>
      <c r="C409">
        <v>8385</v>
      </c>
      <c r="D409">
        <v>80</v>
      </c>
      <c r="E409">
        <v>-0.39100000000000001</v>
      </c>
      <c r="F409">
        <v>15606</v>
      </c>
      <c r="G409">
        <v>8197</v>
      </c>
    </row>
    <row r="410" spans="1:7">
      <c r="A410" t="s">
        <v>48</v>
      </c>
      <c r="B410" s="1" t="s">
        <v>8</v>
      </c>
      <c r="C410">
        <v>8831</v>
      </c>
      <c r="D410">
        <v>80.099999999999994</v>
      </c>
      <c r="E410">
        <v>-0.39</v>
      </c>
      <c r="F410">
        <v>14743</v>
      </c>
      <c r="G410">
        <v>8047</v>
      </c>
    </row>
    <row r="411" spans="1:7">
      <c r="A411" t="s">
        <v>48</v>
      </c>
      <c r="B411" s="1" t="s">
        <v>9</v>
      </c>
      <c r="C411">
        <v>11856</v>
      </c>
      <c r="D411">
        <v>80.900000000000006</v>
      </c>
      <c r="E411">
        <v>-0.377</v>
      </c>
      <c r="F411">
        <v>11649</v>
      </c>
      <c r="G411">
        <v>8205</v>
      </c>
    </row>
    <row r="412" spans="1:7">
      <c r="A412" t="s">
        <v>48</v>
      </c>
      <c r="B412" s="1" t="s">
        <v>10</v>
      </c>
      <c r="C412">
        <v>12783</v>
      </c>
      <c r="D412">
        <v>81.400000000000006</v>
      </c>
      <c r="E412">
        <v>-0.372</v>
      </c>
      <c r="F412">
        <v>11615</v>
      </c>
      <c r="G412">
        <v>8206</v>
      </c>
    </row>
    <row r="413" spans="1:7">
      <c r="A413" t="s">
        <v>48</v>
      </c>
      <c r="B413" s="1" t="s">
        <v>11</v>
      </c>
      <c r="C413">
        <v>14344</v>
      </c>
      <c r="D413">
        <v>81.8</v>
      </c>
      <c r="E413">
        <v>-0.35499999999999998</v>
      </c>
      <c r="F413">
        <v>9275</v>
      </c>
      <c r="G413">
        <v>8189</v>
      </c>
    </row>
    <row r="414" spans="1:7">
      <c r="A414" t="s">
        <v>48</v>
      </c>
      <c r="B414" s="1" t="s">
        <v>12</v>
      </c>
      <c r="C414">
        <v>22471</v>
      </c>
      <c r="D414">
        <v>81.7</v>
      </c>
      <c r="E414">
        <v>-0.35399999999999998</v>
      </c>
      <c r="F414">
        <v>1413</v>
      </c>
      <c r="G414">
        <v>8181</v>
      </c>
    </row>
    <row r="415" spans="1:7">
      <c r="A415" t="s">
        <v>48</v>
      </c>
      <c r="B415" s="1" t="s">
        <v>13</v>
      </c>
      <c r="C415">
        <v>18183</v>
      </c>
      <c r="D415">
        <v>79.599999999999994</v>
      </c>
      <c r="E415">
        <v>-0.39400000000000002</v>
      </c>
      <c r="F415">
        <v>4858</v>
      </c>
      <c r="G415">
        <v>8189</v>
      </c>
    </row>
    <row r="416" spans="1:7">
      <c r="A416" t="s">
        <v>48</v>
      </c>
      <c r="B416" s="1" t="s">
        <v>14</v>
      </c>
      <c r="C416">
        <v>23204</v>
      </c>
      <c r="D416">
        <v>82.1</v>
      </c>
      <c r="E416">
        <v>-0.33900000000000002</v>
      </c>
      <c r="F416">
        <v>920</v>
      </c>
      <c r="G416">
        <v>8146</v>
      </c>
    </row>
    <row r="417" spans="1:7">
      <c r="A417" t="s">
        <v>48</v>
      </c>
      <c r="B417" s="1" t="s">
        <v>15</v>
      </c>
      <c r="C417">
        <v>16780</v>
      </c>
      <c r="D417">
        <v>81.3</v>
      </c>
      <c r="E417">
        <v>-0.32700000000000001</v>
      </c>
      <c r="F417">
        <v>3574</v>
      </c>
      <c r="G417">
        <v>8163</v>
      </c>
    </row>
    <row r="418" spans="1:7">
      <c r="A418" t="s">
        <v>48</v>
      </c>
      <c r="B418" s="1" t="s">
        <v>16</v>
      </c>
      <c r="C418">
        <v>19265</v>
      </c>
      <c r="D418">
        <v>81.400000000000006</v>
      </c>
      <c r="E418">
        <v>-0.35</v>
      </c>
      <c r="F418">
        <v>4580</v>
      </c>
      <c r="G418">
        <v>8189</v>
      </c>
    </row>
    <row r="419" spans="1:7">
      <c r="A419" t="s">
        <v>48</v>
      </c>
      <c r="B419" s="1" t="s">
        <v>17</v>
      </c>
      <c r="C419">
        <v>19578</v>
      </c>
      <c r="D419">
        <v>81.2</v>
      </c>
      <c r="E419">
        <v>-0.36</v>
      </c>
      <c r="F419">
        <v>4314</v>
      </c>
      <c r="G419">
        <v>8194</v>
      </c>
    </row>
    <row r="420" spans="1:7">
      <c r="A420" t="s">
        <v>48</v>
      </c>
      <c r="B420" s="1" t="s">
        <v>18</v>
      </c>
      <c r="C420">
        <v>17863</v>
      </c>
      <c r="D420">
        <v>79.3</v>
      </c>
      <c r="E420">
        <v>-0.39100000000000001</v>
      </c>
      <c r="F420">
        <v>6433</v>
      </c>
      <c r="G420">
        <v>8190</v>
      </c>
    </row>
    <row r="421" spans="1:7">
      <c r="A421" t="s">
        <v>48</v>
      </c>
      <c r="B421" s="1" t="s">
        <v>19</v>
      </c>
      <c r="C421">
        <v>16904</v>
      </c>
      <c r="D421">
        <v>79</v>
      </c>
      <c r="E421">
        <v>-0.39500000000000002</v>
      </c>
      <c r="F421">
        <v>6702</v>
      </c>
      <c r="G421">
        <v>8201</v>
      </c>
    </row>
    <row r="422" spans="1:7">
      <c r="A422" t="s">
        <v>48</v>
      </c>
      <c r="B422" s="1" t="s">
        <v>20</v>
      </c>
      <c r="C422">
        <v>17750</v>
      </c>
      <c r="D422">
        <v>78.599999999999994</v>
      </c>
      <c r="E422">
        <v>-0.40400000000000003</v>
      </c>
      <c r="F422">
        <v>5773</v>
      </c>
      <c r="G422">
        <v>8194</v>
      </c>
    </row>
    <row r="423" spans="1:7">
      <c r="A423" t="s">
        <v>48</v>
      </c>
      <c r="B423" s="1" t="s">
        <v>21</v>
      </c>
      <c r="C423">
        <v>17096</v>
      </c>
      <c r="D423">
        <v>78.599999999999994</v>
      </c>
      <c r="E423">
        <v>-0.39900000000000002</v>
      </c>
      <c r="F423">
        <v>6150</v>
      </c>
      <c r="G423">
        <v>8199</v>
      </c>
    </row>
    <row r="424" spans="1:7">
      <c r="A424" t="s">
        <v>48</v>
      </c>
      <c r="B424" s="1" t="s">
        <v>22</v>
      </c>
      <c r="C424">
        <v>17161</v>
      </c>
      <c r="D424">
        <v>78.2</v>
      </c>
      <c r="E424">
        <v>-0.41799999999999998</v>
      </c>
      <c r="F424">
        <v>7308</v>
      </c>
      <c r="G424">
        <v>8223</v>
      </c>
    </row>
    <row r="425" spans="1:7">
      <c r="A425" t="s">
        <v>48</v>
      </c>
      <c r="B425" s="1" t="s">
        <v>23</v>
      </c>
      <c r="C425">
        <v>17569</v>
      </c>
      <c r="D425">
        <v>78.5</v>
      </c>
      <c r="E425">
        <v>-0.40600000000000003</v>
      </c>
      <c r="F425">
        <v>5851</v>
      </c>
      <c r="G425">
        <v>8200</v>
      </c>
    </row>
    <row r="426" spans="1:7">
      <c r="A426" t="s">
        <v>48</v>
      </c>
      <c r="B426" s="1" t="s">
        <v>24</v>
      </c>
      <c r="C426">
        <v>18487</v>
      </c>
      <c r="D426">
        <v>78.8</v>
      </c>
      <c r="E426">
        <v>-0.40300000000000002</v>
      </c>
      <c r="F426">
        <v>5132</v>
      </c>
      <c r="G426">
        <v>8195</v>
      </c>
    </row>
    <row r="427" spans="1:7">
      <c r="A427" t="s">
        <v>48</v>
      </c>
      <c r="B427" s="1" t="s">
        <v>25</v>
      </c>
      <c r="C427">
        <v>20578</v>
      </c>
      <c r="D427">
        <v>79.5</v>
      </c>
      <c r="E427">
        <v>-0.376</v>
      </c>
      <c r="F427">
        <v>2805</v>
      </c>
      <c r="G427">
        <v>8185</v>
      </c>
    </row>
    <row r="428" spans="1:7">
      <c r="A428" t="s">
        <v>48</v>
      </c>
      <c r="B428" s="1" t="s">
        <v>26</v>
      </c>
      <c r="C428">
        <v>20877</v>
      </c>
      <c r="D428">
        <v>79.8</v>
      </c>
      <c r="E428">
        <v>-0.379</v>
      </c>
      <c r="F428">
        <v>2608</v>
      </c>
      <c r="G428">
        <v>8211</v>
      </c>
    </row>
    <row r="429" spans="1:7">
      <c r="A429" t="s">
        <v>48</v>
      </c>
      <c r="B429" s="1" t="s">
        <v>27</v>
      </c>
      <c r="C429">
        <v>21633</v>
      </c>
      <c r="D429">
        <v>81.3</v>
      </c>
      <c r="E429">
        <v>-0.35099999999999998</v>
      </c>
      <c r="F429">
        <v>2388</v>
      </c>
      <c r="G429">
        <v>8197</v>
      </c>
    </row>
    <row r="430" spans="1:7">
      <c r="A430" t="s">
        <v>48</v>
      </c>
      <c r="B430" s="1" t="s">
        <v>28</v>
      </c>
      <c r="C430">
        <v>20050</v>
      </c>
      <c r="D430">
        <v>81.599999999999994</v>
      </c>
      <c r="E430">
        <v>-0.34</v>
      </c>
      <c r="F430">
        <v>3868</v>
      </c>
      <c r="G430">
        <v>8180</v>
      </c>
    </row>
    <row r="431" spans="1:7">
      <c r="A431" t="s">
        <v>48</v>
      </c>
      <c r="B431" s="1" t="s">
        <v>29</v>
      </c>
      <c r="C431">
        <v>20162</v>
      </c>
      <c r="D431">
        <v>82</v>
      </c>
      <c r="E431">
        <v>-0.34</v>
      </c>
      <c r="F431">
        <v>3967</v>
      </c>
      <c r="G431">
        <v>8204</v>
      </c>
    </row>
    <row r="432" spans="1:7">
      <c r="A432" t="s">
        <v>48</v>
      </c>
      <c r="B432" s="1" t="s">
        <v>30</v>
      </c>
      <c r="C432">
        <v>17076</v>
      </c>
      <c r="D432">
        <v>81.8</v>
      </c>
      <c r="E432">
        <v>-0.34300000000000003</v>
      </c>
      <c r="F432">
        <v>6414</v>
      </c>
      <c r="G432">
        <v>8188</v>
      </c>
    </row>
    <row r="433" spans="1:7">
      <c r="A433" t="s">
        <v>48</v>
      </c>
      <c r="B433" s="1" t="s">
        <v>31</v>
      </c>
      <c r="C433">
        <v>9814</v>
      </c>
      <c r="D433">
        <v>83.2</v>
      </c>
      <c r="E433">
        <v>-0.33300000000000002</v>
      </c>
      <c r="F433">
        <v>14008</v>
      </c>
      <c r="G433">
        <v>8180</v>
      </c>
    </row>
    <row r="434" spans="1:7">
      <c r="A434" t="s">
        <v>49</v>
      </c>
      <c r="B434" s="1" t="s">
        <v>8</v>
      </c>
      <c r="C434">
        <v>10956</v>
      </c>
      <c r="D434">
        <v>83.9</v>
      </c>
      <c r="E434">
        <v>-0.32200000000000001</v>
      </c>
      <c r="F434">
        <v>13087</v>
      </c>
      <c r="G434">
        <v>8196</v>
      </c>
    </row>
    <row r="435" spans="1:7">
      <c r="A435" t="s">
        <v>49</v>
      </c>
      <c r="B435" s="1" t="s">
        <v>9</v>
      </c>
      <c r="C435">
        <v>13658</v>
      </c>
      <c r="D435">
        <v>83.8</v>
      </c>
      <c r="E435">
        <v>-0.32600000000000001</v>
      </c>
      <c r="F435">
        <v>10799</v>
      </c>
      <c r="G435">
        <v>8202</v>
      </c>
    </row>
    <row r="436" spans="1:7">
      <c r="A436" t="s">
        <v>49</v>
      </c>
      <c r="B436" s="1" t="s">
        <v>10</v>
      </c>
      <c r="C436">
        <v>13998</v>
      </c>
      <c r="D436">
        <v>83.9</v>
      </c>
      <c r="E436">
        <v>-0.32300000000000001</v>
      </c>
      <c r="F436">
        <v>10393</v>
      </c>
      <c r="G436">
        <v>8212</v>
      </c>
    </row>
    <row r="437" spans="1:7">
      <c r="A437" t="s">
        <v>49</v>
      </c>
      <c r="B437" s="1" t="s">
        <v>11</v>
      </c>
      <c r="C437">
        <v>14950</v>
      </c>
      <c r="D437">
        <v>84</v>
      </c>
      <c r="E437">
        <v>-0.30499999999999999</v>
      </c>
      <c r="F437">
        <v>8445</v>
      </c>
      <c r="G437">
        <v>8201</v>
      </c>
    </row>
    <row r="438" spans="1:7">
      <c r="A438" t="s">
        <v>49</v>
      </c>
      <c r="B438" s="1" t="s">
        <v>12</v>
      </c>
      <c r="C438">
        <v>21792</v>
      </c>
      <c r="D438">
        <v>83.4</v>
      </c>
      <c r="E438">
        <v>-0.31900000000000001</v>
      </c>
      <c r="F438">
        <v>2347</v>
      </c>
      <c r="G438">
        <v>8208</v>
      </c>
    </row>
    <row r="439" spans="1:7">
      <c r="A439" t="s">
        <v>49</v>
      </c>
      <c r="B439" s="1" t="s">
        <v>13</v>
      </c>
      <c r="C439">
        <v>20523</v>
      </c>
      <c r="D439">
        <v>83.4</v>
      </c>
      <c r="E439">
        <v>-0.31900000000000001</v>
      </c>
      <c r="F439">
        <v>3589</v>
      </c>
      <c r="G439">
        <v>8202</v>
      </c>
    </row>
    <row r="440" spans="1:7">
      <c r="A440" t="s">
        <v>49</v>
      </c>
      <c r="B440" s="1" t="s">
        <v>14</v>
      </c>
      <c r="C440">
        <v>21005</v>
      </c>
      <c r="D440">
        <v>82.5</v>
      </c>
      <c r="E440">
        <v>-0.33200000000000002</v>
      </c>
      <c r="F440">
        <v>3019</v>
      </c>
      <c r="G440">
        <v>8206</v>
      </c>
    </row>
    <row r="441" spans="1:7">
      <c r="A441" t="s">
        <v>49</v>
      </c>
      <c r="B441" s="1" t="s">
        <v>15</v>
      </c>
      <c r="C441">
        <v>17814</v>
      </c>
      <c r="D441">
        <v>82.1</v>
      </c>
      <c r="E441">
        <v>-0.34200000000000003</v>
      </c>
      <c r="F441">
        <v>6691</v>
      </c>
      <c r="G441">
        <v>8195</v>
      </c>
    </row>
    <row r="442" spans="1:7">
      <c r="A442" t="s">
        <v>49</v>
      </c>
      <c r="B442" s="1" t="s">
        <v>16</v>
      </c>
      <c r="C442">
        <v>18577</v>
      </c>
      <c r="D442">
        <v>82</v>
      </c>
      <c r="E442">
        <v>-0.33400000000000002</v>
      </c>
      <c r="F442">
        <v>4938</v>
      </c>
      <c r="G442">
        <v>8194</v>
      </c>
    </row>
    <row r="443" spans="1:7">
      <c r="A443" t="s">
        <v>49</v>
      </c>
      <c r="B443" s="1" t="s">
        <v>17</v>
      </c>
      <c r="C443">
        <v>19532</v>
      </c>
      <c r="D443">
        <v>81.400000000000006</v>
      </c>
      <c r="E443">
        <v>-0.34899999999999998</v>
      </c>
      <c r="F443">
        <v>3949</v>
      </c>
      <c r="G443">
        <v>8183</v>
      </c>
    </row>
    <row r="444" spans="1:7">
      <c r="A444" t="s">
        <v>49</v>
      </c>
      <c r="B444" s="1" t="s">
        <v>18</v>
      </c>
      <c r="C444">
        <v>18271</v>
      </c>
      <c r="D444">
        <v>80</v>
      </c>
      <c r="E444">
        <v>-0.38400000000000001</v>
      </c>
      <c r="F444">
        <v>5427</v>
      </c>
      <c r="G444">
        <v>8203</v>
      </c>
    </row>
    <row r="445" spans="1:7">
      <c r="A445" t="s">
        <v>49</v>
      </c>
      <c r="B445" s="1" t="s">
        <v>19</v>
      </c>
      <c r="C445">
        <v>16168</v>
      </c>
      <c r="D445">
        <v>78</v>
      </c>
      <c r="E445">
        <v>-0.42499999999999999</v>
      </c>
      <c r="F445">
        <v>6860</v>
      </c>
      <c r="G445">
        <v>8198</v>
      </c>
    </row>
    <row r="446" spans="1:7">
      <c r="A446" t="s">
        <v>49</v>
      </c>
      <c r="B446" s="1" t="s">
        <v>20</v>
      </c>
      <c r="C446">
        <v>17443</v>
      </c>
      <c r="D446">
        <v>79.7</v>
      </c>
      <c r="E446">
        <v>-0.38</v>
      </c>
      <c r="F446">
        <v>5912</v>
      </c>
      <c r="G446">
        <v>8180</v>
      </c>
    </row>
    <row r="447" spans="1:7">
      <c r="A447" t="s">
        <v>49</v>
      </c>
      <c r="B447" s="1" t="s">
        <v>21</v>
      </c>
      <c r="C447">
        <v>17155</v>
      </c>
      <c r="D447">
        <v>79.400000000000006</v>
      </c>
      <c r="E447">
        <v>-0.40200000000000002</v>
      </c>
      <c r="F447">
        <v>7574</v>
      </c>
      <c r="G447">
        <v>8206</v>
      </c>
    </row>
    <row r="448" spans="1:7">
      <c r="A448" t="s">
        <v>49</v>
      </c>
      <c r="B448" s="1" t="s">
        <v>22</v>
      </c>
      <c r="C448">
        <v>16633</v>
      </c>
      <c r="D448">
        <v>78.900000000000006</v>
      </c>
      <c r="E448">
        <v>-0.39500000000000002</v>
      </c>
      <c r="F448">
        <v>6550</v>
      </c>
      <c r="G448">
        <v>8193</v>
      </c>
    </row>
    <row r="449" spans="1:7">
      <c r="A449" t="s">
        <v>49</v>
      </c>
      <c r="B449" s="1" t="s">
        <v>23</v>
      </c>
      <c r="C449">
        <v>16906</v>
      </c>
      <c r="D449">
        <v>78.7</v>
      </c>
      <c r="E449">
        <v>-0.40699999999999997</v>
      </c>
      <c r="F449">
        <v>6317</v>
      </c>
      <c r="G449">
        <v>8199</v>
      </c>
    </row>
    <row r="450" spans="1:7">
      <c r="A450" t="s">
        <v>49</v>
      </c>
      <c r="B450" s="1" t="s">
        <v>24</v>
      </c>
      <c r="C450">
        <v>17334</v>
      </c>
      <c r="D450">
        <v>79.5</v>
      </c>
      <c r="E450">
        <v>-0.39700000000000002</v>
      </c>
      <c r="F450">
        <v>6364</v>
      </c>
      <c r="G450">
        <v>8206</v>
      </c>
    </row>
    <row r="451" spans="1:7">
      <c r="A451" t="s">
        <v>49</v>
      </c>
      <c r="B451" s="1" t="s">
        <v>25</v>
      </c>
      <c r="C451">
        <v>16134</v>
      </c>
      <c r="D451">
        <v>78.400000000000006</v>
      </c>
      <c r="E451">
        <v>-0.41099999999999998</v>
      </c>
      <c r="F451">
        <v>7127</v>
      </c>
      <c r="G451">
        <v>8200</v>
      </c>
    </row>
    <row r="452" spans="1:7">
      <c r="A452" t="s">
        <v>49</v>
      </c>
      <c r="B452" s="1" t="s">
        <v>26</v>
      </c>
      <c r="C452">
        <v>17806</v>
      </c>
      <c r="D452">
        <v>79.099999999999994</v>
      </c>
      <c r="E452">
        <v>-0.39900000000000002</v>
      </c>
      <c r="F452">
        <v>5620</v>
      </c>
      <c r="G452">
        <v>8204</v>
      </c>
    </row>
    <row r="453" spans="1:7">
      <c r="A453" t="s">
        <v>49</v>
      </c>
      <c r="B453" s="1" t="s">
        <v>27</v>
      </c>
      <c r="C453">
        <v>17874</v>
      </c>
      <c r="D453">
        <v>79.400000000000006</v>
      </c>
      <c r="E453">
        <v>-0.38800000000000001</v>
      </c>
      <c r="F453">
        <v>6067</v>
      </c>
      <c r="G453">
        <v>8179</v>
      </c>
    </row>
    <row r="454" spans="1:7">
      <c r="A454" t="s">
        <v>49</v>
      </c>
      <c r="B454" s="1" t="s">
        <v>28</v>
      </c>
      <c r="C454">
        <v>18012</v>
      </c>
      <c r="D454">
        <v>79</v>
      </c>
      <c r="E454">
        <v>-0.40799999999999997</v>
      </c>
      <c r="F454">
        <v>6136</v>
      </c>
      <c r="G454">
        <v>8211</v>
      </c>
    </row>
    <row r="455" spans="1:7">
      <c r="A455" t="s">
        <v>49</v>
      </c>
      <c r="B455" s="1" t="s">
        <v>29</v>
      </c>
      <c r="C455">
        <v>18699</v>
      </c>
      <c r="D455">
        <v>79.5</v>
      </c>
      <c r="E455">
        <v>-0.38800000000000001</v>
      </c>
      <c r="F455">
        <v>5282</v>
      </c>
      <c r="G455">
        <v>8194</v>
      </c>
    </row>
    <row r="456" spans="1:7">
      <c r="A456" t="s">
        <v>49</v>
      </c>
      <c r="B456" s="1" t="s">
        <v>30</v>
      </c>
      <c r="C456">
        <v>15451</v>
      </c>
      <c r="D456">
        <v>78.400000000000006</v>
      </c>
      <c r="E456">
        <v>-0.41</v>
      </c>
      <c r="F456">
        <v>8275</v>
      </c>
      <c r="G456">
        <v>8202</v>
      </c>
    </row>
    <row r="457" spans="1:7">
      <c r="A457" t="s">
        <v>49</v>
      </c>
      <c r="B457" s="1" t="s">
        <v>31</v>
      </c>
      <c r="C457">
        <v>7354</v>
      </c>
      <c r="D457">
        <v>78.7</v>
      </c>
      <c r="E457">
        <v>-0.41499999999999998</v>
      </c>
      <c r="F457">
        <v>16014</v>
      </c>
      <c r="G457">
        <v>8200</v>
      </c>
    </row>
    <row r="458" spans="1:7">
      <c r="A458" t="s">
        <v>50</v>
      </c>
      <c r="B458" s="1" t="s">
        <v>8</v>
      </c>
      <c r="C458">
        <v>7194</v>
      </c>
      <c r="D458">
        <v>78.400000000000006</v>
      </c>
      <c r="E458">
        <v>-0.41799999999999998</v>
      </c>
      <c r="F458">
        <v>16619</v>
      </c>
      <c r="G458">
        <v>8187</v>
      </c>
    </row>
    <row r="459" spans="1:7">
      <c r="A459" t="s">
        <v>50</v>
      </c>
      <c r="B459" s="1" t="s">
        <v>9</v>
      </c>
      <c r="C459">
        <v>8853</v>
      </c>
      <c r="D459">
        <v>78.5</v>
      </c>
      <c r="E459">
        <v>-0.42099999999999999</v>
      </c>
      <c r="F459">
        <v>14709</v>
      </c>
      <c r="G459">
        <v>8195</v>
      </c>
    </row>
    <row r="460" spans="1:7">
      <c r="A460" t="s">
        <v>50</v>
      </c>
      <c r="B460" s="1" t="s">
        <v>10</v>
      </c>
      <c r="C460">
        <v>10117</v>
      </c>
      <c r="D460">
        <v>78.400000000000006</v>
      </c>
      <c r="E460">
        <v>-0.432</v>
      </c>
      <c r="F460">
        <v>13900</v>
      </c>
      <c r="G460">
        <v>8203</v>
      </c>
    </row>
    <row r="461" spans="1:7">
      <c r="A461" t="s">
        <v>50</v>
      </c>
      <c r="B461" s="1" t="s">
        <v>11</v>
      </c>
      <c r="C461">
        <v>11753</v>
      </c>
      <c r="D461">
        <v>78.400000000000006</v>
      </c>
      <c r="E461">
        <v>-0.42399999999999999</v>
      </c>
      <c r="F461">
        <v>11613</v>
      </c>
      <c r="G461">
        <v>8181</v>
      </c>
    </row>
    <row r="462" spans="1:7">
      <c r="A462" t="s">
        <v>50</v>
      </c>
      <c r="B462" s="1" t="s">
        <v>12</v>
      </c>
      <c r="C462">
        <v>20858</v>
      </c>
      <c r="D462">
        <v>78.8</v>
      </c>
      <c r="E462">
        <v>-0.42099999999999999</v>
      </c>
      <c r="F462">
        <v>3301</v>
      </c>
      <c r="G462">
        <v>8192</v>
      </c>
    </row>
    <row r="463" spans="1:7">
      <c r="A463" t="s">
        <v>50</v>
      </c>
      <c r="B463" s="1" t="s">
        <v>13</v>
      </c>
      <c r="C463">
        <v>19805</v>
      </c>
      <c r="D463">
        <v>78.2</v>
      </c>
      <c r="E463">
        <v>-0.41799999999999998</v>
      </c>
      <c r="F463">
        <v>3448</v>
      </c>
      <c r="G463">
        <v>8198</v>
      </c>
    </row>
    <row r="464" spans="1:7">
      <c r="A464" t="s">
        <v>50</v>
      </c>
      <c r="B464" s="1" t="s">
        <v>14</v>
      </c>
      <c r="C464">
        <v>20745</v>
      </c>
      <c r="D464">
        <v>78.599999999999994</v>
      </c>
      <c r="E464">
        <v>-0.41299999999999998</v>
      </c>
      <c r="F464">
        <v>2398</v>
      </c>
      <c r="G464">
        <v>8207</v>
      </c>
    </row>
    <row r="465" spans="1:7">
      <c r="A465" t="s">
        <v>50</v>
      </c>
      <c r="B465" s="1" t="s">
        <v>15</v>
      </c>
      <c r="C465">
        <v>17217</v>
      </c>
      <c r="D465">
        <v>77.900000000000006</v>
      </c>
      <c r="E465">
        <v>-0.42299999999999999</v>
      </c>
      <c r="F465">
        <v>6482</v>
      </c>
      <c r="G465">
        <v>8205</v>
      </c>
    </row>
    <row r="466" spans="1:7">
      <c r="A466" t="s">
        <v>50</v>
      </c>
      <c r="B466" s="1" t="s">
        <v>16</v>
      </c>
      <c r="C466">
        <v>17738</v>
      </c>
      <c r="D466">
        <v>78.5</v>
      </c>
      <c r="E466">
        <v>-0.41399999999999998</v>
      </c>
      <c r="F466">
        <v>5771</v>
      </c>
      <c r="G466">
        <v>8189</v>
      </c>
    </row>
    <row r="467" spans="1:7">
      <c r="A467" t="s">
        <v>50</v>
      </c>
      <c r="B467" s="1" t="s">
        <v>17</v>
      </c>
      <c r="C467">
        <v>18222</v>
      </c>
      <c r="D467">
        <v>78.8</v>
      </c>
      <c r="E467">
        <v>-0.40200000000000002</v>
      </c>
      <c r="F467">
        <v>4889</v>
      </c>
      <c r="G467">
        <v>8179</v>
      </c>
    </row>
    <row r="468" spans="1:7">
      <c r="A468" t="s">
        <v>50</v>
      </c>
      <c r="B468" s="1" t="s">
        <v>18</v>
      </c>
      <c r="C468">
        <v>18367</v>
      </c>
      <c r="D468">
        <v>79.2</v>
      </c>
      <c r="E468">
        <v>-0.40200000000000002</v>
      </c>
      <c r="F468">
        <v>5426</v>
      </c>
      <c r="G468">
        <v>8213</v>
      </c>
    </row>
    <row r="469" spans="1:7">
      <c r="A469" t="s">
        <v>50</v>
      </c>
      <c r="B469" s="1" t="s">
        <v>19</v>
      </c>
      <c r="C469">
        <v>17522</v>
      </c>
      <c r="D469">
        <v>78</v>
      </c>
      <c r="E469">
        <v>-0.43</v>
      </c>
      <c r="F469">
        <v>6184</v>
      </c>
      <c r="G469">
        <v>8207</v>
      </c>
    </row>
    <row r="470" spans="1:7">
      <c r="A470" t="s">
        <v>50</v>
      </c>
      <c r="B470" s="1" t="s">
        <v>20</v>
      </c>
      <c r="C470">
        <v>17946</v>
      </c>
      <c r="D470">
        <v>78.5</v>
      </c>
      <c r="E470">
        <v>-0.41599999999999998</v>
      </c>
      <c r="F470">
        <v>5998</v>
      </c>
      <c r="G470">
        <v>8202</v>
      </c>
    </row>
    <row r="471" spans="1:7">
      <c r="A471" t="s">
        <v>50</v>
      </c>
      <c r="B471" s="1" t="s">
        <v>21</v>
      </c>
      <c r="C471">
        <v>17739</v>
      </c>
      <c r="D471">
        <v>78.2</v>
      </c>
      <c r="E471">
        <v>-0.42299999999999999</v>
      </c>
      <c r="F471">
        <v>6055</v>
      </c>
      <c r="G471">
        <v>8198</v>
      </c>
    </row>
    <row r="472" spans="1:7">
      <c r="A472" t="s">
        <v>50</v>
      </c>
      <c r="B472" s="1" t="s">
        <v>22</v>
      </c>
      <c r="C472">
        <v>18083</v>
      </c>
      <c r="D472">
        <v>78.900000000000006</v>
      </c>
      <c r="E472">
        <v>-0.41399999999999998</v>
      </c>
      <c r="F472">
        <v>6295</v>
      </c>
      <c r="G472">
        <v>8193</v>
      </c>
    </row>
    <row r="473" spans="1:7">
      <c r="A473" t="s">
        <v>50</v>
      </c>
      <c r="B473" s="1" t="s">
        <v>23</v>
      </c>
      <c r="C473">
        <v>17181</v>
      </c>
      <c r="D473">
        <v>78.400000000000006</v>
      </c>
      <c r="E473">
        <v>-0.41499999999999998</v>
      </c>
      <c r="F473">
        <v>5923</v>
      </c>
      <c r="G473">
        <v>8141</v>
      </c>
    </row>
    <row r="474" spans="1:7">
      <c r="A474" t="s">
        <v>50</v>
      </c>
      <c r="B474" s="1" t="s">
        <v>24</v>
      </c>
      <c r="C474">
        <v>17243</v>
      </c>
      <c r="D474">
        <v>78.400000000000006</v>
      </c>
      <c r="E474">
        <v>-0.41799999999999998</v>
      </c>
      <c r="F474">
        <v>6652</v>
      </c>
      <c r="G474">
        <v>8204</v>
      </c>
    </row>
    <row r="475" spans="1:7">
      <c r="A475" t="s">
        <v>50</v>
      </c>
      <c r="B475" s="1" t="s">
        <v>25</v>
      </c>
      <c r="C475">
        <v>17925</v>
      </c>
      <c r="D475">
        <v>78.900000000000006</v>
      </c>
      <c r="E475">
        <v>-0.4</v>
      </c>
      <c r="F475">
        <v>5394</v>
      </c>
      <c r="G475">
        <v>8200</v>
      </c>
    </row>
    <row r="476" spans="1:7">
      <c r="A476" t="s">
        <v>50</v>
      </c>
      <c r="B476" s="1" t="s">
        <v>26</v>
      </c>
      <c r="C476">
        <v>16624</v>
      </c>
      <c r="D476">
        <v>77.8</v>
      </c>
      <c r="E476">
        <v>-0.43099999999999999</v>
      </c>
      <c r="F476">
        <v>6473</v>
      </c>
      <c r="G476">
        <v>8202</v>
      </c>
    </row>
    <row r="477" spans="1:7">
      <c r="A477" t="s">
        <v>50</v>
      </c>
      <c r="B477" s="1" t="s">
        <v>27</v>
      </c>
      <c r="C477">
        <v>17672</v>
      </c>
      <c r="D477">
        <v>78.599999999999994</v>
      </c>
      <c r="E477">
        <v>-0.41399999999999998</v>
      </c>
      <c r="F477">
        <v>6116</v>
      </c>
      <c r="G477">
        <v>8205</v>
      </c>
    </row>
    <row r="478" spans="1:7">
      <c r="A478" t="s">
        <v>50</v>
      </c>
      <c r="B478" s="1" t="s">
        <v>28</v>
      </c>
      <c r="C478">
        <v>18212</v>
      </c>
      <c r="D478">
        <v>78.900000000000006</v>
      </c>
      <c r="E478">
        <v>-0.40600000000000003</v>
      </c>
      <c r="F478">
        <v>5508</v>
      </c>
      <c r="G478">
        <v>8204</v>
      </c>
    </row>
    <row r="479" spans="1:7">
      <c r="A479" t="s">
        <v>50</v>
      </c>
      <c r="B479" s="1" t="s">
        <v>29</v>
      </c>
      <c r="C479">
        <v>18042</v>
      </c>
      <c r="D479">
        <v>78.400000000000006</v>
      </c>
      <c r="E479">
        <v>-0.42299999999999999</v>
      </c>
      <c r="F479">
        <v>6444</v>
      </c>
      <c r="G479">
        <v>8214</v>
      </c>
    </row>
    <row r="480" spans="1:7">
      <c r="A480" t="s">
        <v>50</v>
      </c>
      <c r="B480" s="1" t="s">
        <v>30</v>
      </c>
      <c r="C480">
        <v>15736</v>
      </c>
      <c r="D480">
        <v>78.400000000000006</v>
      </c>
      <c r="E480">
        <v>-0.42</v>
      </c>
      <c r="F480">
        <v>8096</v>
      </c>
      <c r="G480">
        <v>8203</v>
      </c>
    </row>
    <row r="481" spans="1:7">
      <c r="A481" t="s">
        <v>50</v>
      </c>
      <c r="B481" s="1" t="s">
        <v>31</v>
      </c>
      <c r="C481">
        <v>7843</v>
      </c>
      <c r="D481">
        <v>79.3</v>
      </c>
      <c r="E481">
        <v>-0.41699999999999998</v>
      </c>
      <c r="F481">
        <v>15951</v>
      </c>
      <c r="G481">
        <v>8209</v>
      </c>
    </row>
    <row r="482" spans="1:7">
      <c r="A482" t="s">
        <v>51</v>
      </c>
      <c r="B482" s="1" t="s">
        <v>8</v>
      </c>
      <c r="C482">
        <v>8428</v>
      </c>
      <c r="D482">
        <v>79.099999999999994</v>
      </c>
      <c r="E482">
        <v>-0.42399999999999999</v>
      </c>
      <c r="F482">
        <v>15115</v>
      </c>
      <c r="G482">
        <v>8203</v>
      </c>
    </row>
    <row r="483" spans="1:7">
      <c r="A483" t="s">
        <v>51</v>
      </c>
      <c r="B483" s="1" t="s">
        <v>9</v>
      </c>
      <c r="C483">
        <v>11022</v>
      </c>
      <c r="D483">
        <v>79.8</v>
      </c>
      <c r="E483">
        <v>-0.40799999999999997</v>
      </c>
      <c r="F483">
        <v>12993</v>
      </c>
      <c r="G483">
        <v>8186</v>
      </c>
    </row>
    <row r="484" spans="1:7">
      <c r="A484" t="s">
        <v>51</v>
      </c>
      <c r="B484" s="1" t="s">
        <v>10</v>
      </c>
      <c r="C484">
        <v>11804</v>
      </c>
      <c r="D484">
        <v>79.599999999999994</v>
      </c>
      <c r="E484">
        <v>-0.42</v>
      </c>
      <c r="F484">
        <v>11531</v>
      </c>
      <c r="G484">
        <v>7958</v>
      </c>
    </row>
    <row r="485" spans="1:7">
      <c r="A485" t="s">
        <v>51</v>
      </c>
      <c r="B485" s="1" t="s">
        <v>11</v>
      </c>
      <c r="C485">
        <v>12814</v>
      </c>
      <c r="D485">
        <v>79.7</v>
      </c>
      <c r="E485">
        <v>-0.41099999999999998</v>
      </c>
      <c r="F485">
        <v>10825</v>
      </c>
      <c r="G485">
        <v>8200</v>
      </c>
    </row>
    <row r="486" spans="1:7">
      <c r="A486" t="s">
        <v>51</v>
      </c>
      <c r="B486" s="1" t="s">
        <v>12</v>
      </c>
      <c r="C486">
        <v>23050</v>
      </c>
      <c r="D486">
        <v>80.099999999999994</v>
      </c>
      <c r="E486">
        <v>-0.39700000000000002</v>
      </c>
      <c r="F486">
        <v>1054</v>
      </c>
      <c r="G486">
        <v>8212</v>
      </c>
    </row>
    <row r="487" spans="1:7">
      <c r="A487" t="s">
        <v>51</v>
      </c>
      <c r="B487" s="1" t="s">
        <v>13</v>
      </c>
      <c r="C487">
        <v>23426</v>
      </c>
      <c r="D487">
        <v>80.900000000000006</v>
      </c>
      <c r="E487">
        <v>-0.374</v>
      </c>
      <c r="F487">
        <v>443</v>
      </c>
      <c r="G487">
        <v>8170</v>
      </c>
    </row>
    <row r="488" spans="1:7">
      <c r="A488" t="s">
        <v>51</v>
      </c>
      <c r="B488" s="1" t="s">
        <v>14</v>
      </c>
      <c r="C488">
        <v>24244</v>
      </c>
      <c r="D488">
        <v>81.900000000000006</v>
      </c>
      <c r="E488">
        <v>-0.35099999999999998</v>
      </c>
      <c r="F488">
        <v>25</v>
      </c>
      <c r="G488">
        <v>8208</v>
      </c>
    </row>
    <row r="489" spans="1:7">
      <c r="A489" t="s">
        <v>51</v>
      </c>
      <c r="B489" s="1" t="s">
        <v>15</v>
      </c>
      <c r="C489">
        <v>23038</v>
      </c>
      <c r="D489">
        <v>82.2</v>
      </c>
      <c r="E489">
        <v>-0.34200000000000003</v>
      </c>
      <c r="F489">
        <v>1034</v>
      </c>
      <c r="G489">
        <v>8182</v>
      </c>
    </row>
    <row r="490" spans="1:7">
      <c r="A490" t="s">
        <v>51</v>
      </c>
      <c r="B490" s="1" t="s">
        <v>16</v>
      </c>
      <c r="C490">
        <v>21994</v>
      </c>
      <c r="D490">
        <v>82.7</v>
      </c>
      <c r="E490">
        <v>-0.33500000000000002</v>
      </c>
      <c r="F490">
        <v>1863</v>
      </c>
      <c r="G490">
        <v>7965</v>
      </c>
    </row>
    <row r="491" spans="1:7">
      <c r="A491" t="s">
        <v>51</v>
      </c>
      <c r="B491" s="1" t="s">
        <v>17</v>
      </c>
      <c r="C491">
        <v>19487</v>
      </c>
      <c r="D491">
        <v>81.7</v>
      </c>
      <c r="E491">
        <v>-0.36199999999999999</v>
      </c>
      <c r="F491">
        <v>4191</v>
      </c>
      <c r="G491">
        <v>8029</v>
      </c>
    </row>
    <row r="492" spans="1:7">
      <c r="A492" t="s">
        <v>51</v>
      </c>
      <c r="B492" s="1" t="s">
        <v>18</v>
      </c>
      <c r="C492">
        <v>16785</v>
      </c>
      <c r="D492">
        <v>80.5</v>
      </c>
      <c r="E492">
        <v>-0.38500000000000001</v>
      </c>
      <c r="F492">
        <v>7352</v>
      </c>
      <c r="G492">
        <v>8203</v>
      </c>
    </row>
    <row r="493" spans="1:7">
      <c r="A493" t="s">
        <v>51</v>
      </c>
      <c r="B493" s="1" t="s">
        <v>19</v>
      </c>
      <c r="C493">
        <v>16370</v>
      </c>
      <c r="D493">
        <v>80</v>
      </c>
      <c r="E493">
        <v>-0.39100000000000001</v>
      </c>
      <c r="F493">
        <v>7436</v>
      </c>
      <c r="G493">
        <v>8201</v>
      </c>
    </row>
    <row r="494" spans="1:7">
      <c r="A494" t="s">
        <v>51</v>
      </c>
      <c r="B494" s="1" t="s">
        <v>20</v>
      </c>
      <c r="C494">
        <v>17640</v>
      </c>
      <c r="D494">
        <v>79.400000000000006</v>
      </c>
      <c r="E494">
        <v>-0.40400000000000003</v>
      </c>
      <c r="F494">
        <v>6447</v>
      </c>
      <c r="G494">
        <v>8199</v>
      </c>
    </row>
    <row r="495" spans="1:7">
      <c r="A495" t="s">
        <v>51</v>
      </c>
      <c r="B495" s="1" t="s">
        <v>21</v>
      </c>
      <c r="C495">
        <v>16222</v>
      </c>
      <c r="D495">
        <v>79</v>
      </c>
      <c r="E495">
        <v>-0.40300000000000002</v>
      </c>
      <c r="F495">
        <v>6630</v>
      </c>
      <c r="G495">
        <v>8193</v>
      </c>
    </row>
    <row r="496" spans="1:7">
      <c r="A496" t="s">
        <v>51</v>
      </c>
      <c r="B496" s="1" t="s">
        <v>22</v>
      </c>
      <c r="C496">
        <v>17495</v>
      </c>
      <c r="D496">
        <v>79.599999999999994</v>
      </c>
      <c r="E496">
        <v>-0.39400000000000002</v>
      </c>
      <c r="F496">
        <v>5775</v>
      </c>
      <c r="G496">
        <v>8196</v>
      </c>
    </row>
    <row r="497" spans="1:7">
      <c r="A497" t="s">
        <v>51</v>
      </c>
      <c r="B497" s="1" t="s">
        <v>23</v>
      </c>
      <c r="C497">
        <v>18235</v>
      </c>
      <c r="D497">
        <v>79.900000000000006</v>
      </c>
      <c r="E497">
        <v>-0.38800000000000001</v>
      </c>
      <c r="F497">
        <v>5702</v>
      </c>
      <c r="G497">
        <v>8197</v>
      </c>
    </row>
    <row r="498" spans="1:7">
      <c r="A498" t="s">
        <v>51</v>
      </c>
      <c r="B498" s="1" t="s">
        <v>24</v>
      </c>
      <c r="C498">
        <v>18048</v>
      </c>
      <c r="D498">
        <v>79.3</v>
      </c>
      <c r="E498">
        <v>-0.40400000000000003</v>
      </c>
      <c r="F498">
        <v>5800</v>
      </c>
      <c r="G498">
        <v>8180</v>
      </c>
    </row>
    <row r="499" spans="1:7">
      <c r="A499" t="s">
        <v>51</v>
      </c>
      <c r="B499" s="1" t="s">
        <v>25</v>
      </c>
      <c r="C499">
        <v>16573</v>
      </c>
      <c r="D499">
        <v>78.2</v>
      </c>
      <c r="E499">
        <v>-0.41799999999999998</v>
      </c>
      <c r="F499">
        <v>6396</v>
      </c>
      <c r="G499">
        <v>8202</v>
      </c>
    </row>
    <row r="500" spans="1:7">
      <c r="A500" t="s">
        <v>51</v>
      </c>
      <c r="B500" s="1" t="s">
        <v>26</v>
      </c>
      <c r="C500">
        <v>18194</v>
      </c>
      <c r="D500">
        <v>79.900000000000006</v>
      </c>
      <c r="E500">
        <v>-0.39100000000000001</v>
      </c>
      <c r="F500">
        <v>6301</v>
      </c>
      <c r="G500">
        <v>8205</v>
      </c>
    </row>
    <row r="501" spans="1:7">
      <c r="A501" t="s">
        <v>51</v>
      </c>
      <c r="B501" s="1" t="s">
        <v>27</v>
      </c>
      <c r="C501">
        <v>18968</v>
      </c>
      <c r="D501">
        <v>79.599999999999994</v>
      </c>
      <c r="E501">
        <v>-0.40200000000000002</v>
      </c>
      <c r="F501">
        <v>5525</v>
      </c>
      <c r="G501">
        <v>8207</v>
      </c>
    </row>
    <row r="502" spans="1:7">
      <c r="A502" t="s">
        <v>51</v>
      </c>
      <c r="B502" s="1" t="s">
        <v>28</v>
      </c>
      <c r="C502">
        <v>18949</v>
      </c>
      <c r="D502">
        <v>79.8</v>
      </c>
      <c r="E502">
        <v>-0.38800000000000001</v>
      </c>
      <c r="F502">
        <v>4595</v>
      </c>
      <c r="G502">
        <v>8198</v>
      </c>
    </row>
    <row r="503" spans="1:7">
      <c r="A503" t="s">
        <v>51</v>
      </c>
      <c r="B503" s="1" t="s">
        <v>29</v>
      </c>
      <c r="C503">
        <v>19361</v>
      </c>
      <c r="D503">
        <v>80.099999999999994</v>
      </c>
      <c r="E503">
        <v>-0.38100000000000001</v>
      </c>
      <c r="F503">
        <v>4664</v>
      </c>
      <c r="G503">
        <v>8204</v>
      </c>
    </row>
    <row r="504" spans="1:7">
      <c r="A504" t="s">
        <v>51</v>
      </c>
      <c r="B504" s="1" t="s">
        <v>30</v>
      </c>
      <c r="C504">
        <v>16973</v>
      </c>
      <c r="D504">
        <v>80</v>
      </c>
      <c r="E504">
        <v>-0.38500000000000001</v>
      </c>
      <c r="F504">
        <v>6671</v>
      </c>
      <c r="G504">
        <v>8200</v>
      </c>
    </row>
    <row r="505" spans="1:7">
      <c r="A505" t="s">
        <v>51</v>
      </c>
      <c r="B505" s="1" t="s">
        <v>31</v>
      </c>
      <c r="C505">
        <v>7724</v>
      </c>
      <c r="D505">
        <v>80</v>
      </c>
      <c r="E505">
        <v>-0.39900000000000002</v>
      </c>
      <c r="F505">
        <v>16287</v>
      </c>
      <c r="G505">
        <v>8190</v>
      </c>
    </row>
    <row r="506" spans="1:7">
      <c r="A506" t="s">
        <v>52</v>
      </c>
      <c r="B506" s="1" t="s">
        <v>8</v>
      </c>
      <c r="C506">
        <v>8077</v>
      </c>
      <c r="D506">
        <v>79.7</v>
      </c>
      <c r="E506">
        <v>-0.40400000000000003</v>
      </c>
      <c r="F506">
        <v>15979</v>
      </c>
      <c r="G506">
        <v>8205</v>
      </c>
    </row>
    <row r="507" spans="1:7">
      <c r="A507" t="s">
        <v>52</v>
      </c>
      <c r="B507" s="1" t="s">
        <v>9</v>
      </c>
      <c r="C507">
        <v>11144</v>
      </c>
      <c r="D507">
        <v>80.2</v>
      </c>
      <c r="E507">
        <v>-0.39400000000000002</v>
      </c>
      <c r="F507">
        <v>12283</v>
      </c>
      <c r="G507">
        <v>8062</v>
      </c>
    </row>
    <row r="508" spans="1:7">
      <c r="A508" t="s">
        <v>52</v>
      </c>
      <c r="B508" s="1" t="s">
        <v>10</v>
      </c>
      <c r="C508">
        <v>12679</v>
      </c>
      <c r="D508">
        <v>80.599999999999994</v>
      </c>
      <c r="E508">
        <v>-0.38800000000000001</v>
      </c>
      <c r="F508">
        <v>10779</v>
      </c>
      <c r="G508">
        <v>8112</v>
      </c>
    </row>
    <row r="509" spans="1:7">
      <c r="A509" t="s">
        <v>52</v>
      </c>
      <c r="B509" s="1" t="s">
        <v>11</v>
      </c>
      <c r="C509">
        <v>13509</v>
      </c>
      <c r="D509">
        <v>80.3</v>
      </c>
      <c r="E509">
        <v>-0.39500000000000002</v>
      </c>
      <c r="F509">
        <v>10727</v>
      </c>
      <c r="G509">
        <v>8210</v>
      </c>
    </row>
    <row r="510" spans="1:7">
      <c r="A510" t="s">
        <v>52</v>
      </c>
      <c r="B510" s="1" t="s">
        <v>12</v>
      </c>
      <c r="C510">
        <v>22405</v>
      </c>
      <c r="D510">
        <v>80.599999999999994</v>
      </c>
      <c r="E510">
        <v>-0.38100000000000001</v>
      </c>
      <c r="F510">
        <v>1498</v>
      </c>
      <c r="G510">
        <v>8199</v>
      </c>
    </row>
    <row r="511" spans="1:7">
      <c r="A511" t="s">
        <v>52</v>
      </c>
      <c r="B511" s="1" t="s">
        <v>13</v>
      </c>
      <c r="C511">
        <v>22257</v>
      </c>
      <c r="D511">
        <v>80.400000000000006</v>
      </c>
      <c r="E511">
        <v>-0.38</v>
      </c>
      <c r="F511">
        <v>1934</v>
      </c>
      <c r="G511">
        <v>8200</v>
      </c>
    </row>
    <row r="512" spans="1:7">
      <c r="A512" t="s">
        <v>52</v>
      </c>
      <c r="B512" s="1" t="s">
        <v>14</v>
      </c>
      <c r="C512">
        <v>23569</v>
      </c>
      <c r="D512">
        <v>81</v>
      </c>
      <c r="E512">
        <v>-0.36199999999999999</v>
      </c>
      <c r="F512">
        <v>621</v>
      </c>
      <c r="G512">
        <v>8193</v>
      </c>
    </row>
    <row r="513" spans="1:7">
      <c r="A513" t="s">
        <v>52</v>
      </c>
      <c r="B513" s="1" t="s">
        <v>15</v>
      </c>
      <c r="C513">
        <v>20301</v>
      </c>
      <c r="D513">
        <v>80.599999999999994</v>
      </c>
      <c r="E513">
        <v>-0.36899999999999999</v>
      </c>
      <c r="F513">
        <v>3379</v>
      </c>
      <c r="G513">
        <v>8190</v>
      </c>
    </row>
    <row r="514" spans="1:7">
      <c r="A514" t="s">
        <v>52</v>
      </c>
      <c r="B514" s="1" t="s">
        <v>16</v>
      </c>
      <c r="C514">
        <v>21167</v>
      </c>
      <c r="D514">
        <v>80.8</v>
      </c>
      <c r="E514">
        <v>-0.35299999999999998</v>
      </c>
      <c r="F514">
        <v>3036</v>
      </c>
      <c r="G514">
        <v>8197</v>
      </c>
    </row>
    <row r="515" spans="1:7">
      <c r="A515" t="s">
        <v>52</v>
      </c>
      <c r="B515" s="1" t="s">
        <v>17</v>
      </c>
      <c r="C515">
        <v>19482</v>
      </c>
      <c r="D515">
        <v>80.2</v>
      </c>
      <c r="E515">
        <v>-0.372</v>
      </c>
      <c r="F515">
        <v>4447</v>
      </c>
      <c r="G515">
        <v>8201</v>
      </c>
    </row>
    <row r="516" spans="1:7">
      <c r="A516" t="s">
        <v>52</v>
      </c>
      <c r="B516" s="1" t="s">
        <v>18</v>
      </c>
      <c r="C516">
        <v>19106</v>
      </c>
      <c r="D516">
        <v>80.099999999999994</v>
      </c>
      <c r="E516">
        <v>-0.36599999999999999</v>
      </c>
      <c r="F516">
        <v>4936</v>
      </c>
      <c r="G516">
        <v>8189</v>
      </c>
    </row>
    <row r="517" spans="1:7">
      <c r="A517" t="s">
        <v>52</v>
      </c>
      <c r="B517" s="1" t="s">
        <v>19</v>
      </c>
      <c r="C517">
        <v>19107</v>
      </c>
      <c r="D517">
        <v>80</v>
      </c>
      <c r="E517">
        <v>-0.374</v>
      </c>
      <c r="F517">
        <v>4689</v>
      </c>
      <c r="G517">
        <v>8201</v>
      </c>
    </row>
    <row r="518" spans="1:7">
      <c r="A518" t="s">
        <v>52</v>
      </c>
      <c r="B518" s="1" t="s">
        <v>20</v>
      </c>
      <c r="C518">
        <v>18877</v>
      </c>
      <c r="D518">
        <v>80.400000000000006</v>
      </c>
      <c r="E518">
        <v>-0.36499999999999999</v>
      </c>
      <c r="F518">
        <v>5214</v>
      </c>
      <c r="G518">
        <v>8203</v>
      </c>
    </row>
    <row r="519" spans="1:7">
      <c r="A519" t="s">
        <v>52</v>
      </c>
      <c r="B519" s="1" t="s">
        <v>21</v>
      </c>
      <c r="C519">
        <v>19052</v>
      </c>
      <c r="D519">
        <v>80.2</v>
      </c>
      <c r="E519">
        <v>-0.372</v>
      </c>
      <c r="F519">
        <v>5010</v>
      </c>
      <c r="G519">
        <v>8205</v>
      </c>
    </row>
    <row r="520" spans="1:7">
      <c r="A520" t="s">
        <v>52</v>
      </c>
      <c r="B520" s="1" t="s">
        <v>22</v>
      </c>
      <c r="C520">
        <v>18565</v>
      </c>
      <c r="D520">
        <v>80.099999999999994</v>
      </c>
      <c r="E520">
        <v>-0.374</v>
      </c>
      <c r="F520">
        <v>5079</v>
      </c>
      <c r="G520">
        <v>8187</v>
      </c>
    </row>
    <row r="521" spans="1:7">
      <c r="A521" t="s">
        <v>52</v>
      </c>
      <c r="B521" s="1" t="s">
        <v>23</v>
      </c>
      <c r="C521">
        <v>18441</v>
      </c>
      <c r="D521">
        <v>80</v>
      </c>
      <c r="E521">
        <v>-0.376</v>
      </c>
      <c r="F521">
        <v>4584</v>
      </c>
      <c r="G521">
        <v>8193</v>
      </c>
    </row>
    <row r="522" spans="1:7">
      <c r="A522" t="s">
        <v>52</v>
      </c>
      <c r="B522" s="1" t="s">
        <v>24</v>
      </c>
      <c r="C522">
        <v>19495</v>
      </c>
      <c r="D522">
        <v>80.2</v>
      </c>
      <c r="E522">
        <v>-0.377</v>
      </c>
      <c r="F522">
        <v>4472</v>
      </c>
      <c r="G522">
        <v>8202</v>
      </c>
    </row>
    <row r="523" spans="1:7">
      <c r="A523" t="s">
        <v>52</v>
      </c>
      <c r="B523" s="1" t="s">
        <v>25</v>
      </c>
      <c r="C523">
        <v>19058</v>
      </c>
      <c r="D523">
        <v>80.400000000000006</v>
      </c>
      <c r="E523">
        <v>-0.36699999999999999</v>
      </c>
      <c r="F523">
        <v>4995</v>
      </c>
      <c r="G523">
        <v>8203</v>
      </c>
    </row>
    <row r="524" spans="1:7">
      <c r="A524" t="s">
        <v>52</v>
      </c>
      <c r="B524" s="1" t="s">
        <v>26</v>
      </c>
      <c r="C524">
        <v>18334</v>
      </c>
      <c r="D524">
        <v>80.2</v>
      </c>
      <c r="E524">
        <v>-0.371</v>
      </c>
      <c r="F524">
        <v>5729</v>
      </c>
      <c r="G524">
        <v>8160</v>
      </c>
    </row>
    <row r="525" spans="1:7">
      <c r="A525" t="s">
        <v>52</v>
      </c>
      <c r="B525" s="1" t="s">
        <v>27</v>
      </c>
      <c r="C525">
        <v>19177</v>
      </c>
      <c r="D525">
        <v>80.400000000000006</v>
      </c>
      <c r="E525">
        <v>-0.374</v>
      </c>
      <c r="F525">
        <v>4490</v>
      </c>
      <c r="G525">
        <v>8130</v>
      </c>
    </row>
    <row r="526" spans="1:7">
      <c r="A526" t="s">
        <v>52</v>
      </c>
      <c r="B526" s="1" t="s">
        <v>28</v>
      </c>
      <c r="C526">
        <v>19404</v>
      </c>
      <c r="D526">
        <v>80.599999999999994</v>
      </c>
      <c r="E526">
        <v>-0.36699999999999999</v>
      </c>
      <c r="F526">
        <v>4591</v>
      </c>
      <c r="G526">
        <v>8139</v>
      </c>
    </row>
    <row r="527" spans="1:7">
      <c r="A527" t="s">
        <v>52</v>
      </c>
      <c r="B527" s="1" t="s">
        <v>29</v>
      </c>
      <c r="C527">
        <v>18313</v>
      </c>
      <c r="D527">
        <v>79.8</v>
      </c>
      <c r="E527">
        <v>-0.38300000000000001</v>
      </c>
      <c r="F527">
        <v>5377</v>
      </c>
      <c r="G527">
        <v>8176</v>
      </c>
    </row>
    <row r="528" spans="1:7">
      <c r="A528" t="s">
        <v>52</v>
      </c>
      <c r="B528" s="1" t="s">
        <v>30</v>
      </c>
      <c r="C528">
        <v>14765</v>
      </c>
      <c r="D528">
        <v>79</v>
      </c>
      <c r="E528">
        <v>-0.4</v>
      </c>
      <c r="F528">
        <v>9341</v>
      </c>
      <c r="G528">
        <v>8168</v>
      </c>
    </row>
    <row r="529" spans="1:7">
      <c r="A529" t="s">
        <v>52</v>
      </c>
      <c r="B529" s="1" t="s">
        <v>31</v>
      </c>
      <c r="C529">
        <v>7076</v>
      </c>
      <c r="D529">
        <v>79.2</v>
      </c>
      <c r="E529">
        <v>-0.40600000000000003</v>
      </c>
      <c r="F529">
        <v>16244</v>
      </c>
      <c r="G529">
        <v>8105</v>
      </c>
    </row>
    <row r="530" spans="1:7">
      <c r="A530" t="s">
        <v>53</v>
      </c>
      <c r="B530" s="1" t="s">
        <v>8</v>
      </c>
      <c r="C530">
        <v>7360</v>
      </c>
      <c r="D530">
        <v>79</v>
      </c>
      <c r="E530">
        <v>-0.40400000000000003</v>
      </c>
      <c r="F530">
        <v>15839</v>
      </c>
      <c r="G530">
        <v>8191</v>
      </c>
    </row>
    <row r="531" spans="1:7">
      <c r="A531" t="s">
        <v>53</v>
      </c>
      <c r="B531" s="1" t="s">
        <v>9</v>
      </c>
      <c r="C531">
        <v>8621</v>
      </c>
      <c r="D531">
        <v>79</v>
      </c>
      <c r="E531">
        <v>-0.40699999999999997</v>
      </c>
      <c r="F531">
        <v>15151</v>
      </c>
      <c r="G531">
        <v>8060</v>
      </c>
    </row>
    <row r="532" spans="1:7">
      <c r="A532" t="s">
        <v>53</v>
      </c>
      <c r="B532" s="1" t="s">
        <v>10</v>
      </c>
      <c r="C532">
        <v>10120</v>
      </c>
      <c r="D532">
        <v>79</v>
      </c>
      <c r="E532">
        <v>-0.40899999999999997</v>
      </c>
      <c r="F532">
        <v>13608</v>
      </c>
      <c r="G532">
        <v>8203</v>
      </c>
    </row>
    <row r="533" spans="1:7">
      <c r="A533" t="s">
        <v>53</v>
      </c>
      <c r="B533" s="1" t="s">
        <v>11</v>
      </c>
      <c r="C533">
        <v>12413</v>
      </c>
      <c r="D533">
        <v>79</v>
      </c>
      <c r="E533">
        <v>-0.40400000000000003</v>
      </c>
      <c r="F533">
        <v>11358</v>
      </c>
      <c r="G533">
        <v>8203</v>
      </c>
    </row>
    <row r="534" spans="1:7">
      <c r="A534" t="s">
        <v>53</v>
      </c>
      <c r="B534" s="1" t="s">
        <v>12</v>
      </c>
      <c r="C534">
        <v>20750</v>
      </c>
      <c r="D534">
        <v>78.7</v>
      </c>
      <c r="E534">
        <v>-0.40600000000000003</v>
      </c>
      <c r="F534">
        <v>3361</v>
      </c>
      <c r="G534">
        <v>8164</v>
      </c>
    </row>
    <row r="535" spans="1:7">
      <c r="A535" t="s">
        <v>53</v>
      </c>
      <c r="B535" s="1" t="s">
        <v>13</v>
      </c>
      <c r="C535">
        <v>21063</v>
      </c>
      <c r="D535">
        <v>79</v>
      </c>
      <c r="E535">
        <v>-0.39700000000000002</v>
      </c>
      <c r="F535">
        <v>2945</v>
      </c>
      <c r="G535">
        <v>8208</v>
      </c>
    </row>
    <row r="536" spans="1:7">
      <c r="A536" t="s">
        <v>53</v>
      </c>
      <c r="B536" s="1" t="s">
        <v>14</v>
      </c>
      <c r="C536">
        <v>19406</v>
      </c>
      <c r="D536">
        <v>77.7</v>
      </c>
      <c r="E536">
        <v>-0.432</v>
      </c>
      <c r="F536">
        <v>4427</v>
      </c>
      <c r="G536">
        <v>8202</v>
      </c>
    </row>
    <row r="537" spans="1:7">
      <c r="A537" t="s">
        <v>53</v>
      </c>
      <c r="B537" s="1" t="s">
        <v>15</v>
      </c>
      <c r="C537">
        <v>18614</v>
      </c>
      <c r="D537">
        <v>78.5</v>
      </c>
      <c r="E537">
        <v>-0.40600000000000003</v>
      </c>
      <c r="F537">
        <v>5384</v>
      </c>
      <c r="G537">
        <v>8162</v>
      </c>
    </row>
    <row r="538" spans="1:7">
      <c r="A538" t="s">
        <v>53</v>
      </c>
      <c r="B538" s="1" t="s">
        <v>16</v>
      </c>
      <c r="C538">
        <v>20039</v>
      </c>
      <c r="D538">
        <v>79.5</v>
      </c>
      <c r="E538">
        <v>-0.38700000000000001</v>
      </c>
      <c r="F538">
        <v>3561</v>
      </c>
      <c r="G538">
        <v>8007</v>
      </c>
    </row>
    <row r="539" spans="1:7">
      <c r="A539" t="s">
        <v>53</v>
      </c>
      <c r="B539" s="1" t="s">
        <v>17</v>
      </c>
      <c r="C539">
        <v>19380</v>
      </c>
      <c r="D539">
        <v>79.7</v>
      </c>
      <c r="E539">
        <v>-0.38400000000000001</v>
      </c>
      <c r="F539">
        <v>4718</v>
      </c>
      <c r="G539">
        <v>8205</v>
      </c>
    </row>
    <row r="540" spans="1:7">
      <c r="A540" t="s">
        <v>53</v>
      </c>
      <c r="B540" s="1" t="s">
        <v>18</v>
      </c>
      <c r="C540">
        <v>16722</v>
      </c>
      <c r="D540">
        <v>78.900000000000006</v>
      </c>
      <c r="E540">
        <v>-0.40400000000000003</v>
      </c>
      <c r="F540">
        <v>6961</v>
      </c>
      <c r="G540">
        <v>8205</v>
      </c>
    </row>
    <row r="541" spans="1:7">
      <c r="A541" t="s">
        <v>53</v>
      </c>
      <c r="B541" s="1" t="s">
        <v>19</v>
      </c>
      <c r="C541">
        <v>16373</v>
      </c>
      <c r="D541">
        <v>79</v>
      </c>
      <c r="E541">
        <v>-0.40699999999999997</v>
      </c>
      <c r="F541">
        <v>8045</v>
      </c>
      <c r="G541">
        <v>8197</v>
      </c>
    </row>
    <row r="542" spans="1:7">
      <c r="A542" t="s">
        <v>53</v>
      </c>
      <c r="B542" s="1" t="s">
        <v>20</v>
      </c>
      <c r="C542">
        <v>15887</v>
      </c>
      <c r="D542">
        <v>78.8</v>
      </c>
      <c r="E542">
        <v>-0.39900000000000002</v>
      </c>
      <c r="F542">
        <v>7936</v>
      </c>
      <c r="G542">
        <v>8187</v>
      </c>
    </row>
    <row r="543" spans="1:7">
      <c r="A543" t="s">
        <v>53</v>
      </c>
      <c r="B543" s="1" t="s">
        <v>21</v>
      </c>
      <c r="C543">
        <v>15950</v>
      </c>
      <c r="D543">
        <v>78.7</v>
      </c>
      <c r="E543">
        <v>-0.40799999999999997</v>
      </c>
      <c r="F543">
        <v>7369</v>
      </c>
      <c r="G543">
        <v>8206</v>
      </c>
    </row>
    <row r="544" spans="1:7">
      <c r="A544" t="s">
        <v>53</v>
      </c>
      <c r="B544" s="1" t="s">
        <v>22</v>
      </c>
      <c r="C544">
        <v>14804</v>
      </c>
      <c r="D544">
        <v>78.7</v>
      </c>
      <c r="E544">
        <v>-0.41</v>
      </c>
      <c r="F544">
        <v>8867</v>
      </c>
      <c r="G544">
        <v>8217</v>
      </c>
    </row>
    <row r="545" spans="1:7">
      <c r="A545" t="s">
        <v>53</v>
      </c>
      <c r="B545" s="1" t="s">
        <v>23</v>
      </c>
      <c r="C545">
        <v>15364</v>
      </c>
      <c r="D545">
        <v>78.099999999999994</v>
      </c>
      <c r="E545">
        <v>-0.42</v>
      </c>
      <c r="F545">
        <v>8322</v>
      </c>
      <c r="G545">
        <v>8070</v>
      </c>
    </row>
    <row r="546" spans="1:7">
      <c r="A546" t="s">
        <v>53</v>
      </c>
      <c r="B546" s="1" t="s">
        <v>24</v>
      </c>
      <c r="C546">
        <v>18971</v>
      </c>
      <c r="D546">
        <v>79.099999999999994</v>
      </c>
      <c r="E546">
        <v>-0.39600000000000002</v>
      </c>
      <c r="F546">
        <v>4779</v>
      </c>
      <c r="G546">
        <v>8077</v>
      </c>
    </row>
    <row r="547" spans="1:7">
      <c r="A547" t="s">
        <v>53</v>
      </c>
      <c r="B547" s="1" t="s">
        <v>25</v>
      </c>
      <c r="C547">
        <v>18541</v>
      </c>
      <c r="D547">
        <v>79</v>
      </c>
      <c r="E547">
        <v>-0.40400000000000003</v>
      </c>
      <c r="F547">
        <v>5310</v>
      </c>
      <c r="G547">
        <v>8201</v>
      </c>
    </row>
    <row r="548" spans="1:7">
      <c r="A548" t="s">
        <v>53</v>
      </c>
      <c r="B548" s="1" t="s">
        <v>26</v>
      </c>
      <c r="C548">
        <v>19318</v>
      </c>
      <c r="D548">
        <v>79.400000000000006</v>
      </c>
      <c r="E548">
        <v>-0.39100000000000001</v>
      </c>
      <c r="F548">
        <v>4740</v>
      </c>
      <c r="G548">
        <v>8175</v>
      </c>
    </row>
    <row r="549" spans="1:7">
      <c r="A549" t="s">
        <v>53</v>
      </c>
      <c r="B549" s="1" t="s">
        <v>27</v>
      </c>
      <c r="C549">
        <v>20672</v>
      </c>
      <c r="D549">
        <v>80.7</v>
      </c>
      <c r="E549">
        <v>-0.36599999999999999</v>
      </c>
      <c r="F549">
        <v>3100</v>
      </c>
      <c r="G549">
        <v>8195</v>
      </c>
    </row>
    <row r="550" spans="1:7">
      <c r="A550" t="s">
        <v>53</v>
      </c>
      <c r="B550" s="1" t="s">
        <v>28</v>
      </c>
      <c r="C550">
        <v>20792</v>
      </c>
      <c r="D550">
        <v>81.2</v>
      </c>
      <c r="E550">
        <v>-0.35899999999999999</v>
      </c>
      <c r="F550">
        <v>2821</v>
      </c>
      <c r="G550">
        <v>8090</v>
      </c>
    </row>
    <row r="551" spans="1:7">
      <c r="A551" t="s">
        <v>53</v>
      </c>
      <c r="B551" s="1" t="s">
        <v>29</v>
      </c>
      <c r="C551">
        <v>21325</v>
      </c>
      <c r="D551">
        <v>81.8</v>
      </c>
      <c r="E551">
        <v>-0.33500000000000002</v>
      </c>
      <c r="F551">
        <v>2562</v>
      </c>
      <c r="G551">
        <v>8176</v>
      </c>
    </row>
    <row r="552" spans="1:7">
      <c r="A552" t="s">
        <v>53</v>
      </c>
      <c r="B552" s="1" t="s">
        <v>30</v>
      </c>
      <c r="C552">
        <v>18505</v>
      </c>
      <c r="D552">
        <v>82.3</v>
      </c>
      <c r="E552">
        <v>-0.34399999999999997</v>
      </c>
      <c r="F552">
        <v>5965</v>
      </c>
      <c r="G552">
        <v>8190</v>
      </c>
    </row>
    <row r="553" spans="1:7">
      <c r="A553" t="s">
        <v>53</v>
      </c>
      <c r="B553" s="1" t="s">
        <v>31</v>
      </c>
      <c r="C553">
        <v>8995</v>
      </c>
      <c r="D553">
        <v>82.1</v>
      </c>
      <c r="E553">
        <v>-0.36</v>
      </c>
      <c r="F553">
        <v>14700</v>
      </c>
      <c r="G553">
        <v>7968</v>
      </c>
    </row>
    <row r="554" spans="1:7">
      <c r="A554" t="s">
        <v>54</v>
      </c>
      <c r="B554" s="1" t="s">
        <v>8</v>
      </c>
      <c r="C554">
        <v>9774</v>
      </c>
      <c r="D554">
        <v>82.4</v>
      </c>
      <c r="E554">
        <v>-0.35299999999999998</v>
      </c>
      <c r="F554">
        <v>14300</v>
      </c>
      <c r="G554">
        <v>8214</v>
      </c>
    </row>
    <row r="555" spans="1:7">
      <c r="A555" t="s">
        <v>54</v>
      </c>
      <c r="B555" s="1" t="s">
        <v>9</v>
      </c>
      <c r="C555">
        <v>13203</v>
      </c>
      <c r="D555">
        <v>83</v>
      </c>
      <c r="E555">
        <v>-0.33900000000000002</v>
      </c>
      <c r="F555">
        <v>11751</v>
      </c>
      <c r="G555">
        <v>8206</v>
      </c>
    </row>
    <row r="556" spans="1:7">
      <c r="A556" t="s">
        <v>54</v>
      </c>
      <c r="B556" s="1" t="s">
        <v>10</v>
      </c>
      <c r="C556">
        <v>13845</v>
      </c>
      <c r="D556">
        <v>83</v>
      </c>
      <c r="E556">
        <v>-0.33500000000000002</v>
      </c>
      <c r="F556">
        <v>9660</v>
      </c>
      <c r="G556">
        <v>8163</v>
      </c>
    </row>
    <row r="557" spans="1:7">
      <c r="A557" t="s">
        <v>54</v>
      </c>
      <c r="B557" s="1" t="s">
        <v>11</v>
      </c>
      <c r="C557">
        <v>13648</v>
      </c>
      <c r="D557">
        <v>82.5</v>
      </c>
      <c r="E557">
        <v>-0.35799999999999998</v>
      </c>
      <c r="F557">
        <v>11301</v>
      </c>
      <c r="G557">
        <v>8207</v>
      </c>
    </row>
    <row r="558" spans="1:7">
      <c r="A558" t="s">
        <v>54</v>
      </c>
      <c r="B558" s="1" t="s">
        <v>12</v>
      </c>
      <c r="C558">
        <v>20100</v>
      </c>
      <c r="D558">
        <v>80.900000000000006</v>
      </c>
      <c r="E558">
        <v>-0.35899999999999999</v>
      </c>
      <c r="F558">
        <v>3345</v>
      </c>
      <c r="G558">
        <v>8183</v>
      </c>
    </row>
    <row r="559" spans="1:7">
      <c r="A559" t="s">
        <v>54</v>
      </c>
      <c r="B559" s="1" t="s">
        <v>13</v>
      </c>
      <c r="C559">
        <v>20904</v>
      </c>
      <c r="D559">
        <v>80.5</v>
      </c>
      <c r="E559">
        <v>-0.36899999999999999</v>
      </c>
      <c r="F559">
        <v>2508</v>
      </c>
      <c r="G559">
        <v>8015</v>
      </c>
    </row>
    <row r="560" spans="1:7">
      <c r="A560" t="s">
        <v>54</v>
      </c>
      <c r="B560" s="1" t="s">
        <v>14</v>
      </c>
      <c r="C560">
        <v>21425</v>
      </c>
      <c r="D560">
        <v>79.7</v>
      </c>
      <c r="E560">
        <v>-0.38100000000000001</v>
      </c>
      <c r="F560">
        <v>2386</v>
      </c>
      <c r="G560">
        <v>8177</v>
      </c>
    </row>
    <row r="561" spans="1:7">
      <c r="A561" t="s">
        <v>54</v>
      </c>
      <c r="B561" s="1" t="s">
        <v>15</v>
      </c>
      <c r="C561">
        <v>19568</v>
      </c>
      <c r="D561">
        <v>79.599999999999994</v>
      </c>
      <c r="E561">
        <v>-0.38500000000000001</v>
      </c>
      <c r="F561">
        <v>4356</v>
      </c>
      <c r="G561">
        <v>8092</v>
      </c>
    </row>
    <row r="562" spans="1:7">
      <c r="A562" t="s">
        <v>54</v>
      </c>
      <c r="B562" s="1" t="s">
        <v>16</v>
      </c>
      <c r="C562">
        <v>21341</v>
      </c>
      <c r="D562">
        <v>80.599999999999994</v>
      </c>
      <c r="E562">
        <v>-0.36199999999999999</v>
      </c>
      <c r="F562">
        <v>2645</v>
      </c>
      <c r="G562">
        <v>8210</v>
      </c>
    </row>
    <row r="563" spans="1:7">
      <c r="A563" t="s">
        <v>54</v>
      </c>
      <c r="B563" s="1" t="s">
        <v>17</v>
      </c>
      <c r="C563">
        <v>19950</v>
      </c>
      <c r="D563">
        <v>80.400000000000006</v>
      </c>
      <c r="E563">
        <v>-0.36399999999999999</v>
      </c>
      <c r="F563">
        <v>3578</v>
      </c>
      <c r="G563">
        <v>8192</v>
      </c>
    </row>
    <row r="564" spans="1:7">
      <c r="A564" t="s">
        <v>54</v>
      </c>
      <c r="B564" s="1" t="s">
        <v>18</v>
      </c>
      <c r="C564">
        <v>18909</v>
      </c>
      <c r="D564">
        <v>79.900000000000006</v>
      </c>
      <c r="E564">
        <v>-0.38</v>
      </c>
      <c r="F564">
        <v>5016</v>
      </c>
      <c r="G564">
        <v>8200</v>
      </c>
    </row>
    <row r="565" spans="1:7">
      <c r="A565" t="s">
        <v>54</v>
      </c>
      <c r="B565" s="1" t="s">
        <v>19</v>
      </c>
      <c r="C565">
        <v>18788</v>
      </c>
      <c r="D565">
        <v>79.900000000000006</v>
      </c>
      <c r="E565">
        <v>-0.378</v>
      </c>
      <c r="F565">
        <v>5284</v>
      </c>
      <c r="G565">
        <v>8190</v>
      </c>
    </row>
    <row r="566" spans="1:7">
      <c r="A566" t="s">
        <v>54</v>
      </c>
      <c r="B566" s="1" t="s">
        <v>20</v>
      </c>
      <c r="C566">
        <v>18904</v>
      </c>
      <c r="D566">
        <v>79.8</v>
      </c>
      <c r="E566">
        <v>-0.378</v>
      </c>
      <c r="F566">
        <v>4916</v>
      </c>
      <c r="G566">
        <v>8188</v>
      </c>
    </row>
    <row r="567" spans="1:7">
      <c r="A567" t="s">
        <v>54</v>
      </c>
      <c r="B567" s="1" t="s">
        <v>21</v>
      </c>
      <c r="C567">
        <v>18800</v>
      </c>
      <c r="D567">
        <v>79.8</v>
      </c>
      <c r="E567">
        <v>-0.378</v>
      </c>
      <c r="F567">
        <v>4336</v>
      </c>
      <c r="G567">
        <v>8196</v>
      </c>
    </row>
    <row r="568" spans="1:7">
      <c r="A568" t="s">
        <v>54</v>
      </c>
      <c r="B568" s="1" t="s">
        <v>22</v>
      </c>
      <c r="C568">
        <v>18590</v>
      </c>
      <c r="D568">
        <v>80</v>
      </c>
      <c r="E568">
        <v>-0.376</v>
      </c>
      <c r="F568">
        <v>5549</v>
      </c>
      <c r="G568">
        <v>8211</v>
      </c>
    </row>
    <row r="569" spans="1:7">
      <c r="A569" t="s">
        <v>54</v>
      </c>
      <c r="B569" s="1" t="s">
        <v>23</v>
      </c>
      <c r="C569">
        <v>17865</v>
      </c>
      <c r="D569">
        <v>79.599999999999994</v>
      </c>
      <c r="E569">
        <v>-0.38</v>
      </c>
      <c r="F569">
        <v>5261</v>
      </c>
      <c r="G569">
        <v>8191</v>
      </c>
    </row>
    <row r="570" spans="1:7">
      <c r="A570" t="s">
        <v>54</v>
      </c>
      <c r="B570" s="1" t="s">
        <v>24</v>
      </c>
      <c r="C570">
        <v>19474</v>
      </c>
      <c r="D570">
        <v>79.900000000000006</v>
      </c>
      <c r="E570">
        <v>-0.38300000000000001</v>
      </c>
      <c r="F570">
        <v>4727</v>
      </c>
      <c r="G570">
        <v>8195</v>
      </c>
    </row>
    <row r="571" spans="1:7">
      <c r="A571" t="s">
        <v>54</v>
      </c>
      <c r="B571" s="1" t="s">
        <v>25</v>
      </c>
      <c r="C571">
        <v>20089</v>
      </c>
      <c r="D571">
        <v>80.3</v>
      </c>
      <c r="E571">
        <v>-0.36199999999999999</v>
      </c>
      <c r="F571">
        <v>3842</v>
      </c>
      <c r="G571">
        <v>8203</v>
      </c>
    </row>
    <row r="572" spans="1:7">
      <c r="A572" t="s">
        <v>54</v>
      </c>
      <c r="B572" s="1" t="s">
        <v>26</v>
      </c>
      <c r="C572">
        <v>20478</v>
      </c>
      <c r="D572">
        <v>81</v>
      </c>
      <c r="E572">
        <v>-0.35</v>
      </c>
      <c r="F572">
        <v>3078</v>
      </c>
      <c r="G572">
        <v>8193</v>
      </c>
    </row>
    <row r="573" spans="1:7">
      <c r="A573" t="s">
        <v>54</v>
      </c>
      <c r="B573" s="1" t="s">
        <v>27</v>
      </c>
      <c r="C573">
        <v>20727</v>
      </c>
      <c r="D573">
        <v>81.2</v>
      </c>
      <c r="E573">
        <v>-0.34899999999999998</v>
      </c>
      <c r="F573">
        <v>3199</v>
      </c>
      <c r="G573">
        <v>8191</v>
      </c>
    </row>
    <row r="574" spans="1:7">
      <c r="A574" t="s">
        <v>54</v>
      </c>
      <c r="B574" s="1" t="s">
        <v>28</v>
      </c>
      <c r="C574">
        <v>21104</v>
      </c>
      <c r="D574">
        <v>82.4</v>
      </c>
      <c r="E574">
        <v>-0.32700000000000001</v>
      </c>
      <c r="F574">
        <v>2533</v>
      </c>
      <c r="G574">
        <v>8132</v>
      </c>
    </row>
    <row r="575" spans="1:7">
      <c r="A575" t="s">
        <v>54</v>
      </c>
      <c r="B575" s="1" t="s">
        <v>29</v>
      </c>
      <c r="C575">
        <v>21112</v>
      </c>
      <c r="D575">
        <v>82.8</v>
      </c>
      <c r="E575">
        <v>-0.316</v>
      </c>
      <c r="F575">
        <v>2714</v>
      </c>
      <c r="G575">
        <v>8210</v>
      </c>
    </row>
    <row r="576" spans="1:7">
      <c r="A576" t="s">
        <v>54</v>
      </c>
      <c r="B576" s="1" t="s">
        <v>30</v>
      </c>
      <c r="C576">
        <v>18845</v>
      </c>
      <c r="D576">
        <v>83.8</v>
      </c>
      <c r="E576">
        <v>-0.309</v>
      </c>
      <c r="F576">
        <v>5676</v>
      </c>
      <c r="G576">
        <v>8184</v>
      </c>
    </row>
    <row r="577" spans="1:7">
      <c r="A577" t="s">
        <v>54</v>
      </c>
      <c r="B577" s="1" t="s">
        <v>31</v>
      </c>
      <c r="C577">
        <v>9433</v>
      </c>
      <c r="D577">
        <v>84.1</v>
      </c>
      <c r="E577">
        <v>-0.314</v>
      </c>
      <c r="F577">
        <v>14846</v>
      </c>
      <c r="G577">
        <v>8196</v>
      </c>
    </row>
    <row r="578" spans="1:7">
      <c r="A578" t="s">
        <v>55</v>
      </c>
      <c r="B578" s="1" t="s">
        <v>8</v>
      </c>
      <c r="C578">
        <v>10140</v>
      </c>
      <c r="D578">
        <v>84</v>
      </c>
      <c r="E578">
        <v>-0.311</v>
      </c>
      <c r="F578">
        <v>13387</v>
      </c>
      <c r="G578">
        <v>8077</v>
      </c>
    </row>
    <row r="579" spans="1:7">
      <c r="A579" t="s">
        <v>55</v>
      </c>
      <c r="B579" s="1" t="s">
        <v>9</v>
      </c>
      <c r="C579">
        <v>11935</v>
      </c>
      <c r="D579">
        <v>82.7</v>
      </c>
      <c r="E579">
        <v>-0.34</v>
      </c>
      <c r="F579">
        <v>12642</v>
      </c>
      <c r="G579">
        <v>8197</v>
      </c>
    </row>
    <row r="580" spans="1:7">
      <c r="A580" t="s">
        <v>55</v>
      </c>
      <c r="B580" s="1" t="s">
        <v>10</v>
      </c>
      <c r="C580">
        <v>12192</v>
      </c>
      <c r="D580">
        <v>82.2</v>
      </c>
      <c r="E580">
        <v>-0.34399999999999997</v>
      </c>
      <c r="F580">
        <v>11487</v>
      </c>
      <c r="G580">
        <v>8190</v>
      </c>
    </row>
    <row r="581" spans="1:7">
      <c r="A581" t="s">
        <v>55</v>
      </c>
      <c r="B581" s="1" t="s">
        <v>11</v>
      </c>
      <c r="C581">
        <v>13867</v>
      </c>
      <c r="D581">
        <v>82.3</v>
      </c>
      <c r="E581">
        <v>-0.35099999999999998</v>
      </c>
      <c r="F581">
        <v>11110</v>
      </c>
      <c r="G581">
        <v>8194</v>
      </c>
    </row>
    <row r="582" spans="1:7">
      <c r="A582" t="s">
        <v>55</v>
      </c>
      <c r="B582" s="1" t="s">
        <v>12</v>
      </c>
      <c r="C582">
        <v>22042</v>
      </c>
      <c r="D582">
        <v>81.8</v>
      </c>
      <c r="E582">
        <v>-0.35399999999999998</v>
      </c>
      <c r="F582">
        <v>2093</v>
      </c>
      <c r="G582">
        <v>8143</v>
      </c>
    </row>
    <row r="583" spans="1:7">
      <c r="A583" t="s">
        <v>55</v>
      </c>
      <c r="B583" s="1" t="s">
        <v>13</v>
      </c>
      <c r="C583">
        <v>19419</v>
      </c>
      <c r="D583">
        <v>80.2</v>
      </c>
      <c r="E583">
        <v>-0.377</v>
      </c>
      <c r="F583">
        <v>4868</v>
      </c>
      <c r="G583">
        <v>8196</v>
      </c>
    </row>
    <row r="584" spans="1:7">
      <c r="A584" t="s">
        <v>55</v>
      </c>
      <c r="B584" s="1" t="s">
        <v>14</v>
      </c>
      <c r="C584">
        <v>22371</v>
      </c>
      <c r="D584">
        <v>81.599999999999994</v>
      </c>
      <c r="E584">
        <v>-0.34699999999999998</v>
      </c>
      <c r="F584">
        <v>1766</v>
      </c>
      <c r="G584">
        <v>8196</v>
      </c>
    </row>
    <row r="585" spans="1:7">
      <c r="A585" t="s">
        <v>55</v>
      </c>
      <c r="B585" s="1" t="s">
        <v>15</v>
      </c>
      <c r="C585">
        <v>18638</v>
      </c>
      <c r="D585">
        <v>81.8</v>
      </c>
      <c r="E585">
        <v>-0.33600000000000002</v>
      </c>
      <c r="F585">
        <v>4496</v>
      </c>
      <c r="G585">
        <v>8107</v>
      </c>
    </row>
    <row r="586" spans="1:7">
      <c r="A586" t="s">
        <v>55</v>
      </c>
      <c r="B586" s="1" t="s">
        <v>16</v>
      </c>
      <c r="C586">
        <v>20165</v>
      </c>
      <c r="D586">
        <v>82</v>
      </c>
      <c r="E586">
        <v>-0.34599999999999997</v>
      </c>
      <c r="F586">
        <v>4274</v>
      </c>
      <c r="G586">
        <v>8201</v>
      </c>
    </row>
    <row r="587" spans="1:7">
      <c r="A587" t="s">
        <v>55</v>
      </c>
      <c r="B587" s="1" t="s">
        <v>17</v>
      </c>
      <c r="C587">
        <v>21151</v>
      </c>
      <c r="D587">
        <v>82</v>
      </c>
      <c r="E587">
        <v>-0.33500000000000002</v>
      </c>
      <c r="F587">
        <v>2580</v>
      </c>
      <c r="G587">
        <v>8035</v>
      </c>
    </row>
    <row r="588" spans="1:7">
      <c r="A588" t="s">
        <v>55</v>
      </c>
      <c r="B588" s="1" t="s">
        <v>18</v>
      </c>
      <c r="C588">
        <v>20388</v>
      </c>
      <c r="D588">
        <v>82</v>
      </c>
      <c r="E588">
        <v>-0.34100000000000003</v>
      </c>
      <c r="F588">
        <v>2954</v>
      </c>
      <c r="G588">
        <v>8033</v>
      </c>
    </row>
    <row r="589" spans="1:7">
      <c r="A589" t="s">
        <v>55</v>
      </c>
      <c r="B589" s="1" t="s">
        <v>19</v>
      </c>
      <c r="C589">
        <v>20327</v>
      </c>
      <c r="D589">
        <v>81.8</v>
      </c>
      <c r="E589">
        <v>-0.34</v>
      </c>
      <c r="F589">
        <v>3436</v>
      </c>
      <c r="G589">
        <v>8189</v>
      </c>
    </row>
    <row r="590" spans="1:7">
      <c r="A590" t="s">
        <v>55</v>
      </c>
      <c r="B590" s="1" t="s">
        <v>20</v>
      </c>
      <c r="C590">
        <v>20811</v>
      </c>
      <c r="D590">
        <v>82.1</v>
      </c>
      <c r="E590">
        <v>-0.33700000000000002</v>
      </c>
      <c r="F590">
        <v>3492</v>
      </c>
      <c r="G590">
        <v>8199</v>
      </c>
    </row>
    <row r="591" spans="1:7">
      <c r="A591" t="s">
        <v>55</v>
      </c>
      <c r="B591" s="1" t="s">
        <v>21</v>
      </c>
      <c r="C591">
        <v>19507</v>
      </c>
      <c r="D591">
        <v>81.3</v>
      </c>
      <c r="E591">
        <v>-0.34599999999999997</v>
      </c>
      <c r="F591">
        <v>3604</v>
      </c>
      <c r="G591">
        <v>8161</v>
      </c>
    </row>
    <row r="592" spans="1:7">
      <c r="A592" t="s">
        <v>55</v>
      </c>
      <c r="B592" s="1" t="s">
        <v>22</v>
      </c>
      <c r="C592">
        <v>20018</v>
      </c>
      <c r="D592">
        <v>82</v>
      </c>
      <c r="E592">
        <v>-0.34899999999999998</v>
      </c>
      <c r="F592">
        <v>3976</v>
      </c>
      <c r="G592">
        <v>8197</v>
      </c>
    </row>
    <row r="593" spans="1:7">
      <c r="A593" t="s">
        <v>55</v>
      </c>
      <c r="B593" s="1" t="s">
        <v>23</v>
      </c>
      <c r="C593">
        <v>20073</v>
      </c>
      <c r="D593">
        <v>81.5</v>
      </c>
      <c r="E593">
        <v>-0.34699999999999998</v>
      </c>
      <c r="F593">
        <v>4145</v>
      </c>
      <c r="G593">
        <v>8203</v>
      </c>
    </row>
    <row r="594" spans="1:7">
      <c r="A594" t="s">
        <v>55</v>
      </c>
      <c r="B594" s="1" t="s">
        <v>24</v>
      </c>
      <c r="C594">
        <v>20284</v>
      </c>
      <c r="D594">
        <v>81.599999999999994</v>
      </c>
      <c r="E594">
        <v>-0.34399999999999997</v>
      </c>
      <c r="F594">
        <v>3802</v>
      </c>
      <c r="G594">
        <v>8192</v>
      </c>
    </row>
    <row r="595" spans="1:7">
      <c r="A595" t="s">
        <v>55</v>
      </c>
      <c r="B595" s="1" t="s">
        <v>25</v>
      </c>
      <c r="C595">
        <v>20604</v>
      </c>
      <c r="D595">
        <v>81.900000000000006</v>
      </c>
      <c r="E595">
        <v>-0.33700000000000002</v>
      </c>
      <c r="F595">
        <v>3412</v>
      </c>
      <c r="G595">
        <v>8206</v>
      </c>
    </row>
    <row r="596" spans="1:7">
      <c r="A596" t="s">
        <v>55</v>
      </c>
      <c r="B596" s="1" t="s">
        <v>26</v>
      </c>
      <c r="C596">
        <v>20295</v>
      </c>
      <c r="D596">
        <v>81.5</v>
      </c>
      <c r="E596">
        <v>-0.34599999999999997</v>
      </c>
      <c r="F596">
        <v>3251</v>
      </c>
      <c r="G596">
        <v>8144</v>
      </c>
    </row>
    <row r="597" spans="1:7">
      <c r="A597" t="s">
        <v>55</v>
      </c>
      <c r="B597" s="1" t="s">
        <v>27</v>
      </c>
      <c r="C597">
        <v>20658</v>
      </c>
      <c r="D597">
        <v>81.8</v>
      </c>
      <c r="E597">
        <v>-0.34599999999999997</v>
      </c>
      <c r="F597">
        <v>3479</v>
      </c>
      <c r="G597">
        <v>8184</v>
      </c>
    </row>
    <row r="598" spans="1:7">
      <c r="A598" t="s">
        <v>55</v>
      </c>
      <c r="B598" s="1" t="s">
        <v>28</v>
      </c>
      <c r="C598">
        <v>19838</v>
      </c>
      <c r="D598">
        <v>81.400000000000006</v>
      </c>
      <c r="E598">
        <v>-0.33900000000000002</v>
      </c>
      <c r="F598">
        <v>3311</v>
      </c>
      <c r="G598">
        <v>8196</v>
      </c>
    </row>
    <row r="599" spans="1:7">
      <c r="A599" t="s">
        <v>55</v>
      </c>
      <c r="B599" s="1" t="s">
        <v>29</v>
      </c>
      <c r="C599">
        <v>20266</v>
      </c>
      <c r="D599">
        <v>81.5</v>
      </c>
      <c r="E599">
        <v>-0.34899999999999998</v>
      </c>
      <c r="F599">
        <v>4140</v>
      </c>
      <c r="G599">
        <v>8205</v>
      </c>
    </row>
    <row r="600" spans="1:7">
      <c r="A600" t="s">
        <v>55</v>
      </c>
      <c r="B600" s="1" t="s">
        <v>30</v>
      </c>
      <c r="C600">
        <v>16699</v>
      </c>
      <c r="D600">
        <v>81.099999999999994</v>
      </c>
      <c r="E600">
        <v>-0.35699999999999998</v>
      </c>
      <c r="F600">
        <v>7841</v>
      </c>
      <c r="G600">
        <v>8194</v>
      </c>
    </row>
    <row r="601" spans="1:7">
      <c r="A601" t="s">
        <v>55</v>
      </c>
      <c r="B601" s="1" t="s">
        <v>31</v>
      </c>
      <c r="C601">
        <v>9020</v>
      </c>
      <c r="D601">
        <v>81.599999999999994</v>
      </c>
      <c r="E601">
        <v>-0.36199999999999999</v>
      </c>
      <c r="F601">
        <v>15070</v>
      </c>
      <c r="G601">
        <v>8206</v>
      </c>
    </row>
    <row r="602" spans="1:7">
      <c r="A602" t="s">
        <v>56</v>
      </c>
      <c r="B602" s="1" t="s">
        <v>8</v>
      </c>
      <c r="C602">
        <v>9501</v>
      </c>
      <c r="D602">
        <v>81.5</v>
      </c>
      <c r="E602">
        <v>-0.36199999999999999</v>
      </c>
      <c r="F602">
        <v>14272</v>
      </c>
      <c r="G602">
        <v>8194</v>
      </c>
    </row>
    <row r="603" spans="1:7">
      <c r="A603" t="s">
        <v>56</v>
      </c>
      <c r="B603" s="1" t="s">
        <v>9</v>
      </c>
      <c r="C603">
        <v>11872</v>
      </c>
      <c r="D603">
        <v>82</v>
      </c>
      <c r="E603">
        <v>-0.35</v>
      </c>
      <c r="F603">
        <v>12206</v>
      </c>
      <c r="G603">
        <v>8188</v>
      </c>
    </row>
    <row r="604" spans="1:7">
      <c r="A604" t="s">
        <v>56</v>
      </c>
      <c r="B604" s="1" t="s">
        <v>10</v>
      </c>
      <c r="C604">
        <v>13164</v>
      </c>
      <c r="D604">
        <v>81.8</v>
      </c>
      <c r="E604">
        <v>-0.36599999999999999</v>
      </c>
      <c r="F604">
        <v>10859</v>
      </c>
      <c r="G604">
        <v>8212</v>
      </c>
    </row>
    <row r="605" spans="1:7">
      <c r="A605" t="s">
        <v>56</v>
      </c>
      <c r="B605" s="1" t="s">
        <v>11</v>
      </c>
      <c r="C605">
        <v>13731</v>
      </c>
      <c r="D605">
        <v>81.3</v>
      </c>
      <c r="E605">
        <v>-0.36399999999999999</v>
      </c>
      <c r="F605">
        <v>9540</v>
      </c>
      <c r="G605">
        <v>8189</v>
      </c>
    </row>
    <row r="606" spans="1:7">
      <c r="A606" t="s">
        <v>56</v>
      </c>
      <c r="B606" s="1" t="s">
        <v>12</v>
      </c>
      <c r="C606">
        <v>22334</v>
      </c>
      <c r="D606">
        <v>81.599999999999994</v>
      </c>
      <c r="E606">
        <v>-0.35899999999999999</v>
      </c>
      <c r="F606">
        <v>2010</v>
      </c>
      <c r="G606">
        <v>8202</v>
      </c>
    </row>
    <row r="607" spans="1:7">
      <c r="A607" t="s">
        <v>56</v>
      </c>
      <c r="B607" s="1" t="s">
        <v>13</v>
      </c>
      <c r="C607">
        <v>17894</v>
      </c>
      <c r="D607">
        <v>79</v>
      </c>
      <c r="E607">
        <v>-0.39400000000000002</v>
      </c>
      <c r="F607">
        <v>4978</v>
      </c>
      <c r="G607">
        <v>8194</v>
      </c>
    </row>
    <row r="608" spans="1:7">
      <c r="A608" t="s">
        <v>56</v>
      </c>
      <c r="B608" s="1" t="s">
        <v>14</v>
      </c>
      <c r="C608">
        <v>22151</v>
      </c>
      <c r="D608">
        <v>81.2</v>
      </c>
      <c r="E608">
        <v>-0.35</v>
      </c>
      <c r="F608">
        <v>1947</v>
      </c>
      <c r="G608">
        <v>8198</v>
      </c>
    </row>
    <row r="609" spans="1:7">
      <c r="A609" t="s">
        <v>56</v>
      </c>
      <c r="B609" s="1" t="s">
        <v>15</v>
      </c>
      <c r="C609">
        <v>17271</v>
      </c>
      <c r="D609">
        <v>80.400000000000006</v>
      </c>
      <c r="E609">
        <v>-0.35699999999999998</v>
      </c>
      <c r="F609">
        <v>4991</v>
      </c>
      <c r="G609">
        <v>8178</v>
      </c>
    </row>
    <row r="610" spans="1:7">
      <c r="A610" t="s">
        <v>56</v>
      </c>
      <c r="B610" s="1" t="s">
        <v>16</v>
      </c>
      <c r="C610">
        <v>18649</v>
      </c>
      <c r="D610">
        <v>80.599999999999994</v>
      </c>
      <c r="E610">
        <v>-0.36899999999999999</v>
      </c>
      <c r="F610">
        <v>5563</v>
      </c>
      <c r="G610">
        <v>8187</v>
      </c>
    </row>
    <row r="611" spans="1:7">
      <c r="A611" t="s">
        <v>56</v>
      </c>
      <c r="B611" s="1" t="s">
        <v>17</v>
      </c>
      <c r="C611">
        <v>19965</v>
      </c>
      <c r="D611">
        <v>80.2</v>
      </c>
      <c r="E611">
        <v>-0.38100000000000001</v>
      </c>
      <c r="F611">
        <v>4557</v>
      </c>
      <c r="G611">
        <v>8216</v>
      </c>
    </row>
    <row r="612" spans="1:7">
      <c r="A612" t="s">
        <v>56</v>
      </c>
      <c r="B612" s="1" t="s">
        <v>18</v>
      </c>
      <c r="C612">
        <v>19897</v>
      </c>
      <c r="D612">
        <v>80.3</v>
      </c>
      <c r="E612">
        <v>-0.374</v>
      </c>
      <c r="F612">
        <v>3550</v>
      </c>
      <c r="G612">
        <v>8201</v>
      </c>
    </row>
    <row r="613" spans="1:7">
      <c r="A613" t="s">
        <v>56</v>
      </c>
      <c r="B613" s="1" t="s">
        <v>19</v>
      </c>
      <c r="C613">
        <v>20017</v>
      </c>
      <c r="D613">
        <v>79.599999999999994</v>
      </c>
      <c r="E613">
        <v>-0.38500000000000001</v>
      </c>
      <c r="F613">
        <v>3901</v>
      </c>
      <c r="G613">
        <v>8176</v>
      </c>
    </row>
    <row r="614" spans="1:7">
      <c r="A614" t="s">
        <v>56</v>
      </c>
      <c r="B614" s="1" t="s">
        <v>20</v>
      </c>
      <c r="C614">
        <v>18977</v>
      </c>
      <c r="D614">
        <v>79.3</v>
      </c>
      <c r="E614">
        <v>-0.39200000000000002</v>
      </c>
      <c r="F614">
        <v>4539</v>
      </c>
      <c r="G614">
        <v>8203</v>
      </c>
    </row>
    <row r="615" spans="1:7">
      <c r="A615" t="s">
        <v>56</v>
      </c>
      <c r="B615" s="1" t="s">
        <v>21</v>
      </c>
      <c r="C615">
        <v>19451</v>
      </c>
      <c r="D615">
        <v>79.599999999999994</v>
      </c>
      <c r="E615">
        <v>-0.38100000000000001</v>
      </c>
      <c r="F615">
        <v>4558</v>
      </c>
      <c r="G615">
        <v>8194</v>
      </c>
    </row>
    <row r="616" spans="1:7">
      <c r="A616" t="s">
        <v>56</v>
      </c>
      <c r="B616" s="1" t="s">
        <v>22</v>
      </c>
      <c r="C616">
        <v>19091</v>
      </c>
      <c r="D616">
        <v>79</v>
      </c>
      <c r="E616">
        <v>-0.39400000000000002</v>
      </c>
      <c r="F616">
        <v>4569</v>
      </c>
      <c r="G616">
        <v>8203</v>
      </c>
    </row>
    <row r="617" spans="1:7">
      <c r="A617" t="s">
        <v>56</v>
      </c>
      <c r="B617" s="1" t="s">
        <v>23</v>
      </c>
      <c r="C617">
        <v>19541</v>
      </c>
      <c r="D617">
        <v>79.8</v>
      </c>
      <c r="E617">
        <v>-0.378</v>
      </c>
      <c r="F617">
        <v>4140</v>
      </c>
      <c r="G617">
        <v>8192</v>
      </c>
    </row>
    <row r="618" spans="1:7">
      <c r="A618" t="s">
        <v>56</v>
      </c>
      <c r="B618" s="1" t="s">
        <v>24</v>
      </c>
      <c r="C618">
        <v>19392</v>
      </c>
      <c r="D618">
        <v>79.7</v>
      </c>
      <c r="E618">
        <v>-0.38</v>
      </c>
      <c r="F618">
        <v>4219</v>
      </c>
      <c r="G618">
        <v>8201</v>
      </c>
    </row>
    <row r="619" spans="1:7">
      <c r="A619" t="s">
        <v>56</v>
      </c>
      <c r="B619" s="1" t="s">
        <v>25</v>
      </c>
      <c r="C619">
        <v>17640</v>
      </c>
      <c r="D619">
        <v>78.2</v>
      </c>
      <c r="E619">
        <v>-0.41099999999999998</v>
      </c>
      <c r="F619">
        <v>5840</v>
      </c>
      <c r="G619">
        <v>8190</v>
      </c>
    </row>
    <row r="620" spans="1:7">
      <c r="A620" t="s">
        <v>56</v>
      </c>
      <c r="B620" s="1" t="s">
        <v>26</v>
      </c>
      <c r="C620">
        <v>20542</v>
      </c>
      <c r="D620">
        <v>80.400000000000006</v>
      </c>
      <c r="E620">
        <v>-0.36899999999999999</v>
      </c>
      <c r="F620">
        <v>3362</v>
      </c>
      <c r="G620">
        <v>8196</v>
      </c>
    </row>
    <row r="621" spans="1:7">
      <c r="A621" t="s">
        <v>56</v>
      </c>
      <c r="B621" s="1" t="s">
        <v>27</v>
      </c>
      <c r="C621">
        <v>20649</v>
      </c>
      <c r="D621">
        <v>80.8</v>
      </c>
      <c r="E621">
        <v>-0.36199999999999999</v>
      </c>
      <c r="F621">
        <v>3464</v>
      </c>
      <c r="G621">
        <v>8200</v>
      </c>
    </row>
    <row r="622" spans="1:7">
      <c r="A622" t="s">
        <v>56</v>
      </c>
      <c r="B622" s="1" t="s">
        <v>28</v>
      </c>
      <c r="C622">
        <v>19400</v>
      </c>
      <c r="D622">
        <v>80.099999999999994</v>
      </c>
      <c r="E622">
        <v>-0.371</v>
      </c>
      <c r="F622">
        <v>3808</v>
      </c>
      <c r="G622">
        <v>8199</v>
      </c>
    </row>
    <row r="623" spans="1:7">
      <c r="A623" t="s">
        <v>56</v>
      </c>
      <c r="B623" s="1" t="s">
        <v>29</v>
      </c>
      <c r="C623">
        <v>20238</v>
      </c>
      <c r="D623">
        <v>80.8</v>
      </c>
      <c r="E623">
        <v>-0.35699999999999998</v>
      </c>
      <c r="F623">
        <v>3452</v>
      </c>
      <c r="G623">
        <v>8205</v>
      </c>
    </row>
    <row r="624" spans="1:7">
      <c r="A624" t="s">
        <v>56</v>
      </c>
      <c r="B624" s="1" t="s">
        <v>30</v>
      </c>
      <c r="C624">
        <v>18565</v>
      </c>
      <c r="D624">
        <v>81.400000000000006</v>
      </c>
      <c r="E624">
        <v>-0.34200000000000003</v>
      </c>
      <c r="F624">
        <v>4383</v>
      </c>
      <c r="G624">
        <v>8195</v>
      </c>
    </row>
    <row r="625" spans="1:7">
      <c r="A625" t="s">
        <v>56</v>
      </c>
      <c r="B625" s="1" t="s">
        <v>31</v>
      </c>
      <c r="C625">
        <v>9391</v>
      </c>
      <c r="D625">
        <v>81.2</v>
      </c>
      <c r="E625">
        <v>-0.36699999999999999</v>
      </c>
      <c r="F625">
        <v>14666</v>
      </c>
      <c r="G625">
        <v>8213</v>
      </c>
    </row>
    <row r="626" spans="1:7">
      <c r="A626" t="s">
        <v>57</v>
      </c>
      <c r="B626" s="1" t="s">
        <v>8</v>
      </c>
      <c r="C626">
        <v>9029</v>
      </c>
      <c r="D626">
        <v>81.099999999999994</v>
      </c>
      <c r="E626">
        <v>-0.374</v>
      </c>
      <c r="F626">
        <v>14639</v>
      </c>
      <c r="G626">
        <v>8200</v>
      </c>
    </row>
    <row r="627" spans="1:7">
      <c r="A627" t="s">
        <v>57</v>
      </c>
      <c r="B627" s="1" t="s">
        <v>9</v>
      </c>
      <c r="C627">
        <v>11827</v>
      </c>
      <c r="D627">
        <v>81.5</v>
      </c>
      <c r="E627">
        <v>-0.36499999999999999</v>
      </c>
      <c r="F627">
        <v>12225</v>
      </c>
      <c r="G627">
        <v>8206</v>
      </c>
    </row>
    <row r="628" spans="1:7">
      <c r="A628" t="s">
        <v>57</v>
      </c>
      <c r="B628" s="1" t="s">
        <v>10</v>
      </c>
      <c r="C628">
        <v>13295</v>
      </c>
      <c r="D628">
        <v>81.400000000000006</v>
      </c>
      <c r="E628">
        <v>-0.374</v>
      </c>
      <c r="F628">
        <v>11099</v>
      </c>
      <c r="G628">
        <v>8208</v>
      </c>
    </row>
    <row r="629" spans="1:7">
      <c r="A629" t="s">
        <v>57</v>
      </c>
      <c r="B629" s="1" t="s">
        <v>11</v>
      </c>
      <c r="C629">
        <v>14604</v>
      </c>
      <c r="D629">
        <v>81.7</v>
      </c>
      <c r="E629">
        <v>-0.36299999999999999</v>
      </c>
      <c r="F629">
        <v>9386</v>
      </c>
      <c r="G629">
        <v>8210</v>
      </c>
    </row>
    <row r="630" spans="1:7">
      <c r="A630" t="s">
        <v>57</v>
      </c>
      <c r="B630" s="1" t="s">
        <v>12</v>
      </c>
      <c r="C630">
        <v>22619</v>
      </c>
      <c r="D630">
        <v>81.400000000000006</v>
      </c>
      <c r="E630">
        <v>-0.35599999999999998</v>
      </c>
      <c r="F630">
        <v>1353</v>
      </c>
      <c r="G630">
        <v>8197</v>
      </c>
    </row>
    <row r="631" spans="1:7">
      <c r="A631" t="s">
        <v>57</v>
      </c>
      <c r="B631" s="1" t="s">
        <v>13</v>
      </c>
      <c r="C631">
        <v>23065</v>
      </c>
      <c r="D631">
        <v>81.5</v>
      </c>
      <c r="E631">
        <v>-0.34799999999999998</v>
      </c>
      <c r="F631">
        <v>1124</v>
      </c>
      <c r="G631">
        <v>8203</v>
      </c>
    </row>
    <row r="632" spans="1:7">
      <c r="A632" t="s">
        <v>57</v>
      </c>
      <c r="B632" s="1" t="s">
        <v>14</v>
      </c>
      <c r="C632">
        <v>23387</v>
      </c>
      <c r="D632">
        <v>81.099999999999994</v>
      </c>
      <c r="E632">
        <v>-0.35099999999999998</v>
      </c>
      <c r="F632">
        <v>819</v>
      </c>
      <c r="G632">
        <v>8184</v>
      </c>
    </row>
    <row r="633" spans="1:7">
      <c r="A633" t="s">
        <v>57</v>
      </c>
      <c r="B633" s="1" t="s">
        <v>15</v>
      </c>
      <c r="C633">
        <v>19819</v>
      </c>
      <c r="D633">
        <v>81.599999999999994</v>
      </c>
      <c r="E633">
        <v>-0.33300000000000002</v>
      </c>
      <c r="F633">
        <v>3655</v>
      </c>
      <c r="G633">
        <v>8196</v>
      </c>
    </row>
    <row r="634" spans="1:7">
      <c r="A634" t="s">
        <v>57</v>
      </c>
      <c r="B634" s="1" t="s">
        <v>16</v>
      </c>
      <c r="C634">
        <v>20131</v>
      </c>
      <c r="D634">
        <v>80.900000000000006</v>
      </c>
      <c r="E634">
        <v>-0.35099999999999998</v>
      </c>
      <c r="F634">
        <v>3798</v>
      </c>
      <c r="G634">
        <v>8199</v>
      </c>
    </row>
    <row r="635" spans="1:7">
      <c r="A635" t="s">
        <v>57</v>
      </c>
      <c r="B635" s="1" t="s">
        <v>17</v>
      </c>
      <c r="C635">
        <v>19541</v>
      </c>
      <c r="D635">
        <v>80.8</v>
      </c>
      <c r="E635">
        <v>-0.35499999999999998</v>
      </c>
      <c r="F635">
        <v>4557</v>
      </c>
      <c r="G635">
        <v>8200</v>
      </c>
    </row>
    <row r="636" spans="1:7">
      <c r="A636" t="s">
        <v>57</v>
      </c>
      <c r="B636" s="1" t="s">
        <v>18</v>
      </c>
      <c r="C636">
        <v>17539</v>
      </c>
      <c r="D636">
        <v>80.2</v>
      </c>
      <c r="E636">
        <v>-0.372</v>
      </c>
      <c r="F636">
        <v>6863</v>
      </c>
      <c r="G636">
        <v>8201</v>
      </c>
    </row>
    <row r="637" spans="1:7">
      <c r="A637" t="s">
        <v>57</v>
      </c>
      <c r="B637" s="1" t="s">
        <v>19</v>
      </c>
      <c r="C637">
        <v>18597</v>
      </c>
      <c r="D637">
        <v>79.5</v>
      </c>
      <c r="E637">
        <v>-0.38700000000000001</v>
      </c>
      <c r="F637">
        <v>6076</v>
      </c>
      <c r="G637">
        <v>8208</v>
      </c>
    </row>
    <row r="638" spans="1:7">
      <c r="A638" t="s">
        <v>57</v>
      </c>
      <c r="B638" s="1" t="s">
        <v>20</v>
      </c>
      <c r="C638">
        <v>17427</v>
      </c>
      <c r="D638">
        <v>79.7</v>
      </c>
      <c r="E638">
        <v>-0.379</v>
      </c>
      <c r="F638">
        <v>6366</v>
      </c>
      <c r="G638">
        <v>8202</v>
      </c>
    </row>
    <row r="639" spans="1:7">
      <c r="A639" t="s">
        <v>57</v>
      </c>
      <c r="B639" s="1" t="s">
        <v>21</v>
      </c>
      <c r="C639">
        <v>16886</v>
      </c>
      <c r="D639">
        <v>78.900000000000006</v>
      </c>
      <c r="E639">
        <v>-0.38700000000000001</v>
      </c>
      <c r="F639">
        <v>6298</v>
      </c>
      <c r="G639">
        <v>8180</v>
      </c>
    </row>
    <row r="640" spans="1:7">
      <c r="A640" t="s">
        <v>57</v>
      </c>
      <c r="B640" s="1" t="s">
        <v>22</v>
      </c>
      <c r="C640">
        <v>17772</v>
      </c>
      <c r="D640">
        <v>79.400000000000006</v>
      </c>
      <c r="E640">
        <v>-0.38100000000000001</v>
      </c>
      <c r="F640">
        <v>6649</v>
      </c>
      <c r="G640">
        <v>8203</v>
      </c>
    </row>
    <row r="641" spans="1:7">
      <c r="A641" t="s">
        <v>57</v>
      </c>
      <c r="B641" s="1" t="s">
        <v>23</v>
      </c>
      <c r="C641">
        <v>18140</v>
      </c>
      <c r="D641">
        <v>79.8</v>
      </c>
      <c r="E641">
        <v>-0.378</v>
      </c>
      <c r="F641">
        <v>5971</v>
      </c>
      <c r="G641">
        <v>8207</v>
      </c>
    </row>
    <row r="642" spans="1:7">
      <c r="A642" t="s">
        <v>57</v>
      </c>
      <c r="B642" s="1" t="s">
        <v>24</v>
      </c>
      <c r="C642">
        <v>18652</v>
      </c>
      <c r="D642">
        <v>79.7</v>
      </c>
      <c r="E642">
        <v>-0.371</v>
      </c>
      <c r="F642">
        <v>4571</v>
      </c>
      <c r="G642">
        <v>8188</v>
      </c>
    </row>
    <row r="643" spans="1:7">
      <c r="A643" t="s">
        <v>57</v>
      </c>
      <c r="B643" s="1" t="s">
        <v>25</v>
      </c>
      <c r="C643">
        <v>16723</v>
      </c>
      <c r="D643">
        <v>77.900000000000006</v>
      </c>
      <c r="E643">
        <v>-0.42</v>
      </c>
      <c r="F643">
        <v>7401</v>
      </c>
      <c r="G643">
        <v>8205</v>
      </c>
    </row>
    <row r="644" spans="1:7">
      <c r="A644" t="s">
        <v>57</v>
      </c>
      <c r="B644" s="1" t="s">
        <v>26</v>
      </c>
      <c r="C644">
        <v>18191</v>
      </c>
      <c r="D644">
        <v>79.8</v>
      </c>
      <c r="E644">
        <v>-0.37</v>
      </c>
      <c r="F644">
        <v>4757</v>
      </c>
      <c r="G644">
        <v>8190</v>
      </c>
    </row>
    <row r="645" spans="1:7">
      <c r="A645" t="s">
        <v>57</v>
      </c>
      <c r="B645" s="1" t="s">
        <v>27</v>
      </c>
      <c r="C645">
        <v>18659</v>
      </c>
      <c r="D645">
        <v>78.900000000000006</v>
      </c>
      <c r="E645">
        <v>-0.39500000000000002</v>
      </c>
      <c r="F645">
        <v>6441</v>
      </c>
      <c r="G645">
        <v>8222</v>
      </c>
    </row>
    <row r="646" spans="1:7">
      <c r="A646" t="s">
        <v>57</v>
      </c>
      <c r="B646" s="1" t="s">
        <v>28</v>
      </c>
      <c r="C646">
        <v>17349</v>
      </c>
      <c r="D646">
        <v>78.099999999999994</v>
      </c>
      <c r="E646">
        <v>-0.39600000000000002</v>
      </c>
      <c r="F646">
        <v>5812</v>
      </c>
      <c r="G646">
        <v>8165</v>
      </c>
    </row>
    <row r="647" spans="1:7">
      <c r="A647" t="s">
        <v>57</v>
      </c>
      <c r="B647" s="1" t="s">
        <v>29</v>
      </c>
      <c r="C647">
        <v>18140</v>
      </c>
      <c r="D647">
        <v>78.099999999999994</v>
      </c>
      <c r="E647">
        <v>-0.40200000000000002</v>
      </c>
      <c r="F647">
        <v>6011</v>
      </c>
      <c r="G647">
        <v>8206</v>
      </c>
    </row>
    <row r="648" spans="1:7">
      <c r="A648" t="s">
        <v>57</v>
      </c>
      <c r="B648" s="1" t="s">
        <v>30</v>
      </c>
      <c r="C648">
        <v>17046</v>
      </c>
      <c r="D648">
        <v>79.3</v>
      </c>
      <c r="E648">
        <v>-0.38600000000000001</v>
      </c>
      <c r="F648">
        <v>6943</v>
      </c>
      <c r="G648">
        <v>8202</v>
      </c>
    </row>
    <row r="649" spans="1:7">
      <c r="A649" t="s">
        <v>57</v>
      </c>
      <c r="B649" s="1" t="s">
        <v>31</v>
      </c>
      <c r="C649">
        <v>7657</v>
      </c>
      <c r="D649">
        <v>78.599999999999994</v>
      </c>
      <c r="E649">
        <v>-0.40200000000000002</v>
      </c>
      <c r="F649">
        <v>16144</v>
      </c>
      <c r="G649">
        <v>8201</v>
      </c>
    </row>
    <row r="650" spans="1:7">
      <c r="A650" t="s">
        <v>58</v>
      </c>
      <c r="B650" s="1" t="s">
        <v>8</v>
      </c>
      <c r="C650">
        <v>8017</v>
      </c>
      <c r="D650">
        <v>79</v>
      </c>
      <c r="E650">
        <v>-0.40200000000000002</v>
      </c>
      <c r="F650">
        <v>16115</v>
      </c>
      <c r="G650">
        <v>8186</v>
      </c>
    </row>
    <row r="651" spans="1:7">
      <c r="A651" t="s">
        <v>58</v>
      </c>
      <c r="B651" s="1" t="s">
        <v>9</v>
      </c>
      <c r="C651">
        <v>8889</v>
      </c>
      <c r="D651">
        <v>78.7</v>
      </c>
      <c r="E651">
        <v>-0.39900000000000002</v>
      </c>
      <c r="F651">
        <v>14639</v>
      </c>
      <c r="G651">
        <v>8162</v>
      </c>
    </row>
    <row r="652" spans="1:7">
      <c r="A652" t="s">
        <v>58</v>
      </c>
      <c r="B652" s="1" t="s">
        <v>10</v>
      </c>
      <c r="C652">
        <v>10543</v>
      </c>
      <c r="D652">
        <v>78.900000000000006</v>
      </c>
      <c r="E652">
        <v>-0.39900000000000002</v>
      </c>
      <c r="F652">
        <v>13369</v>
      </c>
      <c r="G652">
        <v>8194</v>
      </c>
    </row>
    <row r="653" spans="1:7">
      <c r="A653" t="s">
        <v>58</v>
      </c>
      <c r="B653" s="1" t="s">
        <v>11</v>
      </c>
      <c r="C653">
        <v>12669</v>
      </c>
      <c r="D653">
        <v>78.7</v>
      </c>
      <c r="E653">
        <v>-0.40200000000000002</v>
      </c>
      <c r="F653">
        <v>10737</v>
      </c>
      <c r="G653">
        <v>8188</v>
      </c>
    </row>
    <row r="654" spans="1:7">
      <c r="A654" t="s">
        <v>58</v>
      </c>
      <c r="B654" s="1" t="s">
        <v>12</v>
      </c>
      <c r="C654">
        <v>21031</v>
      </c>
      <c r="D654">
        <v>78.7</v>
      </c>
      <c r="E654">
        <v>-0.39</v>
      </c>
      <c r="F654">
        <v>2322</v>
      </c>
      <c r="G654">
        <v>8188</v>
      </c>
    </row>
    <row r="655" spans="1:7">
      <c r="A655" t="s">
        <v>58</v>
      </c>
      <c r="B655" s="1" t="s">
        <v>13</v>
      </c>
      <c r="C655">
        <v>21172</v>
      </c>
      <c r="D655">
        <v>78.8</v>
      </c>
      <c r="E655">
        <v>-0.38400000000000001</v>
      </c>
      <c r="F655">
        <v>2660</v>
      </c>
      <c r="G655">
        <v>8204</v>
      </c>
    </row>
    <row r="656" spans="1:7">
      <c r="A656" t="s">
        <v>58</v>
      </c>
      <c r="B656" s="1" t="s">
        <v>14</v>
      </c>
      <c r="C656">
        <v>20873</v>
      </c>
      <c r="D656">
        <v>78.5</v>
      </c>
      <c r="E656">
        <v>-0.38500000000000001</v>
      </c>
      <c r="F656">
        <v>3019</v>
      </c>
      <c r="G656">
        <v>8196</v>
      </c>
    </row>
    <row r="657" spans="1:7">
      <c r="A657" t="s">
        <v>58</v>
      </c>
      <c r="B657" s="1" t="s">
        <v>15</v>
      </c>
      <c r="C657">
        <v>20538</v>
      </c>
      <c r="D657">
        <v>79</v>
      </c>
      <c r="E657">
        <v>-0.373</v>
      </c>
      <c r="F657">
        <v>3502</v>
      </c>
      <c r="G657">
        <v>8182</v>
      </c>
    </row>
    <row r="658" spans="1:7">
      <c r="A658" t="s">
        <v>58</v>
      </c>
      <c r="B658" s="1" t="s">
        <v>16</v>
      </c>
      <c r="C658">
        <v>19883</v>
      </c>
      <c r="D658">
        <v>79</v>
      </c>
      <c r="E658">
        <v>-0.38100000000000001</v>
      </c>
      <c r="F658">
        <v>4140</v>
      </c>
      <c r="G658">
        <v>8212</v>
      </c>
    </row>
    <row r="659" spans="1:7">
      <c r="A659" t="s">
        <v>58</v>
      </c>
      <c r="B659" s="1" t="s">
        <v>17</v>
      </c>
      <c r="C659">
        <v>19116</v>
      </c>
      <c r="D659">
        <v>78.599999999999994</v>
      </c>
      <c r="E659">
        <v>-0.38300000000000001</v>
      </c>
      <c r="F659">
        <v>4078</v>
      </c>
      <c r="G659">
        <v>8203</v>
      </c>
    </row>
    <row r="660" spans="1:7">
      <c r="A660" t="s">
        <v>58</v>
      </c>
      <c r="B660" s="1" t="s">
        <v>18</v>
      </c>
      <c r="C660">
        <v>19170</v>
      </c>
      <c r="D660">
        <v>78.8</v>
      </c>
      <c r="E660">
        <v>-0.38</v>
      </c>
      <c r="F660">
        <v>4872</v>
      </c>
      <c r="G660">
        <v>8198</v>
      </c>
    </row>
    <row r="661" spans="1:7">
      <c r="A661" t="s">
        <v>58</v>
      </c>
      <c r="B661" s="1" t="s">
        <v>19</v>
      </c>
      <c r="C661">
        <v>19343</v>
      </c>
      <c r="D661">
        <v>78.900000000000006</v>
      </c>
      <c r="E661">
        <v>-0.38400000000000001</v>
      </c>
      <c r="F661">
        <v>4610</v>
      </c>
      <c r="G661">
        <v>8197</v>
      </c>
    </row>
    <row r="662" spans="1:7">
      <c r="A662" t="s">
        <v>58</v>
      </c>
      <c r="B662" s="1" t="s">
        <v>20</v>
      </c>
      <c r="C662">
        <v>18638</v>
      </c>
      <c r="D662">
        <v>78.900000000000006</v>
      </c>
      <c r="E662">
        <v>-0.38600000000000001</v>
      </c>
      <c r="F662">
        <v>5525</v>
      </c>
      <c r="G662">
        <v>8194</v>
      </c>
    </row>
    <row r="663" spans="1:7">
      <c r="A663" t="s">
        <v>58</v>
      </c>
      <c r="B663" s="1" t="s">
        <v>21</v>
      </c>
      <c r="C663">
        <v>18725</v>
      </c>
      <c r="D663">
        <v>78.900000000000006</v>
      </c>
      <c r="E663">
        <v>-0.38800000000000001</v>
      </c>
      <c r="F663">
        <v>3734</v>
      </c>
      <c r="G663">
        <v>7497</v>
      </c>
    </row>
    <row r="664" spans="1:7">
      <c r="A664" t="s">
        <v>58</v>
      </c>
      <c r="B664" s="1" t="s">
        <v>22</v>
      </c>
      <c r="C664">
        <v>17336</v>
      </c>
      <c r="D664">
        <v>78.900000000000006</v>
      </c>
      <c r="E664">
        <v>-0.38800000000000001</v>
      </c>
      <c r="F664">
        <v>5974</v>
      </c>
      <c r="G664">
        <v>7857</v>
      </c>
    </row>
    <row r="665" spans="1:7">
      <c r="A665" t="s">
        <v>58</v>
      </c>
      <c r="B665" s="1" t="s">
        <v>23</v>
      </c>
      <c r="C665">
        <v>15788</v>
      </c>
      <c r="D665">
        <v>78.400000000000006</v>
      </c>
      <c r="E665">
        <v>-0.39500000000000002</v>
      </c>
      <c r="F665">
        <v>7563</v>
      </c>
      <c r="G665">
        <v>8107</v>
      </c>
    </row>
    <row r="666" spans="1:7">
      <c r="A666" t="s">
        <v>58</v>
      </c>
      <c r="B666" s="1" t="s">
        <v>24</v>
      </c>
      <c r="C666">
        <v>17977</v>
      </c>
      <c r="D666">
        <v>78.599999999999994</v>
      </c>
      <c r="E666">
        <v>-0.378</v>
      </c>
      <c r="F666">
        <v>5348</v>
      </c>
      <c r="G666">
        <v>8200</v>
      </c>
    </row>
    <row r="667" spans="1:7">
      <c r="A667" t="s">
        <v>58</v>
      </c>
      <c r="B667" s="1" t="s">
        <v>25</v>
      </c>
      <c r="C667">
        <v>17710</v>
      </c>
      <c r="D667">
        <v>78.599999999999994</v>
      </c>
      <c r="E667">
        <v>-0.38700000000000001</v>
      </c>
      <c r="F667">
        <v>6104</v>
      </c>
      <c r="G667">
        <v>8209</v>
      </c>
    </row>
    <row r="668" spans="1:7">
      <c r="A668" t="s">
        <v>58</v>
      </c>
      <c r="B668" s="1" t="s">
        <v>26</v>
      </c>
      <c r="C668">
        <v>18477</v>
      </c>
      <c r="D668">
        <v>79.3</v>
      </c>
      <c r="E668">
        <v>-0.373</v>
      </c>
      <c r="F668">
        <v>5172</v>
      </c>
      <c r="G668">
        <v>8190</v>
      </c>
    </row>
    <row r="669" spans="1:7">
      <c r="A669" t="s">
        <v>58</v>
      </c>
      <c r="B669" s="1" t="s">
        <v>27</v>
      </c>
      <c r="C669">
        <v>18409</v>
      </c>
      <c r="D669">
        <v>79.3</v>
      </c>
      <c r="E669">
        <v>-0.371</v>
      </c>
      <c r="F669">
        <v>5571</v>
      </c>
      <c r="G669">
        <v>8199</v>
      </c>
    </row>
    <row r="670" spans="1:7">
      <c r="A670" t="s">
        <v>58</v>
      </c>
      <c r="B670" s="1" t="s">
        <v>28</v>
      </c>
      <c r="C670">
        <v>18297</v>
      </c>
      <c r="D670">
        <v>79.5</v>
      </c>
      <c r="E670">
        <v>-0.371</v>
      </c>
      <c r="F670">
        <v>5759</v>
      </c>
      <c r="G670">
        <v>8206</v>
      </c>
    </row>
    <row r="671" spans="1:7">
      <c r="A671" t="s">
        <v>58</v>
      </c>
      <c r="B671" s="1" t="s">
        <v>29</v>
      </c>
      <c r="C671">
        <v>18869</v>
      </c>
      <c r="D671">
        <v>79.5</v>
      </c>
      <c r="E671">
        <v>-0.374</v>
      </c>
      <c r="F671">
        <v>5487</v>
      </c>
      <c r="G671">
        <v>8203</v>
      </c>
    </row>
    <row r="672" spans="1:7">
      <c r="A672" t="s">
        <v>58</v>
      </c>
      <c r="B672" s="1" t="s">
        <v>30</v>
      </c>
      <c r="C672">
        <v>16114</v>
      </c>
      <c r="D672">
        <v>79.900000000000006</v>
      </c>
      <c r="E672">
        <v>-0.36199999999999999</v>
      </c>
      <c r="F672">
        <v>7852</v>
      </c>
      <c r="G672">
        <v>8197</v>
      </c>
    </row>
    <row r="673" spans="1:7">
      <c r="A673" t="s">
        <v>58</v>
      </c>
      <c r="B673" s="1" t="s">
        <v>31</v>
      </c>
      <c r="C673">
        <v>7386</v>
      </c>
      <c r="D673">
        <v>79.900000000000006</v>
      </c>
      <c r="E673">
        <v>-0.37</v>
      </c>
      <c r="F673">
        <v>16415</v>
      </c>
      <c r="G673">
        <v>8192</v>
      </c>
    </row>
    <row r="674" spans="1:7">
      <c r="A674" t="s">
        <v>59</v>
      </c>
      <c r="B674" s="1" t="s">
        <v>8</v>
      </c>
      <c r="C674">
        <v>8000</v>
      </c>
      <c r="D674">
        <v>79.7</v>
      </c>
      <c r="E674">
        <v>-0.374</v>
      </c>
      <c r="F674">
        <v>16549</v>
      </c>
      <c r="G674">
        <v>8200</v>
      </c>
    </row>
    <row r="675" spans="1:7">
      <c r="A675" t="s">
        <v>59</v>
      </c>
      <c r="B675" s="1" t="s">
        <v>9</v>
      </c>
      <c r="C675">
        <v>9124</v>
      </c>
      <c r="D675">
        <v>79.599999999999994</v>
      </c>
      <c r="E675">
        <v>-0.373</v>
      </c>
      <c r="F675">
        <v>13983</v>
      </c>
      <c r="G675">
        <v>8182</v>
      </c>
    </row>
    <row r="676" spans="1:7">
      <c r="A676" t="s">
        <v>59</v>
      </c>
      <c r="B676" s="1" t="s">
        <v>10</v>
      </c>
      <c r="C676">
        <v>10466</v>
      </c>
      <c r="D676">
        <v>79.5</v>
      </c>
      <c r="E676">
        <v>-0.38400000000000001</v>
      </c>
      <c r="F676">
        <v>13440</v>
      </c>
      <c r="G676">
        <v>8202</v>
      </c>
    </row>
    <row r="677" spans="1:7">
      <c r="A677" t="s">
        <v>59</v>
      </c>
      <c r="B677" s="1" t="s">
        <v>11</v>
      </c>
      <c r="C677">
        <v>12741</v>
      </c>
      <c r="D677">
        <v>80.099999999999994</v>
      </c>
      <c r="E677">
        <v>-0.376</v>
      </c>
      <c r="F677">
        <v>11451</v>
      </c>
      <c r="G677">
        <v>8200</v>
      </c>
    </row>
    <row r="678" spans="1:7">
      <c r="A678" t="s">
        <v>59</v>
      </c>
      <c r="B678" s="1" t="s">
        <v>12</v>
      </c>
      <c r="C678">
        <v>22791</v>
      </c>
      <c r="D678">
        <v>80.3</v>
      </c>
      <c r="E678">
        <v>-0.35299999999999998</v>
      </c>
      <c r="F678">
        <v>1414</v>
      </c>
      <c r="G678">
        <v>8198</v>
      </c>
    </row>
    <row r="679" spans="1:7">
      <c r="A679" t="s">
        <v>59</v>
      </c>
      <c r="B679" s="1" t="s">
        <v>13</v>
      </c>
      <c r="C679">
        <v>22021</v>
      </c>
      <c r="D679">
        <v>80</v>
      </c>
      <c r="E679">
        <v>-0.36299999999999999</v>
      </c>
      <c r="F679">
        <v>2035</v>
      </c>
      <c r="G679">
        <v>8197</v>
      </c>
    </row>
    <row r="680" spans="1:7">
      <c r="A680" t="s">
        <v>59</v>
      </c>
      <c r="B680" s="1" t="s">
        <v>14</v>
      </c>
      <c r="C680">
        <v>21889</v>
      </c>
      <c r="D680">
        <v>80</v>
      </c>
      <c r="E680">
        <v>-0.35299999999999998</v>
      </c>
      <c r="F680">
        <v>2016</v>
      </c>
      <c r="G680">
        <v>8198</v>
      </c>
    </row>
    <row r="681" spans="1:7">
      <c r="A681" t="s">
        <v>59</v>
      </c>
      <c r="B681" s="1" t="s">
        <v>15</v>
      </c>
      <c r="C681">
        <v>19833</v>
      </c>
      <c r="D681">
        <v>80.5</v>
      </c>
      <c r="E681">
        <v>-0.34699999999999998</v>
      </c>
      <c r="F681">
        <v>4462</v>
      </c>
      <c r="G681">
        <v>8205</v>
      </c>
    </row>
    <row r="682" spans="1:7">
      <c r="A682" t="s">
        <v>59</v>
      </c>
      <c r="B682" s="1" t="s">
        <v>16</v>
      </c>
      <c r="C682">
        <v>20713</v>
      </c>
      <c r="D682">
        <v>80.400000000000006</v>
      </c>
      <c r="E682">
        <v>-0.34200000000000003</v>
      </c>
      <c r="F682">
        <v>3033</v>
      </c>
      <c r="G682">
        <v>8186</v>
      </c>
    </row>
    <row r="683" spans="1:7">
      <c r="A683" t="s">
        <v>59</v>
      </c>
      <c r="B683" s="1" t="s">
        <v>17</v>
      </c>
      <c r="C683">
        <v>20156</v>
      </c>
      <c r="D683">
        <v>80.8</v>
      </c>
      <c r="E683">
        <v>-0.34399999999999997</v>
      </c>
      <c r="F683">
        <v>3847</v>
      </c>
      <c r="G683">
        <v>8202</v>
      </c>
    </row>
    <row r="684" spans="1:7">
      <c r="A684" t="s">
        <v>59</v>
      </c>
      <c r="B684" s="1" t="s">
        <v>18</v>
      </c>
      <c r="C684">
        <v>16831</v>
      </c>
      <c r="D684">
        <v>79.8</v>
      </c>
      <c r="E684">
        <v>-0.36499999999999999</v>
      </c>
      <c r="F684">
        <v>7050</v>
      </c>
      <c r="G684">
        <v>8187</v>
      </c>
    </row>
    <row r="685" spans="1:7">
      <c r="A685" t="s">
        <v>59</v>
      </c>
      <c r="B685" s="1" t="s">
        <v>19</v>
      </c>
      <c r="C685">
        <v>15890</v>
      </c>
      <c r="D685">
        <v>79.599999999999994</v>
      </c>
      <c r="E685">
        <v>-0.36899999999999999</v>
      </c>
      <c r="F685">
        <v>8311</v>
      </c>
      <c r="G685">
        <v>8197</v>
      </c>
    </row>
    <row r="686" spans="1:7">
      <c r="A686" t="s">
        <v>59</v>
      </c>
      <c r="B686" s="1" t="s">
        <v>20</v>
      </c>
      <c r="C686">
        <v>16078</v>
      </c>
      <c r="D686">
        <v>78.8</v>
      </c>
      <c r="E686">
        <v>-0.373</v>
      </c>
      <c r="F686">
        <v>7586</v>
      </c>
      <c r="G686">
        <v>8205</v>
      </c>
    </row>
    <row r="687" spans="1:7">
      <c r="A687" t="s">
        <v>59</v>
      </c>
      <c r="B687" s="1" t="s">
        <v>21</v>
      </c>
      <c r="C687">
        <v>14023</v>
      </c>
      <c r="D687">
        <v>78.8</v>
      </c>
      <c r="E687">
        <v>-0.38100000000000001</v>
      </c>
      <c r="F687">
        <v>9504</v>
      </c>
      <c r="G687">
        <v>8189</v>
      </c>
    </row>
    <row r="688" spans="1:7">
      <c r="A688" t="s">
        <v>59</v>
      </c>
      <c r="B688" s="1" t="s">
        <v>22</v>
      </c>
      <c r="C688">
        <v>15239</v>
      </c>
      <c r="D688">
        <v>78.900000000000006</v>
      </c>
      <c r="E688">
        <v>-0.38</v>
      </c>
      <c r="F688">
        <v>8494</v>
      </c>
      <c r="G688">
        <v>8199</v>
      </c>
    </row>
    <row r="689" spans="1:7">
      <c r="A689" t="s">
        <v>59</v>
      </c>
      <c r="B689" s="1" t="s">
        <v>23</v>
      </c>
      <c r="C689">
        <v>15875</v>
      </c>
      <c r="D689">
        <v>78.8</v>
      </c>
      <c r="E689">
        <v>-0.378</v>
      </c>
      <c r="F689">
        <v>6952</v>
      </c>
      <c r="G689">
        <v>8191</v>
      </c>
    </row>
    <row r="690" spans="1:7">
      <c r="A690" t="s">
        <v>59</v>
      </c>
      <c r="B690" s="1" t="s">
        <v>24</v>
      </c>
      <c r="C690">
        <v>16412</v>
      </c>
      <c r="D690">
        <v>78.5</v>
      </c>
      <c r="E690">
        <v>-0.38600000000000001</v>
      </c>
      <c r="F690">
        <v>7163</v>
      </c>
      <c r="G690">
        <v>8190</v>
      </c>
    </row>
    <row r="691" spans="1:7">
      <c r="A691" t="s">
        <v>59</v>
      </c>
      <c r="B691" s="1" t="s">
        <v>25</v>
      </c>
      <c r="C691">
        <v>16885</v>
      </c>
      <c r="D691">
        <v>79</v>
      </c>
      <c r="E691">
        <v>-0.379</v>
      </c>
      <c r="F691">
        <v>6806</v>
      </c>
      <c r="G691">
        <v>8196</v>
      </c>
    </row>
    <row r="692" spans="1:7">
      <c r="A692" t="s">
        <v>59</v>
      </c>
      <c r="B692" s="1" t="s">
        <v>26</v>
      </c>
      <c r="C692">
        <v>17580</v>
      </c>
      <c r="D692">
        <v>78.8</v>
      </c>
      <c r="E692">
        <v>-0.38300000000000001</v>
      </c>
      <c r="F692">
        <v>5702</v>
      </c>
      <c r="G692">
        <v>8200</v>
      </c>
    </row>
    <row r="693" spans="1:7">
      <c r="A693" t="s">
        <v>59</v>
      </c>
      <c r="B693" s="1" t="s">
        <v>27</v>
      </c>
      <c r="C693">
        <v>18556</v>
      </c>
      <c r="D693">
        <v>79.5</v>
      </c>
      <c r="E693">
        <v>-0.374</v>
      </c>
      <c r="F693">
        <v>5412</v>
      </c>
      <c r="G693">
        <v>8191</v>
      </c>
    </row>
    <row r="694" spans="1:7">
      <c r="A694" t="s">
        <v>59</v>
      </c>
      <c r="B694" s="1" t="s">
        <v>28</v>
      </c>
      <c r="C694">
        <v>18084</v>
      </c>
      <c r="D694">
        <v>79.599999999999994</v>
      </c>
      <c r="E694">
        <v>-0.36599999999999999</v>
      </c>
      <c r="F694">
        <v>5797</v>
      </c>
      <c r="G694">
        <v>8201</v>
      </c>
    </row>
    <row r="695" spans="1:7">
      <c r="A695" t="s">
        <v>59</v>
      </c>
      <c r="B695" s="1" t="s">
        <v>29</v>
      </c>
      <c r="C695">
        <v>17645</v>
      </c>
      <c r="D695">
        <v>79.8</v>
      </c>
      <c r="E695">
        <v>-0.36699999999999999</v>
      </c>
      <c r="F695">
        <v>6418</v>
      </c>
      <c r="G695">
        <v>8175</v>
      </c>
    </row>
    <row r="696" spans="1:7">
      <c r="A696" t="s">
        <v>59</v>
      </c>
      <c r="B696" s="1" t="s">
        <v>30</v>
      </c>
      <c r="C696">
        <v>16017</v>
      </c>
      <c r="D696">
        <v>80</v>
      </c>
      <c r="E696">
        <v>-0.37</v>
      </c>
      <c r="F696">
        <v>8513</v>
      </c>
      <c r="G696">
        <v>8200</v>
      </c>
    </row>
    <row r="697" spans="1:7">
      <c r="A697" t="s">
        <v>59</v>
      </c>
      <c r="B697" s="1" t="s">
        <v>31</v>
      </c>
      <c r="C697">
        <v>7505</v>
      </c>
      <c r="D697">
        <v>79.8</v>
      </c>
      <c r="E697">
        <v>-0.38100000000000001</v>
      </c>
      <c r="F697">
        <v>16592</v>
      </c>
      <c r="G697">
        <v>8188</v>
      </c>
    </row>
    <row r="698" spans="1:7">
      <c r="A698" t="s">
        <v>60</v>
      </c>
      <c r="B698" s="1" t="s">
        <v>8</v>
      </c>
      <c r="C698">
        <v>8230</v>
      </c>
      <c r="D698">
        <v>80.3</v>
      </c>
      <c r="E698">
        <v>-0.377</v>
      </c>
      <c r="F698">
        <v>15662</v>
      </c>
      <c r="G698">
        <v>8193</v>
      </c>
    </row>
    <row r="699" spans="1:7">
      <c r="A699" t="s">
        <v>60</v>
      </c>
      <c r="B699" s="1" t="s">
        <v>9</v>
      </c>
      <c r="C699">
        <v>9251</v>
      </c>
      <c r="D699">
        <v>79.599999999999994</v>
      </c>
      <c r="E699">
        <v>-0.38700000000000001</v>
      </c>
      <c r="F699">
        <v>14847</v>
      </c>
      <c r="G699">
        <v>8205</v>
      </c>
    </row>
    <row r="700" spans="1:7">
      <c r="A700" t="s">
        <v>60</v>
      </c>
      <c r="B700" s="1" t="s">
        <v>10</v>
      </c>
      <c r="C700">
        <v>11023</v>
      </c>
      <c r="D700">
        <v>80</v>
      </c>
      <c r="E700">
        <v>-0.38</v>
      </c>
      <c r="F700">
        <v>13120</v>
      </c>
      <c r="G700">
        <v>8199</v>
      </c>
    </row>
    <row r="701" spans="1:7">
      <c r="A701" t="s">
        <v>60</v>
      </c>
      <c r="B701" s="1" t="s">
        <v>11</v>
      </c>
      <c r="C701">
        <v>12362</v>
      </c>
      <c r="D701">
        <v>80</v>
      </c>
      <c r="E701">
        <v>-0.376</v>
      </c>
      <c r="F701">
        <v>11104</v>
      </c>
      <c r="G701">
        <v>8118</v>
      </c>
    </row>
    <row r="702" spans="1:7">
      <c r="A702" t="s">
        <v>60</v>
      </c>
      <c r="B702" s="1" t="s">
        <v>12</v>
      </c>
      <c r="C702">
        <v>20428</v>
      </c>
      <c r="D702">
        <v>79.7</v>
      </c>
      <c r="E702">
        <v>-0.371</v>
      </c>
      <c r="F702">
        <v>2772</v>
      </c>
      <c r="G702">
        <v>8113</v>
      </c>
    </row>
    <row r="703" spans="1:7">
      <c r="A703" t="s">
        <v>60</v>
      </c>
      <c r="B703" s="1" t="s">
        <v>13</v>
      </c>
      <c r="C703">
        <v>21339</v>
      </c>
      <c r="D703">
        <v>80</v>
      </c>
      <c r="E703">
        <v>-0.36199999999999999</v>
      </c>
      <c r="F703">
        <v>2628</v>
      </c>
      <c r="G703">
        <v>8197</v>
      </c>
    </row>
    <row r="704" spans="1:7">
      <c r="A704" t="s">
        <v>60</v>
      </c>
      <c r="B704" s="1" t="s">
        <v>14</v>
      </c>
      <c r="C704">
        <v>22115</v>
      </c>
      <c r="D704">
        <v>80.099999999999994</v>
      </c>
      <c r="E704">
        <v>-0.36699999999999999</v>
      </c>
      <c r="F704">
        <v>1752</v>
      </c>
      <c r="G704">
        <v>8198</v>
      </c>
    </row>
    <row r="705" spans="1:7">
      <c r="A705" t="s">
        <v>60</v>
      </c>
      <c r="B705" s="1" t="s">
        <v>15</v>
      </c>
      <c r="C705">
        <v>18533</v>
      </c>
      <c r="D705">
        <v>79.599999999999994</v>
      </c>
      <c r="E705">
        <v>-0.372</v>
      </c>
      <c r="F705">
        <v>4977</v>
      </c>
      <c r="G705">
        <v>8189</v>
      </c>
    </row>
    <row r="706" spans="1:7">
      <c r="A706" t="s">
        <v>60</v>
      </c>
      <c r="B706" s="1" t="s">
        <v>16</v>
      </c>
      <c r="C706">
        <v>19214</v>
      </c>
      <c r="D706">
        <v>79.8</v>
      </c>
      <c r="E706">
        <v>-0.372</v>
      </c>
      <c r="F706">
        <v>4312</v>
      </c>
      <c r="G706">
        <v>8200</v>
      </c>
    </row>
    <row r="707" spans="1:7">
      <c r="A707" t="s">
        <v>60</v>
      </c>
      <c r="B707" s="1" t="s">
        <v>17</v>
      </c>
      <c r="C707">
        <v>17855</v>
      </c>
      <c r="D707">
        <v>79.599999999999994</v>
      </c>
      <c r="E707">
        <v>-0.376</v>
      </c>
      <c r="F707">
        <v>6331</v>
      </c>
      <c r="G707">
        <v>8202</v>
      </c>
    </row>
    <row r="708" spans="1:7">
      <c r="A708" t="s">
        <v>60</v>
      </c>
      <c r="B708" s="1" t="s">
        <v>18</v>
      </c>
      <c r="C708">
        <v>16687</v>
      </c>
      <c r="D708">
        <v>78.599999999999994</v>
      </c>
      <c r="E708">
        <v>-0.39700000000000002</v>
      </c>
      <c r="F708">
        <v>7703</v>
      </c>
      <c r="G708">
        <v>8208</v>
      </c>
    </row>
    <row r="709" spans="1:7">
      <c r="A709" t="s">
        <v>60</v>
      </c>
      <c r="B709" s="1" t="s">
        <v>19</v>
      </c>
      <c r="C709">
        <v>13683</v>
      </c>
      <c r="D709">
        <v>77.8</v>
      </c>
      <c r="E709">
        <v>-0.41799999999999998</v>
      </c>
      <c r="F709">
        <v>10566</v>
      </c>
      <c r="G709">
        <v>8210</v>
      </c>
    </row>
    <row r="710" spans="1:7">
      <c r="A710" t="s">
        <v>60</v>
      </c>
      <c r="B710" s="1" t="s">
        <v>20</v>
      </c>
      <c r="C710">
        <v>14486</v>
      </c>
      <c r="D710">
        <v>77.8</v>
      </c>
      <c r="E710">
        <v>-0.40300000000000002</v>
      </c>
      <c r="F710">
        <v>8574</v>
      </c>
      <c r="G710">
        <v>8196</v>
      </c>
    </row>
    <row r="711" spans="1:7">
      <c r="A711" t="s">
        <v>60</v>
      </c>
      <c r="B711" s="1" t="s">
        <v>21</v>
      </c>
      <c r="C711">
        <v>14696</v>
      </c>
      <c r="D711">
        <v>77.5</v>
      </c>
      <c r="E711">
        <v>-0.41299999999999998</v>
      </c>
      <c r="F711">
        <v>9424</v>
      </c>
      <c r="G711">
        <v>8214</v>
      </c>
    </row>
    <row r="712" spans="1:7">
      <c r="A712" t="s">
        <v>60</v>
      </c>
      <c r="B712" s="1" t="s">
        <v>22</v>
      </c>
      <c r="C712">
        <v>14179</v>
      </c>
      <c r="D712">
        <v>77.8</v>
      </c>
      <c r="E712">
        <v>-0.40300000000000002</v>
      </c>
      <c r="F712">
        <v>8591</v>
      </c>
      <c r="G712">
        <v>8007</v>
      </c>
    </row>
    <row r="713" spans="1:7">
      <c r="A713" t="s">
        <v>60</v>
      </c>
      <c r="B713" s="1" t="s">
        <v>23</v>
      </c>
      <c r="C713">
        <v>16062</v>
      </c>
      <c r="D713">
        <v>77.900000000000006</v>
      </c>
      <c r="E713">
        <v>-0.39200000000000002</v>
      </c>
      <c r="F713">
        <v>7287</v>
      </c>
      <c r="G713">
        <v>8201</v>
      </c>
    </row>
    <row r="714" spans="1:7">
      <c r="A714" t="s">
        <v>60</v>
      </c>
      <c r="B714" s="1" t="s">
        <v>24</v>
      </c>
      <c r="C714">
        <v>17296</v>
      </c>
      <c r="D714">
        <v>78.5</v>
      </c>
      <c r="E714">
        <v>-0.39</v>
      </c>
      <c r="F714">
        <v>5942</v>
      </c>
      <c r="G714">
        <v>8192</v>
      </c>
    </row>
    <row r="715" spans="1:7">
      <c r="A715" t="s">
        <v>60</v>
      </c>
      <c r="B715" s="1" t="s">
        <v>25</v>
      </c>
      <c r="C715">
        <v>17995</v>
      </c>
      <c r="D715">
        <v>79.3</v>
      </c>
      <c r="E715">
        <v>-0.38100000000000001</v>
      </c>
      <c r="F715">
        <v>6400</v>
      </c>
      <c r="G715">
        <v>8208</v>
      </c>
    </row>
    <row r="716" spans="1:7">
      <c r="A716" t="s">
        <v>60</v>
      </c>
      <c r="B716" s="1" t="s">
        <v>26</v>
      </c>
      <c r="C716">
        <v>17467</v>
      </c>
      <c r="D716">
        <v>79.400000000000006</v>
      </c>
      <c r="E716">
        <v>-0.374</v>
      </c>
      <c r="F716">
        <v>5707</v>
      </c>
      <c r="G716">
        <v>8198</v>
      </c>
    </row>
    <row r="717" spans="1:7">
      <c r="A717" t="s">
        <v>60</v>
      </c>
      <c r="B717" s="1" t="s">
        <v>27</v>
      </c>
      <c r="C717">
        <v>17866</v>
      </c>
      <c r="D717">
        <v>79.5</v>
      </c>
      <c r="E717">
        <v>-0.374</v>
      </c>
      <c r="F717">
        <v>5703</v>
      </c>
      <c r="G717">
        <v>8194</v>
      </c>
    </row>
    <row r="718" spans="1:7">
      <c r="A718" t="s">
        <v>60</v>
      </c>
      <c r="B718" s="1" t="s">
        <v>28</v>
      </c>
      <c r="C718">
        <v>18287</v>
      </c>
      <c r="D718">
        <v>79.8</v>
      </c>
      <c r="E718">
        <v>-0.37</v>
      </c>
      <c r="F718">
        <v>6028</v>
      </c>
      <c r="G718">
        <v>8211</v>
      </c>
    </row>
    <row r="719" spans="1:7">
      <c r="A719" t="s">
        <v>60</v>
      </c>
      <c r="B719" s="1" t="s">
        <v>29</v>
      </c>
      <c r="C719">
        <v>14791</v>
      </c>
      <c r="D719">
        <v>76.900000000000006</v>
      </c>
      <c r="E719">
        <v>-0.40100000000000002</v>
      </c>
      <c r="F719">
        <v>6346</v>
      </c>
      <c r="G719">
        <v>8165</v>
      </c>
    </row>
    <row r="720" spans="1:7">
      <c r="A720" t="s">
        <v>60</v>
      </c>
      <c r="B720" s="1" t="s">
        <v>30</v>
      </c>
      <c r="C720">
        <v>15603</v>
      </c>
      <c r="D720">
        <v>79.400000000000006</v>
      </c>
      <c r="E720">
        <v>-0.38100000000000001</v>
      </c>
      <c r="F720">
        <v>8249</v>
      </c>
      <c r="G720">
        <v>8192</v>
      </c>
    </row>
    <row r="721" spans="1:7">
      <c r="A721" t="s">
        <v>60</v>
      </c>
      <c r="B721" s="1" t="s">
        <v>31</v>
      </c>
      <c r="C721">
        <v>7577</v>
      </c>
      <c r="D721">
        <v>79.599999999999994</v>
      </c>
      <c r="E721">
        <v>-0.38600000000000001</v>
      </c>
      <c r="F721">
        <v>16442</v>
      </c>
      <c r="G721">
        <v>8199</v>
      </c>
    </row>
    <row r="722" spans="1:7">
      <c r="A722" t="s">
        <v>61</v>
      </c>
      <c r="B722" s="1" t="s">
        <v>8</v>
      </c>
      <c r="C722">
        <v>7435</v>
      </c>
      <c r="D722">
        <v>79.8</v>
      </c>
      <c r="E722">
        <v>-0.38300000000000001</v>
      </c>
      <c r="F722">
        <v>16279</v>
      </c>
      <c r="G722">
        <v>8207</v>
      </c>
    </row>
    <row r="723" spans="1:7">
      <c r="A723" t="s">
        <v>61</v>
      </c>
      <c r="B723" s="1" t="s">
        <v>9</v>
      </c>
      <c r="C723">
        <v>8760</v>
      </c>
      <c r="D723">
        <v>79.7</v>
      </c>
      <c r="E723">
        <v>-0.38500000000000001</v>
      </c>
      <c r="F723">
        <v>14931</v>
      </c>
      <c r="G723">
        <v>8193</v>
      </c>
    </row>
    <row r="724" spans="1:7">
      <c r="A724" t="s">
        <v>61</v>
      </c>
      <c r="B724" s="1" t="s">
        <v>10</v>
      </c>
      <c r="C724">
        <v>10860</v>
      </c>
      <c r="D724">
        <v>79.8</v>
      </c>
      <c r="E724">
        <v>-0.39</v>
      </c>
      <c r="F724">
        <v>13143</v>
      </c>
      <c r="G724">
        <v>8195</v>
      </c>
    </row>
    <row r="725" spans="1:7">
      <c r="A725" t="s">
        <v>61</v>
      </c>
      <c r="B725" s="1" t="s">
        <v>11</v>
      </c>
      <c r="C725">
        <v>12723</v>
      </c>
      <c r="D725">
        <v>79.900000000000006</v>
      </c>
      <c r="E725">
        <v>-0.38600000000000001</v>
      </c>
      <c r="F725">
        <v>11733</v>
      </c>
      <c r="G725">
        <v>8207</v>
      </c>
    </row>
    <row r="726" spans="1:7">
      <c r="A726" t="s">
        <v>61</v>
      </c>
      <c r="B726" s="1" t="s">
        <v>12</v>
      </c>
      <c r="C726">
        <v>19806</v>
      </c>
      <c r="D726">
        <v>79.5</v>
      </c>
      <c r="E726">
        <v>-0.378</v>
      </c>
      <c r="F726">
        <v>3498</v>
      </c>
      <c r="G726">
        <v>8199</v>
      </c>
    </row>
    <row r="727" spans="1:7">
      <c r="A727" t="s">
        <v>61</v>
      </c>
      <c r="B727" s="1" t="s">
        <v>13</v>
      </c>
      <c r="C727">
        <v>20172</v>
      </c>
      <c r="D727">
        <v>79.3</v>
      </c>
      <c r="E727">
        <v>-0.38400000000000001</v>
      </c>
      <c r="F727">
        <v>3681</v>
      </c>
      <c r="G727">
        <v>8199</v>
      </c>
    </row>
    <row r="728" spans="1:7">
      <c r="A728" t="s">
        <v>61</v>
      </c>
      <c r="B728" s="1" t="s">
        <v>14</v>
      </c>
      <c r="C728">
        <v>19661</v>
      </c>
      <c r="D728">
        <v>78.8</v>
      </c>
      <c r="E728">
        <v>-0.377</v>
      </c>
      <c r="F728">
        <v>4004</v>
      </c>
      <c r="G728">
        <v>8195</v>
      </c>
    </row>
    <row r="729" spans="1:7">
      <c r="A729" t="s">
        <v>61</v>
      </c>
      <c r="B729" s="1" t="s">
        <v>15</v>
      </c>
      <c r="C729">
        <v>18198</v>
      </c>
      <c r="D729">
        <v>78.8</v>
      </c>
      <c r="E729">
        <v>-0.38300000000000001</v>
      </c>
      <c r="F729">
        <v>6226</v>
      </c>
      <c r="G729">
        <v>8185</v>
      </c>
    </row>
    <row r="730" spans="1:7">
      <c r="A730" t="s">
        <v>61</v>
      </c>
      <c r="B730" s="1" t="s">
        <v>16</v>
      </c>
      <c r="C730">
        <v>18543</v>
      </c>
      <c r="D730">
        <v>79.3</v>
      </c>
      <c r="E730">
        <v>-0.376</v>
      </c>
      <c r="F730">
        <v>5367</v>
      </c>
      <c r="G730">
        <v>8204</v>
      </c>
    </row>
    <row r="731" spans="1:7">
      <c r="A731" t="s">
        <v>61</v>
      </c>
      <c r="B731" s="1" t="s">
        <v>17</v>
      </c>
      <c r="C731">
        <v>17884</v>
      </c>
      <c r="D731">
        <v>79.3</v>
      </c>
      <c r="E731">
        <v>-0.376</v>
      </c>
      <c r="F731">
        <v>5816</v>
      </c>
      <c r="G731">
        <v>8190</v>
      </c>
    </row>
    <row r="732" spans="1:7">
      <c r="A732" t="s">
        <v>61</v>
      </c>
      <c r="B732" s="1" t="s">
        <v>18</v>
      </c>
      <c r="C732">
        <v>16817</v>
      </c>
      <c r="D732">
        <v>78.5</v>
      </c>
      <c r="E732">
        <v>-0.39</v>
      </c>
      <c r="F732">
        <v>7320</v>
      </c>
      <c r="G732">
        <v>8201</v>
      </c>
    </row>
    <row r="733" spans="1:7">
      <c r="A733" t="s">
        <v>61</v>
      </c>
      <c r="B733" s="1" t="s">
        <v>19</v>
      </c>
      <c r="C733">
        <v>17014</v>
      </c>
      <c r="D733">
        <v>78.900000000000006</v>
      </c>
      <c r="E733">
        <v>-0.39</v>
      </c>
      <c r="F733">
        <v>6745</v>
      </c>
      <c r="G733">
        <v>8191</v>
      </c>
    </row>
    <row r="734" spans="1:7">
      <c r="A734" t="s">
        <v>61</v>
      </c>
      <c r="B734" s="1" t="s">
        <v>20</v>
      </c>
      <c r="C734">
        <v>17112</v>
      </c>
      <c r="D734">
        <v>79.3</v>
      </c>
      <c r="E734">
        <v>-0.379</v>
      </c>
      <c r="F734">
        <v>6963</v>
      </c>
      <c r="G734">
        <v>8204</v>
      </c>
    </row>
    <row r="735" spans="1:7">
      <c r="A735" t="s">
        <v>61</v>
      </c>
      <c r="B735" s="1" t="s">
        <v>21</v>
      </c>
      <c r="C735">
        <v>17052</v>
      </c>
      <c r="D735">
        <v>79.099999999999994</v>
      </c>
      <c r="E735">
        <v>-0.38400000000000001</v>
      </c>
      <c r="F735">
        <v>5442</v>
      </c>
      <c r="G735">
        <v>7884</v>
      </c>
    </row>
    <row r="736" spans="1:7">
      <c r="A736" t="s">
        <v>61</v>
      </c>
      <c r="B736" s="1" t="s">
        <v>22</v>
      </c>
      <c r="C736">
        <v>14960</v>
      </c>
      <c r="D736">
        <v>77</v>
      </c>
      <c r="E736">
        <v>-0.41299999999999998</v>
      </c>
      <c r="F736">
        <v>6993</v>
      </c>
      <c r="G736">
        <v>8079</v>
      </c>
    </row>
    <row r="737" spans="1:7">
      <c r="A737" t="s">
        <v>61</v>
      </c>
      <c r="B737" s="1" t="s">
        <v>23</v>
      </c>
      <c r="C737">
        <v>17294</v>
      </c>
      <c r="D737">
        <v>79.400000000000006</v>
      </c>
      <c r="E737">
        <v>-0.376</v>
      </c>
      <c r="F737">
        <v>5617</v>
      </c>
      <c r="G737">
        <v>7983</v>
      </c>
    </row>
    <row r="738" spans="1:7">
      <c r="A738" t="s">
        <v>61</v>
      </c>
      <c r="B738" s="1" t="s">
        <v>24</v>
      </c>
      <c r="C738">
        <v>17782</v>
      </c>
      <c r="D738">
        <v>79.099999999999994</v>
      </c>
      <c r="E738">
        <v>-0.376</v>
      </c>
      <c r="F738">
        <v>5062</v>
      </c>
      <c r="G738">
        <v>7995</v>
      </c>
    </row>
    <row r="739" spans="1:7">
      <c r="A739" t="s">
        <v>61</v>
      </c>
      <c r="B739" s="1" t="s">
        <v>25</v>
      </c>
      <c r="C739">
        <v>17084</v>
      </c>
      <c r="D739">
        <v>79.400000000000006</v>
      </c>
      <c r="E739">
        <v>-0.372</v>
      </c>
      <c r="F739">
        <v>6198</v>
      </c>
      <c r="G739">
        <v>8132</v>
      </c>
    </row>
    <row r="740" spans="1:7">
      <c r="A740" t="s">
        <v>61</v>
      </c>
      <c r="B740" s="1" t="s">
        <v>26</v>
      </c>
      <c r="C740">
        <v>17334</v>
      </c>
      <c r="D740">
        <v>79.2</v>
      </c>
      <c r="E740">
        <v>-0.378</v>
      </c>
      <c r="F740">
        <v>5785</v>
      </c>
      <c r="G740">
        <v>8021</v>
      </c>
    </row>
    <row r="741" spans="1:7">
      <c r="A741" t="s">
        <v>61</v>
      </c>
      <c r="B741" s="1" t="s">
        <v>27</v>
      </c>
      <c r="C741">
        <v>17328</v>
      </c>
      <c r="D741">
        <v>79.400000000000006</v>
      </c>
      <c r="E741">
        <v>-0.36899999999999999</v>
      </c>
      <c r="F741">
        <v>6308</v>
      </c>
      <c r="G741">
        <v>8198</v>
      </c>
    </row>
    <row r="742" spans="1:7">
      <c r="A742" t="s">
        <v>61</v>
      </c>
      <c r="B742" s="1" t="s">
        <v>28</v>
      </c>
      <c r="C742">
        <v>17102</v>
      </c>
      <c r="D742">
        <v>78.7</v>
      </c>
      <c r="E742">
        <v>-0.39</v>
      </c>
      <c r="F742">
        <v>7176</v>
      </c>
      <c r="G742">
        <v>8205</v>
      </c>
    </row>
    <row r="743" spans="1:7">
      <c r="A743" t="s">
        <v>61</v>
      </c>
      <c r="B743" s="1" t="s">
        <v>29</v>
      </c>
      <c r="C743">
        <v>16613</v>
      </c>
      <c r="D743">
        <v>78.5</v>
      </c>
      <c r="E743">
        <v>-0.39500000000000002</v>
      </c>
      <c r="F743">
        <v>6760</v>
      </c>
      <c r="G743">
        <v>8038</v>
      </c>
    </row>
    <row r="744" spans="1:7">
      <c r="A744" t="s">
        <v>61</v>
      </c>
      <c r="B744" s="1" t="s">
        <v>30</v>
      </c>
      <c r="C744">
        <v>14865</v>
      </c>
      <c r="D744">
        <v>78.599999999999994</v>
      </c>
      <c r="E744">
        <v>-0.39</v>
      </c>
      <c r="F744">
        <v>8750</v>
      </c>
      <c r="G744">
        <v>8195</v>
      </c>
    </row>
    <row r="745" spans="1:7">
      <c r="A745" t="s">
        <v>61</v>
      </c>
      <c r="B745" s="1" t="s">
        <v>31</v>
      </c>
      <c r="C745">
        <v>7323</v>
      </c>
      <c r="D745">
        <v>78.599999999999994</v>
      </c>
      <c r="E745">
        <v>-0.4</v>
      </c>
      <c r="F745">
        <v>16351</v>
      </c>
      <c r="G745">
        <v>8207</v>
      </c>
    </row>
    <row r="746" spans="1:7">
      <c r="A746" t="s">
        <v>62</v>
      </c>
      <c r="B746" s="1" t="s">
        <v>8</v>
      </c>
      <c r="C746">
        <v>7037</v>
      </c>
      <c r="D746">
        <v>78.7</v>
      </c>
      <c r="E746">
        <v>-0.39500000000000002</v>
      </c>
      <c r="F746">
        <v>16546</v>
      </c>
      <c r="G746">
        <v>8198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Roman,Normálne"&amp;12&amp;A</oddHeader>
    <oddFooter>&amp;C&amp;"Times New Roman,Normálne"&amp;12Page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G746"/>
  <sheetViews>
    <sheetView workbookViewId="0">
      <selection activeCell="D756" sqref="D756"/>
    </sheetView>
  </sheetViews>
  <sheetFormatPr defaultRowHeight="12.75"/>
  <cols>
    <col min="3" max="3" width="20.85546875" customWidth="1"/>
    <col min="4" max="4" width="22.140625" customWidth="1"/>
    <col min="5" max="5" width="24.28515625" customWidth="1"/>
    <col min="6" max="6" width="20.7109375" customWidth="1"/>
    <col min="7" max="7" width="17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63</v>
      </c>
      <c r="B2" s="3" t="s">
        <v>8</v>
      </c>
      <c r="C2" s="2">
        <v>7558</v>
      </c>
      <c r="D2" s="2">
        <v>79.599999999999994</v>
      </c>
      <c r="E2" s="2">
        <v>-0.49099999999999999</v>
      </c>
      <c r="F2" s="2">
        <v>15854</v>
      </c>
      <c r="G2" s="2">
        <v>8208</v>
      </c>
    </row>
    <row r="3" spans="1:7">
      <c r="A3" s="2" t="s">
        <v>63</v>
      </c>
      <c r="B3" s="3" t="s">
        <v>9</v>
      </c>
      <c r="C3" s="2">
        <v>7830</v>
      </c>
      <c r="D3" s="2">
        <v>79.3</v>
      </c>
      <c r="E3" s="2">
        <v>-0.496</v>
      </c>
      <c r="F3" s="2">
        <v>15254</v>
      </c>
      <c r="G3" s="2">
        <v>8203</v>
      </c>
    </row>
    <row r="4" spans="1:7">
      <c r="A4" s="2" t="s">
        <v>63</v>
      </c>
      <c r="B4" s="3" t="s">
        <v>10</v>
      </c>
      <c r="C4" s="2">
        <v>9217</v>
      </c>
      <c r="D4" s="2">
        <v>79.3</v>
      </c>
      <c r="E4" s="2">
        <v>-0.49399999999999999</v>
      </c>
      <c r="F4" s="2">
        <v>14421</v>
      </c>
      <c r="G4" s="2">
        <v>8199</v>
      </c>
    </row>
    <row r="5" spans="1:7">
      <c r="A5" s="2" t="s">
        <v>63</v>
      </c>
      <c r="B5" s="3" t="s">
        <v>11</v>
      </c>
      <c r="C5" s="2">
        <v>9580</v>
      </c>
      <c r="D5" s="2">
        <v>79.3</v>
      </c>
      <c r="E5" s="2">
        <v>-0.49</v>
      </c>
      <c r="F5" s="2">
        <v>13439</v>
      </c>
      <c r="G5" s="2">
        <v>8147</v>
      </c>
    </row>
    <row r="6" spans="1:7">
      <c r="A6" s="2" t="s">
        <v>63</v>
      </c>
      <c r="B6" s="3" t="s">
        <v>12</v>
      </c>
      <c r="C6" s="2">
        <v>16424</v>
      </c>
      <c r="D6" s="2">
        <v>79.400000000000006</v>
      </c>
      <c r="E6" s="2">
        <v>-0.499</v>
      </c>
      <c r="F6" s="2">
        <v>7623</v>
      </c>
      <c r="G6" s="2">
        <v>8203</v>
      </c>
    </row>
    <row r="7" spans="1:7">
      <c r="A7" s="2" t="s">
        <v>63</v>
      </c>
      <c r="B7" s="3" t="s">
        <v>13</v>
      </c>
      <c r="C7" s="2">
        <v>18327</v>
      </c>
      <c r="D7" s="2">
        <v>79.599999999999994</v>
      </c>
      <c r="E7" s="2">
        <v>-0.49</v>
      </c>
      <c r="F7" s="2">
        <v>5560</v>
      </c>
      <c r="G7" s="2">
        <v>8208</v>
      </c>
    </row>
    <row r="8" spans="1:7">
      <c r="A8" s="2" t="s">
        <v>63</v>
      </c>
      <c r="B8" s="3" t="s">
        <v>14</v>
      </c>
      <c r="C8" s="2">
        <v>17300</v>
      </c>
      <c r="D8" s="2">
        <v>79.599999999999994</v>
      </c>
      <c r="E8" s="2">
        <v>-0.48299999999999998</v>
      </c>
      <c r="F8" s="2">
        <v>6023</v>
      </c>
      <c r="G8" s="2">
        <v>8200</v>
      </c>
    </row>
    <row r="9" spans="1:7">
      <c r="A9" s="2" t="s">
        <v>63</v>
      </c>
      <c r="B9" s="3" t="s">
        <v>15</v>
      </c>
      <c r="C9" s="2">
        <v>14123</v>
      </c>
      <c r="D9" s="2">
        <v>79.599999999999994</v>
      </c>
      <c r="E9" s="2">
        <v>-0.49</v>
      </c>
      <c r="F9" s="2">
        <v>10014</v>
      </c>
      <c r="G9" s="2">
        <v>8183</v>
      </c>
    </row>
    <row r="10" spans="1:7">
      <c r="A10" s="2" t="s">
        <v>63</v>
      </c>
      <c r="B10" s="3" t="s">
        <v>16</v>
      </c>
      <c r="C10" s="2">
        <v>15030</v>
      </c>
      <c r="D10" s="2">
        <v>79.8</v>
      </c>
      <c r="E10" s="2">
        <v>-0.48399999999999999</v>
      </c>
      <c r="F10" s="2">
        <v>8781</v>
      </c>
      <c r="G10" s="2">
        <v>8189</v>
      </c>
    </row>
    <row r="11" spans="1:7">
      <c r="A11" s="2" t="s">
        <v>63</v>
      </c>
      <c r="B11" s="3" t="s">
        <v>17</v>
      </c>
      <c r="C11" s="2">
        <v>14735</v>
      </c>
      <c r="D11" s="2">
        <v>79.599999999999994</v>
      </c>
      <c r="E11" s="2">
        <v>-0.48699999999999999</v>
      </c>
      <c r="F11" s="2">
        <v>8646</v>
      </c>
      <c r="G11" s="2">
        <v>8201</v>
      </c>
    </row>
    <row r="12" spans="1:7">
      <c r="A12" s="2" t="s">
        <v>63</v>
      </c>
      <c r="B12" s="3" t="s">
        <v>18</v>
      </c>
      <c r="C12" s="2">
        <v>15635</v>
      </c>
      <c r="D12" s="2">
        <v>79.599999999999994</v>
      </c>
      <c r="E12" s="2">
        <v>-0.48699999999999999</v>
      </c>
      <c r="F12" s="2">
        <v>7361</v>
      </c>
      <c r="G12" s="2">
        <v>8186</v>
      </c>
    </row>
    <row r="13" spans="1:7">
      <c r="A13" s="2" t="s">
        <v>63</v>
      </c>
      <c r="B13" s="3" t="s">
        <v>19</v>
      </c>
      <c r="C13" s="2">
        <v>14780</v>
      </c>
      <c r="D13" s="2">
        <v>79.3</v>
      </c>
      <c r="E13" s="2">
        <v>-0.49099999999999999</v>
      </c>
      <c r="F13" s="2">
        <v>8197</v>
      </c>
      <c r="G13" s="2">
        <v>8195</v>
      </c>
    </row>
    <row r="14" spans="1:7">
      <c r="A14" s="2" t="s">
        <v>63</v>
      </c>
      <c r="B14" s="3" t="s">
        <v>20</v>
      </c>
      <c r="C14" s="2">
        <v>15205</v>
      </c>
      <c r="D14" s="2">
        <v>79.400000000000006</v>
      </c>
      <c r="E14" s="2">
        <v>-0.49199999999999999</v>
      </c>
      <c r="F14" s="2">
        <v>8268</v>
      </c>
      <c r="G14" s="2">
        <v>8204</v>
      </c>
    </row>
    <row r="15" spans="1:7">
      <c r="A15" s="2" t="s">
        <v>63</v>
      </c>
      <c r="B15" s="3" t="s">
        <v>21</v>
      </c>
      <c r="C15" s="2">
        <v>14878</v>
      </c>
      <c r="D15" s="2">
        <v>78.900000000000006</v>
      </c>
      <c r="E15" s="2">
        <v>-0.49399999999999999</v>
      </c>
      <c r="F15" s="2">
        <v>8393</v>
      </c>
      <c r="G15" s="2">
        <v>8197</v>
      </c>
    </row>
    <row r="16" spans="1:7">
      <c r="A16" s="2" t="s">
        <v>63</v>
      </c>
      <c r="B16" s="3" t="s">
        <v>22</v>
      </c>
      <c r="C16" s="2">
        <v>13595</v>
      </c>
      <c r="D16" s="2">
        <v>78.7</v>
      </c>
      <c r="E16" s="2">
        <v>-0.50700000000000001</v>
      </c>
      <c r="F16" s="2">
        <v>9861</v>
      </c>
      <c r="G16" s="2">
        <v>8201</v>
      </c>
    </row>
    <row r="17" spans="1:7">
      <c r="A17" s="2" t="s">
        <v>63</v>
      </c>
      <c r="B17" s="3" t="s">
        <v>23</v>
      </c>
      <c r="C17" s="2">
        <v>13736</v>
      </c>
      <c r="D17" s="2">
        <v>78.599999999999994</v>
      </c>
      <c r="E17" s="2">
        <v>-0.50700000000000001</v>
      </c>
      <c r="F17" s="2">
        <v>10008</v>
      </c>
      <c r="G17" s="2">
        <v>8199</v>
      </c>
    </row>
    <row r="18" spans="1:7">
      <c r="A18" s="2" t="s">
        <v>63</v>
      </c>
      <c r="B18" s="3" t="s">
        <v>24</v>
      </c>
      <c r="C18" s="2">
        <v>14998</v>
      </c>
      <c r="D18" s="2">
        <v>78.8</v>
      </c>
      <c r="E18" s="2">
        <v>-0.49399999999999999</v>
      </c>
      <c r="F18" s="2">
        <v>7893</v>
      </c>
      <c r="G18" s="2">
        <v>8195</v>
      </c>
    </row>
    <row r="19" spans="1:7">
      <c r="A19" s="2" t="s">
        <v>63</v>
      </c>
      <c r="B19" s="3" t="s">
        <v>25</v>
      </c>
      <c r="C19" s="2">
        <v>15179</v>
      </c>
      <c r="D19" s="2">
        <v>78.8</v>
      </c>
      <c r="E19" s="2">
        <v>-0.50600000000000001</v>
      </c>
      <c r="F19" s="2">
        <v>8609</v>
      </c>
      <c r="G19" s="2">
        <v>8206</v>
      </c>
    </row>
    <row r="20" spans="1:7">
      <c r="A20" s="2" t="s">
        <v>63</v>
      </c>
      <c r="B20" s="3" t="s">
        <v>26</v>
      </c>
      <c r="C20" s="2">
        <v>14363</v>
      </c>
      <c r="D20" s="2">
        <v>78.7</v>
      </c>
      <c r="E20" s="2">
        <v>-0.499</v>
      </c>
      <c r="F20" s="2">
        <v>8257</v>
      </c>
      <c r="G20" s="2">
        <v>8193</v>
      </c>
    </row>
    <row r="21" spans="1:7">
      <c r="A21" s="2" t="s">
        <v>63</v>
      </c>
      <c r="B21" s="3" t="s">
        <v>27</v>
      </c>
      <c r="C21" s="2">
        <v>15492</v>
      </c>
      <c r="D21" s="2">
        <v>79.099999999999994</v>
      </c>
      <c r="E21" s="2">
        <v>-0.501</v>
      </c>
      <c r="F21" s="2">
        <v>8394</v>
      </c>
      <c r="G21" s="2">
        <v>8205</v>
      </c>
    </row>
    <row r="22" spans="1:7">
      <c r="A22" s="2" t="s">
        <v>63</v>
      </c>
      <c r="B22" s="3" t="s">
        <v>28</v>
      </c>
      <c r="C22" s="2">
        <v>14553</v>
      </c>
      <c r="D22" s="2">
        <v>78.400000000000006</v>
      </c>
      <c r="E22" s="2">
        <v>-0.50800000000000001</v>
      </c>
      <c r="F22" s="2">
        <v>8995</v>
      </c>
      <c r="G22" s="2">
        <v>8197</v>
      </c>
    </row>
    <row r="23" spans="1:7">
      <c r="A23" s="2" t="s">
        <v>63</v>
      </c>
      <c r="B23" s="3" t="s">
        <v>29</v>
      </c>
      <c r="C23" s="2">
        <v>14707</v>
      </c>
      <c r="D23" s="2">
        <v>78.7</v>
      </c>
      <c r="E23" s="2">
        <v>-0.50900000000000001</v>
      </c>
      <c r="F23" s="2">
        <v>9005</v>
      </c>
      <c r="G23" s="2">
        <v>8206</v>
      </c>
    </row>
    <row r="24" spans="1:7">
      <c r="A24" s="2" t="s">
        <v>63</v>
      </c>
      <c r="B24" s="3" t="s">
        <v>30</v>
      </c>
      <c r="C24" s="2">
        <v>13286</v>
      </c>
      <c r="D24" s="2">
        <v>78.599999999999994</v>
      </c>
      <c r="E24" s="2">
        <v>-0.50600000000000001</v>
      </c>
      <c r="F24" s="2">
        <v>10328</v>
      </c>
      <c r="G24" s="2">
        <v>8207</v>
      </c>
    </row>
    <row r="25" spans="1:7">
      <c r="A25" s="2" t="s">
        <v>63</v>
      </c>
      <c r="B25" s="3" t="s">
        <v>31</v>
      </c>
      <c r="C25" s="2">
        <v>7595</v>
      </c>
      <c r="D25" s="2">
        <v>78.599999999999994</v>
      </c>
      <c r="E25" s="2">
        <v>-0.50800000000000001</v>
      </c>
      <c r="F25" s="2">
        <v>16209</v>
      </c>
      <c r="G25" s="2">
        <v>8197</v>
      </c>
    </row>
    <row r="26" spans="1:7">
      <c r="A26" s="2" t="s">
        <v>64</v>
      </c>
      <c r="B26" s="3" t="s">
        <v>8</v>
      </c>
      <c r="C26" s="2">
        <v>6693</v>
      </c>
      <c r="D26" s="2">
        <v>78.7</v>
      </c>
      <c r="E26" s="2">
        <v>-0.50700000000000001</v>
      </c>
      <c r="F26" s="2">
        <v>16280</v>
      </c>
      <c r="G26" s="2">
        <v>8207</v>
      </c>
    </row>
    <row r="27" spans="1:7">
      <c r="A27" s="2" t="s">
        <v>64</v>
      </c>
      <c r="B27" s="3" t="s">
        <v>9</v>
      </c>
      <c r="C27" s="2">
        <v>7701</v>
      </c>
      <c r="D27" s="2">
        <v>78.900000000000006</v>
      </c>
      <c r="E27" s="2">
        <v>-0.50600000000000001</v>
      </c>
      <c r="F27" s="2">
        <v>15965</v>
      </c>
      <c r="G27" s="2">
        <v>8157</v>
      </c>
    </row>
    <row r="28" spans="1:7">
      <c r="A28" s="2" t="s">
        <v>64</v>
      </c>
      <c r="B28" s="3" t="s">
        <v>10</v>
      </c>
      <c r="C28" s="2">
        <v>8284</v>
      </c>
      <c r="D28" s="2">
        <v>79</v>
      </c>
      <c r="E28" s="2">
        <v>-0.50600000000000001</v>
      </c>
      <c r="F28" s="2">
        <v>14498</v>
      </c>
      <c r="G28" s="2">
        <v>8204</v>
      </c>
    </row>
    <row r="29" spans="1:7">
      <c r="A29" s="2" t="s">
        <v>64</v>
      </c>
      <c r="B29" s="3" t="s">
        <v>11</v>
      </c>
      <c r="C29" s="2">
        <v>8921</v>
      </c>
      <c r="D29" s="2">
        <v>78.8</v>
      </c>
      <c r="E29" s="2">
        <v>-0.51200000000000001</v>
      </c>
      <c r="F29" s="2">
        <v>14675</v>
      </c>
      <c r="G29" s="2">
        <v>8200</v>
      </c>
    </row>
    <row r="30" spans="1:7">
      <c r="A30" s="2" t="s">
        <v>64</v>
      </c>
      <c r="B30" s="3" t="s">
        <v>12</v>
      </c>
      <c r="C30" s="2">
        <v>15263</v>
      </c>
      <c r="D30" s="2">
        <v>78.8</v>
      </c>
      <c r="E30" s="2">
        <v>-0.504</v>
      </c>
      <c r="F30" s="2">
        <v>8293</v>
      </c>
      <c r="G30" s="2">
        <v>8198</v>
      </c>
    </row>
    <row r="31" spans="1:7">
      <c r="A31" s="2" t="s">
        <v>64</v>
      </c>
      <c r="B31" s="3" t="s">
        <v>13</v>
      </c>
      <c r="C31" s="2">
        <v>17921</v>
      </c>
      <c r="D31" s="2">
        <v>78.8</v>
      </c>
      <c r="E31" s="2">
        <v>-0.503</v>
      </c>
      <c r="F31" s="2">
        <v>5388</v>
      </c>
      <c r="G31" s="2">
        <v>8193</v>
      </c>
    </row>
    <row r="32" spans="1:7">
      <c r="A32" s="2" t="s">
        <v>64</v>
      </c>
      <c r="B32" s="3" t="s">
        <v>14</v>
      </c>
      <c r="C32" s="2">
        <v>16942</v>
      </c>
      <c r="D32" s="2">
        <v>78.900000000000006</v>
      </c>
      <c r="E32" s="2">
        <v>-0.505</v>
      </c>
      <c r="F32" s="2">
        <v>6566</v>
      </c>
      <c r="G32" s="2">
        <v>8206</v>
      </c>
    </row>
    <row r="33" spans="1:7">
      <c r="A33" s="2" t="s">
        <v>64</v>
      </c>
      <c r="B33" s="3" t="s">
        <v>15</v>
      </c>
      <c r="C33" s="2">
        <v>12861</v>
      </c>
      <c r="D33" s="2">
        <v>79</v>
      </c>
      <c r="E33" s="2">
        <v>-0.50600000000000001</v>
      </c>
      <c r="F33" s="2">
        <v>10974</v>
      </c>
      <c r="G33" s="2">
        <v>8203</v>
      </c>
    </row>
    <row r="34" spans="1:7">
      <c r="A34" s="2" t="s">
        <v>64</v>
      </c>
      <c r="B34" s="3" t="s">
        <v>16</v>
      </c>
      <c r="C34" s="2">
        <v>14054</v>
      </c>
      <c r="D34" s="2">
        <v>78.5</v>
      </c>
      <c r="E34" s="2">
        <v>-0.503</v>
      </c>
      <c r="F34" s="2">
        <v>8401</v>
      </c>
      <c r="G34" s="2">
        <v>8192</v>
      </c>
    </row>
    <row r="35" spans="1:7">
      <c r="A35" s="2" t="s">
        <v>64</v>
      </c>
      <c r="B35" s="3" t="s">
        <v>17</v>
      </c>
      <c r="C35" s="2">
        <v>14016</v>
      </c>
      <c r="D35" s="2">
        <v>78.599999999999994</v>
      </c>
      <c r="E35" s="2">
        <v>-0.5</v>
      </c>
      <c r="F35" s="2">
        <v>8864</v>
      </c>
      <c r="G35" s="2">
        <v>8204</v>
      </c>
    </row>
    <row r="36" spans="1:7">
      <c r="A36" s="2" t="s">
        <v>64</v>
      </c>
      <c r="B36" s="3" t="s">
        <v>18</v>
      </c>
      <c r="C36" s="2">
        <v>14722</v>
      </c>
      <c r="D36" s="2">
        <v>78.400000000000006</v>
      </c>
      <c r="E36" s="2">
        <v>-0.50700000000000001</v>
      </c>
      <c r="F36" s="2">
        <v>7759</v>
      </c>
      <c r="G36" s="2">
        <v>8209</v>
      </c>
    </row>
    <row r="37" spans="1:7">
      <c r="A37" s="2" t="s">
        <v>64</v>
      </c>
      <c r="B37" s="3" t="s">
        <v>19</v>
      </c>
      <c r="C37" s="2">
        <v>13700</v>
      </c>
      <c r="D37" s="2">
        <v>77.900000000000006</v>
      </c>
      <c r="E37" s="2">
        <v>-0.52500000000000002</v>
      </c>
      <c r="F37" s="2">
        <v>9948</v>
      </c>
      <c r="G37" s="2">
        <v>8192</v>
      </c>
    </row>
    <row r="38" spans="1:7">
      <c r="A38" s="2" t="s">
        <v>64</v>
      </c>
      <c r="B38" s="3" t="s">
        <v>20</v>
      </c>
      <c r="C38" s="2">
        <v>13521</v>
      </c>
      <c r="D38" s="2">
        <v>77.8</v>
      </c>
      <c r="E38" s="2">
        <v>-0.51800000000000002</v>
      </c>
      <c r="F38" s="2">
        <v>10212</v>
      </c>
      <c r="G38" s="2">
        <v>8206</v>
      </c>
    </row>
    <row r="39" spans="1:7">
      <c r="A39" s="2" t="s">
        <v>64</v>
      </c>
      <c r="B39" s="3" t="s">
        <v>21</v>
      </c>
      <c r="C39" s="2">
        <v>13725</v>
      </c>
      <c r="D39" s="2">
        <v>78.099999999999994</v>
      </c>
      <c r="E39" s="2">
        <v>-0.51200000000000001</v>
      </c>
      <c r="F39" s="2">
        <v>9713</v>
      </c>
      <c r="G39" s="2">
        <v>8207</v>
      </c>
    </row>
    <row r="40" spans="1:7">
      <c r="A40" s="2" t="s">
        <v>64</v>
      </c>
      <c r="B40" s="3" t="s">
        <v>22</v>
      </c>
      <c r="C40" s="2">
        <v>13300</v>
      </c>
      <c r="D40" s="2">
        <v>78.400000000000006</v>
      </c>
      <c r="E40" s="2">
        <v>-0.51400000000000001</v>
      </c>
      <c r="F40" s="2">
        <v>10015</v>
      </c>
      <c r="G40" s="2">
        <v>8201</v>
      </c>
    </row>
    <row r="41" spans="1:7">
      <c r="A41" s="2" t="s">
        <v>64</v>
      </c>
      <c r="B41" s="3" t="s">
        <v>23</v>
      </c>
      <c r="C41" s="2">
        <v>14476</v>
      </c>
      <c r="D41" s="2">
        <v>78.599999999999994</v>
      </c>
      <c r="E41" s="2">
        <v>-0.50600000000000001</v>
      </c>
      <c r="F41" s="2">
        <v>8847</v>
      </c>
      <c r="G41" s="2">
        <v>8204</v>
      </c>
    </row>
    <row r="42" spans="1:7">
      <c r="A42" s="2" t="s">
        <v>64</v>
      </c>
      <c r="B42" s="3" t="s">
        <v>24</v>
      </c>
      <c r="C42" s="2">
        <v>15353</v>
      </c>
      <c r="D42" s="2">
        <v>78.8</v>
      </c>
      <c r="E42" s="2">
        <v>-0.50700000000000001</v>
      </c>
      <c r="F42" s="2">
        <v>8151</v>
      </c>
      <c r="G42" s="2">
        <v>8198</v>
      </c>
    </row>
    <row r="43" spans="1:7">
      <c r="A43" s="2" t="s">
        <v>64</v>
      </c>
      <c r="B43" s="3" t="s">
        <v>25</v>
      </c>
      <c r="C43" s="2">
        <v>15227</v>
      </c>
      <c r="D43" s="2">
        <v>78.599999999999994</v>
      </c>
      <c r="E43" s="2">
        <v>-0.51100000000000001</v>
      </c>
      <c r="F43" s="2">
        <v>8558</v>
      </c>
      <c r="G43" s="2">
        <v>8200</v>
      </c>
    </row>
    <row r="44" spans="1:7">
      <c r="A44" s="2" t="s">
        <v>64</v>
      </c>
      <c r="B44" s="3" t="s">
        <v>26</v>
      </c>
      <c r="C44" s="2">
        <v>15162</v>
      </c>
      <c r="D44" s="2">
        <v>78.400000000000006</v>
      </c>
      <c r="E44" s="2">
        <v>-0.51400000000000001</v>
      </c>
      <c r="F44" s="2">
        <v>8604</v>
      </c>
      <c r="G44" s="2">
        <v>8199</v>
      </c>
    </row>
    <row r="45" spans="1:7">
      <c r="A45" s="2" t="s">
        <v>64</v>
      </c>
      <c r="B45" s="3" t="s">
        <v>27</v>
      </c>
      <c r="C45" s="2">
        <v>14914</v>
      </c>
      <c r="D45" s="2">
        <v>78.400000000000006</v>
      </c>
      <c r="E45" s="2">
        <v>-0.50800000000000001</v>
      </c>
      <c r="F45" s="2">
        <v>8550</v>
      </c>
      <c r="G45" s="2">
        <v>8199</v>
      </c>
    </row>
    <row r="46" spans="1:7">
      <c r="A46" s="2" t="s">
        <v>64</v>
      </c>
      <c r="B46" s="3" t="s">
        <v>28</v>
      </c>
      <c r="C46" s="2">
        <v>15439</v>
      </c>
      <c r="D46" s="2">
        <v>79.5</v>
      </c>
      <c r="E46" s="2">
        <v>-0.501</v>
      </c>
      <c r="F46" s="2">
        <v>8263</v>
      </c>
      <c r="G46" s="2">
        <v>8194</v>
      </c>
    </row>
    <row r="47" spans="1:7">
      <c r="A47" s="2" t="s">
        <v>64</v>
      </c>
      <c r="B47" s="3" t="s">
        <v>29</v>
      </c>
      <c r="C47" s="2">
        <v>16350</v>
      </c>
      <c r="D47" s="2">
        <v>79.400000000000006</v>
      </c>
      <c r="E47" s="2">
        <v>-0.496</v>
      </c>
      <c r="F47" s="2">
        <v>7816</v>
      </c>
      <c r="G47" s="2">
        <v>8202</v>
      </c>
    </row>
    <row r="48" spans="1:7">
      <c r="A48" s="2" t="s">
        <v>64</v>
      </c>
      <c r="B48" s="3" t="s">
        <v>30</v>
      </c>
      <c r="C48" s="2">
        <v>14903</v>
      </c>
      <c r="D48" s="2">
        <v>79.7</v>
      </c>
      <c r="E48" s="2">
        <v>-0.49</v>
      </c>
      <c r="F48" s="2">
        <v>8752</v>
      </c>
      <c r="G48" s="2">
        <v>8206</v>
      </c>
    </row>
    <row r="49" spans="1:7">
      <c r="A49" s="2" t="s">
        <v>64</v>
      </c>
      <c r="B49" s="3" t="s">
        <v>31</v>
      </c>
      <c r="C49" s="2">
        <v>8511</v>
      </c>
      <c r="D49" s="2">
        <v>79.900000000000006</v>
      </c>
      <c r="E49" s="2">
        <v>-0.497</v>
      </c>
      <c r="F49" s="2">
        <v>15390</v>
      </c>
      <c r="G49" s="2">
        <v>8210</v>
      </c>
    </row>
    <row r="50" spans="1:7">
      <c r="A50" s="2" t="s">
        <v>65</v>
      </c>
      <c r="B50" s="3" t="s">
        <v>8</v>
      </c>
      <c r="C50" s="2">
        <v>8267</v>
      </c>
      <c r="D50" s="2">
        <v>80</v>
      </c>
      <c r="E50" s="2">
        <v>-0.49399999999999999</v>
      </c>
      <c r="F50" s="2">
        <v>15232</v>
      </c>
      <c r="G50" s="2">
        <v>8195</v>
      </c>
    </row>
    <row r="51" spans="1:7">
      <c r="A51" s="2" t="s">
        <v>65</v>
      </c>
      <c r="B51" s="3" t="s">
        <v>9</v>
      </c>
      <c r="C51" s="2">
        <v>9379</v>
      </c>
      <c r="D51" s="2">
        <v>80.400000000000006</v>
      </c>
      <c r="E51" s="2">
        <v>-0.48799999999999999</v>
      </c>
      <c r="F51" s="2">
        <v>14066</v>
      </c>
      <c r="G51" s="2">
        <v>8192</v>
      </c>
    </row>
    <row r="52" spans="1:7">
      <c r="A52" s="2" t="s">
        <v>65</v>
      </c>
      <c r="B52" s="3" t="s">
        <v>10</v>
      </c>
      <c r="C52" s="2">
        <v>10893</v>
      </c>
      <c r="D52" s="2">
        <v>80.2</v>
      </c>
      <c r="E52" s="2">
        <v>-0.48799999999999999</v>
      </c>
      <c r="F52" s="2">
        <v>13281</v>
      </c>
      <c r="G52" s="2">
        <v>8205</v>
      </c>
    </row>
    <row r="53" spans="1:7">
      <c r="A53" s="2" t="s">
        <v>65</v>
      </c>
      <c r="B53" s="3" t="s">
        <v>11</v>
      </c>
      <c r="C53" s="2">
        <v>10717</v>
      </c>
      <c r="D53" s="2">
        <v>80.099999999999994</v>
      </c>
      <c r="E53" s="2">
        <v>-0.48699999999999999</v>
      </c>
      <c r="F53" s="2">
        <v>12801</v>
      </c>
      <c r="G53" s="2">
        <v>8200</v>
      </c>
    </row>
    <row r="54" spans="1:7">
      <c r="A54" s="2" t="s">
        <v>65</v>
      </c>
      <c r="B54" s="3" t="s">
        <v>12</v>
      </c>
      <c r="C54" s="2">
        <v>17424</v>
      </c>
      <c r="D54" s="2">
        <v>80.099999999999994</v>
      </c>
      <c r="E54" s="2">
        <v>-0.48499999999999999</v>
      </c>
      <c r="F54" s="2">
        <v>6317</v>
      </c>
      <c r="G54" s="2">
        <v>8203</v>
      </c>
    </row>
    <row r="55" spans="1:7">
      <c r="A55" s="2" t="s">
        <v>65</v>
      </c>
      <c r="B55" s="3" t="s">
        <v>13</v>
      </c>
      <c r="C55" s="2">
        <v>18944</v>
      </c>
      <c r="D55" s="2">
        <v>79.8</v>
      </c>
      <c r="E55" s="2">
        <v>-0.48499999999999999</v>
      </c>
      <c r="F55" s="2">
        <v>4649</v>
      </c>
      <c r="G55" s="2">
        <v>8194</v>
      </c>
    </row>
    <row r="56" spans="1:7">
      <c r="A56" s="2" t="s">
        <v>65</v>
      </c>
      <c r="B56" s="3" t="s">
        <v>14</v>
      </c>
      <c r="C56" s="2">
        <v>16352</v>
      </c>
      <c r="D56" s="2">
        <v>79.3</v>
      </c>
      <c r="E56" s="2">
        <v>-0.49099999999999999</v>
      </c>
      <c r="F56" s="2">
        <v>6560</v>
      </c>
      <c r="G56" s="2">
        <v>8194</v>
      </c>
    </row>
    <row r="57" spans="1:7">
      <c r="A57" s="2" t="s">
        <v>65</v>
      </c>
      <c r="B57" s="3" t="s">
        <v>15</v>
      </c>
      <c r="C57" s="2">
        <v>14350</v>
      </c>
      <c r="D57" s="2">
        <v>79.8</v>
      </c>
      <c r="E57" s="2">
        <v>-0.47799999999999998</v>
      </c>
      <c r="F57" s="2">
        <v>8104</v>
      </c>
      <c r="G57" s="2">
        <v>8187</v>
      </c>
    </row>
    <row r="58" spans="1:7">
      <c r="A58" s="2" t="s">
        <v>65</v>
      </c>
      <c r="B58" s="3" t="s">
        <v>16</v>
      </c>
      <c r="C58" s="2">
        <v>15652</v>
      </c>
      <c r="D58" s="2">
        <v>80</v>
      </c>
      <c r="E58" s="2">
        <v>-0.48499999999999999</v>
      </c>
      <c r="F58" s="2">
        <v>7877</v>
      </c>
      <c r="G58" s="2">
        <v>8201</v>
      </c>
    </row>
    <row r="59" spans="1:7">
      <c r="A59" s="2" t="s">
        <v>65</v>
      </c>
      <c r="B59" s="3" t="s">
        <v>17</v>
      </c>
      <c r="C59" s="2">
        <v>14791</v>
      </c>
      <c r="D59" s="2">
        <v>79.900000000000006</v>
      </c>
      <c r="E59" s="2">
        <v>-0.49</v>
      </c>
      <c r="F59" s="2">
        <v>8643</v>
      </c>
      <c r="G59" s="2">
        <v>8202</v>
      </c>
    </row>
    <row r="60" spans="1:7">
      <c r="A60" s="2" t="s">
        <v>65</v>
      </c>
      <c r="B60" s="3" t="s">
        <v>18</v>
      </c>
      <c r="C60" s="2">
        <v>15298</v>
      </c>
      <c r="D60" s="2">
        <v>79.2</v>
      </c>
      <c r="E60" s="2">
        <v>-0.495</v>
      </c>
      <c r="F60" s="2">
        <v>7906</v>
      </c>
      <c r="G60" s="2">
        <v>8191</v>
      </c>
    </row>
    <row r="61" spans="1:7">
      <c r="A61" s="2" t="s">
        <v>65</v>
      </c>
      <c r="B61" s="3" t="s">
        <v>19</v>
      </c>
      <c r="C61" s="2">
        <v>13617</v>
      </c>
      <c r="D61" s="2">
        <v>78.3</v>
      </c>
      <c r="E61" s="2">
        <v>-0.50600000000000001</v>
      </c>
      <c r="F61" s="2">
        <v>9414</v>
      </c>
      <c r="G61" s="2">
        <v>8193</v>
      </c>
    </row>
    <row r="62" spans="1:7">
      <c r="A62" s="2" t="s">
        <v>65</v>
      </c>
      <c r="B62" s="3" t="s">
        <v>20</v>
      </c>
      <c r="C62" s="2">
        <v>14040</v>
      </c>
      <c r="D62" s="2">
        <v>78.7</v>
      </c>
      <c r="E62" s="2">
        <v>-0.51200000000000001</v>
      </c>
      <c r="F62" s="2">
        <v>9856</v>
      </c>
      <c r="G62" s="2">
        <v>8210</v>
      </c>
    </row>
    <row r="63" spans="1:7">
      <c r="A63" s="2" t="s">
        <v>65</v>
      </c>
      <c r="B63" s="3" t="s">
        <v>21</v>
      </c>
      <c r="C63" s="2">
        <v>13364</v>
      </c>
      <c r="D63" s="2">
        <v>78</v>
      </c>
      <c r="E63" s="2">
        <v>-0.51700000000000002</v>
      </c>
      <c r="F63" s="2">
        <v>9436</v>
      </c>
      <c r="G63" s="2">
        <v>8198</v>
      </c>
    </row>
    <row r="64" spans="1:7">
      <c r="A64" s="2" t="s">
        <v>65</v>
      </c>
      <c r="B64" s="3" t="s">
        <v>22</v>
      </c>
      <c r="C64" s="2">
        <v>13416</v>
      </c>
      <c r="D64" s="2">
        <v>78.599999999999994</v>
      </c>
      <c r="E64" s="2">
        <v>-0.51200000000000001</v>
      </c>
      <c r="F64" s="2">
        <v>9577</v>
      </c>
      <c r="G64" s="2">
        <v>8205</v>
      </c>
    </row>
    <row r="65" spans="1:7">
      <c r="A65" s="2" t="s">
        <v>65</v>
      </c>
      <c r="B65" s="3" t="s">
        <v>23</v>
      </c>
      <c r="C65" s="2">
        <v>13912</v>
      </c>
      <c r="D65" s="2">
        <v>78.5</v>
      </c>
      <c r="E65" s="2">
        <v>-0.503</v>
      </c>
      <c r="F65" s="2">
        <v>8809</v>
      </c>
      <c r="G65" s="2">
        <v>8201</v>
      </c>
    </row>
    <row r="66" spans="1:7">
      <c r="A66" s="2" t="s">
        <v>65</v>
      </c>
      <c r="B66" s="3" t="s">
        <v>24</v>
      </c>
      <c r="C66" s="2">
        <v>14443</v>
      </c>
      <c r="D66" s="2">
        <v>79.099999999999994</v>
      </c>
      <c r="E66" s="2">
        <v>-0.504</v>
      </c>
      <c r="F66" s="2">
        <v>9338</v>
      </c>
      <c r="G66" s="2">
        <v>8178</v>
      </c>
    </row>
    <row r="67" spans="1:7">
      <c r="A67" s="2" t="s">
        <v>65</v>
      </c>
      <c r="B67" s="3" t="s">
        <v>25</v>
      </c>
      <c r="C67" s="2">
        <v>14844</v>
      </c>
      <c r="D67" s="2">
        <v>78.7</v>
      </c>
      <c r="E67" s="2">
        <v>-0.50600000000000001</v>
      </c>
      <c r="F67" s="2">
        <v>8301</v>
      </c>
      <c r="G67" s="2">
        <v>8206</v>
      </c>
    </row>
    <row r="68" spans="1:7">
      <c r="A68" s="2" t="s">
        <v>65</v>
      </c>
      <c r="B68" s="3" t="s">
        <v>26</v>
      </c>
      <c r="C68" s="2">
        <v>14866</v>
      </c>
      <c r="D68" s="2">
        <v>78.599999999999994</v>
      </c>
      <c r="E68" s="2">
        <v>-0.502</v>
      </c>
      <c r="F68" s="2">
        <v>7770</v>
      </c>
      <c r="G68" s="2">
        <v>8187</v>
      </c>
    </row>
    <row r="69" spans="1:7">
      <c r="A69" s="2" t="s">
        <v>65</v>
      </c>
      <c r="B69" s="3" t="s">
        <v>27</v>
      </c>
      <c r="C69" s="2">
        <v>16066</v>
      </c>
      <c r="D69" s="2">
        <v>79.3</v>
      </c>
      <c r="E69" s="2">
        <v>-0.501</v>
      </c>
      <c r="F69" s="2">
        <v>7908</v>
      </c>
      <c r="G69" s="2">
        <v>8202</v>
      </c>
    </row>
    <row r="70" spans="1:7">
      <c r="A70" s="2" t="s">
        <v>65</v>
      </c>
      <c r="B70" s="3" t="s">
        <v>28</v>
      </c>
      <c r="C70" s="2">
        <v>15085</v>
      </c>
      <c r="D70" s="2">
        <v>78.900000000000006</v>
      </c>
      <c r="E70" s="2">
        <v>-0.498</v>
      </c>
      <c r="F70" s="2">
        <v>7564</v>
      </c>
      <c r="G70" s="2">
        <v>8210</v>
      </c>
    </row>
    <row r="71" spans="1:7">
      <c r="A71" s="2" t="s">
        <v>65</v>
      </c>
      <c r="B71" s="3" t="s">
        <v>29</v>
      </c>
      <c r="C71" s="2">
        <v>15310</v>
      </c>
      <c r="D71" s="2">
        <v>78.8</v>
      </c>
      <c r="E71" s="2">
        <v>-0.496</v>
      </c>
      <c r="F71" s="2">
        <v>7402</v>
      </c>
      <c r="G71" s="2">
        <v>8190</v>
      </c>
    </row>
    <row r="72" spans="1:7">
      <c r="A72" s="2" t="s">
        <v>65</v>
      </c>
      <c r="B72" s="3" t="s">
        <v>30</v>
      </c>
      <c r="C72" s="2">
        <v>13414</v>
      </c>
      <c r="D72" s="2">
        <v>78.900000000000006</v>
      </c>
      <c r="E72" s="2">
        <v>-0.502</v>
      </c>
      <c r="F72" s="2">
        <v>9464</v>
      </c>
      <c r="G72" s="2">
        <v>8199</v>
      </c>
    </row>
    <row r="73" spans="1:7">
      <c r="A73" s="2" t="s">
        <v>65</v>
      </c>
      <c r="B73" s="3" t="s">
        <v>31</v>
      </c>
      <c r="C73" s="2">
        <v>7469</v>
      </c>
      <c r="D73" s="2">
        <v>79</v>
      </c>
      <c r="E73" s="2">
        <v>-0.50700000000000001</v>
      </c>
      <c r="F73" s="2">
        <v>15905</v>
      </c>
      <c r="G73" s="2">
        <v>8204</v>
      </c>
    </row>
    <row r="74" spans="1:7">
      <c r="A74" s="2" t="s">
        <v>66</v>
      </c>
      <c r="B74" s="3" t="s">
        <v>8</v>
      </c>
      <c r="C74" s="2">
        <v>6545</v>
      </c>
      <c r="D74" s="2">
        <v>78.900000000000006</v>
      </c>
      <c r="E74" s="2">
        <v>-0.51100000000000001</v>
      </c>
      <c r="F74" s="2">
        <v>17339</v>
      </c>
      <c r="G74" s="2">
        <v>8201</v>
      </c>
    </row>
    <row r="75" spans="1:7">
      <c r="A75" s="2" t="s">
        <v>66</v>
      </c>
      <c r="B75" s="3" t="s">
        <v>9</v>
      </c>
      <c r="C75" s="2">
        <v>7306</v>
      </c>
      <c r="D75" s="2">
        <v>79.3</v>
      </c>
      <c r="E75" s="2">
        <v>-0.51100000000000001</v>
      </c>
      <c r="F75" s="2">
        <v>16122</v>
      </c>
      <c r="G75" s="2">
        <v>8194</v>
      </c>
    </row>
    <row r="76" spans="1:7">
      <c r="A76" s="2" t="s">
        <v>66</v>
      </c>
      <c r="B76" s="3" t="s">
        <v>10</v>
      </c>
      <c r="C76" s="2">
        <v>7860</v>
      </c>
      <c r="D76" s="2">
        <v>78.900000000000006</v>
      </c>
      <c r="E76" s="2">
        <v>-0.50800000000000001</v>
      </c>
      <c r="F76" s="2">
        <v>15583</v>
      </c>
      <c r="G76" s="2">
        <v>8199</v>
      </c>
    </row>
    <row r="77" spans="1:7">
      <c r="A77" s="2" t="s">
        <v>66</v>
      </c>
      <c r="B77" s="3" t="s">
        <v>11</v>
      </c>
      <c r="C77" s="2">
        <v>9222</v>
      </c>
      <c r="D77" s="2">
        <v>78.900000000000006</v>
      </c>
      <c r="E77" s="2">
        <v>-0.50900000000000001</v>
      </c>
      <c r="F77" s="2">
        <v>14631</v>
      </c>
      <c r="G77" s="2">
        <v>8208</v>
      </c>
    </row>
    <row r="78" spans="1:7">
      <c r="A78" s="2" t="s">
        <v>66</v>
      </c>
      <c r="B78" s="3" t="s">
        <v>12</v>
      </c>
      <c r="C78" s="2">
        <v>15120</v>
      </c>
      <c r="D78" s="2">
        <v>78.5</v>
      </c>
      <c r="E78" s="2">
        <v>-0.50800000000000001</v>
      </c>
      <c r="F78" s="2">
        <v>8018</v>
      </c>
      <c r="G78" s="2">
        <v>8196</v>
      </c>
    </row>
    <row r="79" spans="1:7">
      <c r="A79" s="2" t="s">
        <v>66</v>
      </c>
      <c r="B79" s="3" t="s">
        <v>13</v>
      </c>
      <c r="C79" s="2">
        <v>17097</v>
      </c>
      <c r="D79" s="2">
        <v>78.7</v>
      </c>
      <c r="E79" s="2">
        <v>-0.50700000000000001</v>
      </c>
      <c r="F79" s="2">
        <v>6060</v>
      </c>
      <c r="G79" s="2">
        <v>8207</v>
      </c>
    </row>
    <row r="80" spans="1:7">
      <c r="A80" s="2" t="s">
        <v>66</v>
      </c>
      <c r="B80" s="3" t="s">
        <v>14</v>
      </c>
      <c r="C80" s="2">
        <v>15605</v>
      </c>
      <c r="D80" s="2">
        <v>77.8</v>
      </c>
      <c r="E80" s="2">
        <v>-0.52600000000000002</v>
      </c>
      <c r="F80" s="2">
        <v>7963</v>
      </c>
      <c r="G80" s="2">
        <v>8197</v>
      </c>
    </row>
    <row r="81" spans="1:7">
      <c r="A81" s="2" t="s">
        <v>66</v>
      </c>
      <c r="B81" s="3" t="s">
        <v>15</v>
      </c>
      <c r="C81" s="2">
        <v>13322</v>
      </c>
      <c r="D81" s="2">
        <v>78.7</v>
      </c>
      <c r="E81" s="2">
        <v>-0.502</v>
      </c>
      <c r="F81" s="2">
        <v>10091</v>
      </c>
      <c r="G81" s="2">
        <v>8191</v>
      </c>
    </row>
    <row r="82" spans="1:7">
      <c r="A82" s="2" t="s">
        <v>66</v>
      </c>
      <c r="B82" s="3" t="s">
        <v>16</v>
      </c>
      <c r="C82" s="2">
        <v>14287</v>
      </c>
      <c r="D82" s="2">
        <v>78.7</v>
      </c>
      <c r="E82" s="2">
        <v>-0.50900000000000001</v>
      </c>
      <c r="F82" s="2">
        <v>9038</v>
      </c>
      <c r="G82" s="2">
        <v>8205</v>
      </c>
    </row>
    <row r="83" spans="1:7">
      <c r="A83" s="2" t="s">
        <v>66</v>
      </c>
      <c r="B83" s="3" t="s">
        <v>17</v>
      </c>
      <c r="C83" s="2">
        <v>14318</v>
      </c>
      <c r="D83" s="2">
        <v>78.599999999999994</v>
      </c>
      <c r="E83" s="2">
        <v>-0.51200000000000001</v>
      </c>
      <c r="F83" s="2">
        <v>9125</v>
      </c>
      <c r="G83" s="2">
        <v>8206</v>
      </c>
    </row>
    <row r="84" spans="1:7">
      <c r="A84" s="2" t="s">
        <v>66</v>
      </c>
      <c r="B84" s="3" t="s">
        <v>18</v>
      </c>
      <c r="C84" s="2">
        <v>14547</v>
      </c>
      <c r="D84" s="2">
        <v>78.2</v>
      </c>
      <c r="E84" s="2">
        <v>-0.51200000000000001</v>
      </c>
      <c r="F84" s="2">
        <v>8835</v>
      </c>
      <c r="G84" s="2">
        <v>8198</v>
      </c>
    </row>
    <row r="85" spans="1:7">
      <c r="A85" s="2" t="s">
        <v>66</v>
      </c>
      <c r="B85" s="3" t="s">
        <v>19</v>
      </c>
      <c r="C85" s="2">
        <v>14017</v>
      </c>
      <c r="D85" s="2">
        <v>78.400000000000006</v>
      </c>
      <c r="E85" s="2">
        <v>-0.50900000000000001</v>
      </c>
      <c r="F85" s="2">
        <v>9183</v>
      </c>
      <c r="G85" s="2">
        <v>8189</v>
      </c>
    </row>
    <row r="86" spans="1:7">
      <c r="A86" s="2" t="s">
        <v>66</v>
      </c>
      <c r="B86" s="3" t="s">
        <v>20</v>
      </c>
      <c r="C86" s="2">
        <v>12875</v>
      </c>
      <c r="D86" s="2">
        <v>78</v>
      </c>
      <c r="E86" s="2">
        <v>-0.52</v>
      </c>
      <c r="F86" s="2">
        <v>10346</v>
      </c>
      <c r="G86" s="2">
        <v>8196</v>
      </c>
    </row>
    <row r="87" spans="1:7">
      <c r="A87" s="2" t="s">
        <v>66</v>
      </c>
      <c r="B87" s="3" t="s">
        <v>21</v>
      </c>
      <c r="C87" s="2">
        <v>13874</v>
      </c>
      <c r="D87" s="2">
        <v>78.3</v>
      </c>
      <c r="E87" s="2">
        <v>-0.51100000000000001</v>
      </c>
      <c r="F87" s="2">
        <v>9956</v>
      </c>
      <c r="G87" s="2">
        <v>8204</v>
      </c>
    </row>
    <row r="88" spans="1:7">
      <c r="A88" s="2" t="s">
        <v>66</v>
      </c>
      <c r="B88" s="3" t="s">
        <v>22</v>
      </c>
      <c r="C88" s="2">
        <v>13445</v>
      </c>
      <c r="D88" s="2">
        <v>78.599999999999994</v>
      </c>
      <c r="E88" s="2">
        <v>-0.51400000000000001</v>
      </c>
      <c r="F88" s="2">
        <v>10461</v>
      </c>
      <c r="G88" s="2">
        <v>8211</v>
      </c>
    </row>
    <row r="89" spans="1:7">
      <c r="A89" s="2" t="s">
        <v>66</v>
      </c>
      <c r="B89" s="3" t="s">
        <v>23</v>
      </c>
      <c r="C89" s="2">
        <v>12394</v>
      </c>
      <c r="D89" s="2">
        <v>77.8</v>
      </c>
      <c r="E89" s="2">
        <v>-0.50900000000000001</v>
      </c>
      <c r="F89" s="2">
        <v>10386</v>
      </c>
      <c r="G89" s="2">
        <v>8195</v>
      </c>
    </row>
    <row r="90" spans="1:7">
      <c r="A90" s="2" t="s">
        <v>66</v>
      </c>
      <c r="B90" s="3" t="s">
        <v>24</v>
      </c>
      <c r="C90" s="2">
        <v>13139</v>
      </c>
      <c r="D90" s="2">
        <v>78.400000000000006</v>
      </c>
      <c r="E90" s="2">
        <v>-0.50900000000000001</v>
      </c>
      <c r="F90" s="2">
        <v>10551</v>
      </c>
      <c r="G90" s="2">
        <v>8195</v>
      </c>
    </row>
    <row r="91" spans="1:7">
      <c r="A91" s="2" t="s">
        <v>66</v>
      </c>
      <c r="B91" s="3" t="s">
        <v>25</v>
      </c>
      <c r="C91" s="2">
        <v>14392</v>
      </c>
      <c r="D91" s="2">
        <v>78.8</v>
      </c>
      <c r="E91" s="2">
        <v>-0.50900000000000001</v>
      </c>
      <c r="F91" s="2">
        <v>8763</v>
      </c>
      <c r="G91" s="2">
        <v>8203</v>
      </c>
    </row>
    <row r="92" spans="1:7">
      <c r="A92" s="2" t="s">
        <v>66</v>
      </c>
      <c r="B92" s="3" t="s">
        <v>26</v>
      </c>
      <c r="C92" s="2">
        <v>14444</v>
      </c>
      <c r="D92" s="2">
        <v>78.5</v>
      </c>
      <c r="E92" s="2">
        <v>-0.50900000000000001</v>
      </c>
      <c r="F92" s="2">
        <v>9618</v>
      </c>
      <c r="G92" s="2">
        <v>8186</v>
      </c>
    </row>
    <row r="93" spans="1:7">
      <c r="A93" s="2" t="s">
        <v>66</v>
      </c>
      <c r="B93" s="3" t="s">
        <v>27</v>
      </c>
      <c r="C93" s="2">
        <v>14510</v>
      </c>
      <c r="D93" s="2">
        <v>78.5</v>
      </c>
      <c r="E93" s="2">
        <v>-0.5</v>
      </c>
      <c r="F93" s="2">
        <v>8200</v>
      </c>
      <c r="G93" s="2">
        <v>8208</v>
      </c>
    </row>
    <row r="94" spans="1:7">
      <c r="A94" s="2" t="s">
        <v>66</v>
      </c>
      <c r="B94" s="3" t="s">
        <v>28</v>
      </c>
      <c r="C94" s="2">
        <v>14759</v>
      </c>
      <c r="D94" s="2">
        <v>78.7</v>
      </c>
      <c r="E94" s="2">
        <v>-0.503</v>
      </c>
      <c r="F94" s="2">
        <v>9106</v>
      </c>
      <c r="G94" s="2">
        <v>8192</v>
      </c>
    </row>
    <row r="95" spans="1:7">
      <c r="A95" s="2" t="s">
        <v>66</v>
      </c>
      <c r="B95" s="3" t="s">
        <v>29</v>
      </c>
      <c r="C95" s="2">
        <v>14642</v>
      </c>
      <c r="D95" s="2">
        <v>78.7</v>
      </c>
      <c r="E95" s="2">
        <v>-0.49399999999999999</v>
      </c>
      <c r="F95" s="2">
        <v>8277</v>
      </c>
      <c r="G95" s="2">
        <v>8202</v>
      </c>
    </row>
    <row r="96" spans="1:7">
      <c r="A96" s="2" t="s">
        <v>66</v>
      </c>
      <c r="B96" s="3" t="s">
        <v>30</v>
      </c>
      <c r="C96" s="2">
        <v>12966</v>
      </c>
      <c r="D96" s="2">
        <v>78.7</v>
      </c>
      <c r="E96" s="2">
        <v>-0.503</v>
      </c>
      <c r="F96" s="2">
        <v>10562</v>
      </c>
      <c r="G96" s="2">
        <v>8200</v>
      </c>
    </row>
    <row r="97" spans="1:7">
      <c r="A97" s="2" t="s">
        <v>66</v>
      </c>
      <c r="B97" s="3" t="s">
        <v>31</v>
      </c>
      <c r="C97" s="2">
        <v>6757</v>
      </c>
      <c r="D97" s="2">
        <v>78.7</v>
      </c>
      <c r="E97" s="2">
        <v>-0.498</v>
      </c>
      <c r="F97" s="2">
        <v>16529</v>
      </c>
      <c r="G97" s="2">
        <v>8190</v>
      </c>
    </row>
    <row r="98" spans="1:7">
      <c r="A98" s="2" t="s">
        <v>67</v>
      </c>
      <c r="B98" s="3" t="s">
        <v>8</v>
      </c>
      <c r="C98" s="2">
        <v>5306</v>
      </c>
      <c r="D98" s="2">
        <v>78.7</v>
      </c>
      <c r="E98" s="2">
        <v>-0.5</v>
      </c>
      <c r="F98" s="2">
        <v>17697</v>
      </c>
      <c r="G98" s="2">
        <v>8201</v>
      </c>
    </row>
    <row r="99" spans="1:7">
      <c r="A99" s="2" t="s">
        <v>67</v>
      </c>
      <c r="B99" s="3" t="s">
        <v>9</v>
      </c>
      <c r="C99" s="2">
        <v>4341</v>
      </c>
      <c r="D99" s="2">
        <v>78.400000000000006</v>
      </c>
      <c r="E99" s="2">
        <v>-0.505</v>
      </c>
      <c r="F99" s="2">
        <v>19059</v>
      </c>
      <c r="G99" s="2">
        <v>8191</v>
      </c>
    </row>
    <row r="100" spans="1:7">
      <c r="A100" s="2" t="s">
        <v>67</v>
      </c>
      <c r="B100" s="3" t="s">
        <v>10</v>
      </c>
      <c r="C100" s="2">
        <v>5316</v>
      </c>
      <c r="D100" s="2">
        <v>78.900000000000006</v>
      </c>
      <c r="E100" s="2">
        <v>-0.496</v>
      </c>
      <c r="F100" s="2">
        <v>17706</v>
      </c>
      <c r="G100" s="2">
        <v>8195</v>
      </c>
    </row>
    <row r="101" spans="1:7">
      <c r="A101" s="2" t="s">
        <v>67</v>
      </c>
      <c r="B101" s="3" t="s">
        <v>11</v>
      </c>
      <c r="C101" s="2">
        <v>7010</v>
      </c>
      <c r="D101" s="2">
        <v>78.599999999999994</v>
      </c>
      <c r="E101" s="2">
        <v>-0.502</v>
      </c>
      <c r="F101" s="2">
        <v>16181</v>
      </c>
      <c r="G101" s="2">
        <v>8192</v>
      </c>
    </row>
    <row r="102" spans="1:7">
      <c r="A102" s="2" t="s">
        <v>67</v>
      </c>
      <c r="B102" s="3" t="s">
        <v>12</v>
      </c>
      <c r="C102" s="2">
        <v>17977</v>
      </c>
      <c r="D102" s="2">
        <v>79.3</v>
      </c>
      <c r="E102" s="2">
        <v>-0.49399999999999999</v>
      </c>
      <c r="F102" s="2">
        <v>5574</v>
      </c>
      <c r="G102" s="2">
        <v>8199</v>
      </c>
    </row>
    <row r="103" spans="1:7">
      <c r="A103" s="2" t="s">
        <v>67</v>
      </c>
      <c r="B103" s="3" t="s">
        <v>13</v>
      </c>
      <c r="C103" s="2">
        <v>17522</v>
      </c>
      <c r="D103" s="2">
        <v>78.599999999999994</v>
      </c>
      <c r="E103" s="2">
        <v>-0.49399999999999999</v>
      </c>
      <c r="F103" s="2">
        <v>5549</v>
      </c>
      <c r="G103" s="2">
        <v>8200</v>
      </c>
    </row>
    <row r="104" spans="1:7">
      <c r="A104" s="2" t="s">
        <v>67</v>
      </c>
      <c r="B104" s="3" t="s">
        <v>14</v>
      </c>
      <c r="C104" s="2">
        <v>16349</v>
      </c>
      <c r="D104" s="2">
        <v>78.5</v>
      </c>
      <c r="E104" s="2">
        <v>-0.50600000000000001</v>
      </c>
      <c r="F104" s="2">
        <v>7063</v>
      </c>
      <c r="G104" s="2">
        <v>8202</v>
      </c>
    </row>
    <row r="105" spans="1:7">
      <c r="A105" s="2" t="s">
        <v>67</v>
      </c>
      <c r="B105" s="3" t="s">
        <v>15</v>
      </c>
      <c r="C105" s="2">
        <v>14218</v>
      </c>
      <c r="D105" s="2">
        <v>79.099999999999994</v>
      </c>
      <c r="E105" s="2">
        <v>-0.48199999999999998</v>
      </c>
      <c r="F105" s="2">
        <v>8452</v>
      </c>
      <c r="G105" s="2">
        <v>8179</v>
      </c>
    </row>
    <row r="106" spans="1:7">
      <c r="A106" s="2" t="s">
        <v>67</v>
      </c>
      <c r="B106" s="3" t="s">
        <v>16</v>
      </c>
      <c r="C106" s="2">
        <v>15017</v>
      </c>
      <c r="D106" s="2">
        <v>79</v>
      </c>
      <c r="E106" s="2">
        <v>-0.49099999999999999</v>
      </c>
      <c r="F106" s="2">
        <v>8650</v>
      </c>
      <c r="G106" s="2">
        <v>8201</v>
      </c>
    </row>
    <row r="107" spans="1:7">
      <c r="A107" s="2" t="s">
        <v>67</v>
      </c>
      <c r="B107" s="3" t="s">
        <v>17</v>
      </c>
      <c r="C107" s="2">
        <v>14953</v>
      </c>
      <c r="D107" s="2">
        <v>79.2</v>
      </c>
      <c r="E107" s="2">
        <v>-0.495</v>
      </c>
      <c r="F107" s="2">
        <v>8685</v>
      </c>
      <c r="G107" s="2">
        <v>8210</v>
      </c>
    </row>
    <row r="108" spans="1:7">
      <c r="A108" s="2" t="s">
        <v>67</v>
      </c>
      <c r="B108" s="3" t="s">
        <v>18</v>
      </c>
      <c r="C108" s="2">
        <v>15607</v>
      </c>
      <c r="D108" s="2">
        <v>79.2</v>
      </c>
      <c r="E108" s="2">
        <v>-0.48</v>
      </c>
      <c r="F108" s="2">
        <v>7162</v>
      </c>
      <c r="G108" s="2">
        <v>8191</v>
      </c>
    </row>
    <row r="109" spans="1:7">
      <c r="A109" s="2" t="s">
        <v>67</v>
      </c>
      <c r="B109" s="3" t="s">
        <v>19</v>
      </c>
      <c r="C109" s="2">
        <v>15029</v>
      </c>
      <c r="D109" s="2">
        <v>78.900000000000006</v>
      </c>
      <c r="E109" s="2">
        <v>-0.49199999999999999</v>
      </c>
      <c r="F109" s="2">
        <v>7681</v>
      </c>
      <c r="G109" s="2">
        <v>8197</v>
      </c>
    </row>
    <row r="110" spans="1:7">
      <c r="A110" s="2" t="s">
        <v>67</v>
      </c>
      <c r="B110" s="3" t="s">
        <v>20</v>
      </c>
      <c r="C110" s="2">
        <v>14684</v>
      </c>
      <c r="D110" s="2">
        <v>79.3</v>
      </c>
      <c r="E110" s="2">
        <v>-0.48799999999999999</v>
      </c>
      <c r="F110" s="2">
        <v>8416</v>
      </c>
      <c r="G110" s="2">
        <v>8205</v>
      </c>
    </row>
    <row r="111" spans="1:7">
      <c r="A111" s="2" t="s">
        <v>67</v>
      </c>
      <c r="B111" s="3" t="s">
        <v>21</v>
      </c>
      <c r="C111" s="2">
        <v>14464</v>
      </c>
      <c r="D111" s="2">
        <v>78.8</v>
      </c>
      <c r="E111" s="2">
        <v>-0.49399999999999999</v>
      </c>
      <c r="F111" s="2">
        <v>8465</v>
      </c>
      <c r="G111" s="2">
        <v>8199</v>
      </c>
    </row>
    <row r="112" spans="1:7">
      <c r="A112" s="2" t="s">
        <v>67</v>
      </c>
      <c r="B112" s="3" t="s">
        <v>22</v>
      </c>
      <c r="C112" s="2">
        <v>14125</v>
      </c>
      <c r="D112" s="2">
        <v>78.7</v>
      </c>
      <c r="E112" s="2">
        <v>-0.505</v>
      </c>
      <c r="F112" s="2">
        <v>9550</v>
      </c>
      <c r="G112" s="2">
        <v>8197</v>
      </c>
    </row>
    <row r="113" spans="1:7">
      <c r="A113" s="2" t="s">
        <v>67</v>
      </c>
      <c r="B113" s="3" t="s">
        <v>23</v>
      </c>
      <c r="C113" s="2">
        <v>14380</v>
      </c>
      <c r="D113" s="2">
        <v>79</v>
      </c>
      <c r="E113" s="2">
        <v>-0.48799999999999999</v>
      </c>
      <c r="F113" s="2">
        <v>8664</v>
      </c>
      <c r="G113" s="2">
        <v>8187</v>
      </c>
    </row>
    <row r="114" spans="1:7">
      <c r="A114" s="2" t="s">
        <v>67</v>
      </c>
      <c r="B114" s="3" t="s">
        <v>24</v>
      </c>
      <c r="C114" s="2">
        <v>14019</v>
      </c>
      <c r="D114" s="2">
        <v>78.900000000000006</v>
      </c>
      <c r="E114" s="2">
        <v>-0.49399999999999999</v>
      </c>
      <c r="F114" s="2">
        <v>9332</v>
      </c>
      <c r="G114" s="2">
        <v>8197</v>
      </c>
    </row>
    <row r="115" spans="1:7">
      <c r="A115" s="2" t="s">
        <v>67</v>
      </c>
      <c r="B115" s="3" t="s">
        <v>25</v>
      </c>
      <c r="C115" s="2">
        <v>14193</v>
      </c>
      <c r="D115" s="2">
        <v>78.900000000000006</v>
      </c>
      <c r="E115" s="2">
        <v>-0.496</v>
      </c>
      <c r="F115" s="2">
        <v>8752</v>
      </c>
      <c r="G115" s="2">
        <v>8193</v>
      </c>
    </row>
    <row r="116" spans="1:7">
      <c r="A116" s="2" t="s">
        <v>67</v>
      </c>
      <c r="B116" s="3" t="s">
        <v>26</v>
      </c>
      <c r="C116" s="2">
        <v>14863</v>
      </c>
      <c r="D116" s="2">
        <v>78.900000000000006</v>
      </c>
      <c r="E116" s="2">
        <v>-0.50600000000000001</v>
      </c>
      <c r="F116" s="2">
        <v>9196</v>
      </c>
      <c r="G116" s="2">
        <v>8205</v>
      </c>
    </row>
    <row r="117" spans="1:7">
      <c r="A117" s="2" t="s">
        <v>67</v>
      </c>
      <c r="B117" s="3" t="s">
        <v>27</v>
      </c>
      <c r="C117" s="2">
        <v>14287</v>
      </c>
      <c r="D117" s="2">
        <v>78.900000000000006</v>
      </c>
      <c r="E117" s="2">
        <v>-0.499</v>
      </c>
      <c r="F117" s="2">
        <v>9079</v>
      </c>
      <c r="G117" s="2">
        <v>8205</v>
      </c>
    </row>
    <row r="118" spans="1:7">
      <c r="A118" s="2" t="s">
        <v>67</v>
      </c>
      <c r="B118" s="3" t="s">
        <v>28</v>
      </c>
      <c r="C118" s="2">
        <v>14345</v>
      </c>
      <c r="D118" s="2">
        <v>78.900000000000006</v>
      </c>
      <c r="E118" s="2">
        <v>-0.498</v>
      </c>
      <c r="F118" s="2">
        <v>9214</v>
      </c>
      <c r="G118" s="2">
        <v>8201</v>
      </c>
    </row>
    <row r="119" spans="1:7">
      <c r="A119" s="2" t="s">
        <v>67</v>
      </c>
      <c r="B119" s="3" t="s">
        <v>29</v>
      </c>
      <c r="C119" s="2">
        <v>14530</v>
      </c>
      <c r="D119" s="2">
        <v>78.7</v>
      </c>
      <c r="E119" s="2">
        <v>-0.50700000000000001</v>
      </c>
      <c r="F119" s="2">
        <v>9396</v>
      </c>
      <c r="G119" s="2">
        <v>8192</v>
      </c>
    </row>
    <row r="120" spans="1:7">
      <c r="A120" s="2" t="s">
        <v>67</v>
      </c>
      <c r="B120" s="3" t="s">
        <v>30</v>
      </c>
      <c r="C120" s="2">
        <v>12652</v>
      </c>
      <c r="D120" s="2">
        <v>78.900000000000006</v>
      </c>
      <c r="E120" s="2">
        <v>-0.49399999999999999</v>
      </c>
      <c r="F120" s="2">
        <v>10348</v>
      </c>
      <c r="G120" s="2">
        <v>8207</v>
      </c>
    </row>
    <row r="121" spans="1:7">
      <c r="A121" s="2" t="s">
        <v>67</v>
      </c>
      <c r="B121" s="3" t="s">
        <v>31</v>
      </c>
      <c r="C121" s="2">
        <v>6839</v>
      </c>
      <c r="D121" s="2">
        <v>78.900000000000006</v>
      </c>
      <c r="E121" s="2">
        <v>-0.503</v>
      </c>
      <c r="F121" s="2">
        <v>16465</v>
      </c>
      <c r="G121" s="2">
        <v>8193</v>
      </c>
    </row>
    <row r="122" spans="1:7">
      <c r="A122" s="2" t="s">
        <v>68</v>
      </c>
      <c r="B122" s="3" t="s">
        <v>8</v>
      </c>
      <c r="C122" s="2">
        <v>5850</v>
      </c>
      <c r="D122" s="2">
        <v>79</v>
      </c>
      <c r="E122" s="2">
        <v>-0.50600000000000001</v>
      </c>
      <c r="F122" s="2">
        <v>17710</v>
      </c>
      <c r="G122" s="2">
        <v>8204</v>
      </c>
    </row>
    <row r="123" spans="1:7">
      <c r="A123" s="2" t="s">
        <v>68</v>
      </c>
      <c r="B123" s="3" t="s">
        <v>9</v>
      </c>
      <c r="C123" s="2">
        <v>6815</v>
      </c>
      <c r="D123" s="2">
        <v>78.900000000000006</v>
      </c>
      <c r="E123" s="2">
        <v>-0.50700000000000001</v>
      </c>
      <c r="F123" s="2">
        <v>17074</v>
      </c>
      <c r="G123" s="2">
        <v>8196</v>
      </c>
    </row>
    <row r="124" spans="1:7">
      <c r="A124" s="2" t="s">
        <v>68</v>
      </c>
      <c r="B124" s="3" t="s">
        <v>10</v>
      </c>
      <c r="C124" s="2">
        <v>7665</v>
      </c>
      <c r="D124" s="2">
        <v>79</v>
      </c>
      <c r="E124" s="2">
        <v>-0.50600000000000001</v>
      </c>
      <c r="F124" s="2">
        <v>15984</v>
      </c>
      <c r="G124" s="2">
        <v>8203</v>
      </c>
    </row>
    <row r="125" spans="1:7">
      <c r="A125" s="2" t="s">
        <v>68</v>
      </c>
      <c r="B125" s="3" t="s">
        <v>11</v>
      </c>
      <c r="C125" s="2">
        <v>8285</v>
      </c>
      <c r="D125" s="2">
        <v>78.7</v>
      </c>
      <c r="E125" s="2">
        <v>-0.50700000000000001</v>
      </c>
      <c r="F125" s="2">
        <v>15122</v>
      </c>
      <c r="G125" s="2">
        <v>8194</v>
      </c>
    </row>
    <row r="126" spans="1:7">
      <c r="A126" s="2" t="s">
        <v>68</v>
      </c>
      <c r="B126" s="3" t="s">
        <v>12</v>
      </c>
      <c r="C126" s="2">
        <v>14982</v>
      </c>
      <c r="D126" s="2">
        <v>78.900000000000006</v>
      </c>
      <c r="E126" s="2">
        <v>-0.502</v>
      </c>
      <c r="F126" s="2">
        <v>8152</v>
      </c>
      <c r="G126" s="2">
        <v>8198</v>
      </c>
    </row>
    <row r="127" spans="1:7">
      <c r="A127" s="2" t="s">
        <v>68</v>
      </c>
      <c r="B127" s="3" t="s">
        <v>13</v>
      </c>
      <c r="C127" s="2">
        <v>17117</v>
      </c>
      <c r="D127" s="2">
        <v>78.5</v>
      </c>
      <c r="E127" s="2">
        <v>-0.498</v>
      </c>
      <c r="F127" s="2">
        <v>5706</v>
      </c>
      <c r="G127" s="2">
        <v>8199</v>
      </c>
    </row>
    <row r="128" spans="1:7">
      <c r="A128" s="2" t="s">
        <v>68</v>
      </c>
      <c r="B128" s="3" t="s">
        <v>14</v>
      </c>
      <c r="C128" s="2">
        <v>17420</v>
      </c>
      <c r="D128" s="2">
        <v>79.3</v>
      </c>
      <c r="E128" s="2">
        <v>-0.503</v>
      </c>
      <c r="F128" s="2">
        <v>7432</v>
      </c>
      <c r="G128" s="2">
        <v>8203</v>
      </c>
    </row>
    <row r="129" spans="1:7">
      <c r="A129" s="2" t="s">
        <v>68</v>
      </c>
      <c r="B129" s="3" t="s">
        <v>15</v>
      </c>
      <c r="C129" s="2">
        <v>13147</v>
      </c>
      <c r="D129" s="2">
        <v>78.900000000000006</v>
      </c>
      <c r="E129" s="2">
        <v>-0.49399999999999999</v>
      </c>
      <c r="F129" s="2">
        <v>9601</v>
      </c>
      <c r="G129" s="2">
        <v>8201</v>
      </c>
    </row>
    <row r="130" spans="1:7">
      <c r="A130" s="2" t="s">
        <v>68</v>
      </c>
      <c r="B130" s="3" t="s">
        <v>16</v>
      </c>
      <c r="C130" s="2">
        <v>14008</v>
      </c>
      <c r="D130" s="2">
        <v>78.900000000000006</v>
      </c>
      <c r="E130" s="2">
        <v>-0.503</v>
      </c>
      <c r="F130" s="2">
        <v>9776</v>
      </c>
      <c r="G130" s="2">
        <v>8206</v>
      </c>
    </row>
    <row r="131" spans="1:7">
      <c r="A131" s="2" t="s">
        <v>68</v>
      </c>
      <c r="B131" s="3" t="s">
        <v>17</v>
      </c>
      <c r="C131" s="2">
        <v>13906</v>
      </c>
      <c r="D131" s="2">
        <v>78.900000000000006</v>
      </c>
      <c r="E131" s="2">
        <v>-0.49099999999999999</v>
      </c>
      <c r="F131" s="2">
        <v>8922</v>
      </c>
      <c r="G131" s="2">
        <v>8199</v>
      </c>
    </row>
    <row r="132" spans="1:7">
      <c r="A132" s="2" t="s">
        <v>68</v>
      </c>
      <c r="B132" s="3" t="s">
        <v>18</v>
      </c>
      <c r="C132" s="2">
        <v>15368</v>
      </c>
      <c r="D132" s="2">
        <v>79</v>
      </c>
      <c r="E132" s="2">
        <v>-0.498</v>
      </c>
      <c r="F132" s="2">
        <v>8246</v>
      </c>
      <c r="G132" s="2">
        <v>8198</v>
      </c>
    </row>
    <row r="133" spans="1:7">
      <c r="A133" s="2" t="s">
        <v>68</v>
      </c>
      <c r="B133" s="3" t="s">
        <v>19</v>
      </c>
      <c r="C133" s="2">
        <v>14348</v>
      </c>
      <c r="D133" s="2">
        <v>78.2</v>
      </c>
      <c r="E133" s="2">
        <v>-0.50600000000000001</v>
      </c>
      <c r="F133" s="2">
        <v>8313</v>
      </c>
      <c r="G133" s="2">
        <v>8188</v>
      </c>
    </row>
    <row r="134" spans="1:7">
      <c r="A134" s="2" t="s">
        <v>68</v>
      </c>
      <c r="B134" s="3" t="s">
        <v>20</v>
      </c>
      <c r="C134" s="2">
        <v>14484</v>
      </c>
      <c r="D134" s="2">
        <v>78.900000000000006</v>
      </c>
      <c r="E134" s="2">
        <v>-0.501</v>
      </c>
      <c r="F134" s="2">
        <v>9311</v>
      </c>
      <c r="G134" s="2">
        <v>8205</v>
      </c>
    </row>
    <row r="135" spans="1:7">
      <c r="A135" s="2" t="s">
        <v>68</v>
      </c>
      <c r="B135" s="3" t="s">
        <v>21</v>
      </c>
      <c r="C135" s="2">
        <v>14810</v>
      </c>
      <c r="D135" s="2">
        <v>78.5</v>
      </c>
      <c r="E135" s="2">
        <v>-0.505</v>
      </c>
      <c r="F135" s="2">
        <v>8452</v>
      </c>
      <c r="G135" s="2">
        <v>8190</v>
      </c>
    </row>
    <row r="136" spans="1:7">
      <c r="A136" s="2" t="s">
        <v>68</v>
      </c>
      <c r="B136" s="3" t="s">
        <v>22</v>
      </c>
      <c r="C136" s="2">
        <v>14540</v>
      </c>
      <c r="D136" s="2">
        <v>78.5</v>
      </c>
      <c r="E136" s="2">
        <v>-0.50700000000000001</v>
      </c>
      <c r="F136" s="2">
        <v>8686</v>
      </c>
      <c r="G136" s="2">
        <v>8200</v>
      </c>
    </row>
    <row r="137" spans="1:7">
      <c r="A137" s="2" t="s">
        <v>68</v>
      </c>
      <c r="B137" s="3" t="s">
        <v>23</v>
      </c>
      <c r="C137" s="2">
        <v>14253</v>
      </c>
      <c r="D137" s="2">
        <v>78.900000000000006</v>
      </c>
      <c r="E137" s="2">
        <v>-0.497</v>
      </c>
      <c r="F137" s="2">
        <v>8858</v>
      </c>
      <c r="G137" s="2">
        <v>8199</v>
      </c>
    </row>
    <row r="138" spans="1:7">
      <c r="A138" s="2" t="s">
        <v>68</v>
      </c>
      <c r="B138" s="3" t="s">
        <v>24</v>
      </c>
      <c r="C138" s="2">
        <v>14875</v>
      </c>
      <c r="D138" s="2">
        <v>79.400000000000006</v>
      </c>
      <c r="E138" s="2">
        <v>-0.49199999999999999</v>
      </c>
      <c r="F138" s="2">
        <v>8923</v>
      </c>
      <c r="G138" s="2">
        <v>8193</v>
      </c>
    </row>
    <row r="139" spans="1:7">
      <c r="A139" s="2" t="s">
        <v>68</v>
      </c>
      <c r="B139" s="3" t="s">
        <v>25</v>
      </c>
      <c r="C139" s="2">
        <v>14453</v>
      </c>
      <c r="D139" s="2">
        <v>78.900000000000006</v>
      </c>
      <c r="E139" s="2">
        <v>-0.49199999999999999</v>
      </c>
      <c r="F139" s="2">
        <v>8806</v>
      </c>
      <c r="G139" s="2">
        <v>8199</v>
      </c>
    </row>
    <row r="140" spans="1:7">
      <c r="A140" s="2" t="s">
        <v>68</v>
      </c>
      <c r="B140" s="3" t="s">
        <v>26</v>
      </c>
      <c r="C140" s="2">
        <v>14310</v>
      </c>
      <c r="D140" s="2">
        <v>78.900000000000006</v>
      </c>
      <c r="E140" s="2">
        <v>-0.496</v>
      </c>
      <c r="F140" s="2">
        <v>9285</v>
      </c>
      <c r="G140" s="2">
        <v>8125</v>
      </c>
    </row>
    <row r="141" spans="1:7">
      <c r="A141" s="2" t="s">
        <v>68</v>
      </c>
      <c r="B141" s="3" t="s">
        <v>27</v>
      </c>
      <c r="C141" s="2">
        <v>14412</v>
      </c>
      <c r="D141" s="2">
        <v>78.8</v>
      </c>
      <c r="E141" s="2">
        <v>-0.496</v>
      </c>
      <c r="F141" s="2">
        <v>8228</v>
      </c>
      <c r="G141" s="2">
        <v>8197</v>
      </c>
    </row>
    <row r="142" spans="1:7">
      <c r="A142" s="2" t="s">
        <v>68</v>
      </c>
      <c r="B142" s="3" t="s">
        <v>28</v>
      </c>
      <c r="C142" s="2">
        <v>15095</v>
      </c>
      <c r="D142" s="2">
        <v>79.3</v>
      </c>
      <c r="E142" s="2">
        <v>-0.48799999999999999</v>
      </c>
      <c r="F142" s="2">
        <v>7812</v>
      </c>
      <c r="G142" s="2">
        <v>8181</v>
      </c>
    </row>
    <row r="143" spans="1:7">
      <c r="A143" s="2" t="s">
        <v>68</v>
      </c>
      <c r="B143" s="3" t="s">
        <v>29</v>
      </c>
      <c r="C143" s="2">
        <v>15251</v>
      </c>
      <c r="D143" s="2">
        <v>79.099999999999994</v>
      </c>
      <c r="E143" s="2">
        <v>-0.49399999999999999</v>
      </c>
      <c r="F143" s="2">
        <v>8435</v>
      </c>
      <c r="G143" s="2">
        <v>8177</v>
      </c>
    </row>
    <row r="144" spans="1:7">
      <c r="A144" s="2" t="s">
        <v>68</v>
      </c>
      <c r="B144" s="3" t="s">
        <v>30</v>
      </c>
      <c r="C144" s="2">
        <v>13219</v>
      </c>
      <c r="D144" s="2">
        <v>78.7</v>
      </c>
      <c r="E144" s="2">
        <v>-0.5</v>
      </c>
      <c r="F144" s="2">
        <v>10460</v>
      </c>
      <c r="G144" s="2">
        <v>8203</v>
      </c>
    </row>
    <row r="145" spans="1:7">
      <c r="A145" s="2" t="s">
        <v>68</v>
      </c>
      <c r="B145" s="3" t="s">
        <v>31</v>
      </c>
      <c r="C145" s="2">
        <v>7041</v>
      </c>
      <c r="D145" s="2">
        <v>79.099999999999994</v>
      </c>
      <c r="E145" s="2">
        <v>-0.499</v>
      </c>
      <c r="F145" s="2">
        <v>16619</v>
      </c>
      <c r="G145" s="2">
        <v>8188</v>
      </c>
    </row>
    <row r="146" spans="1:7">
      <c r="A146" s="2" t="s">
        <v>69</v>
      </c>
      <c r="B146" s="3" t="s">
        <v>8</v>
      </c>
      <c r="C146" s="2">
        <v>5996</v>
      </c>
      <c r="D146" s="2">
        <v>79</v>
      </c>
      <c r="E146" s="2">
        <v>-0.5</v>
      </c>
      <c r="F146" s="2">
        <v>16943</v>
      </c>
      <c r="G146" s="2">
        <v>8199</v>
      </c>
    </row>
    <row r="147" spans="1:7">
      <c r="A147" s="2" t="s">
        <v>69</v>
      </c>
      <c r="B147" s="3" t="s">
        <v>9</v>
      </c>
      <c r="C147" s="2">
        <v>6456</v>
      </c>
      <c r="D147" s="2">
        <v>78.8</v>
      </c>
      <c r="E147" s="2">
        <v>-0.50900000000000001</v>
      </c>
      <c r="F147" s="2">
        <v>16931</v>
      </c>
      <c r="G147" s="2">
        <v>8196</v>
      </c>
    </row>
    <row r="148" spans="1:7">
      <c r="A148" s="2" t="s">
        <v>69</v>
      </c>
      <c r="B148" s="3" t="s">
        <v>10</v>
      </c>
      <c r="C148" s="2">
        <v>7509</v>
      </c>
      <c r="D148" s="2">
        <v>78.8</v>
      </c>
      <c r="E148" s="2">
        <v>-0.50900000000000001</v>
      </c>
      <c r="F148" s="2">
        <v>16018</v>
      </c>
      <c r="G148" s="2">
        <v>8195</v>
      </c>
    </row>
    <row r="149" spans="1:7">
      <c r="A149" s="2" t="s">
        <v>69</v>
      </c>
      <c r="B149" s="3" t="s">
        <v>11</v>
      </c>
      <c r="C149" s="2">
        <v>8742</v>
      </c>
      <c r="D149" s="2">
        <v>79.599999999999994</v>
      </c>
      <c r="E149" s="2">
        <v>-0.498</v>
      </c>
      <c r="F149" s="2">
        <v>14910</v>
      </c>
      <c r="G149" s="2">
        <v>8194</v>
      </c>
    </row>
    <row r="150" spans="1:7">
      <c r="A150" s="2" t="s">
        <v>69</v>
      </c>
      <c r="B150" s="3" t="s">
        <v>12</v>
      </c>
      <c r="C150" s="2">
        <v>16195</v>
      </c>
      <c r="D150" s="2">
        <v>79</v>
      </c>
      <c r="E150" s="2">
        <v>-0.49399999999999999</v>
      </c>
      <c r="F150" s="2">
        <v>7062</v>
      </c>
      <c r="G150" s="2">
        <v>8200</v>
      </c>
    </row>
    <row r="151" spans="1:7">
      <c r="A151" s="2" t="s">
        <v>69</v>
      </c>
      <c r="B151" s="3" t="s">
        <v>13</v>
      </c>
      <c r="C151" s="2">
        <v>17414</v>
      </c>
      <c r="D151" s="2">
        <v>78.8</v>
      </c>
      <c r="E151" s="2">
        <v>-0.499</v>
      </c>
      <c r="F151" s="2">
        <v>5799</v>
      </c>
      <c r="G151" s="2">
        <v>8203</v>
      </c>
    </row>
    <row r="152" spans="1:7">
      <c r="A152" s="2" t="s">
        <v>69</v>
      </c>
      <c r="B152" s="3" t="s">
        <v>14</v>
      </c>
      <c r="C152" s="2">
        <v>17793</v>
      </c>
      <c r="D152" s="2">
        <v>79.099999999999994</v>
      </c>
      <c r="E152" s="2">
        <v>-0.49399999999999999</v>
      </c>
      <c r="F152" s="2">
        <v>5911</v>
      </c>
      <c r="G152" s="2">
        <v>8196</v>
      </c>
    </row>
    <row r="153" spans="1:7">
      <c r="A153" s="2" t="s">
        <v>69</v>
      </c>
      <c r="B153" s="3" t="s">
        <v>15</v>
      </c>
      <c r="C153" s="2">
        <v>13955</v>
      </c>
      <c r="D153" s="2">
        <v>78.900000000000006</v>
      </c>
      <c r="E153" s="2">
        <v>-0.502</v>
      </c>
      <c r="F153" s="2">
        <v>9815</v>
      </c>
      <c r="G153" s="2">
        <v>8189</v>
      </c>
    </row>
    <row r="154" spans="1:7">
      <c r="A154" s="2" t="s">
        <v>69</v>
      </c>
      <c r="B154" s="3" t="s">
        <v>16</v>
      </c>
      <c r="C154" s="2">
        <v>14986</v>
      </c>
      <c r="D154" s="2">
        <v>79.400000000000006</v>
      </c>
      <c r="E154" s="2">
        <v>-0.48799999999999999</v>
      </c>
      <c r="F154" s="2">
        <v>7952</v>
      </c>
      <c r="G154" s="2">
        <v>8207</v>
      </c>
    </row>
    <row r="155" spans="1:7">
      <c r="A155" s="2" t="s">
        <v>69</v>
      </c>
      <c r="B155" s="3" t="s">
        <v>17</v>
      </c>
      <c r="C155" s="2">
        <v>14412</v>
      </c>
      <c r="D155" s="2">
        <v>79.2</v>
      </c>
      <c r="E155" s="2">
        <v>-0.497</v>
      </c>
      <c r="F155" s="2">
        <v>8978</v>
      </c>
      <c r="G155" s="2">
        <v>8204</v>
      </c>
    </row>
    <row r="156" spans="1:7">
      <c r="A156" s="2" t="s">
        <v>69</v>
      </c>
      <c r="B156" s="3" t="s">
        <v>18</v>
      </c>
      <c r="C156" s="2">
        <v>15780</v>
      </c>
      <c r="D156" s="2">
        <v>79.2</v>
      </c>
      <c r="E156" s="2">
        <v>-0.49099999999999999</v>
      </c>
      <c r="F156" s="2">
        <v>7000</v>
      </c>
      <c r="G156" s="2">
        <v>8200</v>
      </c>
    </row>
    <row r="157" spans="1:7">
      <c r="A157" s="2" t="s">
        <v>69</v>
      </c>
      <c r="B157" s="3" t="s">
        <v>19</v>
      </c>
      <c r="C157" s="2">
        <v>14913</v>
      </c>
      <c r="D157" s="2">
        <v>78.900000000000006</v>
      </c>
      <c r="E157" s="2">
        <v>-0.49099999999999999</v>
      </c>
      <c r="F157" s="2">
        <v>7824</v>
      </c>
      <c r="G157" s="2">
        <v>8196</v>
      </c>
    </row>
    <row r="158" spans="1:7">
      <c r="A158" s="2" t="s">
        <v>69</v>
      </c>
      <c r="B158" s="3" t="s">
        <v>20</v>
      </c>
      <c r="C158" s="2">
        <v>15701</v>
      </c>
      <c r="D158" s="2">
        <v>79.599999999999994</v>
      </c>
      <c r="E158" s="2">
        <v>-0.48699999999999999</v>
      </c>
      <c r="F158" s="2">
        <v>7527</v>
      </c>
      <c r="G158" s="2">
        <v>8176</v>
      </c>
    </row>
    <row r="159" spans="1:7">
      <c r="A159" s="2" t="s">
        <v>69</v>
      </c>
      <c r="B159" s="3" t="s">
        <v>21</v>
      </c>
      <c r="C159" s="2">
        <v>15939</v>
      </c>
      <c r="D159" s="2">
        <v>79.5</v>
      </c>
      <c r="E159" s="2">
        <v>-0.47899999999999998</v>
      </c>
      <c r="F159" s="2">
        <v>6651</v>
      </c>
      <c r="G159" s="2">
        <v>8197</v>
      </c>
    </row>
    <row r="160" spans="1:7">
      <c r="A160" s="2" t="s">
        <v>69</v>
      </c>
      <c r="B160" s="3" t="s">
        <v>22</v>
      </c>
      <c r="C160" s="2">
        <v>15196</v>
      </c>
      <c r="D160" s="2">
        <v>79.599999999999994</v>
      </c>
      <c r="E160" s="2">
        <v>-0.48699999999999999</v>
      </c>
      <c r="F160" s="2">
        <v>8229</v>
      </c>
      <c r="G160" s="2">
        <v>8194</v>
      </c>
    </row>
    <row r="161" spans="1:7">
      <c r="A161" s="2" t="s">
        <v>69</v>
      </c>
      <c r="B161" s="3" t="s">
        <v>23</v>
      </c>
      <c r="C161" s="2">
        <v>14996</v>
      </c>
      <c r="D161" s="2">
        <v>79.599999999999994</v>
      </c>
      <c r="E161" s="2">
        <v>-0.495</v>
      </c>
      <c r="F161" s="2">
        <v>7981</v>
      </c>
      <c r="G161" s="2">
        <v>7950</v>
      </c>
    </row>
    <row r="162" spans="1:7">
      <c r="A162" s="2" t="s">
        <v>69</v>
      </c>
      <c r="B162" s="3" t="s">
        <v>24</v>
      </c>
      <c r="C162" s="2">
        <v>15407</v>
      </c>
      <c r="D162" s="2">
        <v>79.7</v>
      </c>
      <c r="E162" s="2">
        <v>-0.48799999999999999</v>
      </c>
      <c r="F162" s="2">
        <v>7743</v>
      </c>
      <c r="G162" s="2">
        <v>8214</v>
      </c>
    </row>
    <row r="163" spans="1:7">
      <c r="A163" s="2" t="s">
        <v>69</v>
      </c>
      <c r="B163" s="3" t="s">
        <v>25</v>
      </c>
      <c r="C163" s="2">
        <v>15266</v>
      </c>
      <c r="D163" s="2">
        <v>79.599999999999994</v>
      </c>
      <c r="E163" s="2">
        <v>-0.48699999999999999</v>
      </c>
      <c r="F163" s="2">
        <v>7736</v>
      </c>
      <c r="G163" s="2">
        <v>8198</v>
      </c>
    </row>
    <row r="164" spans="1:7">
      <c r="A164" s="2" t="s">
        <v>69</v>
      </c>
      <c r="B164" s="3" t="s">
        <v>26</v>
      </c>
      <c r="C164" s="2">
        <v>16096</v>
      </c>
      <c r="D164" s="2">
        <v>79.7</v>
      </c>
      <c r="E164" s="2">
        <v>-0.49</v>
      </c>
      <c r="F164" s="2">
        <v>7201</v>
      </c>
      <c r="G164" s="2">
        <v>8201</v>
      </c>
    </row>
    <row r="165" spans="1:7">
      <c r="A165" s="2" t="s">
        <v>69</v>
      </c>
      <c r="B165" s="3" t="s">
        <v>27</v>
      </c>
      <c r="C165" s="2">
        <v>16098</v>
      </c>
      <c r="D165" s="2">
        <v>79.7</v>
      </c>
      <c r="E165" s="2">
        <v>-0.48699999999999999</v>
      </c>
      <c r="F165" s="2">
        <v>7570</v>
      </c>
      <c r="G165" s="2">
        <v>8197</v>
      </c>
    </row>
    <row r="166" spans="1:7">
      <c r="A166" s="2" t="s">
        <v>69</v>
      </c>
      <c r="B166" s="3" t="s">
        <v>28</v>
      </c>
      <c r="C166" s="2">
        <v>15971</v>
      </c>
      <c r="D166" s="2">
        <v>79.7</v>
      </c>
      <c r="E166" s="2">
        <v>-0.48899999999999999</v>
      </c>
      <c r="F166" s="2">
        <v>7204</v>
      </c>
      <c r="G166" s="2">
        <v>8188</v>
      </c>
    </row>
    <row r="167" spans="1:7">
      <c r="A167" s="2" t="s">
        <v>69</v>
      </c>
      <c r="B167" s="3" t="s">
        <v>29</v>
      </c>
      <c r="C167" s="2">
        <v>15323</v>
      </c>
      <c r="D167" s="2">
        <v>79.400000000000006</v>
      </c>
      <c r="E167" s="2">
        <v>-0.48899999999999999</v>
      </c>
      <c r="F167" s="2">
        <v>6887</v>
      </c>
      <c r="G167" s="2">
        <v>8088</v>
      </c>
    </row>
    <row r="168" spans="1:7">
      <c r="A168" s="2" t="s">
        <v>69</v>
      </c>
      <c r="B168" s="3" t="s">
        <v>30</v>
      </c>
      <c r="C168" s="2">
        <v>15005</v>
      </c>
      <c r="D168" s="2">
        <v>79.8</v>
      </c>
      <c r="E168" s="2">
        <v>-0.48799999999999999</v>
      </c>
      <c r="F168" s="2">
        <v>7958</v>
      </c>
      <c r="G168" s="2">
        <v>8201</v>
      </c>
    </row>
    <row r="169" spans="1:7">
      <c r="A169" s="2" t="s">
        <v>69</v>
      </c>
      <c r="B169" s="3" t="s">
        <v>31</v>
      </c>
      <c r="C169" s="2">
        <v>7720</v>
      </c>
      <c r="D169" s="2">
        <v>79.8</v>
      </c>
      <c r="E169" s="2">
        <v>-0.48699999999999999</v>
      </c>
      <c r="F169" s="2">
        <v>15905</v>
      </c>
      <c r="G169" s="2">
        <v>8199</v>
      </c>
    </row>
    <row r="170" spans="1:7">
      <c r="A170" s="2" t="s">
        <v>70</v>
      </c>
      <c r="B170" s="3" t="s">
        <v>8</v>
      </c>
      <c r="C170" s="2">
        <v>7333</v>
      </c>
      <c r="D170" s="2">
        <v>80.2</v>
      </c>
      <c r="E170" s="2">
        <v>-0.49</v>
      </c>
      <c r="F170" s="2">
        <v>16234</v>
      </c>
      <c r="G170" s="2">
        <v>8198</v>
      </c>
    </row>
    <row r="171" spans="1:7">
      <c r="A171" s="2" t="s">
        <v>70</v>
      </c>
      <c r="B171" s="3" t="s">
        <v>9</v>
      </c>
      <c r="C171" s="2">
        <v>7972</v>
      </c>
      <c r="D171" s="2">
        <v>80.099999999999994</v>
      </c>
      <c r="E171" s="2">
        <v>-0.49099999999999999</v>
      </c>
      <c r="F171" s="2">
        <v>15866</v>
      </c>
      <c r="G171" s="2">
        <v>8200</v>
      </c>
    </row>
    <row r="172" spans="1:7">
      <c r="A172" s="2" t="s">
        <v>70</v>
      </c>
      <c r="B172" s="3" t="s">
        <v>10</v>
      </c>
      <c r="C172" s="2">
        <v>9571</v>
      </c>
      <c r="D172" s="2">
        <v>80</v>
      </c>
      <c r="E172" s="2">
        <v>-0.48799999999999999</v>
      </c>
      <c r="F172" s="2">
        <v>13822</v>
      </c>
      <c r="G172" s="2">
        <v>8205</v>
      </c>
    </row>
    <row r="173" spans="1:7">
      <c r="A173" s="2" t="s">
        <v>70</v>
      </c>
      <c r="B173" s="3" t="s">
        <v>11</v>
      </c>
      <c r="C173" s="2">
        <v>10365</v>
      </c>
      <c r="D173" s="2">
        <v>80.3</v>
      </c>
      <c r="E173" s="2">
        <v>-0.48299999999999998</v>
      </c>
      <c r="F173" s="2">
        <v>12740</v>
      </c>
      <c r="G173" s="2">
        <v>8198</v>
      </c>
    </row>
    <row r="174" spans="1:7">
      <c r="A174" s="2" t="s">
        <v>70</v>
      </c>
      <c r="B174" s="3" t="s">
        <v>12</v>
      </c>
      <c r="C174" s="2">
        <v>18710</v>
      </c>
      <c r="D174" s="2">
        <v>79.8</v>
      </c>
      <c r="E174" s="2">
        <v>-0.48399999999999999</v>
      </c>
      <c r="F174" s="2">
        <v>4612</v>
      </c>
      <c r="G174" s="2">
        <v>8174</v>
      </c>
    </row>
    <row r="175" spans="1:7">
      <c r="A175" s="2" t="s">
        <v>70</v>
      </c>
      <c r="B175" s="3" t="s">
        <v>13</v>
      </c>
      <c r="C175" s="2">
        <v>18789</v>
      </c>
      <c r="D175" s="2">
        <v>79.8</v>
      </c>
      <c r="E175" s="2">
        <v>-0.48799999999999999</v>
      </c>
      <c r="F175" s="2">
        <v>4531</v>
      </c>
      <c r="G175" s="2">
        <v>8207</v>
      </c>
    </row>
    <row r="176" spans="1:7">
      <c r="A176" s="2" t="s">
        <v>70</v>
      </c>
      <c r="B176" s="3" t="s">
        <v>14</v>
      </c>
      <c r="C176" s="2">
        <v>18595</v>
      </c>
      <c r="D176" s="2">
        <v>80.099999999999994</v>
      </c>
      <c r="E176" s="2">
        <v>-0.47899999999999998</v>
      </c>
      <c r="F176" s="2">
        <v>4733</v>
      </c>
      <c r="G176" s="2">
        <v>8207</v>
      </c>
    </row>
    <row r="177" spans="1:7">
      <c r="A177" s="2" t="s">
        <v>70</v>
      </c>
      <c r="B177" s="3" t="s">
        <v>15</v>
      </c>
      <c r="C177" s="2">
        <v>15627</v>
      </c>
      <c r="D177" s="2">
        <v>79.8</v>
      </c>
      <c r="E177" s="2">
        <v>-0.48799999999999999</v>
      </c>
      <c r="F177" s="2">
        <v>8107</v>
      </c>
      <c r="G177" s="2">
        <v>8197</v>
      </c>
    </row>
    <row r="178" spans="1:7">
      <c r="A178" s="2" t="s">
        <v>70</v>
      </c>
      <c r="B178" s="3" t="s">
        <v>16</v>
      </c>
      <c r="C178" s="2">
        <v>16009</v>
      </c>
      <c r="D178" s="2">
        <v>80</v>
      </c>
      <c r="E178" s="2">
        <v>-0.48499999999999999</v>
      </c>
      <c r="F178" s="2">
        <v>8064</v>
      </c>
      <c r="G178" s="2">
        <v>8209</v>
      </c>
    </row>
    <row r="179" spans="1:7">
      <c r="A179" s="2" t="s">
        <v>70</v>
      </c>
      <c r="B179" s="3" t="s">
        <v>17</v>
      </c>
      <c r="C179" s="2">
        <v>15815</v>
      </c>
      <c r="D179" s="2">
        <v>79.8</v>
      </c>
      <c r="E179" s="2">
        <v>-0.48899999999999999</v>
      </c>
      <c r="F179" s="2">
        <v>7723</v>
      </c>
      <c r="G179" s="2">
        <v>8192</v>
      </c>
    </row>
    <row r="180" spans="1:7">
      <c r="A180" s="2" t="s">
        <v>70</v>
      </c>
      <c r="B180" s="3" t="s">
        <v>18</v>
      </c>
      <c r="C180" s="2">
        <v>16103</v>
      </c>
      <c r="D180" s="2">
        <v>79.5</v>
      </c>
      <c r="E180" s="2">
        <v>-0.49199999999999999</v>
      </c>
      <c r="F180" s="2">
        <v>7384</v>
      </c>
      <c r="G180" s="2">
        <v>8183</v>
      </c>
    </row>
    <row r="181" spans="1:7">
      <c r="A181" s="2" t="s">
        <v>70</v>
      </c>
      <c r="B181" s="3" t="s">
        <v>19</v>
      </c>
      <c r="C181" s="2">
        <v>16196</v>
      </c>
      <c r="D181" s="2">
        <v>79.599999999999994</v>
      </c>
      <c r="E181" s="2">
        <v>-0.49</v>
      </c>
      <c r="F181" s="2">
        <v>6819</v>
      </c>
      <c r="G181" s="2">
        <v>8206</v>
      </c>
    </row>
    <row r="182" spans="1:7">
      <c r="A182" s="2" t="s">
        <v>70</v>
      </c>
      <c r="B182" s="3" t="s">
        <v>20</v>
      </c>
      <c r="C182" s="2">
        <v>15339</v>
      </c>
      <c r="D182" s="2">
        <v>79.400000000000006</v>
      </c>
      <c r="E182" s="2">
        <v>-0.49099999999999999</v>
      </c>
      <c r="F182" s="2">
        <v>8113</v>
      </c>
      <c r="G182" s="2">
        <v>8207</v>
      </c>
    </row>
    <row r="183" spans="1:7">
      <c r="A183" s="2" t="s">
        <v>70</v>
      </c>
      <c r="B183" s="3" t="s">
        <v>21</v>
      </c>
      <c r="C183" s="2">
        <v>14758</v>
      </c>
      <c r="D183" s="2">
        <v>79.2</v>
      </c>
      <c r="E183" s="2">
        <v>-0.49399999999999999</v>
      </c>
      <c r="F183" s="2">
        <v>7877</v>
      </c>
      <c r="G183" s="2">
        <v>8201</v>
      </c>
    </row>
    <row r="184" spans="1:7">
      <c r="A184" s="2" t="s">
        <v>70</v>
      </c>
      <c r="B184" s="3" t="s">
        <v>22</v>
      </c>
      <c r="C184" s="2">
        <v>15125</v>
      </c>
      <c r="D184" s="2">
        <v>79.5</v>
      </c>
      <c r="E184" s="2">
        <v>-0.49</v>
      </c>
      <c r="F184" s="2">
        <v>8412</v>
      </c>
      <c r="G184" s="2">
        <v>8142</v>
      </c>
    </row>
    <row r="185" spans="1:7">
      <c r="A185" s="2" t="s">
        <v>70</v>
      </c>
      <c r="B185" s="3" t="s">
        <v>23</v>
      </c>
      <c r="C185" s="2">
        <v>15102</v>
      </c>
      <c r="D185" s="2">
        <v>79.7</v>
      </c>
      <c r="E185" s="2">
        <v>-0.47899999999999998</v>
      </c>
      <c r="F185" s="2">
        <v>7985</v>
      </c>
      <c r="G185" s="2">
        <v>8203</v>
      </c>
    </row>
    <row r="186" spans="1:7">
      <c r="A186" s="2" t="s">
        <v>70</v>
      </c>
      <c r="B186" s="3" t="s">
        <v>24</v>
      </c>
      <c r="C186" s="2">
        <v>15198</v>
      </c>
      <c r="D186" s="2">
        <v>79.400000000000006</v>
      </c>
      <c r="E186" s="2">
        <v>-0.48</v>
      </c>
      <c r="F186" s="2">
        <v>7256</v>
      </c>
      <c r="G186" s="2">
        <v>8194</v>
      </c>
    </row>
    <row r="187" spans="1:7">
      <c r="A187" s="2" t="s">
        <v>70</v>
      </c>
      <c r="B187" s="3" t="s">
        <v>25</v>
      </c>
      <c r="C187" s="2">
        <v>15418</v>
      </c>
      <c r="D187" s="2">
        <v>79.099999999999994</v>
      </c>
      <c r="E187" s="2">
        <v>-0.48399999999999999</v>
      </c>
      <c r="F187" s="2">
        <v>7586</v>
      </c>
      <c r="G187" s="2">
        <v>8194</v>
      </c>
    </row>
    <row r="188" spans="1:7">
      <c r="A188" s="2" t="s">
        <v>70</v>
      </c>
      <c r="B188" s="3" t="s">
        <v>26</v>
      </c>
      <c r="C188" s="2">
        <v>16231</v>
      </c>
      <c r="D188" s="2">
        <v>79.7</v>
      </c>
      <c r="E188" s="2">
        <v>-0.47799999999999998</v>
      </c>
      <c r="F188" s="2">
        <v>6699</v>
      </c>
      <c r="G188" s="2">
        <v>8010</v>
      </c>
    </row>
    <row r="189" spans="1:7">
      <c r="A189" s="2" t="s">
        <v>70</v>
      </c>
      <c r="B189" s="3" t="s">
        <v>27</v>
      </c>
      <c r="C189" s="2">
        <v>16827</v>
      </c>
      <c r="D189" s="2">
        <v>79.900000000000006</v>
      </c>
      <c r="E189" s="2">
        <v>-0.47599999999999998</v>
      </c>
      <c r="F189" s="2">
        <v>6399</v>
      </c>
      <c r="G189" s="2">
        <v>8189</v>
      </c>
    </row>
    <row r="190" spans="1:7">
      <c r="A190" s="2" t="s">
        <v>70</v>
      </c>
      <c r="B190" s="3" t="s">
        <v>28</v>
      </c>
      <c r="C190" s="2">
        <v>16175</v>
      </c>
      <c r="D190" s="2">
        <v>79.400000000000006</v>
      </c>
      <c r="E190" s="2">
        <v>-0.48899999999999999</v>
      </c>
      <c r="F190" s="2">
        <v>6444</v>
      </c>
      <c r="G190" s="2">
        <v>8199</v>
      </c>
    </row>
    <row r="191" spans="1:7">
      <c r="A191" s="2" t="s">
        <v>70</v>
      </c>
      <c r="B191" s="3" t="s">
        <v>29</v>
      </c>
      <c r="C191" s="2">
        <v>16342</v>
      </c>
      <c r="D191" s="2">
        <v>79.900000000000006</v>
      </c>
      <c r="E191" s="2">
        <v>-0.48499999999999999</v>
      </c>
      <c r="F191" s="2">
        <v>7608</v>
      </c>
      <c r="G191" s="2">
        <v>8191</v>
      </c>
    </row>
    <row r="192" spans="1:7">
      <c r="A192" s="2" t="s">
        <v>70</v>
      </c>
      <c r="B192" s="3" t="s">
        <v>30</v>
      </c>
      <c r="C192" s="2">
        <v>15104</v>
      </c>
      <c r="D192" s="2">
        <v>79.900000000000006</v>
      </c>
      <c r="E192" s="2">
        <v>-0.48299999999999998</v>
      </c>
      <c r="F192" s="2">
        <v>8645</v>
      </c>
      <c r="G192" s="2">
        <v>8200</v>
      </c>
    </row>
    <row r="193" spans="1:7">
      <c r="A193" s="2" t="s">
        <v>70</v>
      </c>
      <c r="B193" s="3" t="s">
        <v>31</v>
      </c>
      <c r="C193" s="2">
        <v>8246</v>
      </c>
      <c r="D193" s="2">
        <v>80.5</v>
      </c>
      <c r="E193" s="2">
        <v>-0.47599999999999998</v>
      </c>
      <c r="F193" s="2">
        <v>15418</v>
      </c>
      <c r="G193" s="2">
        <v>8204</v>
      </c>
    </row>
    <row r="194" spans="1:7">
      <c r="A194" s="2" t="s">
        <v>71</v>
      </c>
      <c r="B194" s="3" t="s">
        <v>8</v>
      </c>
      <c r="C194" s="2">
        <v>7456</v>
      </c>
      <c r="D194" s="2">
        <v>80.099999999999994</v>
      </c>
      <c r="E194" s="2">
        <v>-0.48099999999999998</v>
      </c>
      <c r="F194" s="2">
        <v>16101</v>
      </c>
      <c r="G194" s="2">
        <v>8192</v>
      </c>
    </row>
    <row r="195" spans="1:7">
      <c r="A195" s="2" t="s">
        <v>71</v>
      </c>
      <c r="B195" s="3" t="s">
        <v>9</v>
      </c>
      <c r="C195" s="2">
        <v>8764</v>
      </c>
      <c r="D195" s="2">
        <v>80.5</v>
      </c>
      <c r="E195" s="2">
        <v>-0.47899999999999998</v>
      </c>
      <c r="F195" s="2">
        <v>14627</v>
      </c>
      <c r="G195" s="2">
        <v>8186</v>
      </c>
    </row>
    <row r="196" spans="1:7">
      <c r="A196" s="2" t="s">
        <v>71</v>
      </c>
      <c r="B196" s="3" t="s">
        <v>10</v>
      </c>
      <c r="C196" s="2">
        <v>9952</v>
      </c>
      <c r="D196" s="2">
        <v>80.099999999999994</v>
      </c>
      <c r="E196" s="2">
        <v>-0.48099999999999998</v>
      </c>
      <c r="F196" s="2">
        <v>12912</v>
      </c>
      <c r="G196" s="2">
        <v>8190</v>
      </c>
    </row>
    <row r="197" spans="1:7">
      <c r="A197" s="2" t="s">
        <v>71</v>
      </c>
      <c r="B197" s="3" t="s">
        <v>11</v>
      </c>
      <c r="C197" s="2">
        <v>10420</v>
      </c>
      <c r="D197" s="2">
        <v>80.3</v>
      </c>
      <c r="E197" s="2">
        <v>-0.48</v>
      </c>
      <c r="F197" s="2">
        <v>13319</v>
      </c>
      <c r="G197" s="2">
        <v>8197</v>
      </c>
    </row>
    <row r="198" spans="1:7">
      <c r="A198" s="2" t="s">
        <v>71</v>
      </c>
      <c r="B198" s="3" t="s">
        <v>12</v>
      </c>
      <c r="C198" s="2">
        <v>19450</v>
      </c>
      <c r="D198" s="2">
        <v>80.5</v>
      </c>
      <c r="E198" s="2">
        <v>-0.47299999999999998</v>
      </c>
      <c r="F198" s="2">
        <v>3845</v>
      </c>
      <c r="G198" s="2">
        <v>8197</v>
      </c>
    </row>
    <row r="199" spans="1:7">
      <c r="A199" s="2" t="s">
        <v>71</v>
      </c>
      <c r="B199" s="3" t="s">
        <v>13</v>
      </c>
      <c r="C199" s="2">
        <v>19269</v>
      </c>
      <c r="D199" s="2">
        <v>80.3</v>
      </c>
      <c r="E199" s="2">
        <v>-0.47599999999999998</v>
      </c>
      <c r="F199" s="2">
        <v>4484</v>
      </c>
      <c r="G199" s="2">
        <v>8193</v>
      </c>
    </row>
    <row r="200" spans="1:7">
      <c r="A200" s="2" t="s">
        <v>71</v>
      </c>
      <c r="B200" s="3" t="s">
        <v>14</v>
      </c>
      <c r="C200" s="2">
        <v>19064</v>
      </c>
      <c r="D200" s="2">
        <v>79.900000000000006</v>
      </c>
      <c r="E200" s="2">
        <v>-0.47599999999999998</v>
      </c>
      <c r="F200" s="2">
        <v>5134</v>
      </c>
      <c r="G200" s="2">
        <v>8206</v>
      </c>
    </row>
    <row r="201" spans="1:7">
      <c r="A201" s="2" t="s">
        <v>71</v>
      </c>
      <c r="B201" s="3" t="s">
        <v>15</v>
      </c>
      <c r="C201" s="2">
        <v>15249</v>
      </c>
      <c r="D201" s="2">
        <v>79.7</v>
      </c>
      <c r="E201" s="2">
        <v>-0.48699999999999999</v>
      </c>
      <c r="F201" s="2">
        <v>8363</v>
      </c>
      <c r="G201" s="2">
        <v>8198</v>
      </c>
    </row>
    <row r="202" spans="1:7">
      <c r="A202" s="2" t="s">
        <v>71</v>
      </c>
      <c r="B202" s="3" t="s">
        <v>16</v>
      </c>
      <c r="C202" s="2">
        <v>16109</v>
      </c>
      <c r="D202" s="2">
        <v>80.599999999999994</v>
      </c>
      <c r="E202" s="2">
        <v>-0.46600000000000003</v>
      </c>
      <c r="F202" s="2">
        <v>7410</v>
      </c>
      <c r="G202" s="2">
        <v>8182</v>
      </c>
    </row>
    <row r="203" spans="1:7">
      <c r="A203" s="2" t="s">
        <v>71</v>
      </c>
      <c r="B203" s="3" t="s">
        <v>17</v>
      </c>
      <c r="C203" s="2">
        <v>17418</v>
      </c>
      <c r="D203" s="2">
        <v>80.5</v>
      </c>
      <c r="E203" s="2">
        <v>-0.46500000000000002</v>
      </c>
      <c r="F203" s="2">
        <v>6500</v>
      </c>
      <c r="G203" s="2">
        <v>8196</v>
      </c>
    </row>
    <row r="204" spans="1:7">
      <c r="A204" s="2" t="s">
        <v>71</v>
      </c>
      <c r="B204" s="3" t="s">
        <v>18</v>
      </c>
      <c r="C204" s="2">
        <v>17033</v>
      </c>
      <c r="D204" s="2">
        <v>80</v>
      </c>
      <c r="E204" s="2">
        <v>-0.49</v>
      </c>
      <c r="F204" s="2">
        <v>7695</v>
      </c>
      <c r="G204" s="2">
        <v>8217</v>
      </c>
    </row>
    <row r="205" spans="1:7">
      <c r="A205" s="2" t="s">
        <v>71</v>
      </c>
      <c r="B205" s="3" t="s">
        <v>19</v>
      </c>
      <c r="C205" s="2">
        <v>16354</v>
      </c>
      <c r="D205" s="2">
        <v>79.7</v>
      </c>
      <c r="E205" s="2">
        <v>-0.48199999999999998</v>
      </c>
      <c r="F205" s="2">
        <v>7297</v>
      </c>
      <c r="G205" s="2">
        <v>8203</v>
      </c>
    </row>
    <row r="206" spans="1:7">
      <c r="A206" s="2" t="s">
        <v>71</v>
      </c>
      <c r="B206" s="3" t="s">
        <v>20</v>
      </c>
      <c r="C206" s="2">
        <v>16097</v>
      </c>
      <c r="D206" s="2">
        <v>79.599999999999994</v>
      </c>
      <c r="E206" s="2">
        <v>-0.48699999999999999</v>
      </c>
      <c r="F206" s="2">
        <v>7700</v>
      </c>
      <c r="G206" s="2">
        <v>8203</v>
      </c>
    </row>
    <row r="207" spans="1:7">
      <c r="A207" s="2" t="s">
        <v>71</v>
      </c>
      <c r="B207" s="3" t="s">
        <v>21</v>
      </c>
      <c r="C207" s="2">
        <v>15720</v>
      </c>
      <c r="D207" s="2">
        <v>79.7</v>
      </c>
      <c r="E207" s="2">
        <v>-0.48799999999999999</v>
      </c>
      <c r="F207" s="2">
        <v>7658</v>
      </c>
      <c r="G207" s="2">
        <v>8195</v>
      </c>
    </row>
    <row r="208" spans="1:7">
      <c r="A208" s="2" t="s">
        <v>71</v>
      </c>
      <c r="B208" s="3" t="s">
        <v>22</v>
      </c>
      <c r="C208" s="2">
        <v>15305</v>
      </c>
      <c r="D208" s="2">
        <v>79.599999999999994</v>
      </c>
      <c r="E208" s="2">
        <v>-0.49199999999999999</v>
      </c>
      <c r="F208" s="2">
        <v>8084</v>
      </c>
      <c r="G208" s="2">
        <v>8196</v>
      </c>
    </row>
    <row r="209" spans="1:7">
      <c r="A209" s="2" t="s">
        <v>71</v>
      </c>
      <c r="B209" s="3" t="s">
        <v>23</v>
      </c>
      <c r="C209" s="2">
        <v>15946</v>
      </c>
      <c r="D209" s="2">
        <v>79.599999999999994</v>
      </c>
      <c r="E209" s="2">
        <v>-0.48399999999999999</v>
      </c>
      <c r="F209" s="2">
        <v>6701</v>
      </c>
      <c r="G209" s="2">
        <v>8183</v>
      </c>
    </row>
    <row r="210" spans="1:7">
      <c r="A210" s="2" t="s">
        <v>71</v>
      </c>
      <c r="B210" s="3" t="s">
        <v>24</v>
      </c>
      <c r="C210" s="2">
        <v>17030</v>
      </c>
      <c r="D210" s="2">
        <v>80.3</v>
      </c>
      <c r="E210" s="2">
        <v>-0.48099999999999998</v>
      </c>
      <c r="F210" s="2">
        <v>6218</v>
      </c>
      <c r="G210" s="2">
        <v>8159</v>
      </c>
    </row>
    <row r="211" spans="1:7">
      <c r="A211" s="2" t="s">
        <v>71</v>
      </c>
      <c r="B211" s="3" t="s">
        <v>25</v>
      </c>
      <c r="C211" s="2">
        <v>17246</v>
      </c>
      <c r="D211" s="2">
        <v>80.400000000000006</v>
      </c>
      <c r="E211" s="2">
        <v>-0.47799999999999998</v>
      </c>
      <c r="F211" s="2">
        <v>6281</v>
      </c>
      <c r="G211" s="2">
        <v>8209</v>
      </c>
    </row>
    <row r="212" spans="1:7">
      <c r="A212" s="2" t="s">
        <v>71</v>
      </c>
      <c r="B212" s="3" t="s">
        <v>26</v>
      </c>
      <c r="C212" s="2">
        <v>16634</v>
      </c>
      <c r="D212" s="2">
        <v>80.099999999999994</v>
      </c>
      <c r="E212" s="2">
        <v>-0.48399999999999999</v>
      </c>
      <c r="F212" s="2">
        <v>6512</v>
      </c>
      <c r="G212" s="2">
        <v>8210</v>
      </c>
    </row>
    <row r="213" spans="1:7">
      <c r="A213" s="2" t="s">
        <v>71</v>
      </c>
      <c r="B213" s="3" t="s">
        <v>27</v>
      </c>
      <c r="C213" s="2">
        <v>16810</v>
      </c>
      <c r="D213" s="2">
        <v>80.099999999999994</v>
      </c>
      <c r="E213" s="2">
        <v>-0.49</v>
      </c>
      <c r="F213" s="2">
        <v>6640</v>
      </c>
      <c r="G213" s="2">
        <v>8203</v>
      </c>
    </row>
    <row r="214" spans="1:7">
      <c r="A214" s="2" t="s">
        <v>71</v>
      </c>
      <c r="B214" s="3" t="s">
        <v>28</v>
      </c>
      <c r="C214" s="2">
        <v>16856</v>
      </c>
      <c r="D214" s="2">
        <v>80</v>
      </c>
      <c r="E214" s="2">
        <v>-0.48199999999999998</v>
      </c>
      <c r="F214" s="2">
        <v>5627</v>
      </c>
      <c r="G214" s="2">
        <v>8194</v>
      </c>
    </row>
    <row r="215" spans="1:7">
      <c r="A215" s="2" t="s">
        <v>71</v>
      </c>
      <c r="B215" s="3" t="s">
        <v>29</v>
      </c>
      <c r="C215" s="2">
        <v>17505</v>
      </c>
      <c r="D215" s="2">
        <v>80.099999999999994</v>
      </c>
      <c r="E215" s="2">
        <v>-0.48899999999999999</v>
      </c>
      <c r="F215" s="2">
        <v>6041</v>
      </c>
      <c r="G215" s="2">
        <v>8201</v>
      </c>
    </row>
    <row r="216" spans="1:7">
      <c r="A216" s="2" t="s">
        <v>71</v>
      </c>
      <c r="B216" s="3" t="s">
        <v>30</v>
      </c>
      <c r="C216" s="2">
        <v>15857</v>
      </c>
      <c r="D216" s="2">
        <v>80</v>
      </c>
      <c r="E216" s="2">
        <v>-0.49199999999999999</v>
      </c>
      <c r="F216" s="2">
        <v>7899</v>
      </c>
      <c r="G216" s="2">
        <v>8192</v>
      </c>
    </row>
    <row r="217" spans="1:7">
      <c r="A217" s="2" t="s">
        <v>71</v>
      </c>
      <c r="B217" s="3" t="s">
        <v>31</v>
      </c>
      <c r="C217" s="2">
        <v>8067</v>
      </c>
      <c r="D217" s="2">
        <v>80</v>
      </c>
      <c r="E217" s="2">
        <v>-0.49399999999999999</v>
      </c>
      <c r="F217" s="2">
        <v>15360</v>
      </c>
      <c r="G217" s="2">
        <v>8195</v>
      </c>
    </row>
    <row r="218" spans="1:7">
      <c r="A218" s="2" t="s">
        <v>72</v>
      </c>
      <c r="B218" s="3" t="s">
        <v>8</v>
      </c>
      <c r="C218" s="2">
        <v>7871</v>
      </c>
      <c r="D218" s="2">
        <v>80.400000000000006</v>
      </c>
      <c r="E218" s="2">
        <v>-0.48899999999999999</v>
      </c>
      <c r="F218" s="2">
        <v>15586</v>
      </c>
      <c r="G218" s="2">
        <v>8201</v>
      </c>
    </row>
    <row r="219" spans="1:7">
      <c r="A219" s="2" t="s">
        <v>72</v>
      </c>
      <c r="B219" s="3" t="s">
        <v>9</v>
      </c>
      <c r="C219" s="2">
        <v>9636</v>
      </c>
      <c r="D219" s="2">
        <v>80.5</v>
      </c>
      <c r="E219" s="2">
        <v>-0.48199999999999998</v>
      </c>
      <c r="F219" s="2">
        <v>13500</v>
      </c>
      <c r="G219" s="2">
        <v>8180</v>
      </c>
    </row>
    <row r="220" spans="1:7">
      <c r="A220" s="2" t="s">
        <v>72</v>
      </c>
      <c r="B220" s="3" t="s">
        <v>10</v>
      </c>
      <c r="C220" s="2">
        <v>11178</v>
      </c>
      <c r="D220" s="2">
        <v>80.5</v>
      </c>
      <c r="E220" s="2">
        <v>-0.48299999999999998</v>
      </c>
      <c r="F220" s="2">
        <v>12235</v>
      </c>
      <c r="G220" s="2">
        <v>8197</v>
      </c>
    </row>
    <row r="221" spans="1:7">
      <c r="A221" s="2" t="s">
        <v>72</v>
      </c>
      <c r="B221" s="3" t="s">
        <v>11</v>
      </c>
      <c r="C221" s="2">
        <v>10957</v>
      </c>
      <c r="D221" s="2">
        <v>80.599999999999994</v>
      </c>
      <c r="E221" s="2">
        <v>-0.48099999999999998</v>
      </c>
      <c r="F221" s="2">
        <v>12594</v>
      </c>
      <c r="G221" s="2">
        <v>8199</v>
      </c>
    </row>
    <row r="222" spans="1:7">
      <c r="A222" s="2" t="s">
        <v>72</v>
      </c>
      <c r="B222" s="3" t="s">
        <v>12</v>
      </c>
      <c r="C222" s="2">
        <v>19796</v>
      </c>
      <c r="D222" s="2">
        <v>80.900000000000006</v>
      </c>
      <c r="E222" s="2">
        <v>-0.47399999999999998</v>
      </c>
      <c r="F222" s="2">
        <v>3414</v>
      </c>
      <c r="G222" s="2">
        <v>8202</v>
      </c>
    </row>
    <row r="223" spans="1:7">
      <c r="A223" s="2" t="s">
        <v>72</v>
      </c>
      <c r="B223" s="3" t="s">
        <v>13</v>
      </c>
      <c r="C223" s="2">
        <v>19874</v>
      </c>
      <c r="D223" s="2">
        <v>80.7</v>
      </c>
      <c r="E223" s="2">
        <v>-0.47499999999999998</v>
      </c>
      <c r="F223" s="2">
        <v>3789</v>
      </c>
      <c r="G223" s="2">
        <v>8193</v>
      </c>
    </row>
    <row r="224" spans="1:7">
      <c r="A224" s="2" t="s">
        <v>72</v>
      </c>
      <c r="B224" s="3" t="s">
        <v>14</v>
      </c>
      <c r="C224" s="2">
        <v>19302</v>
      </c>
      <c r="D224" s="2">
        <v>80.099999999999994</v>
      </c>
      <c r="E224" s="2">
        <v>-0.495</v>
      </c>
      <c r="F224" s="2">
        <v>4655</v>
      </c>
      <c r="G224" s="2">
        <v>8212</v>
      </c>
    </row>
    <row r="225" spans="1:7">
      <c r="A225" s="2" t="s">
        <v>72</v>
      </c>
      <c r="B225" s="3" t="s">
        <v>15</v>
      </c>
      <c r="C225" s="2">
        <v>15941</v>
      </c>
      <c r="D225" s="2">
        <v>80.900000000000006</v>
      </c>
      <c r="E225" s="2">
        <v>-0.46700000000000003</v>
      </c>
      <c r="F225" s="2">
        <v>7809</v>
      </c>
      <c r="G225" s="2">
        <v>8195</v>
      </c>
    </row>
    <row r="226" spans="1:7">
      <c r="A226" s="2" t="s">
        <v>72</v>
      </c>
      <c r="B226" s="3" t="s">
        <v>16</v>
      </c>
      <c r="C226" s="2">
        <v>17612</v>
      </c>
      <c r="D226" s="2">
        <v>81.099999999999994</v>
      </c>
      <c r="E226" s="2">
        <v>-0.45900000000000002</v>
      </c>
      <c r="F226" s="2">
        <v>6002</v>
      </c>
      <c r="G226" s="2">
        <v>8213</v>
      </c>
    </row>
    <row r="227" spans="1:7">
      <c r="A227" s="2" t="s">
        <v>72</v>
      </c>
      <c r="B227" s="3" t="s">
        <v>17</v>
      </c>
      <c r="C227" s="2">
        <v>17846</v>
      </c>
      <c r="D227" s="2">
        <v>80.5</v>
      </c>
      <c r="E227" s="2">
        <v>-0.47099999999999997</v>
      </c>
      <c r="F227" s="2">
        <v>5191</v>
      </c>
      <c r="G227" s="2">
        <v>8195</v>
      </c>
    </row>
    <row r="228" spans="1:7">
      <c r="A228" s="2" t="s">
        <v>72</v>
      </c>
      <c r="B228" s="3" t="s">
        <v>18</v>
      </c>
      <c r="C228" s="2">
        <v>17138</v>
      </c>
      <c r="D228" s="2">
        <v>80.099999999999994</v>
      </c>
      <c r="E228" s="2">
        <v>-0.48699999999999999</v>
      </c>
      <c r="F228" s="2">
        <v>6349</v>
      </c>
      <c r="G228" s="2">
        <v>8198</v>
      </c>
    </row>
    <row r="229" spans="1:7">
      <c r="A229" s="2" t="s">
        <v>72</v>
      </c>
      <c r="B229" s="3" t="s">
        <v>19</v>
      </c>
      <c r="C229" s="2">
        <v>17177</v>
      </c>
      <c r="D229" s="2">
        <v>79.8</v>
      </c>
      <c r="E229" s="2">
        <v>-0.48799999999999999</v>
      </c>
      <c r="F229" s="2">
        <v>5447</v>
      </c>
      <c r="G229" s="2">
        <v>8192</v>
      </c>
    </row>
    <row r="230" spans="1:7">
      <c r="A230" s="2" t="s">
        <v>72</v>
      </c>
      <c r="B230" s="3" t="s">
        <v>20</v>
      </c>
      <c r="C230" s="2">
        <v>17440</v>
      </c>
      <c r="D230" s="2">
        <v>80.099999999999994</v>
      </c>
      <c r="E230" s="2">
        <v>-0.49</v>
      </c>
      <c r="F230" s="2">
        <v>6737</v>
      </c>
      <c r="G230" s="2">
        <v>8196</v>
      </c>
    </row>
    <row r="231" spans="1:7">
      <c r="A231" s="2" t="s">
        <v>72</v>
      </c>
      <c r="B231" s="3" t="s">
        <v>21</v>
      </c>
      <c r="C231" s="2">
        <v>17834</v>
      </c>
      <c r="D231" s="2">
        <v>80.099999999999994</v>
      </c>
      <c r="E231" s="2">
        <v>-0.48899999999999999</v>
      </c>
      <c r="F231" s="2">
        <v>5503</v>
      </c>
      <c r="G231" s="2">
        <v>8189</v>
      </c>
    </row>
    <row r="232" spans="1:7">
      <c r="A232" s="2" t="s">
        <v>72</v>
      </c>
      <c r="B232" s="3" t="s">
        <v>22</v>
      </c>
      <c r="C232" s="2">
        <v>17453</v>
      </c>
      <c r="D232" s="2">
        <v>80.400000000000006</v>
      </c>
      <c r="E232" s="2">
        <v>-0.47899999999999998</v>
      </c>
      <c r="F232" s="2">
        <v>6434</v>
      </c>
      <c r="G232" s="2">
        <v>8200</v>
      </c>
    </row>
    <row r="233" spans="1:7">
      <c r="A233" s="2" t="s">
        <v>72</v>
      </c>
      <c r="B233" s="3" t="s">
        <v>23</v>
      </c>
      <c r="C233" s="2">
        <v>17056</v>
      </c>
      <c r="D233" s="2">
        <v>80.400000000000006</v>
      </c>
      <c r="E233" s="2">
        <v>-0.47599999999999998</v>
      </c>
      <c r="F233" s="2">
        <v>6724</v>
      </c>
      <c r="G233" s="2">
        <v>8194</v>
      </c>
    </row>
    <row r="234" spans="1:7">
      <c r="A234" s="2" t="s">
        <v>72</v>
      </c>
      <c r="B234" s="3" t="s">
        <v>24</v>
      </c>
      <c r="C234" s="2">
        <v>16816</v>
      </c>
      <c r="D234" s="2">
        <v>80.3</v>
      </c>
      <c r="E234" s="2">
        <v>-0.48399999999999999</v>
      </c>
      <c r="F234" s="2">
        <v>6298</v>
      </c>
      <c r="G234" s="2">
        <v>8198</v>
      </c>
    </row>
    <row r="235" spans="1:7">
      <c r="A235" s="2" t="s">
        <v>72</v>
      </c>
      <c r="B235" s="3" t="s">
        <v>25</v>
      </c>
      <c r="C235" s="2">
        <v>16756</v>
      </c>
      <c r="D235" s="2">
        <v>79.8</v>
      </c>
      <c r="E235" s="2">
        <v>-0.48</v>
      </c>
      <c r="F235" s="2">
        <v>5767</v>
      </c>
      <c r="G235" s="2">
        <v>8194</v>
      </c>
    </row>
    <row r="236" spans="1:7">
      <c r="A236" s="2" t="s">
        <v>72</v>
      </c>
      <c r="B236" s="3" t="s">
        <v>26</v>
      </c>
      <c r="C236" s="2">
        <v>17784</v>
      </c>
      <c r="D236" s="2">
        <v>80.8</v>
      </c>
      <c r="E236" s="2">
        <v>-0.46800000000000003</v>
      </c>
      <c r="F236" s="2">
        <v>6066</v>
      </c>
      <c r="G236" s="2">
        <v>8206</v>
      </c>
    </row>
    <row r="237" spans="1:7">
      <c r="A237" s="2" t="s">
        <v>72</v>
      </c>
      <c r="B237" s="3" t="s">
        <v>27</v>
      </c>
      <c r="C237" s="2">
        <v>18999</v>
      </c>
      <c r="D237" s="2">
        <v>81.400000000000006</v>
      </c>
      <c r="E237" s="2">
        <v>-0.45500000000000002</v>
      </c>
      <c r="F237" s="2">
        <v>4211</v>
      </c>
      <c r="G237" s="2">
        <v>8171</v>
      </c>
    </row>
    <row r="238" spans="1:7">
      <c r="A238" s="2" t="s">
        <v>72</v>
      </c>
      <c r="B238" s="3" t="s">
        <v>28</v>
      </c>
      <c r="C238" s="2">
        <v>18580</v>
      </c>
      <c r="D238" s="2">
        <v>81.400000000000006</v>
      </c>
      <c r="E238" s="2">
        <v>-0.46200000000000002</v>
      </c>
      <c r="F238" s="2">
        <v>5018</v>
      </c>
      <c r="G238" s="2">
        <v>8208</v>
      </c>
    </row>
    <row r="239" spans="1:7">
      <c r="A239" s="2" t="s">
        <v>72</v>
      </c>
      <c r="B239" s="3" t="s">
        <v>29</v>
      </c>
      <c r="C239" s="2">
        <v>19853</v>
      </c>
      <c r="D239" s="2">
        <v>82</v>
      </c>
      <c r="E239" s="2">
        <v>-0.45</v>
      </c>
      <c r="F239" s="2">
        <v>4257</v>
      </c>
      <c r="G239" s="2">
        <v>8207</v>
      </c>
    </row>
    <row r="240" spans="1:7">
      <c r="A240" s="2" t="s">
        <v>72</v>
      </c>
      <c r="B240" s="3" t="s">
        <v>30</v>
      </c>
      <c r="C240" s="2">
        <v>16791</v>
      </c>
      <c r="D240" s="2">
        <v>81.5</v>
      </c>
      <c r="E240" s="2">
        <v>-0.45300000000000001</v>
      </c>
      <c r="F240" s="2">
        <v>6542</v>
      </c>
      <c r="G240" s="2">
        <v>8207</v>
      </c>
    </row>
    <row r="241" spans="1:7">
      <c r="A241" s="2" t="s">
        <v>72</v>
      </c>
      <c r="B241" s="3" t="s">
        <v>31</v>
      </c>
      <c r="C241" s="2">
        <v>9647</v>
      </c>
      <c r="D241" s="2">
        <v>82.6</v>
      </c>
      <c r="E241" s="2">
        <v>-0.44600000000000001</v>
      </c>
      <c r="F241" s="2">
        <v>14111</v>
      </c>
      <c r="G241" s="2">
        <v>8199</v>
      </c>
    </row>
    <row r="242" spans="1:7">
      <c r="A242" s="2" t="s">
        <v>73</v>
      </c>
      <c r="B242" s="3" t="s">
        <v>8</v>
      </c>
      <c r="C242" s="2">
        <v>9617</v>
      </c>
      <c r="D242" s="2">
        <v>82.4</v>
      </c>
      <c r="E242" s="2">
        <v>-0.44800000000000001</v>
      </c>
      <c r="F242" s="2">
        <v>14838</v>
      </c>
      <c r="G242" s="2">
        <v>8184</v>
      </c>
    </row>
    <row r="243" spans="1:7">
      <c r="A243" s="2" t="s">
        <v>73</v>
      </c>
      <c r="B243" s="3" t="s">
        <v>9</v>
      </c>
      <c r="C243" s="2">
        <v>10042</v>
      </c>
      <c r="D243" s="2">
        <v>81.8</v>
      </c>
      <c r="E243" s="2">
        <v>-0.45700000000000002</v>
      </c>
      <c r="F243" s="2">
        <v>13010</v>
      </c>
      <c r="G243" s="2">
        <v>8190</v>
      </c>
    </row>
    <row r="244" spans="1:7">
      <c r="A244" s="2" t="s">
        <v>73</v>
      </c>
      <c r="B244" s="3" t="s">
        <v>10</v>
      </c>
      <c r="C244" s="2">
        <v>10885</v>
      </c>
      <c r="D244" s="2">
        <v>81.099999999999994</v>
      </c>
      <c r="E244" s="2">
        <v>-0.46100000000000002</v>
      </c>
      <c r="F244" s="2">
        <v>12279</v>
      </c>
      <c r="G244" s="2">
        <v>8187</v>
      </c>
    </row>
    <row r="245" spans="1:7">
      <c r="A245" s="2" t="s">
        <v>73</v>
      </c>
      <c r="B245" s="3" t="s">
        <v>11</v>
      </c>
      <c r="C245" s="2">
        <v>11522</v>
      </c>
      <c r="D245" s="2">
        <v>81.3</v>
      </c>
      <c r="E245" s="2">
        <v>-0.47199999999999998</v>
      </c>
      <c r="F245" s="2">
        <v>11801</v>
      </c>
      <c r="G245" s="2">
        <v>8196</v>
      </c>
    </row>
    <row r="246" spans="1:7">
      <c r="A246" s="2" t="s">
        <v>73</v>
      </c>
      <c r="B246" s="3" t="s">
        <v>12</v>
      </c>
      <c r="C246" s="2">
        <v>20068</v>
      </c>
      <c r="D246" s="2">
        <v>81.3</v>
      </c>
      <c r="E246" s="2">
        <v>-0.46899999999999997</v>
      </c>
      <c r="F246" s="2">
        <v>3773</v>
      </c>
      <c r="G246" s="2">
        <v>8219</v>
      </c>
    </row>
    <row r="247" spans="1:7">
      <c r="A247" s="2" t="s">
        <v>73</v>
      </c>
      <c r="B247" s="3" t="s">
        <v>13</v>
      </c>
      <c r="C247" s="2">
        <v>20878</v>
      </c>
      <c r="D247" s="2">
        <v>81.3</v>
      </c>
      <c r="E247" s="2">
        <v>-0.45500000000000002</v>
      </c>
      <c r="F247" s="2">
        <v>2773</v>
      </c>
      <c r="G247" s="2">
        <v>8206</v>
      </c>
    </row>
    <row r="248" spans="1:7">
      <c r="A248" s="2" t="s">
        <v>73</v>
      </c>
      <c r="B248" s="3" t="s">
        <v>14</v>
      </c>
      <c r="C248" s="2">
        <v>20922</v>
      </c>
      <c r="D248" s="2">
        <v>81.3</v>
      </c>
      <c r="E248" s="2">
        <v>-0.45700000000000002</v>
      </c>
      <c r="F248" s="2">
        <v>2790</v>
      </c>
      <c r="G248" s="2">
        <v>8189</v>
      </c>
    </row>
    <row r="249" spans="1:7">
      <c r="A249" s="2" t="s">
        <v>73</v>
      </c>
      <c r="B249" s="3" t="s">
        <v>15</v>
      </c>
      <c r="C249" s="2">
        <v>16991</v>
      </c>
      <c r="D249" s="2">
        <v>80.8</v>
      </c>
      <c r="E249" s="2">
        <v>-0.46600000000000003</v>
      </c>
      <c r="F249" s="2">
        <v>5714</v>
      </c>
      <c r="G249" s="2">
        <v>8194</v>
      </c>
    </row>
    <row r="250" spans="1:7">
      <c r="A250" s="2" t="s">
        <v>73</v>
      </c>
      <c r="B250" s="3" t="s">
        <v>16</v>
      </c>
      <c r="C250" s="2">
        <v>18597</v>
      </c>
      <c r="D250" s="2">
        <v>81.599999999999994</v>
      </c>
      <c r="E250" s="2">
        <v>-0.45800000000000002</v>
      </c>
      <c r="F250" s="2">
        <v>4774</v>
      </c>
      <c r="G250" s="2">
        <v>8207</v>
      </c>
    </row>
    <row r="251" spans="1:7">
      <c r="A251" s="2" t="s">
        <v>73</v>
      </c>
      <c r="B251" s="3" t="s">
        <v>17</v>
      </c>
      <c r="C251" s="2">
        <v>18250</v>
      </c>
      <c r="D251" s="2">
        <v>81.099999999999994</v>
      </c>
      <c r="E251" s="2">
        <v>-0.46200000000000002</v>
      </c>
      <c r="F251" s="2">
        <v>5037</v>
      </c>
      <c r="G251" s="2">
        <v>8195</v>
      </c>
    </row>
    <row r="252" spans="1:7">
      <c r="A252" s="2" t="s">
        <v>73</v>
      </c>
      <c r="B252" s="3" t="s">
        <v>18</v>
      </c>
      <c r="C252" s="2">
        <v>18164</v>
      </c>
      <c r="D252" s="2">
        <v>81.3</v>
      </c>
      <c r="E252" s="2">
        <v>-0.46100000000000002</v>
      </c>
      <c r="F252" s="2">
        <v>5949</v>
      </c>
      <c r="G252" s="2">
        <v>8191</v>
      </c>
    </row>
    <row r="253" spans="1:7">
      <c r="A253" s="2" t="s">
        <v>73</v>
      </c>
      <c r="B253" s="3" t="s">
        <v>19</v>
      </c>
      <c r="C253" s="2">
        <v>15648</v>
      </c>
      <c r="D253" s="2">
        <v>80.5</v>
      </c>
      <c r="E253" s="2">
        <v>-0.47299999999999998</v>
      </c>
      <c r="F253" s="2">
        <v>9256</v>
      </c>
      <c r="G253" s="2">
        <v>8199</v>
      </c>
    </row>
    <row r="254" spans="1:7">
      <c r="A254" s="2" t="s">
        <v>73</v>
      </c>
      <c r="B254" s="3" t="s">
        <v>20</v>
      </c>
      <c r="C254" s="2">
        <v>16249</v>
      </c>
      <c r="D254" s="2">
        <v>80.5</v>
      </c>
      <c r="E254" s="2">
        <v>-0.48699999999999999</v>
      </c>
      <c r="F254" s="2">
        <v>7313</v>
      </c>
      <c r="G254" s="2">
        <v>8198</v>
      </c>
    </row>
    <row r="255" spans="1:7">
      <c r="A255" s="2" t="s">
        <v>73</v>
      </c>
      <c r="B255" s="3" t="s">
        <v>21</v>
      </c>
      <c r="C255" s="2">
        <v>15974</v>
      </c>
      <c r="D255" s="2">
        <v>80.2</v>
      </c>
      <c r="E255" s="2">
        <v>-0.48799999999999999</v>
      </c>
      <c r="F255" s="2">
        <v>7344</v>
      </c>
      <c r="G255" s="2">
        <v>8197</v>
      </c>
    </row>
    <row r="256" spans="1:7">
      <c r="A256" s="2" t="s">
        <v>73</v>
      </c>
      <c r="B256" s="3" t="s">
        <v>22</v>
      </c>
      <c r="C256" s="2">
        <v>17077</v>
      </c>
      <c r="D256" s="2">
        <v>80.8</v>
      </c>
      <c r="E256" s="2">
        <v>-0.46899999999999997</v>
      </c>
      <c r="F256" s="2">
        <v>6446</v>
      </c>
      <c r="G256" s="2">
        <v>8188</v>
      </c>
    </row>
    <row r="257" spans="1:7">
      <c r="A257" s="2" t="s">
        <v>73</v>
      </c>
      <c r="B257" s="3" t="s">
        <v>23</v>
      </c>
      <c r="C257" s="2">
        <v>17100</v>
      </c>
      <c r="D257" s="2">
        <v>80.599999999999994</v>
      </c>
      <c r="E257" s="2">
        <v>-0.47799999999999998</v>
      </c>
      <c r="F257" s="2">
        <v>6824</v>
      </c>
      <c r="G257" s="2">
        <v>8116</v>
      </c>
    </row>
    <row r="258" spans="1:7">
      <c r="A258" s="2" t="s">
        <v>73</v>
      </c>
      <c r="B258" s="3" t="s">
        <v>24</v>
      </c>
      <c r="C258" s="2">
        <v>17326</v>
      </c>
      <c r="D258" s="2">
        <v>81.099999999999994</v>
      </c>
      <c r="E258" s="2">
        <v>-0.46600000000000003</v>
      </c>
      <c r="F258" s="2">
        <v>6320</v>
      </c>
      <c r="G258" s="2">
        <v>8132</v>
      </c>
    </row>
    <row r="259" spans="1:7">
      <c r="A259" s="2" t="s">
        <v>73</v>
      </c>
      <c r="B259" s="3" t="s">
        <v>25</v>
      </c>
      <c r="C259" s="2">
        <v>19596</v>
      </c>
      <c r="D259" s="2">
        <v>82.1</v>
      </c>
      <c r="E259" s="2">
        <v>-0.44500000000000001</v>
      </c>
      <c r="F259" s="2">
        <v>4327</v>
      </c>
      <c r="G259" s="2">
        <v>8198</v>
      </c>
    </row>
    <row r="260" spans="1:7">
      <c r="A260" s="2" t="s">
        <v>73</v>
      </c>
      <c r="B260" s="3" t="s">
        <v>26</v>
      </c>
      <c r="C260" s="2">
        <v>19971</v>
      </c>
      <c r="D260" s="2">
        <v>83</v>
      </c>
      <c r="E260" s="2">
        <v>-0.42799999999999999</v>
      </c>
      <c r="F260" s="2">
        <v>4079</v>
      </c>
      <c r="G260" s="2">
        <v>8203</v>
      </c>
    </row>
    <row r="261" spans="1:7">
      <c r="A261" s="2" t="s">
        <v>73</v>
      </c>
      <c r="B261" s="3" t="s">
        <v>27</v>
      </c>
      <c r="C261" s="2">
        <v>20739</v>
      </c>
      <c r="D261" s="2">
        <v>83.9</v>
      </c>
      <c r="E261" s="2">
        <v>-0.40100000000000002</v>
      </c>
      <c r="F261" s="2">
        <v>3151</v>
      </c>
      <c r="G261" s="2">
        <v>8184</v>
      </c>
    </row>
    <row r="262" spans="1:7">
      <c r="A262" s="2" t="s">
        <v>73</v>
      </c>
      <c r="B262" s="3" t="s">
        <v>28</v>
      </c>
      <c r="C262" s="2">
        <v>19697</v>
      </c>
      <c r="D262" s="2">
        <v>83.3</v>
      </c>
      <c r="E262" s="2">
        <v>-0.42699999999999999</v>
      </c>
      <c r="F262" s="2">
        <v>4145</v>
      </c>
      <c r="G262" s="2">
        <v>8201</v>
      </c>
    </row>
    <row r="263" spans="1:7">
      <c r="A263" s="2" t="s">
        <v>73</v>
      </c>
      <c r="B263" s="3" t="s">
        <v>29</v>
      </c>
      <c r="C263" s="2">
        <v>20008</v>
      </c>
      <c r="D263" s="2">
        <v>83.4</v>
      </c>
      <c r="E263" s="2">
        <v>-0.41599999999999998</v>
      </c>
      <c r="F263" s="2">
        <v>3164</v>
      </c>
      <c r="G263" s="2">
        <v>7984</v>
      </c>
    </row>
    <row r="264" spans="1:7">
      <c r="A264" s="2" t="s">
        <v>73</v>
      </c>
      <c r="B264" s="3" t="s">
        <v>30</v>
      </c>
      <c r="C264" s="2">
        <v>18575</v>
      </c>
      <c r="D264" s="2">
        <v>83.2</v>
      </c>
      <c r="E264" s="2">
        <v>-0.42799999999999999</v>
      </c>
      <c r="F264" s="2">
        <v>4805</v>
      </c>
      <c r="G264" s="2">
        <v>7960</v>
      </c>
    </row>
    <row r="265" spans="1:7">
      <c r="A265" s="2" t="s">
        <v>73</v>
      </c>
      <c r="B265" s="3" t="s">
        <v>31</v>
      </c>
      <c r="C265" s="2">
        <v>10799</v>
      </c>
      <c r="D265" s="2">
        <v>83.2</v>
      </c>
      <c r="E265" s="2">
        <v>-0.435</v>
      </c>
      <c r="F265" s="2">
        <v>12929</v>
      </c>
      <c r="G265" s="2">
        <v>8198</v>
      </c>
    </row>
    <row r="266" spans="1:7">
      <c r="A266" s="2" t="s">
        <v>74</v>
      </c>
      <c r="B266" s="3" t="s">
        <v>8</v>
      </c>
      <c r="C266" s="2">
        <v>11712</v>
      </c>
      <c r="D266" s="2">
        <v>83.1</v>
      </c>
      <c r="E266" s="2">
        <v>-0.437</v>
      </c>
      <c r="F266" s="2">
        <v>11682</v>
      </c>
      <c r="G266" s="2">
        <v>8193</v>
      </c>
    </row>
    <row r="267" spans="1:7">
      <c r="A267" s="2" t="s">
        <v>74</v>
      </c>
      <c r="B267" s="3" t="s">
        <v>9</v>
      </c>
      <c r="C267" s="2">
        <v>13180</v>
      </c>
      <c r="D267" s="2">
        <v>83.1</v>
      </c>
      <c r="E267" s="2">
        <v>-0.443</v>
      </c>
      <c r="F267" s="2">
        <v>10574</v>
      </c>
      <c r="G267" s="2">
        <v>8204</v>
      </c>
    </row>
    <row r="268" spans="1:7">
      <c r="A268" s="2" t="s">
        <v>74</v>
      </c>
      <c r="B268" s="3" t="s">
        <v>10</v>
      </c>
      <c r="C268" s="2">
        <v>12746</v>
      </c>
      <c r="D268" s="2">
        <v>82.2</v>
      </c>
      <c r="E268" s="2">
        <v>-0.41799999999999998</v>
      </c>
      <c r="F268" s="2">
        <v>8354</v>
      </c>
      <c r="G268" s="2">
        <v>8161</v>
      </c>
    </row>
    <row r="269" spans="1:7">
      <c r="A269" s="2" t="s">
        <v>74</v>
      </c>
      <c r="B269" s="3" t="s">
        <v>11</v>
      </c>
      <c r="C269" s="2">
        <v>14327</v>
      </c>
      <c r="D269" s="2">
        <v>82.9</v>
      </c>
      <c r="E269" s="2">
        <v>-0.441</v>
      </c>
      <c r="F269" s="2">
        <v>9664</v>
      </c>
      <c r="G269" s="2">
        <v>8197</v>
      </c>
    </row>
    <row r="270" spans="1:7">
      <c r="A270" s="2" t="s">
        <v>74</v>
      </c>
      <c r="B270" s="3" t="s">
        <v>12</v>
      </c>
      <c r="C270" s="2">
        <v>21780</v>
      </c>
      <c r="D270" s="2">
        <v>82.7</v>
      </c>
      <c r="E270" s="2">
        <v>-0.438</v>
      </c>
      <c r="F270" s="2">
        <v>1639</v>
      </c>
      <c r="G270" s="2">
        <v>8052</v>
      </c>
    </row>
    <row r="271" spans="1:7">
      <c r="A271" s="2" t="s">
        <v>74</v>
      </c>
      <c r="B271" s="3" t="s">
        <v>13</v>
      </c>
      <c r="C271" s="2">
        <v>21813</v>
      </c>
      <c r="D271" s="2">
        <v>83.2</v>
      </c>
      <c r="E271" s="2">
        <v>-0.42299999999999999</v>
      </c>
      <c r="F271" s="2">
        <v>1805</v>
      </c>
      <c r="G271" s="2">
        <v>8200</v>
      </c>
    </row>
    <row r="272" spans="1:7">
      <c r="A272" s="2" t="s">
        <v>74</v>
      </c>
      <c r="B272" s="3" t="s">
        <v>14</v>
      </c>
      <c r="C272" s="2">
        <v>23186</v>
      </c>
      <c r="D272" s="2">
        <v>82.7</v>
      </c>
      <c r="E272" s="2">
        <v>-0.432</v>
      </c>
      <c r="F272" s="2">
        <v>619</v>
      </c>
      <c r="G272" s="2">
        <v>8207</v>
      </c>
    </row>
    <row r="273" spans="1:7">
      <c r="A273" s="2" t="s">
        <v>74</v>
      </c>
      <c r="B273" s="3" t="s">
        <v>15</v>
      </c>
      <c r="C273" s="2">
        <v>22261</v>
      </c>
      <c r="D273" s="2">
        <v>84.1</v>
      </c>
      <c r="E273" s="2">
        <v>-0.39900000000000002</v>
      </c>
      <c r="F273" s="2">
        <v>1512</v>
      </c>
      <c r="G273" s="2">
        <v>8194</v>
      </c>
    </row>
    <row r="274" spans="1:7">
      <c r="A274" s="2" t="s">
        <v>74</v>
      </c>
      <c r="B274" s="3" t="s">
        <v>16</v>
      </c>
      <c r="C274" s="2">
        <v>21379</v>
      </c>
      <c r="D274" s="2">
        <v>84</v>
      </c>
      <c r="E274" s="2">
        <v>-0.40699999999999997</v>
      </c>
      <c r="F274" s="2">
        <v>2509</v>
      </c>
      <c r="G274" s="2">
        <v>8176</v>
      </c>
    </row>
    <row r="275" spans="1:7">
      <c r="A275" s="2" t="s">
        <v>74</v>
      </c>
      <c r="B275" s="3" t="s">
        <v>17</v>
      </c>
      <c r="C275" s="2">
        <v>21817</v>
      </c>
      <c r="D275" s="2">
        <v>84.2</v>
      </c>
      <c r="E275" s="2">
        <v>-0.40100000000000002</v>
      </c>
      <c r="F275" s="2">
        <v>1809</v>
      </c>
      <c r="G275" s="2">
        <v>8127</v>
      </c>
    </row>
    <row r="276" spans="1:7">
      <c r="A276" s="2" t="s">
        <v>74</v>
      </c>
      <c r="B276" s="3" t="s">
        <v>18</v>
      </c>
      <c r="C276" s="2">
        <v>16588</v>
      </c>
      <c r="D276" s="2">
        <v>80.599999999999994</v>
      </c>
      <c r="E276" s="2">
        <v>-0.48499999999999999</v>
      </c>
      <c r="F276" s="2">
        <v>7837</v>
      </c>
      <c r="G276" s="2">
        <v>8216</v>
      </c>
    </row>
    <row r="277" spans="1:7">
      <c r="A277" s="2" t="s">
        <v>74</v>
      </c>
      <c r="B277" s="3" t="s">
        <v>19</v>
      </c>
      <c r="C277" s="2">
        <v>14284</v>
      </c>
      <c r="D277" s="2">
        <v>79.2</v>
      </c>
      <c r="E277" s="2">
        <v>-0.47499999999999998</v>
      </c>
      <c r="F277" s="2">
        <v>6324</v>
      </c>
      <c r="G277" s="2">
        <v>8184</v>
      </c>
    </row>
    <row r="278" spans="1:7">
      <c r="A278" s="2" t="s">
        <v>74</v>
      </c>
      <c r="B278" s="3" t="s">
        <v>20</v>
      </c>
      <c r="C278" s="2">
        <v>16439</v>
      </c>
      <c r="D278" s="2">
        <v>81.400000000000006</v>
      </c>
      <c r="E278" s="2">
        <v>-0.44500000000000001</v>
      </c>
      <c r="F278" s="2">
        <v>6152</v>
      </c>
      <c r="G278" s="2">
        <v>8196</v>
      </c>
    </row>
    <row r="279" spans="1:7">
      <c r="A279" s="2" t="s">
        <v>74</v>
      </c>
      <c r="B279" s="3" t="s">
        <v>21</v>
      </c>
      <c r="C279" s="2">
        <v>15779</v>
      </c>
      <c r="D279" s="2">
        <v>80</v>
      </c>
      <c r="E279" s="2">
        <v>-0.47899999999999998</v>
      </c>
      <c r="F279" s="2">
        <v>7947</v>
      </c>
      <c r="G279" s="2">
        <v>8202</v>
      </c>
    </row>
    <row r="280" spans="1:7">
      <c r="A280" s="2" t="s">
        <v>74</v>
      </c>
      <c r="B280" s="3" t="s">
        <v>22</v>
      </c>
      <c r="C280" s="2">
        <v>16213</v>
      </c>
      <c r="D280" s="2">
        <v>79.7</v>
      </c>
      <c r="E280" s="2">
        <v>-0.47899999999999998</v>
      </c>
      <c r="F280" s="2">
        <v>6527</v>
      </c>
      <c r="G280" s="2">
        <v>8188</v>
      </c>
    </row>
    <row r="281" spans="1:7">
      <c r="A281" s="2" t="s">
        <v>74</v>
      </c>
      <c r="B281" s="3" t="s">
        <v>23</v>
      </c>
      <c r="C281" s="2">
        <v>16907</v>
      </c>
      <c r="D281" s="2">
        <v>80.3</v>
      </c>
      <c r="E281" s="2">
        <v>-0.46400000000000002</v>
      </c>
      <c r="F281" s="2">
        <v>5901</v>
      </c>
      <c r="G281" s="2">
        <v>8204</v>
      </c>
    </row>
    <row r="282" spans="1:7">
      <c r="A282" s="2" t="s">
        <v>74</v>
      </c>
      <c r="B282" s="3" t="s">
        <v>24</v>
      </c>
      <c r="C282" s="2">
        <v>17462</v>
      </c>
      <c r="D282" s="2">
        <v>80.5</v>
      </c>
      <c r="E282" s="2">
        <v>-0.46200000000000002</v>
      </c>
      <c r="F282" s="2">
        <v>5762</v>
      </c>
      <c r="G282" s="2">
        <v>8206</v>
      </c>
    </row>
    <row r="283" spans="1:7">
      <c r="A283" s="2" t="s">
        <v>74</v>
      </c>
      <c r="B283" s="3" t="s">
        <v>25</v>
      </c>
      <c r="C283" s="2">
        <v>18116</v>
      </c>
      <c r="D283" s="2">
        <v>80.099999999999994</v>
      </c>
      <c r="E283" s="2">
        <v>-0.47799999999999998</v>
      </c>
      <c r="F283" s="2">
        <v>5320</v>
      </c>
      <c r="G283" s="2">
        <v>8193</v>
      </c>
    </row>
    <row r="284" spans="1:7">
      <c r="A284" s="2" t="s">
        <v>74</v>
      </c>
      <c r="B284" s="3" t="s">
        <v>26</v>
      </c>
      <c r="C284" s="2">
        <v>18647</v>
      </c>
      <c r="D284" s="2">
        <v>80.8</v>
      </c>
      <c r="E284" s="2">
        <v>-0.45300000000000001</v>
      </c>
      <c r="F284" s="2">
        <v>4739</v>
      </c>
      <c r="G284" s="2">
        <v>8198</v>
      </c>
    </row>
    <row r="285" spans="1:7">
      <c r="A285" s="2" t="s">
        <v>74</v>
      </c>
      <c r="B285" s="3" t="s">
        <v>27</v>
      </c>
      <c r="C285" s="2">
        <v>18139</v>
      </c>
      <c r="D285" s="2">
        <v>80.599999999999994</v>
      </c>
      <c r="E285" s="2">
        <v>-0.45700000000000002</v>
      </c>
      <c r="F285" s="2">
        <v>5364</v>
      </c>
      <c r="G285" s="2">
        <v>8182</v>
      </c>
    </row>
    <row r="286" spans="1:7">
      <c r="A286" s="2" t="s">
        <v>74</v>
      </c>
      <c r="B286" s="3" t="s">
        <v>28</v>
      </c>
      <c r="C286" s="2">
        <v>18539</v>
      </c>
      <c r="D286" s="2">
        <v>80.599999999999994</v>
      </c>
      <c r="E286" s="2">
        <v>-0.46200000000000002</v>
      </c>
      <c r="F286" s="2">
        <v>5421</v>
      </c>
      <c r="G286" s="2">
        <v>8198</v>
      </c>
    </row>
    <row r="287" spans="1:7">
      <c r="A287" s="2" t="s">
        <v>74</v>
      </c>
      <c r="B287" s="3" t="s">
        <v>29</v>
      </c>
      <c r="C287" s="2">
        <v>18712</v>
      </c>
      <c r="D287" s="2">
        <v>80.900000000000006</v>
      </c>
      <c r="E287" s="2">
        <v>-0.45200000000000001</v>
      </c>
      <c r="F287" s="2">
        <v>4474</v>
      </c>
      <c r="G287" s="2">
        <v>8216</v>
      </c>
    </row>
    <row r="288" spans="1:7">
      <c r="A288" s="2" t="s">
        <v>74</v>
      </c>
      <c r="B288" s="3" t="s">
        <v>30</v>
      </c>
      <c r="C288" s="2">
        <v>16899</v>
      </c>
      <c r="D288" s="2">
        <v>80.900000000000006</v>
      </c>
      <c r="E288" s="2">
        <v>-0.45200000000000001</v>
      </c>
      <c r="F288" s="2">
        <v>7027</v>
      </c>
      <c r="G288" s="2">
        <v>8198</v>
      </c>
    </row>
    <row r="289" spans="1:7">
      <c r="A289" s="2" t="s">
        <v>74</v>
      </c>
      <c r="B289" s="3" t="s">
        <v>31</v>
      </c>
      <c r="C289" s="2">
        <v>9402</v>
      </c>
      <c r="D289" s="2">
        <v>80.400000000000006</v>
      </c>
      <c r="E289" s="2">
        <v>-0.46700000000000003</v>
      </c>
      <c r="F289" s="2">
        <v>14269</v>
      </c>
      <c r="G289" s="2">
        <v>8194</v>
      </c>
    </row>
    <row r="290" spans="1:7">
      <c r="A290" s="2" t="s">
        <v>75</v>
      </c>
      <c r="B290" s="3" t="s">
        <v>8</v>
      </c>
      <c r="C290" s="2">
        <v>9059</v>
      </c>
      <c r="D290" s="2">
        <v>80.400000000000006</v>
      </c>
      <c r="E290" s="2">
        <v>-0.46400000000000002</v>
      </c>
      <c r="F290" s="2">
        <v>13617</v>
      </c>
      <c r="G290" s="2">
        <v>8202</v>
      </c>
    </row>
    <row r="291" spans="1:7">
      <c r="A291" s="2" t="s">
        <v>75</v>
      </c>
      <c r="B291" s="3" t="s">
        <v>9</v>
      </c>
      <c r="C291" s="2">
        <v>10994</v>
      </c>
      <c r="D291" s="2">
        <v>80.900000000000006</v>
      </c>
      <c r="E291" s="2">
        <v>-0.45700000000000002</v>
      </c>
      <c r="F291" s="2">
        <v>13031</v>
      </c>
      <c r="G291" s="2">
        <v>8199</v>
      </c>
    </row>
    <row r="292" spans="1:7">
      <c r="A292" s="2" t="s">
        <v>75</v>
      </c>
      <c r="B292" s="3" t="s">
        <v>10</v>
      </c>
      <c r="C292" s="2">
        <v>12326</v>
      </c>
      <c r="D292" s="2">
        <v>81.400000000000006</v>
      </c>
      <c r="E292" s="2">
        <v>-0.44800000000000001</v>
      </c>
      <c r="F292" s="2">
        <v>10861</v>
      </c>
      <c r="G292" s="2">
        <v>8146</v>
      </c>
    </row>
    <row r="293" spans="1:7">
      <c r="A293" s="2" t="s">
        <v>75</v>
      </c>
      <c r="B293" s="3" t="s">
        <v>11</v>
      </c>
      <c r="C293" s="2">
        <v>11874</v>
      </c>
      <c r="D293" s="2">
        <v>81</v>
      </c>
      <c r="E293" s="2">
        <v>-0.45900000000000002</v>
      </c>
      <c r="F293" s="2">
        <v>11922</v>
      </c>
      <c r="G293" s="2">
        <v>8197</v>
      </c>
    </row>
    <row r="294" spans="1:7">
      <c r="A294" s="2" t="s">
        <v>75</v>
      </c>
      <c r="B294" s="3" t="s">
        <v>12</v>
      </c>
      <c r="C294" s="2">
        <v>20193</v>
      </c>
      <c r="D294" s="2">
        <v>80.900000000000006</v>
      </c>
      <c r="E294" s="2">
        <v>-0.44700000000000001</v>
      </c>
      <c r="F294" s="2">
        <v>3196</v>
      </c>
      <c r="G294" s="2">
        <v>8198</v>
      </c>
    </row>
    <row r="295" spans="1:7">
      <c r="A295" s="2" t="s">
        <v>75</v>
      </c>
      <c r="B295" s="3" t="s">
        <v>13</v>
      </c>
      <c r="C295" s="2">
        <v>19826</v>
      </c>
      <c r="D295" s="2">
        <v>81.3</v>
      </c>
      <c r="E295" s="2">
        <v>-0.441</v>
      </c>
      <c r="F295" s="2">
        <v>2931</v>
      </c>
      <c r="G295" s="2">
        <v>8200</v>
      </c>
    </row>
    <row r="296" spans="1:7">
      <c r="A296" s="2" t="s">
        <v>75</v>
      </c>
      <c r="B296" s="3" t="s">
        <v>14</v>
      </c>
      <c r="C296" s="2">
        <v>20473</v>
      </c>
      <c r="D296" s="2">
        <v>81.3</v>
      </c>
      <c r="E296" s="2">
        <v>-0.44500000000000001</v>
      </c>
      <c r="F296" s="2">
        <v>3273</v>
      </c>
      <c r="G296" s="2">
        <v>8190</v>
      </c>
    </row>
    <row r="297" spans="1:7">
      <c r="A297" s="2" t="s">
        <v>75</v>
      </c>
      <c r="B297" s="3" t="s">
        <v>15</v>
      </c>
      <c r="C297" s="2">
        <v>18452</v>
      </c>
      <c r="D297" s="2">
        <v>82</v>
      </c>
      <c r="E297" s="2">
        <v>-0.437</v>
      </c>
      <c r="F297" s="2">
        <v>5142</v>
      </c>
      <c r="G297" s="2">
        <v>8200</v>
      </c>
    </row>
    <row r="298" spans="1:7">
      <c r="A298" s="2" t="s">
        <v>75</v>
      </c>
      <c r="B298" s="3" t="s">
        <v>16</v>
      </c>
      <c r="C298" s="2">
        <v>17796</v>
      </c>
      <c r="D298" s="2">
        <v>81.099999999999994</v>
      </c>
      <c r="E298" s="2">
        <v>-0.45</v>
      </c>
      <c r="F298" s="2">
        <v>5580</v>
      </c>
      <c r="G298" s="2">
        <v>8190</v>
      </c>
    </row>
    <row r="299" spans="1:7">
      <c r="A299" s="2" t="s">
        <v>75</v>
      </c>
      <c r="B299" s="3" t="s">
        <v>17</v>
      </c>
      <c r="C299" s="2">
        <v>18139</v>
      </c>
      <c r="D299" s="2">
        <v>81</v>
      </c>
      <c r="E299" s="2">
        <v>-0.45700000000000002</v>
      </c>
      <c r="F299" s="2">
        <v>5188</v>
      </c>
      <c r="G299" s="2">
        <v>8201</v>
      </c>
    </row>
    <row r="300" spans="1:7">
      <c r="A300" s="2" t="s">
        <v>75</v>
      </c>
      <c r="B300" s="3" t="s">
        <v>18</v>
      </c>
      <c r="C300" s="2">
        <v>17187</v>
      </c>
      <c r="D300" s="2">
        <v>80.5</v>
      </c>
      <c r="E300" s="2">
        <v>-0.46100000000000002</v>
      </c>
      <c r="F300" s="2">
        <v>5515</v>
      </c>
      <c r="G300" s="2">
        <v>8196</v>
      </c>
    </row>
    <row r="301" spans="1:7">
      <c r="A301" s="2" t="s">
        <v>75</v>
      </c>
      <c r="B301" s="3" t="s">
        <v>19</v>
      </c>
      <c r="C301" s="2">
        <v>16834</v>
      </c>
      <c r="D301" s="2">
        <v>80</v>
      </c>
      <c r="E301" s="2">
        <v>-0.47599999999999998</v>
      </c>
      <c r="F301" s="2">
        <v>6401</v>
      </c>
      <c r="G301" s="2">
        <v>8202</v>
      </c>
    </row>
    <row r="302" spans="1:7">
      <c r="A302" s="2" t="s">
        <v>75</v>
      </c>
      <c r="B302" s="3" t="s">
        <v>20</v>
      </c>
      <c r="C302" s="2">
        <v>16679</v>
      </c>
      <c r="D302" s="2">
        <v>80</v>
      </c>
      <c r="E302" s="2">
        <v>-0.47599999999999998</v>
      </c>
      <c r="F302" s="2">
        <v>7593</v>
      </c>
      <c r="G302" s="2">
        <v>8204</v>
      </c>
    </row>
    <row r="303" spans="1:7">
      <c r="A303" s="2" t="s">
        <v>75</v>
      </c>
      <c r="B303" s="3" t="s">
        <v>21</v>
      </c>
      <c r="C303" s="2">
        <v>15534</v>
      </c>
      <c r="D303" s="2">
        <v>79.5</v>
      </c>
      <c r="E303" s="2">
        <v>-0.48099999999999998</v>
      </c>
      <c r="F303" s="2">
        <v>7483</v>
      </c>
      <c r="G303" s="2">
        <v>8202</v>
      </c>
    </row>
    <row r="304" spans="1:7">
      <c r="A304" s="2" t="s">
        <v>75</v>
      </c>
      <c r="B304" s="3" t="s">
        <v>22</v>
      </c>
      <c r="C304" s="2">
        <v>15266</v>
      </c>
      <c r="D304" s="2">
        <v>79.900000000000006</v>
      </c>
      <c r="E304" s="2">
        <v>-0.47399999999999998</v>
      </c>
      <c r="F304" s="2">
        <v>5882</v>
      </c>
      <c r="G304" s="2">
        <v>7385</v>
      </c>
    </row>
    <row r="305" spans="1:7">
      <c r="A305" s="2" t="s">
        <v>75</v>
      </c>
      <c r="B305" s="3" t="s">
        <v>23</v>
      </c>
      <c r="C305" s="2">
        <v>16413</v>
      </c>
      <c r="D305" s="2">
        <v>79.900000000000006</v>
      </c>
      <c r="E305" s="2">
        <v>-0.46800000000000003</v>
      </c>
      <c r="F305" s="2">
        <v>5080</v>
      </c>
      <c r="G305" s="2">
        <v>7836</v>
      </c>
    </row>
    <row r="306" spans="1:7">
      <c r="A306" s="2" t="s">
        <v>75</v>
      </c>
      <c r="B306" s="3" t="s">
        <v>24</v>
      </c>
      <c r="C306" s="2">
        <v>17355</v>
      </c>
      <c r="D306" s="2">
        <v>80.8</v>
      </c>
      <c r="E306" s="2">
        <v>-0.45800000000000002</v>
      </c>
      <c r="F306" s="2">
        <v>5902</v>
      </c>
      <c r="G306" s="2">
        <v>8031</v>
      </c>
    </row>
    <row r="307" spans="1:7">
      <c r="A307" s="2" t="s">
        <v>75</v>
      </c>
      <c r="B307" s="3" t="s">
        <v>25</v>
      </c>
      <c r="C307" s="2">
        <v>18119</v>
      </c>
      <c r="D307" s="2">
        <v>80.5</v>
      </c>
      <c r="E307" s="2">
        <v>-0.45900000000000002</v>
      </c>
      <c r="F307" s="2">
        <v>5073</v>
      </c>
      <c r="G307" s="2">
        <v>8201</v>
      </c>
    </row>
    <row r="308" spans="1:7">
      <c r="A308" s="2" t="s">
        <v>75</v>
      </c>
      <c r="B308" s="3" t="s">
        <v>26</v>
      </c>
      <c r="C308" s="2">
        <v>17209</v>
      </c>
      <c r="D308" s="2">
        <v>80.5</v>
      </c>
      <c r="E308" s="2">
        <v>-0.47099999999999997</v>
      </c>
      <c r="F308" s="2">
        <v>6766</v>
      </c>
      <c r="G308" s="2">
        <v>8195</v>
      </c>
    </row>
    <row r="309" spans="1:7">
      <c r="A309" s="2" t="s">
        <v>75</v>
      </c>
      <c r="B309" s="3" t="s">
        <v>27</v>
      </c>
      <c r="C309" s="2">
        <v>18016</v>
      </c>
      <c r="D309" s="2">
        <v>80.900000000000006</v>
      </c>
      <c r="E309" s="2">
        <v>-0.45400000000000001</v>
      </c>
      <c r="F309" s="2">
        <v>5633</v>
      </c>
      <c r="G309" s="2">
        <v>8175</v>
      </c>
    </row>
    <row r="310" spans="1:7">
      <c r="A310" s="2" t="s">
        <v>75</v>
      </c>
      <c r="B310" s="3" t="s">
        <v>28</v>
      </c>
      <c r="C310" s="2">
        <v>17137</v>
      </c>
      <c r="D310" s="2">
        <v>80.2</v>
      </c>
      <c r="E310" s="2">
        <v>-0.46800000000000003</v>
      </c>
      <c r="F310" s="2">
        <v>6143</v>
      </c>
      <c r="G310" s="2">
        <v>8176</v>
      </c>
    </row>
    <row r="311" spans="1:7">
      <c r="A311" s="2" t="s">
        <v>75</v>
      </c>
      <c r="B311" s="3" t="s">
        <v>29</v>
      </c>
      <c r="C311" s="2">
        <v>18306</v>
      </c>
      <c r="D311" s="2">
        <v>80.8</v>
      </c>
      <c r="E311" s="2">
        <v>-0.44800000000000001</v>
      </c>
      <c r="F311" s="2">
        <v>5042</v>
      </c>
      <c r="G311" s="2">
        <v>8120</v>
      </c>
    </row>
    <row r="312" spans="1:7">
      <c r="A312" s="2" t="s">
        <v>75</v>
      </c>
      <c r="B312" s="3" t="s">
        <v>30</v>
      </c>
      <c r="C312" s="2">
        <v>14960</v>
      </c>
      <c r="D312" s="2">
        <v>79.7</v>
      </c>
      <c r="E312" s="2">
        <v>-0.47599999999999998</v>
      </c>
      <c r="F312" s="2">
        <v>7501</v>
      </c>
      <c r="G312" s="2">
        <v>8174</v>
      </c>
    </row>
    <row r="313" spans="1:7">
      <c r="A313" s="2" t="s">
        <v>75</v>
      </c>
      <c r="B313" s="3" t="s">
        <v>31</v>
      </c>
      <c r="C313" s="2">
        <v>9553</v>
      </c>
      <c r="D313" s="2">
        <v>81.2</v>
      </c>
      <c r="E313" s="2">
        <v>-0.45500000000000002</v>
      </c>
      <c r="F313" s="2">
        <v>14242</v>
      </c>
      <c r="G313" s="2">
        <v>8188</v>
      </c>
    </row>
    <row r="314" spans="1:7">
      <c r="A314" s="2" t="s">
        <v>76</v>
      </c>
      <c r="B314" s="3" t="s">
        <v>8</v>
      </c>
      <c r="C314" s="2">
        <v>9507</v>
      </c>
      <c r="D314" s="2">
        <v>81.599999999999994</v>
      </c>
      <c r="E314" s="2">
        <v>-0.46400000000000002</v>
      </c>
      <c r="F314" s="2">
        <v>14298</v>
      </c>
      <c r="G314" s="2">
        <v>8191</v>
      </c>
    </row>
    <row r="315" spans="1:7">
      <c r="A315" s="2" t="s">
        <v>76</v>
      </c>
      <c r="B315" s="3" t="s">
        <v>9</v>
      </c>
      <c r="C315" s="2">
        <v>9947</v>
      </c>
      <c r="D315" s="2">
        <v>81.8</v>
      </c>
      <c r="E315" s="2">
        <v>-0.44800000000000001</v>
      </c>
      <c r="F315" s="2">
        <v>13763</v>
      </c>
      <c r="G315" s="2">
        <v>8199</v>
      </c>
    </row>
    <row r="316" spans="1:7">
      <c r="A316" s="2" t="s">
        <v>76</v>
      </c>
      <c r="B316" s="3" t="s">
        <v>10</v>
      </c>
      <c r="C316" s="2">
        <v>12673</v>
      </c>
      <c r="D316" s="2">
        <v>82.1</v>
      </c>
      <c r="E316" s="2">
        <v>-0.443</v>
      </c>
      <c r="F316" s="2">
        <v>10517</v>
      </c>
      <c r="G316" s="2">
        <v>8061</v>
      </c>
    </row>
    <row r="317" spans="1:7">
      <c r="A317" s="2" t="s">
        <v>76</v>
      </c>
      <c r="B317" s="3" t="s">
        <v>11</v>
      </c>
      <c r="C317" s="2">
        <v>12779</v>
      </c>
      <c r="D317" s="2">
        <v>82.4</v>
      </c>
      <c r="E317" s="2">
        <v>-0.432</v>
      </c>
      <c r="F317" s="2">
        <v>9496</v>
      </c>
      <c r="G317" s="2">
        <v>7538</v>
      </c>
    </row>
    <row r="318" spans="1:7">
      <c r="A318" s="2" t="s">
        <v>76</v>
      </c>
      <c r="B318" s="3" t="s">
        <v>12</v>
      </c>
      <c r="C318" s="2">
        <v>21165</v>
      </c>
      <c r="D318" s="2">
        <v>82.4</v>
      </c>
      <c r="E318" s="2">
        <v>-0.43099999999999999</v>
      </c>
      <c r="F318" s="2">
        <v>2307</v>
      </c>
      <c r="G318" s="2">
        <v>8105</v>
      </c>
    </row>
    <row r="319" spans="1:7">
      <c r="A319" s="2" t="s">
        <v>76</v>
      </c>
      <c r="B319" s="3" t="s">
        <v>13</v>
      </c>
      <c r="C319" s="2">
        <v>20411</v>
      </c>
      <c r="D319" s="2">
        <v>82.5</v>
      </c>
      <c r="E319" s="2">
        <v>-0.42199999999999999</v>
      </c>
      <c r="F319" s="2">
        <v>2464</v>
      </c>
      <c r="G319" s="2">
        <v>7880</v>
      </c>
    </row>
    <row r="320" spans="1:7">
      <c r="A320" s="2" t="s">
        <v>76</v>
      </c>
      <c r="B320" s="3" t="s">
        <v>14</v>
      </c>
      <c r="C320" s="2">
        <v>20945</v>
      </c>
      <c r="D320" s="2">
        <v>82.5</v>
      </c>
      <c r="E320" s="2">
        <v>-0.434</v>
      </c>
      <c r="F320" s="2">
        <v>3232</v>
      </c>
      <c r="G320" s="2">
        <v>8184</v>
      </c>
    </row>
    <row r="321" spans="1:7">
      <c r="A321" s="2" t="s">
        <v>76</v>
      </c>
      <c r="B321" s="3" t="s">
        <v>15</v>
      </c>
      <c r="C321" s="2">
        <v>18507</v>
      </c>
      <c r="D321" s="2">
        <v>82.6</v>
      </c>
      <c r="E321" s="2">
        <v>-0.42799999999999999</v>
      </c>
      <c r="F321" s="2">
        <v>5439</v>
      </c>
      <c r="G321" s="2">
        <v>7867</v>
      </c>
    </row>
    <row r="322" spans="1:7">
      <c r="A322" s="2" t="s">
        <v>76</v>
      </c>
      <c r="B322" s="3" t="s">
        <v>16</v>
      </c>
      <c r="C322" s="2">
        <v>19653</v>
      </c>
      <c r="D322" s="2">
        <v>82.7</v>
      </c>
      <c r="E322" s="2">
        <v>-0.42099999999999999</v>
      </c>
      <c r="F322" s="2">
        <v>4508</v>
      </c>
      <c r="G322" s="2">
        <v>8192</v>
      </c>
    </row>
    <row r="323" spans="1:7">
      <c r="A323" s="2" t="s">
        <v>76</v>
      </c>
      <c r="B323" s="3" t="s">
        <v>17</v>
      </c>
      <c r="C323" s="2">
        <v>19318</v>
      </c>
      <c r="D323" s="2">
        <v>83</v>
      </c>
      <c r="E323" s="2">
        <v>-0.42499999999999999</v>
      </c>
      <c r="F323" s="2">
        <v>5639</v>
      </c>
      <c r="G323" s="2">
        <v>8202</v>
      </c>
    </row>
    <row r="324" spans="1:7">
      <c r="A324" s="2" t="s">
        <v>76</v>
      </c>
      <c r="B324" s="3" t="s">
        <v>18</v>
      </c>
      <c r="C324" s="2">
        <v>17104</v>
      </c>
      <c r="D324" s="2">
        <v>81.3</v>
      </c>
      <c r="E324" s="2">
        <v>-0.443</v>
      </c>
      <c r="F324" s="2">
        <v>5489</v>
      </c>
      <c r="G324" s="2">
        <v>7940</v>
      </c>
    </row>
    <row r="325" spans="1:7">
      <c r="A325" s="2" t="s">
        <v>76</v>
      </c>
      <c r="B325" s="3" t="s">
        <v>19</v>
      </c>
      <c r="C325" s="2">
        <v>17008</v>
      </c>
      <c r="D325" s="2">
        <v>81.7</v>
      </c>
      <c r="E325" s="2">
        <v>-0.435</v>
      </c>
      <c r="F325" s="2">
        <v>6590</v>
      </c>
      <c r="G325" s="2">
        <v>8078</v>
      </c>
    </row>
    <row r="326" spans="1:7">
      <c r="A326" s="2" t="s">
        <v>76</v>
      </c>
      <c r="B326" s="3" t="s">
        <v>20</v>
      </c>
      <c r="C326" s="2">
        <v>16627</v>
      </c>
      <c r="D326" s="2">
        <v>80.599999999999994</v>
      </c>
      <c r="E326" s="2">
        <v>-0.45500000000000002</v>
      </c>
      <c r="F326" s="2">
        <v>6680</v>
      </c>
      <c r="G326" s="2">
        <v>8186</v>
      </c>
    </row>
    <row r="327" spans="1:7">
      <c r="A327" s="2" t="s">
        <v>76</v>
      </c>
      <c r="B327" s="3" t="s">
        <v>21</v>
      </c>
      <c r="C327" s="2">
        <v>16529</v>
      </c>
      <c r="D327" s="2">
        <v>80.2</v>
      </c>
      <c r="E327" s="2">
        <v>-0.45900000000000002</v>
      </c>
      <c r="F327" s="2">
        <v>6321</v>
      </c>
      <c r="G327" s="2">
        <v>8204</v>
      </c>
    </row>
    <row r="328" spans="1:7">
      <c r="A328" s="2" t="s">
        <v>76</v>
      </c>
      <c r="B328" s="3" t="s">
        <v>22</v>
      </c>
      <c r="C328" s="2">
        <v>16332</v>
      </c>
      <c r="D328" s="2">
        <v>79.900000000000006</v>
      </c>
      <c r="E328" s="2">
        <v>-0.47899999999999998</v>
      </c>
      <c r="F328" s="2">
        <v>7285</v>
      </c>
      <c r="G328" s="2">
        <v>8201</v>
      </c>
    </row>
    <row r="329" spans="1:7">
      <c r="A329" s="2" t="s">
        <v>76</v>
      </c>
      <c r="B329" s="3" t="s">
        <v>23</v>
      </c>
      <c r="C329" s="2">
        <v>16589</v>
      </c>
      <c r="D329" s="2">
        <v>80.5</v>
      </c>
      <c r="E329" s="2">
        <v>-0.46400000000000002</v>
      </c>
      <c r="F329" s="2">
        <v>7327</v>
      </c>
      <c r="G329" s="2">
        <v>8174</v>
      </c>
    </row>
    <row r="330" spans="1:7">
      <c r="A330" s="2" t="s">
        <v>76</v>
      </c>
      <c r="B330" s="3" t="s">
        <v>24</v>
      </c>
      <c r="C330" s="2">
        <v>16785</v>
      </c>
      <c r="D330" s="2">
        <v>80.400000000000006</v>
      </c>
      <c r="E330" s="2">
        <v>-0.46500000000000002</v>
      </c>
      <c r="F330" s="2">
        <v>6557</v>
      </c>
      <c r="G330" s="2">
        <v>8201</v>
      </c>
    </row>
    <row r="331" spans="1:7">
      <c r="A331" s="2" t="s">
        <v>76</v>
      </c>
      <c r="B331" s="3" t="s">
        <v>25</v>
      </c>
      <c r="C331" s="2">
        <v>17752</v>
      </c>
      <c r="D331" s="2">
        <v>80.5</v>
      </c>
      <c r="E331" s="2">
        <v>-0.46700000000000003</v>
      </c>
      <c r="F331" s="2">
        <v>5239</v>
      </c>
      <c r="G331" s="2">
        <v>7953</v>
      </c>
    </row>
    <row r="332" spans="1:7">
      <c r="A332" s="2" t="s">
        <v>76</v>
      </c>
      <c r="B332" s="3" t="s">
        <v>26</v>
      </c>
      <c r="C332" s="2">
        <v>17722</v>
      </c>
      <c r="D332" s="2">
        <v>80.400000000000006</v>
      </c>
      <c r="E332" s="2">
        <v>-0.47099999999999997</v>
      </c>
      <c r="F332" s="2">
        <v>6111</v>
      </c>
      <c r="G332" s="2">
        <v>8203</v>
      </c>
    </row>
    <row r="333" spans="1:7">
      <c r="A333" s="2" t="s">
        <v>76</v>
      </c>
      <c r="B333" s="3" t="s">
        <v>27</v>
      </c>
      <c r="C333" s="2">
        <v>17502</v>
      </c>
      <c r="D333" s="2">
        <v>80.400000000000006</v>
      </c>
      <c r="E333" s="2">
        <v>-0.45900000000000002</v>
      </c>
      <c r="F333" s="2">
        <v>5634</v>
      </c>
      <c r="G333" s="2">
        <v>8192</v>
      </c>
    </row>
    <row r="334" spans="1:7">
      <c r="A334" s="2" t="s">
        <v>76</v>
      </c>
      <c r="B334" s="3" t="s">
        <v>28</v>
      </c>
      <c r="C334" s="2">
        <v>18057</v>
      </c>
      <c r="D334" s="2">
        <v>80.400000000000006</v>
      </c>
      <c r="E334" s="2">
        <v>-0.46500000000000002</v>
      </c>
      <c r="F334" s="2">
        <v>5087</v>
      </c>
      <c r="G334" s="2">
        <v>8197</v>
      </c>
    </row>
    <row r="335" spans="1:7">
      <c r="A335" s="2" t="s">
        <v>76</v>
      </c>
      <c r="B335" s="3" t="s">
        <v>29</v>
      </c>
      <c r="C335" s="2">
        <v>18531</v>
      </c>
      <c r="D335" s="2">
        <v>81.2</v>
      </c>
      <c r="E335" s="2">
        <v>-0.44700000000000001</v>
      </c>
      <c r="F335" s="2">
        <v>4974</v>
      </c>
      <c r="G335" s="2">
        <v>8205</v>
      </c>
    </row>
    <row r="336" spans="1:7">
      <c r="A336" s="2" t="s">
        <v>76</v>
      </c>
      <c r="B336" s="3" t="s">
        <v>30</v>
      </c>
      <c r="C336" s="2">
        <v>17432</v>
      </c>
      <c r="D336" s="2">
        <v>81</v>
      </c>
      <c r="E336" s="2">
        <v>-0.46200000000000002</v>
      </c>
      <c r="F336" s="2">
        <v>6090</v>
      </c>
      <c r="G336" s="2">
        <v>8199</v>
      </c>
    </row>
    <row r="337" spans="1:7">
      <c r="A337" s="2" t="s">
        <v>76</v>
      </c>
      <c r="B337" s="3" t="s">
        <v>31</v>
      </c>
      <c r="C337" s="2">
        <v>9295</v>
      </c>
      <c r="D337" s="2">
        <v>80.599999999999994</v>
      </c>
      <c r="E337" s="2">
        <v>-0.47099999999999997</v>
      </c>
      <c r="F337" s="2">
        <v>14382</v>
      </c>
      <c r="G337" s="2">
        <v>8204</v>
      </c>
    </row>
    <row r="338" spans="1:7">
      <c r="A338" s="2" t="s">
        <v>77</v>
      </c>
      <c r="B338" s="3" t="s">
        <v>8</v>
      </c>
      <c r="C338" s="2">
        <v>9081</v>
      </c>
      <c r="D338" s="2">
        <v>80.8</v>
      </c>
      <c r="E338" s="2">
        <v>-0.46100000000000002</v>
      </c>
      <c r="F338" s="2">
        <v>14006</v>
      </c>
      <c r="G338" s="2">
        <v>8189</v>
      </c>
    </row>
    <row r="339" spans="1:7">
      <c r="A339" s="2" t="s">
        <v>77</v>
      </c>
      <c r="B339" s="3" t="s">
        <v>9</v>
      </c>
      <c r="C339" s="2">
        <v>10650</v>
      </c>
      <c r="D339" s="2">
        <v>81.3</v>
      </c>
      <c r="E339" s="2">
        <v>-0.45400000000000001</v>
      </c>
      <c r="F339" s="2">
        <v>12493</v>
      </c>
      <c r="G339" s="2">
        <v>8197</v>
      </c>
    </row>
    <row r="340" spans="1:7">
      <c r="A340" s="2" t="s">
        <v>77</v>
      </c>
      <c r="B340" s="3" t="s">
        <v>10</v>
      </c>
      <c r="C340" s="2">
        <v>12278</v>
      </c>
      <c r="D340" s="2">
        <v>80.900000000000006</v>
      </c>
      <c r="E340" s="2">
        <v>-0.47299999999999998</v>
      </c>
      <c r="F340" s="2">
        <v>11635</v>
      </c>
      <c r="G340" s="2">
        <v>8124</v>
      </c>
    </row>
    <row r="341" spans="1:7">
      <c r="A341" s="2" t="s">
        <v>77</v>
      </c>
      <c r="B341" s="3" t="s">
        <v>11</v>
      </c>
      <c r="C341" s="2">
        <v>12082</v>
      </c>
      <c r="D341" s="2">
        <v>80.8</v>
      </c>
      <c r="E341" s="2">
        <v>-0.47499999999999998</v>
      </c>
      <c r="F341" s="2">
        <v>11619</v>
      </c>
      <c r="G341" s="2">
        <v>8086</v>
      </c>
    </row>
    <row r="342" spans="1:7">
      <c r="A342" s="2" t="s">
        <v>77</v>
      </c>
      <c r="B342" s="3" t="s">
        <v>12</v>
      </c>
      <c r="C342" s="2">
        <v>21668</v>
      </c>
      <c r="D342" s="2">
        <v>81.400000000000006</v>
      </c>
      <c r="E342" s="2">
        <v>-0.45300000000000001</v>
      </c>
      <c r="F342" s="2">
        <v>1847</v>
      </c>
      <c r="G342" s="2">
        <v>8197</v>
      </c>
    </row>
    <row r="343" spans="1:7">
      <c r="A343" s="2" t="s">
        <v>77</v>
      </c>
      <c r="B343" s="3" t="s">
        <v>13</v>
      </c>
      <c r="C343" s="2">
        <v>19930</v>
      </c>
      <c r="D343" s="2">
        <v>80.900000000000006</v>
      </c>
      <c r="E343" s="2">
        <v>-0.47799999999999998</v>
      </c>
      <c r="F343" s="2">
        <v>4929</v>
      </c>
      <c r="G343" s="2">
        <v>8212</v>
      </c>
    </row>
    <row r="344" spans="1:7">
      <c r="A344" s="2" t="s">
        <v>77</v>
      </c>
      <c r="B344" s="3" t="s">
        <v>14</v>
      </c>
      <c r="C344" s="2">
        <v>21375</v>
      </c>
      <c r="D344" s="2">
        <v>81.7</v>
      </c>
      <c r="E344" s="2">
        <v>-0.44800000000000001</v>
      </c>
      <c r="F344" s="2">
        <v>2317</v>
      </c>
      <c r="G344" s="2">
        <v>8196</v>
      </c>
    </row>
    <row r="345" spans="1:7">
      <c r="A345" s="2" t="s">
        <v>77</v>
      </c>
      <c r="B345" s="3" t="s">
        <v>15</v>
      </c>
      <c r="C345" s="2">
        <v>19648</v>
      </c>
      <c r="D345" s="2">
        <v>82</v>
      </c>
      <c r="E345" s="2">
        <v>-0.436</v>
      </c>
      <c r="F345" s="2">
        <v>4535</v>
      </c>
      <c r="G345" s="2">
        <v>8209</v>
      </c>
    </row>
    <row r="346" spans="1:7">
      <c r="A346" s="2" t="s">
        <v>77</v>
      </c>
      <c r="B346" s="3" t="s">
        <v>16</v>
      </c>
      <c r="C346" s="2">
        <v>18941</v>
      </c>
      <c r="D346" s="2">
        <v>81.8</v>
      </c>
      <c r="E346" s="2">
        <v>-0.44500000000000001</v>
      </c>
      <c r="F346" s="2">
        <v>4999</v>
      </c>
      <c r="G346" s="2">
        <v>8209</v>
      </c>
    </row>
    <row r="347" spans="1:7">
      <c r="A347" s="2" t="s">
        <v>77</v>
      </c>
      <c r="B347" s="3" t="s">
        <v>17</v>
      </c>
      <c r="C347" s="2">
        <v>19034</v>
      </c>
      <c r="D347" s="2">
        <v>81.900000000000006</v>
      </c>
      <c r="E347" s="2">
        <v>-0.441</v>
      </c>
      <c r="F347" s="2">
        <v>4041</v>
      </c>
      <c r="G347" s="2">
        <v>8201</v>
      </c>
    </row>
    <row r="348" spans="1:7">
      <c r="A348" s="2" t="s">
        <v>77</v>
      </c>
      <c r="B348" s="3" t="s">
        <v>18</v>
      </c>
      <c r="C348" s="2">
        <v>18769</v>
      </c>
      <c r="D348" s="2">
        <v>82.3</v>
      </c>
      <c r="E348" s="2">
        <v>-0.434</v>
      </c>
      <c r="F348" s="2">
        <v>4437</v>
      </c>
      <c r="G348" s="2">
        <v>8195</v>
      </c>
    </row>
    <row r="349" spans="1:7">
      <c r="A349" s="2" t="s">
        <v>77</v>
      </c>
      <c r="B349" s="3" t="s">
        <v>19</v>
      </c>
      <c r="C349" s="2">
        <v>18976</v>
      </c>
      <c r="D349" s="2">
        <v>82.2</v>
      </c>
      <c r="E349" s="2">
        <v>-0.439</v>
      </c>
      <c r="F349" s="2">
        <v>5291</v>
      </c>
      <c r="G349" s="2">
        <v>8200</v>
      </c>
    </row>
    <row r="350" spans="1:7">
      <c r="A350" s="2" t="s">
        <v>77</v>
      </c>
      <c r="B350" s="3" t="s">
        <v>20</v>
      </c>
      <c r="C350" s="2">
        <v>18353</v>
      </c>
      <c r="D350" s="2">
        <v>81.8</v>
      </c>
      <c r="E350" s="2">
        <v>-0.441</v>
      </c>
      <c r="F350" s="2">
        <v>5110</v>
      </c>
      <c r="G350" s="2">
        <v>8199</v>
      </c>
    </row>
    <row r="351" spans="1:7">
      <c r="A351" s="2" t="s">
        <v>77</v>
      </c>
      <c r="B351" s="3" t="s">
        <v>21</v>
      </c>
      <c r="C351" s="2">
        <v>18459</v>
      </c>
      <c r="D351" s="2">
        <v>81.5</v>
      </c>
      <c r="E351" s="2">
        <v>-0.443</v>
      </c>
      <c r="F351" s="2">
        <v>3951</v>
      </c>
      <c r="G351" s="2">
        <v>8190</v>
      </c>
    </row>
    <row r="352" spans="1:7">
      <c r="A352" s="2" t="s">
        <v>77</v>
      </c>
      <c r="B352" s="3" t="s">
        <v>22</v>
      </c>
      <c r="C352" s="2">
        <v>19356</v>
      </c>
      <c r="D352" s="2">
        <v>81.8</v>
      </c>
      <c r="E352" s="2">
        <v>-0.45200000000000001</v>
      </c>
      <c r="F352" s="2">
        <v>4477</v>
      </c>
      <c r="G352" s="2">
        <v>8185</v>
      </c>
    </row>
    <row r="353" spans="1:7">
      <c r="A353" s="2" t="s">
        <v>77</v>
      </c>
      <c r="B353" s="3" t="s">
        <v>23</v>
      </c>
      <c r="C353" s="2">
        <v>18970</v>
      </c>
      <c r="D353" s="2">
        <v>82.2</v>
      </c>
      <c r="E353" s="2">
        <v>-0.44</v>
      </c>
      <c r="F353" s="2">
        <v>4413</v>
      </c>
      <c r="G353" s="2">
        <v>8126</v>
      </c>
    </row>
    <row r="354" spans="1:7">
      <c r="A354" s="2" t="s">
        <v>77</v>
      </c>
      <c r="B354" s="3" t="s">
        <v>24</v>
      </c>
      <c r="C354" s="2">
        <v>19857</v>
      </c>
      <c r="D354" s="2">
        <v>82.6</v>
      </c>
      <c r="E354" s="2">
        <v>-0.42499999999999999</v>
      </c>
      <c r="F354" s="2">
        <v>3823</v>
      </c>
      <c r="G354" s="2">
        <v>8157</v>
      </c>
    </row>
    <row r="355" spans="1:7">
      <c r="A355" s="2" t="s">
        <v>77</v>
      </c>
      <c r="B355" s="3" t="s">
        <v>25</v>
      </c>
      <c r="C355" s="2">
        <v>18206</v>
      </c>
      <c r="D355" s="2">
        <v>81.3</v>
      </c>
      <c r="E355" s="2">
        <v>-0.44700000000000001</v>
      </c>
      <c r="F355" s="2">
        <v>3645</v>
      </c>
      <c r="G355" s="2">
        <v>8180</v>
      </c>
    </row>
    <row r="356" spans="1:7">
      <c r="A356" s="2" t="s">
        <v>77</v>
      </c>
      <c r="B356" s="3" t="s">
        <v>26</v>
      </c>
      <c r="C356" s="2">
        <v>20179</v>
      </c>
      <c r="D356" s="2">
        <v>83.2</v>
      </c>
      <c r="E356" s="2">
        <v>-0.42099999999999999</v>
      </c>
      <c r="F356" s="2">
        <v>2273</v>
      </c>
      <c r="G356" s="2">
        <v>7739</v>
      </c>
    </row>
    <row r="357" spans="1:7">
      <c r="A357" s="2" t="s">
        <v>77</v>
      </c>
      <c r="B357" s="3" t="s">
        <v>27</v>
      </c>
      <c r="C357" s="2">
        <v>22350</v>
      </c>
      <c r="D357" s="2">
        <v>84.4</v>
      </c>
      <c r="E357" s="2">
        <v>-0.40600000000000003</v>
      </c>
      <c r="F357" s="2">
        <v>2767</v>
      </c>
      <c r="G357" s="2">
        <v>8201</v>
      </c>
    </row>
    <row r="358" spans="1:7">
      <c r="A358" s="2" t="s">
        <v>77</v>
      </c>
      <c r="B358" s="3" t="s">
        <v>28</v>
      </c>
      <c r="C358" s="2">
        <v>20874</v>
      </c>
      <c r="D358" s="2">
        <v>84.2</v>
      </c>
      <c r="E358" s="2">
        <v>-0.40200000000000002</v>
      </c>
      <c r="F358" s="2">
        <v>2703</v>
      </c>
      <c r="G358" s="2">
        <v>8136</v>
      </c>
    </row>
    <row r="359" spans="1:7">
      <c r="A359" s="2" t="s">
        <v>77</v>
      </c>
      <c r="B359" s="3" t="s">
        <v>29</v>
      </c>
      <c r="C359" s="2">
        <v>20576</v>
      </c>
      <c r="D359" s="2">
        <v>84.1</v>
      </c>
      <c r="E359" s="2">
        <v>-0.40899999999999997</v>
      </c>
      <c r="F359" s="2">
        <v>3710</v>
      </c>
      <c r="G359" s="2">
        <v>8160</v>
      </c>
    </row>
    <row r="360" spans="1:7">
      <c r="A360" s="2" t="s">
        <v>77</v>
      </c>
      <c r="B360" s="3" t="s">
        <v>30</v>
      </c>
      <c r="C360" s="2">
        <v>18421</v>
      </c>
      <c r="D360" s="2">
        <v>84</v>
      </c>
      <c r="E360" s="2">
        <v>-0.39900000000000002</v>
      </c>
      <c r="F360" s="2">
        <v>4557</v>
      </c>
      <c r="G360" s="2">
        <v>8125</v>
      </c>
    </row>
    <row r="361" spans="1:7">
      <c r="A361" s="2" t="s">
        <v>77</v>
      </c>
      <c r="B361" s="3" t="s">
        <v>31</v>
      </c>
      <c r="C361" s="2">
        <v>10657</v>
      </c>
      <c r="D361" s="2">
        <v>84</v>
      </c>
      <c r="E361" s="2">
        <v>-0.42</v>
      </c>
      <c r="F361" s="2">
        <v>13611</v>
      </c>
      <c r="G361" s="2">
        <v>8218</v>
      </c>
    </row>
    <row r="362" spans="1:7">
      <c r="A362" s="2" t="s">
        <v>78</v>
      </c>
      <c r="B362" s="3" t="s">
        <v>8</v>
      </c>
      <c r="C362" s="2">
        <v>10653</v>
      </c>
      <c r="D362" s="2">
        <v>82.8</v>
      </c>
      <c r="E362" s="2">
        <v>-0.436</v>
      </c>
      <c r="F362" s="2">
        <v>13098</v>
      </c>
      <c r="G362" s="2">
        <v>8197</v>
      </c>
    </row>
    <row r="363" spans="1:7">
      <c r="A363" s="2" t="s">
        <v>78</v>
      </c>
      <c r="B363" s="3" t="s">
        <v>9</v>
      </c>
      <c r="C363" s="2">
        <v>13553</v>
      </c>
      <c r="D363" s="2">
        <v>83.2</v>
      </c>
      <c r="E363" s="2">
        <v>-0.436</v>
      </c>
      <c r="F363" s="2">
        <v>10460</v>
      </c>
      <c r="G363" s="2">
        <v>8205</v>
      </c>
    </row>
    <row r="364" spans="1:7">
      <c r="A364" s="2" t="s">
        <v>78</v>
      </c>
      <c r="B364" s="3" t="s">
        <v>10</v>
      </c>
      <c r="C364" s="2">
        <v>15250</v>
      </c>
      <c r="D364" s="2">
        <v>83.5</v>
      </c>
      <c r="E364" s="2">
        <v>-0.42799999999999999</v>
      </c>
      <c r="F364" s="2">
        <v>8613</v>
      </c>
      <c r="G364" s="2">
        <v>8106</v>
      </c>
    </row>
    <row r="365" spans="1:7">
      <c r="A365" s="2" t="s">
        <v>78</v>
      </c>
      <c r="B365" s="3" t="s">
        <v>11</v>
      </c>
      <c r="C365" s="2">
        <v>16007</v>
      </c>
      <c r="D365" s="2">
        <v>84.1</v>
      </c>
      <c r="E365" s="2">
        <v>-0.42</v>
      </c>
      <c r="F365" s="2">
        <v>7936</v>
      </c>
      <c r="G365" s="2">
        <v>8205</v>
      </c>
    </row>
    <row r="366" spans="1:7">
      <c r="A366" s="2" t="s">
        <v>78</v>
      </c>
      <c r="B366" s="3" t="s">
        <v>12</v>
      </c>
      <c r="C366" s="2">
        <v>22165</v>
      </c>
      <c r="D366" s="2">
        <v>84.2</v>
      </c>
      <c r="E366" s="2">
        <v>-0.40400000000000003</v>
      </c>
      <c r="F366" s="2">
        <v>1531</v>
      </c>
      <c r="G366" s="2">
        <v>8187</v>
      </c>
    </row>
    <row r="367" spans="1:7">
      <c r="A367" s="2" t="s">
        <v>78</v>
      </c>
      <c r="B367" s="3" t="s">
        <v>13</v>
      </c>
      <c r="C367" s="2">
        <v>22832</v>
      </c>
      <c r="D367" s="2">
        <v>84.3</v>
      </c>
      <c r="E367" s="2">
        <v>-0.39200000000000002</v>
      </c>
      <c r="F367" s="2">
        <v>1127</v>
      </c>
      <c r="G367" s="2">
        <v>8175</v>
      </c>
    </row>
    <row r="368" spans="1:7">
      <c r="A368" s="2" t="s">
        <v>78</v>
      </c>
      <c r="B368" s="3" t="s">
        <v>14</v>
      </c>
      <c r="C368" s="2">
        <v>23545</v>
      </c>
      <c r="D368" s="2">
        <v>84.8</v>
      </c>
      <c r="E368" s="2">
        <v>-0.39</v>
      </c>
      <c r="F368" s="2">
        <v>71</v>
      </c>
      <c r="G368" s="2">
        <v>8071</v>
      </c>
    </row>
    <row r="369" spans="1:7">
      <c r="A369" s="2" t="s">
        <v>78</v>
      </c>
      <c r="B369" s="3" t="s">
        <v>15</v>
      </c>
      <c r="C369" s="2">
        <v>18867</v>
      </c>
      <c r="D369" s="2">
        <v>84.3</v>
      </c>
      <c r="E369" s="2">
        <v>-0.39400000000000002</v>
      </c>
      <c r="F369" s="2">
        <v>4716</v>
      </c>
      <c r="G369" s="2">
        <v>8182</v>
      </c>
    </row>
    <row r="370" spans="1:7">
      <c r="A370" s="2" t="s">
        <v>78</v>
      </c>
      <c r="B370" s="3" t="s">
        <v>16</v>
      </c>
      <c r="C370" s="2">
        <v>20332</v>
      </c>
      <c r="D370" s="2">
        <v>84.5</v>
      </c>
      <c r="E370" s="2">
        <v>-0.39400000000000002</v>
      </c>
      <c r="F370" s="2">
        <v>3742</v>
      </c>
      <c r="G370" s="2">
        <v>8183</v>
      </c>
    </row>
    <row r="371" spans="1:7">
      <c r="A371" s="2" t="s">
        <v>78</v>
      </c>
      <c r="B371" s="3" t="s">
        <v>17</v>
      </c>
      <c r="C371" s="2">
        <v>20875</v>
      </c>
      <c r="D371" s="2">
        <v>84.7</v>
      </c>
      <c r="E371" s="2">
        <v>-0.39100000000000001</v>
      </c>
      <c r="F371" s="2">
        <v>2978</v>
      </c>
      <c r="G371" s="2">
        <v>8182</v>
      </c>
    </row>
    <row r="372" spans="1:7">
      <c r="A372" s="2" t="s">
        <v>78</v>
      </c>
      <c r="B372" s="3" t="s">
        <v>18</v>
      </c>
      <c r="C372" s="2">
        <v>19545</v>
      </c>
      <c r="D372" s="2">
        <v>83.7</v>
      </c>
      <c r="E372" s="2">
        <v>-0.41599999999999998</v>
      </c>
      <c r="F372" s="2">
        <v>4693</v>
      </c>
      <c r="G372" s="2">
        <v>8191</v>
      </c>
    </row>
    <row r="373" spans="1:7">
      <c r="A373" s="2" t="s">
        <v>78</v>
      </c>
      <c r="B373" s="3" t="s">
        <v>19</v>
      </c>
      <c r="C373" s="2">
        <v>18471</v>
      </c>
      <c r="D373" s="2">
        <v>83</v>
      </c>
      <c r="E373" s="2">
        <v>-0.42899999999999999</v>
      </c>
      <c r="F373" s="2">
        <v>5178</v>
      </c>
      <c r="G373" s="2">
        <v>8102</v>
      </c>
    </row>
    <row r="374" spans="1:7">
      <c r="A374" s="2" t="s">
        <v>78</v>
      </c>
      <c r="B374" s="3" t="s">
        <v>20</v>
      </c>
      <c r="C374" s="2">
        <v>18715</v>
      </c>
      <c r="D374" s="2">
        <v>82.4</v>
      </c>
      <c r="E374" s="2">
        <v>-0.441</v>
      </c>
      <c r="F374" s="2">
        <v>5092</v>
      </c>
      <c r="G374" s="2">
        <v>8174</v>
      </c>
    </row>
    <row r="375" spans="1:7">
      <c r="A375" s="2" t="s">
        <v>78</v>
      </c>
      <c r="B375" s="3" t="s">
        <v>21</v>
      </c>
      <c r="C375" s="2">
        <v>17824</v>
      </c>
      <c r="D375" s="2">
        <v>81.5</v>
      </c>
      <c r="E375" s="2">
        <v>-0.44800000000000001</v>
      </c>
      <c r="F375" s="2">
        <v>5417</v>
      </c>
      <c r="G375" s="2">
        <v>8178</v>
      </c>
    </row>
    <row r="376" spans="1:7">
      <c r="A376" s="2" t="s">
        <v>78</v>
      </c>
      <c r="B376" s="3" t="s">
        <v>22</v>
      </c>
      <c r="C376" s="2">
        <v>17400</v>
      </c>
      <c r="D376" s="2">
        <v>81.3</v>
      </c>
      <c r="E376" s="2">
        <v>-0.46600000000000003</v>
      </c>
      <c r="F376" s="2">
        <v>6178</v>
      </c>
      <c r="G376" s="2">
        <v>8197</v>
      </c>
    </row>
    <row r="377" spans="1:7">
      <c r="A377" s="2" t="s">
        <v>78</v>
      </c>
      <c r="B377" s="3" t="s">
        <v>23</v>
      </c>
      <c r="C377" s="2">
        <v>18527</v>
      </c>
      <c r="D377" s="2">
        <v>82.1</v>
      </c>
      <c r="E377" s="2">
        <v>-0.441</v>
      </c>
      <c r="F377" s="2">
        <v>5404</v>
      </c>
      <c r="G377" s="2">
        <v>8219</v>
      </c>
    </row>
    <row r="378" spans="1:7">
      <c r="A378" s="2" t="s">
        <v>78</v>
      </c>
      <c r="B378" s="3" t="s">
        <v>24</v>
      </c>
      <c r="C378" s="2">
        <v>19130</v>
      </c>
      <c r="D378" s="2">
        <v>82.6</v>
      </c>
      <c r="E378" s="2">
        <v>-0.42399999999999999</v>
      </c>
      <c r="F378" s="2">
        <v>4344</v>
      </c>
      <c r="G378" s="2">
        <v>8193</v>
      </c>
    </row>
    <row r="379" spans="1:7">
      <c r="A379" s="2" t="s">
        <v>78</v>
      </c>
      <c r="B379" s="3" t="s">
        <v>25</v>
      </c>
      <c r="C379" s="2">
        <v>20306</v>
      </c>
      <c r="D379" s="2">
        <v>82.6</v>
      </c>
      <c r="E379" s="2">
        <v>-0.42699999999999999</v>
      </c>
      <c r="F379" s="2">
        <v>3365</v>
      </c>
      <c r="G379" s="2">
        <v>8182</v>
      </c>
    </row>
    <row r="380" spans="1:7">
      <c r="A380" s="2" t="s">
        <v>78</v>
      </c>
      <c r="B380" s="3" t="s">
        <v>26</v>
      </c>
      <c r="C380" s="2">
        <v>20100</v>
      </c>
      <c r="D380" s="2">
        <v>83</v>
      </c>
      <c r="E380" s="2">
        <v>-0.42399999999999999</v>
      </c>
      <c r="F380" s="2">
        <v>3649</v>
      </c>
      <c r="G380" s="2">
        <v>8199</v>
      </c>
    </row>
    <row r="381" spans="1:7">
      <c r="A381" s="2" t="s">
        <v>78</v>
      </c>
      <c r="B381" s="3" t="s">
        <v>27</v>
      </c>
      <c r="C381" s="2">
        <v>21400</v>
      </c>
      <c r="D381" s="2">
        <v>83.9</v>
      </c>
      <c r="E381" s="2">
        <v>-0.40300000000000002</v>
      </c>
      <c r="F381" s="2">
        <v>2651</v>
      </c>
      <c r="G381" s="2">
        <v>8195</v>
      </c>
    </row>
    <row r="382" spans="1:7">
      <c r="A382" s="2" t="s">
        <v>78</v>
      </c>
      <c r="B382" s="3" t="s">
        <v>28</v>
      </c>
      <c r="C382" s="2">
        <v>20793</v>
      </c>
      <c r="D382" s="2">
        <v>83.8</v>
      </c>
      <c r="E382" s="2">
        <v>-0.41099999999999998</v>
      </c>
      <c r="F382" s="2">
        <v>3015</v>
      </c>
      <c r="G382" s="2">
        <v>8203</v>
      </c>
    </row>
    <row r="383" spans="1:7">
      <c r="A383" s="2" t="s">
        <v>78</v>
      </c>
      <c r="B383" s="3" t="s">
        <v>29</v>
      </c>
      <c r="C383" s="2">
        <v>21377</v>
      </c>
      <c r="D383" s="2">
        <v>84.5</v>
      </c>
      <c r="E383" s="2">
        <v>-0.39200000000000002</v>
      </c>
      <c r="F383" s="2">
        <v>2680</v>
      </c>
      <c r="G383" s="2">
        <v>8179</v>
      </c>
    </row>
    <row r="384" spans="1:7">
      <c r="A384" s="2" t="s">
        <v>78</v>
      </c>
      <c r="B384" s="3" t="s">
        <v>30</v>
      </c>
      <c r="C384" s="2">
        <v>20642</v>
      </c>
      <c r="D384" s="2">
        <v>85.1</v>
      </c>
      <c r="E384" s="2">
        <v>-0.376</v>
      </c>
      <c r="F384" s="2">
        <v>3574</v>
      </c>
      <c r="G384" s="2">
        <v>8195</v>
      </c>
    </row>
    <row r="385" spans="1:7">
      <c r="A385" s="2" t="s">
        <v>78</v>
      </c>
      <c r="B385" s="3" t="s">
        <v>31</v>
      </c>
      <c r="C385" s="2">
        <v>11255</v>
      </c>
      <c r="D385" s="2">
        <v>84.4</v>
      </c>
      <c r="E385" s="2">
        <v>-0.39200000000000002</v>
      </c>
      <c r="F385" s="2">
        <v>11529</v>
      </c>
      <c r="G385" s="2">
        <v>8130</v>
      </c>
    </row>
    <row r="386" spans="1:7">
      <c r="A386" s="2" t="s">
        <v>79</v>
      </c>
      <c r="B386" s="3" t="s">
        <v>8</v>
      </c>
      <c r="C386" s="2">
        <v>12270</v>
      </c>
      <c r="D386" s="2">
        <v>84.7</v>
      </c>
      <c r="E386" s="2">
        <v>-0.39700000000000002</v>
      </c>
      <c r="F386" s="2">
        <v>11709</v>
      </c>
      <c r="G386" s="2">
        <v>8202</v>
      </c>
    </row>
    <row r="387" spans="1:7">
      <c r="A387" s="2" t="s">
        <v>79</v>
      </c>
      <c r="B387" s="3" t="s">
        <v>9</v>
      </c>
      <c r="C387" s="2">
        <v>13780</v>
      </c>
      <c r="D387" s="2">
        <v>84.6</v>
      </c>
      <c r="E387" s="2">
        <v>-0.39900000000000002</v>
      </c>
      <c r="F387" s="2">
        <v>10131</v>
      </c>
      <c r="G387" s="2">
        <v>8197</v>
      </c>
    </row>
    <row r="388" spans="1:7">
      <c r="A388" s="2" t="s">
        <v>79</v>
      </c>
      <c r="B388" s="3" t="s">
        <v>10</v>
      </c>
      <c r="C388" s="2">
        <v>14299</v>
      </c>
      <c r="D388" s="2">
        <v>84.5</v>
      </c>
      <c r="E388" s="2">
        <v>-0.39500000000000002</v>
      </c>
      <c r="F388" s="2">
        <v>9473</v>
      </c>
      <c r="G388" s="2">
        <v>8198</v>
      </c>
    </row>
    <row r="389" spans="1:7">
      <c r="A389" s="2" t="s">
        <v>79</v>
      </c>
      <c r="B389" s="3" t="s">
        <v>11</v>
      </c>
      <c r="C389" s="2">
        <v>15128</v>
      </c>
      <c r="D389" s="2">
        <v>84.7</v>
      </c>
      <c r="E389" s="2">
        <v>-0.40100000000000002</v>
      </c>
      <c r="F389" s="2">
        <v>8378</v>
      </c>
      <c r="G389" s="2">
        <v>8203</v>
      </c>
    </row>
    <row r="390" spans="1:7">
      <c r="A390" s="2" t="s">
        <v>79</v>
      </c>
      <c r="B390" s="3" t="s">
        <v>12</v>
      </c>
      <c r="C390" s="2">
        <v>21229</v>
      </c>
      <c r="D390" s="2">
        <v>84.7</v>
      </c>
      <c r="E390" s="2">
        <v>-0.39300000000000002</v>
      </c>
      <c r="F390" s="2">
        <v>2835</v>
      </c>
      <c r="G390" s="2">
        <v>8204</v>
      </c>
    </row>
    <row r="391" spans="1:7">
      <c r="A391" s="2" t="s">
        <v>79</v>
      </c>
      <c r="B391" s="3" t="s">
        <v>13</v>
      </c>
      <c r="C391" s="2">
        <v>19719</v>
      </c>
      <c r="D391" s="2">
        <v>83.1</v>
      </c>
      <c r="E391" s="2">
        <v>-0.437</v>
      </c>
      <c r="F391" s="2">
        <v>4659</v>
      </c>
      <c r="G391" s="2">
        <v>8211</v>
      </c>
    </row>
    <row r="392" spans="1:7">
      <c r="A392" s="2" t="s">
        <v>79</v>
      </c>
      <c r="B392" s="3" t="s">
        <v>14</v>
      </c>
      <c r="C392" s="2">
        <v>22201</v>
      </c>
      <c r="D392" s="2">
        <v>84.5</v>
      </c>
      <c r="E392" s="2">
        <v>-0.39100000000000001</v>
      </c>
      <c r="F392" s="2">
        <v>1970</v>
      </c>
      <c r="G392" s="2">
        <v>8199</v>
      </c>
    </row>
    <row r="393" spans="1:7">
      <c r="A393" s="2" t="s">
        <v>79</v>
      </c>
      <c r="B393" s="3" t="s">
        <v>15</v>
      </c>
      <c r="C393" s="2">
        <v>18305</v>
      </c>
      <c r="D393" s="2">
        <v>84.5</v>
      </c>
      <c r="E393" s="2">
        <v>-0.39500000000000002</v>
      </c>
      <c r="F393" s="2">
        <v>5466</v>
      </c>
      <c r="G393" s="2">
        <v>8129</v>
      </c>
    </row>
    <row r="394" spans="1:7">
      <c r="A394" s="2" t="s">
        <v>79</v>
      </c>
      <c r="B394" s="3" t="s">
        <v>16</v>
      </c>
      <c r="C394" s="2">
        <v>20391</v>
      </c>
      <c r="D394" s="2">
        <v>84.6</v>
      </c>
      <c r="E394" s="2">
        <v>-0.39</v>
      </c>
      <c r="F394" s="2">
        <v>2952</v>
      </c>
      <c r="G394" s="2">
        <v>7950</v>
      </c>
    </row>
    <row r="395" spans="1:7">
      <c r="A395" s="2" t="s">
        <v>79</v>
      </c>
      <c r="B395" s="3" t="s">
        <v>17</v>
      </c>
      <c r="C395" s="2">
        <v>21757</v>
      </c>
      <c r="D395" s="2">
        <v>84.8</v>
      </c>
      <c r="E395" s="2">
        <v>-0.38600000000000001</v>
      </c>
      <c r="F395" s="2">
        <v>2412</v>
      </c>
      <c r="G395" s="2">
        <v>8200</v>
      </c>
    </row>
    <row r="396" spans="1:7">
      <c r="A396" s="2" t="s">
        <v>79</v>
      </c>
      <c r="B396" s="3" t="s">
        <v>18</v>
      </c>
      <c r="C396" s="2">
        <v>21041</v>
      </c>
      <c r="D396" s="2">
        <v>84.5</v>
      </c>
      <c r="E396" s="2">
        <v>-0.39</v>
      </c>
      <c r="F396" s="2">
        <v>3199</v>
      </c>
      <c r="G396" s="2">
        <v>8199</v>
      </c>
    </row>
    <row r="397" spans="1:7">
      <c r="A397" s="2" t="s">
        <v>79</v>
      </c>
      <c r="B397" s="3" t="s">
        <v>19</v>
      </c>
      <c r="C397" s="2">
        <v>19338</v>
      </c>
      <c r="D397" s="2">
        <v>84.4</v>
      </c>
      <c r="E397" s="2">
        <v>-0.40100000000000002</v>
      </c>
      <c r="F397" s="2">
        <v>4720</v>
      </c>
      <c r="G397" s="2">
        <v>8183</v>
      </c>
    </row>
    <row r="398" spans="1:7">
      <c r="A398" s="2" t="s">
        <v>79</v>
      </c>
      <c r="B398" s="3" t="s">
        <v>20</v>
      </c>
      <c r="C398" s="2">
        <v>19328</v>
      </c>
      <c r="D398" s="2">
        <v>84.2</v>
      </c>
      <c r="E398" s="2">
        <v>-0.4</v>
      </c>
      <c r="F398" s="2">
        <v>4404</v>
      </c>
      <c r="G398" s="2">
        <v>8210</v>
      </c>
    </row>
    <row r="399" spans="1:7">
      <c r="A399" s="2" t="s">
        <v>79</v>
      </c>
      <c r="B399" s="3" t="s">
        <v>21</v>
      </c>
      <c r="C399" s="2">
        <v>19828</v>
      </c>
      <c r="D399" s="2">
        <v>84.1</v>
      </c>
      <c r="E399" s="2">
        <v>-0.41</v>
      </c>
      <c r="F399" s="2">
        <v>4458</v>
      </c>
      <c r="G399" s="2">
        <v>8207</v>
      </c>
    </row>
    <row r="400" spans="1:7">
      <c r="A400" s="2" t="s">
        <v>79</v>
      </c>
      <c r="B400" s="3" t="s">
        <v>22</v>
      </c>
      <c r="C400" s="2">
        <v>18951</v>
      </c>
      <c r="D400" s="2">
        <v>84.3</v>
      </c>
      <c r="E400" s="2">
        <v>-0.4</v>
      </c>
      <c r="F400" s="2">
        <v>4704</v>
      </c>
      <c r="G400" s="2">
        <v>8207</v>
      </c>
    </row>
    <row r="401" spans="1:7">
      <c r="A401" s="2" t="s">
        <v>79</v>
      </c>
      <c r="B401" s="3" t="s">
        <v>23</v>
      </c>
      <c r="C401" s="2">
        <v>19056</v>
      </c>
      <c r="D401" s="2">
        <v>83.6</v>
      </c>
      <c r="E401" s="2">
        <v>-0.41699999999999998</v>
      </c>
      <c r="F401" s="2">
        <v>4608</v>
      </c>
      <c r="G401" s="2">
        <v>8193</v>
      </c>
    </row>
    <row r="402" spans="1:7">
      <c r="A402" s="2" t="s">
        <v>79</v>
      </c>
      <c r="B402" s="3" t="s">
        <v>24</v>
      </c>
      <c r="C402" s="2">
        <v>21042</v>
      </c>
      <c r="D402" s="2">
        <v>84.7</v>
      </c>
      <c r="E402" s="2">
        <v>-0.39600000000000002</v>
      </c>
      <c r="F402" s="2">
        <v>3468</v>
      </c>
      <c r="G402" s="2">
        <v>8205</v>
      </c>
    </row>
    <row r="403" spans="1:7">
      <c r="A403" s="2" t="s">
        <v>79</v>
      </c>
      <c r="B403" s="3" t="s">
        <v>25</v>
      </c>
      <c r="C403" s="2">
        <v>22057</v>
      </c>
      <c r="D403" s="2">
        <v>84.1</v>
      </c>
      <c r="E403" s="2">
        <v>-0.40200000000000002</v>
      </c>
      <c r="F403" s="2">
        <v>1751</v>
      </c>
      <c r="G403" s="2">
        <v>8185</v>
      </c>
    </row>
    <row r="404" spans="1:7">
      <c r="A404" s="2" t="s">
        <v>79</v>
      </c>
      <c r="B404" s="3" t="s">
        <v>26</v>
      </c>
      <c r="C404" s="2">
        <v>21350</v>
      </c>
      <c r="D404" s="2">
        <v>84.4</v>
      </c>
      <c r="E404" s="2">
        <v>-0.39700000000000002</v>
      </c>
      <c r="F404" s="2">
        <v>2806</v>
      </c>
      <c r="G404" s="2">
        <v>8187</v>
      </c>
    </row>
    <row r="405" spans="1:7">
      <c r="A405" s="2" t="s">
        <v>79</v>
      </c>
      <c r="B405" s="3" t="s">
        <v>27</v>
      </c>
      <c r="C405" s="2">
        <v>22047</v>
      </c>
      <c r="D405" s="2">
        <v>84.6</v>
      </c>
      <c r="E405" s="2">
        <v>-0.39700000000000002</v>
      </c>
      <c r="F405" s="2">
        <v>2198</v>
      </c>
      <c r="G405" s="2">
        <v>8196</v>
      </c>
    </row>
    <row r="406" spans="1:7">
      <c r="A406" s="2" t="s">
        <v>79</v>
      </c>
      <c r="B406" s="3" t="s">
        <v>28</v>
      </c>
      <c r="C406" s="2">
        <v>22043</v>
      </c>
      <c r="D406" s="2">
        <v>84.4</v>
      </c>
      <c r="E406" s="2">
        <v>-0.39600000000000002</v>
      </c>
      <c r="F406" s="2">
        <v>1626</v>
      </c>
      <c r="G406" s="2">
        <v>8199</v>
      </c>
    </row>
    <row r="407" spans="1:7">
      <c r="A407" s="2" t="s">
        <v>79</v>
      </c>
      <c r="B407" s="3" t="s">
        <v>29</v>
      </c>
      <c r="C407" s="2">
        <v>22192</v>
      </c>
      <c r="D407" s="2">
        <v>84.6</v>
      </c>
      <c r="E407" s="2">
        <v>-0.39600000000000002</v>
      </c>
      <c r="F407" s="2">
        <v>1770</v>
      </c>
      <c r="G407" s="2">
        <v>8183</v>
      </c>
    </row>
    <row r="408" spans="1:7">
      <c r="A408" s="2" t="s">
        <v>79</v>
      </c>
      <c r="B408" s="3" t="s">
        <v>30</v>
      </c>
      <c r="C408" s="2">
        <v>20788</v>
      </c>
      <c r="D408" s="2">
        <v>84.6</v>
      </c>
      <c r="E408" s="2">
        <v>-0.4</v>
      </c>
      <c r="F408" s="2">
        <v>3476</v>
      </c>
      <c r="G408" s="2">
        <v>8213</v>
      </c>
    </row>
    <row r="409" spans="1:7">
      <c r="A409" s="2" t="s">
        <v>79</v>
      </c>
      <c r="B409" s="3" t="s">
        <v>31</v>
      </c>
      <c r="C409" s="2">
        <v>14188</v>
      </c>
      <c r="D409" s="2">
        <v>84.7</v>
      </c>
      <c r="E409" s="2">
        <v>-0.40200000000000002</v>
      </c>
      <c r="F409" s="2">
        <v>10031</v>
      </c>
      <c r="G409" s="2">
        <v>8198</v>
      </c>
    </row>
    <row r="410" spans="1:7">
      <c r="A410" s="2" t="s">
        <v>80</v>
      </c>
      <c r="B410" s="3" t="s">
        <v>8</v>
      </c>
      <c r="C410" s="2">
        <v>14828</v>
      </c>
      <c r="D410" s="2">
        <v>85</v>
      </c>
      <c r="E410" s="2">
        <v>-0.39</v>
      </c>
      <c r="F410" s="2">
        <v>8641</v>
      </c>
      <c r="G410" s="2">
        <v>8172</v>
      </c>
    </row>
    <row r="411" spans="1:7">
      <c r="A411" s="2" t="s">
        <v>80</v>
      </c>
      <c r="B411" s="3" t="s">
        <v>9</v>
      </c>
      <c r="C411" s="2">
        <v>16635</v>
      </c>
      <c r="D411" s="2">
        <v>86</v>
      </c>
      <c r="E411" s="2">
        <v>-0.376</v>
      </c>
      <c r="F411" s="2">
        <v>7491</v>
      </c>
      <c r="G411" s="2">
        <v>8208</v>
      </c>
    </row>
    <row r="412" spans="1:7">
      <c r="A412" s="2" t="s">
        <v>80</v>
      </c>
      <c r="B412" s="3" t="s">
        <v>10</v>
      </c>
      <c r="C412" s="2">
        <v>17346</v>
      </c>
      <c r="D412" s="2">
        <v>86</v>
      </c>
      <c r="E412" s="2">
        <v>-0.373</v>
      </c>
      <c r="F412" s="2">
        <v>6871</v>
      </c>
      <c r="G412" s="2">
        <v>8191</v>
      </c>
    </row>
    <row r="413" spans="1:7">
      <c r="A413" s="2" t="s">
        <v>80</v>
      </c>
      <c r="B413" s="3" t="s">
        <v>11</v>
      </c>
      <c r="C413" s="2">
        <v>18350</v>
      </c>
      <c r="D413" s="2">
        <v>86</v>
      </c>
      <c r="E413" s="2">
        <v>-0.36899999999999999</v>
      </c>
      <c r="F413" s="2">
        <v>5767</v>
      </c>
      <c r="G413" s="2">
        <v>8196</v>
      </c>
    </row>
    <row r="414" spans="1:7">
      <c r="A414" s="2" t="s">
        <v>80</v>
      </c>
      <c r="B414" s="3" t="s">
        <v>12</v>
      </c>
      <c r="C414" s="2">
        <v>21955</v>
      </c>
      <c r="D414" s="2">
        <v>85.5</v>
      </c>
      <c r="E414" s="2">
        <v>-0.39</v>
      </c>
      <c r="F414" s="2">
        <v>2446</v>
      </c>
      <c r="G414" s="2">
        <v>8200</v>
      </c>
    </row>
    <row r="415" spans="1:7">
      <c r="A415" s="2" t="s">
        <v>80</v>
      </c>
      <c r="B415" s="3" t="s">
        <v>13</v>
      </c>
      <c r="C415" s="2">
        <v>23811</v>
      </c>
      <c r="D415" s="2">
        <v>85.8</v>
      </c>
      <c r="E415" s="2">
        <v>-0.372</v>
      </c>
      <c r="F415" s="2">
        <v>471</v>
      </c>
      <c r="G415" s="2">
        <v>8198</v>
      </c>
    </row>
    <row r="416" spans="1:7">
      <c r="A416" s="2" t="s">
        <v>80</v>
      </c>
      <c r="B416" s="3" t="s">
        <v>14</v>
      </c>
      <c r="C416" s="2">
        <v>23186</v>
      </c>
      <c r="D416" s="2">
        <v>85.9</v>
      </c>
      <c r="E416" s="2">
        <v>-0.36899999999999999</v>
      </c>
      <c r="F416" s="2">
        <v>771</v>
      </c>
      <c r="G416" s="2">
        <v>8209</v>
      </c>
    </row>
    <row r="417" spans="1:7">
      <c r="A417" s="2" t="s">
        <v>80</v>
      </c>
      <c r="B417" s="3" t="s">
        <v>15</v>
      </c>
      <c r="C417" s="2">
        <v>22638</v>
      </c>
      <c r="D417" s="2">
        <v>85.8</v>
      </c>
      <c r="E417" s="2">
        <v>-0.371</v>
      </c>
      <c r="F417" s="2">
        <v>1562</v>
      </c>
      <c r="G417" s="2">
        <v>8192</v>
      </c>
    </row>
    <row r="418" spans="1:7">
      <c r="A418" s="2" t="s">
        <v>80</v>
      </c>
      <c r="B418" s="3" t="s">
        <v>16</v>
      </c>
      <c r="C418" s="2">
        <v>23381</v>
      </c>
      <c r="D418" s="2">
        <v>85.9</v>
      </c>
      <c r="E418" s="2">
        <v>-0.36899999999999999</v>
      </c>
      <c r="F418" s="2">
        <v>712</v>
      </c>
      <c r="G418" s="2">
        <v>8200</v>
      </c>
    </row>
    <row r="419" spans="1:7">
      <c r="A419" s="2" t="s">
        <v>80</v>
      </c>
      <c r="B419" s="3" t="s">
        <v>17</v>
      </c>
      <c r="C419" s="2">
        <v>24076</v>
      </c>
      <c r="D419" s="2">
        <v>87.3</v>
      </c>
      <c r="E419" s="2">
        <v>-0.34100000000000003</v>
      </c>
      <c r="F419" s="2">
        <v>38</v>
      </c>
      <c r="G419" s="2">
        <v>8119</v>
      </c>
    </row>
    <row r="420" spans="1:7">
      <c r="A420" s="2" t="s">
        <v>80</v>
      </c>
      <c r="B420" s="3" t="s">
        <v>18</v>
      </c>
      <c r="C420" s="2">
        <v>22614</v>
      </c>
      <c r="D420" s="2">
        <v>86.2</v>
      </c>
      <c r="E420" s="2">
        <v>-0.36199999999999999</v>
      </c>
      <c r="F420" s="2">
        <v>1092</v>
      </c>
      <c r="G420" s="2">
        <v>7961</v>
      </c>
    </row>
    <row r="421" spans="1:7">
      <c r="A421" s="2" t="s">
        <v>80</v>
      </c>
      <c r="B421" s="3" t="s">
        <v>19</v>
      </c>
      <c r="C421" s="2">
        <v>21918</v>
      </c>
      <c r="D421" s="2">
        <v>86.3</v>
      </c>
      <c r="E421" s="2">
        <v>-0.35599999999999998</v>
      </c>
      <c r="F421" s="2">
        <v>1572</v>
      </c>
      <c r="G421" s="2">
        <v>7947</v>
      </c>
    </row>
    <row r="422" spans="1:7">
      <c r="A422" s="2" t="s">
        <v>80</v>
      </c>
      <c r="B422" s="3" t="s">
        <v>20</v>
      </c>
      <c r="C422" s="2">
        <v>19445</v>
      </c>
      <c r="D422" s="2">
        <v>85</v>
      </c>
      <c r="E422" s="2">
        <v>-0.38300000000000001</v>
      </c>
      <c r="F422" s="2">
        <v>3315</v>
      </c>
      <c r="G422" s="2">
        <v>7970</v>
      </c>
    </row>
    <row r="423" spans="1:7">
      <c r="A423" s="2" t="s">
        <v>80</v>
      </c>
      <c r="B423" s="3" t="s">
        <v>21</v>
      </c>
      <c r="C423" s="2">
        <v>19044</v>
      </c>
      <c r="D423" s="2">
        <v>84.1</v>
      </c>
      <c r="E423" s="2">
        <v>-0.41099999999999998</v>
      </c>
      <c r="F423" s="2">
        <v>4971</v>
      </c>
      <c r="G423" s="2">
        <v>8203</v>
      </c>
    </row>
    <row r="424" spans="1:7">
      <c r="A424" s="2" t="s">
        <v>80</v>
      </c>
      <c r="B424" s="3" t="s">
        <v>22</v>
      </c>
      <c r="C424" s="2">
        <v>19822</v>
      </c>
      <c r="D424" s="2">
        <v>84.7</v>
      </c>
      <c r="E424" s="2">
        <v>-0.39200000000000002</v>
      </c>
      <c r="F424" s="2">
        <v>3816</v>
      </c>
      <c r="G424" s="2">
        <v>8210</v>
      </c>
    </row>
    <row r="425" spans="1:7">
      <c r="A425" s="2" t="s">
        <v>80</v>
      </c>
      <c r="B425" s="3" t="s">
        <v>23</v>
      </c>
      <c r="C425" s="2">
        <v>19238</v>
      </c>
      <c r="D425" s="2">
        <v>84.2</v>
      </c>
      <c r="E425" s="2">
        <v>-0.39400000000000002</v>
      </c>
      <c r="F425" s="2">
        <v>3457</v>
      </c>
      <c r="G425" s="2">
        <v>8209</v>
      </c>
    </row>
    <row r="426" spans="1:7">
      <c r="A426" s="2" t="s">
        <v>80</v>
      </c>
      <c r="B426" s="3" t="s">
        <v>24</v>
      </c>
      <c r="C426" s="2">
        <v>22509</v>
      </c>
      <c r="D426" s="2">
        <v>85.2</v>
      </c>
      <c r="E426" s="2">
        <v>-0.376</v>
      </c>
      <c r="F426" s="2">
        <v>1745</v>
      </c>
      <c r="G426" s="2">
        <v>8169</v>
      </c>
    </row>
    <row r="427" spans="1:7">
      <c r="A427" s="2" t="s">
        <v>80</v>
      </c>
      <c r="B427" s="3" t="s">
        <v>25</v>
      </c>
      <c r="C427" s="2">
        <v>22878</v>
      </c>
      <c r="D427" s="2">
        <v>85.1</v>
      </c>
      <c r="E427" s="2">
        <v>-0.38400000000000001</v>
      </c>
      <c r="F427" s="2">
        <v>1060</v>
      </c>
      <c r="G427" s="2">
        <v>8184</v>
      </c>
    </row>
    <row r="428" spans="1:7">
      <c r="A428" s="2" t="s">
        <v>80</v>
      </c>
      <c r="B428" s="3" t="s">
        <v>26</v>
      </c>
      <c r="C428" s="2">
        <v>23178</v>
      </c>
      <c r="D428" s="2">
        <v>85.8</v>
      </c>
      <c r="E428" s="2">
        <v>-0.373</v>
      </c>
      <c r="F428" s="2">
        <v>779</v>
      </c>
      <c r="G428" s="2">
        <v>8184</v>
      </c>
    </row>
    <row r="429" spans="1:7">
      <c r="A429" s="2" t="s">
        <v>80</v>
      </c>
      <c r="B429" s="3" t="s">
        <v>27</v>
      </c>
      <c r="C429" s="2">
        <v>23343</v>
      </c>
      <c r="D429" s="2">
        <v>85.6</v>
      </c>
      <c r="E429" s="2">
        <v>-0.377</v>
      </c>
      <c r="F429" s="2">
        <v>979</v>
      </c>
      <c r="G429" s="2">
        <v>8184</v>
      </c>
    </row>
    <row r="430" spans="1:7">
      <c r="A430" s="2" t="s">
        <v>80</v>
      </c>
      <c r="B430" s="3" t="s">
        <v>28</v>
      </c>
      <c r="C430" s="2">
        <v>22857</v>
      </c>
      <c r="D430" s="2">
        <v>85.1</v>
      </c>
      <c r="E430" s="2">
        <v>-0.378</v>
      </c>
      <c r="F430" s="2">
        <v>791</v>
      </c>
      <c r="G430" s="2">
        <v>8158</v>
      </c>
    </row>
    <row r="431" spans="1:7">
      <c r="A431" s="2" t="s">
        <v>80</v>
      </c>
      <c r="B431" s="3" t="s">
        <v>29</v>
      </c>
      <c r="C431" s="2">
        <v>23446</v>
      </c>
      <c r="D431" s="2">
        <v>85.2</v>
      </c>
      <c r="E431" s="2">
        <v>-0.38300000000000001</v>
      </c>
      <c r="F431" s="2">
        <v>671</v>
      </c>
      <c r="G431" s="2">
        <v>8210</v>
      </c>
    </row>
    <row r="432" spans="1:7">
      <c r="A432" s="2" t="s">
        <v>80</v>
      </c>
      <c r="B432" s="3" t="s">
        <v>30</v>
      </c>
      <c r="C432" s="2">
        <v>22531</v>
      </c>
      <c r="D432" s="2">
        <v>85.6</v>
      </c>
      <c r="E432" s="2">
        <v>-0.374</v>
      </c>
      <c r="F432" s="2">
        <v>1478</v>
      </c>
      <c r="G432" s="2">
        <v>8175</v>
      </c>
    </row>
    <row r="433" spans="1:7">
      <c r="A433" s="2" t="s">
        <v>80</v>
      </c>
      <c r="B433" s="3" t="s">
        <v>31</v>
      </c>
      <c r="C433" s="2">
        <v>15706</v>
      </c>
      <c r="D433" s="2">
        <v>85.7</v>
      </c>
      <c r="E433" s="2">
        <v>-0.38300000000000001</v>
      </c>
      <c r="F433" s="2">
        <v>8409</v>
      </c>
      <c r="G433" s="2">
        <v>8196</v>
      </c>
    </row>
    <row r="434" spans="1:7">
      <c r="A434" s="2" t="s">
        <v>81</v>
      </c>
      <c r="B434" s="3" t="s">
        <v>8</v>
      </c>
      <c r="C434" s="2">
        <v>14634</v>
      </c>
      <c r="D434" s="2">
        <v>85.5</v>
      </c>
      <c r="E434" s="2">
        <v>-0.374</v>
      </c>
      <c r="F434" s="2">
        <v>8541</v>
      </c>
      <c r="G434" s="2">
        <v>8197</v>
      </c>
    </row>
    <row r="435" spans="1:7">
      <c r="A435" s="2" t="s">
        <v>81</v>
      </c>
      <c r="B435" s="3" t="s">
        <v>9</v>
      </c>
      <c r="C435" s="2">
        <v>16407</v>
      </c>
      <c r="D435" s="2">
        <v>85.9</v>
      </c>
      <c r="E435" s="2">
        <v>-0.38800000000000001</v>
      </c>
      <c r="F435" s="2">
        <v>8460</v>
      </c>
      <c r="G435" s="2">
        <v>8189</v>
      </c>
    </row>
    <row r="436" spans="1:7">
      <c r="A436" s="2" t="s">
        <v>81</v>
      </c>
      <c r="B436" s="3" t="s">
        <v>10</v>
      </c>
      <c r="C436" s="2">
        <v>18122</v>
      </c>
      <c r="D436" s="2">
        <v>85.6</v>
      </c>
      <c r="E436" s="2">
        <v>-0.38100000000000001</v>
      </c>
      <c r="F436" s="2">
        <v>5771</v>
      </c>
      <c r="G436" s="2">
        <v>8178</v>
      </c>
    </row>
    <row r="437" spans="1:7">
      <c r="A437" s="2" t="s">
        <v>81</v>
      </c>
      <c r="B437" s="3" t="s">
        <v>11</v>
      </c>
      <c r="C437" s="2">
        <v>16975</v>
      </c>
      <c r="D437" s="2">
        <v>85.2</v>
      </c>
      <c r="E437" s="2">
        <v>-0.38800000000000001</v>
      </c>
      <c r="F437" s="2">
        <v>6370</v>
      </c>
      <c r="G437" s="2">
        <v>8195</v>
      </c>
    </row>
    <row r="438" spans="1:7">
      <c r="A438" s="2" t="s">
        <v>81</v>
      </c>
      <c r="B438" s="3" t="s">
        <v>12</v>
      </c>
      <c r="C438" s="2">
        <v>21052</v>
      </c>
      <c r="D438" s="2">
        <v>86.1</v>
      </c>
      <c r="E438" s="2">
        <v>-0.36699999999999999</v>
      </c>
      <c r="F438" s="2">
        <v>2814</v>
      </c>
      <c r="G438" s="2">
        <v>8034</v>
      </c>
    </row>
    <row r="439" spans="1:7">
      <c r="A439" s="2" t="s">
        <v>81</v>
      </c>
      <c r="B439" s="3" t="s">
        <v>13</v>
      </c>
      <c r="C439" s="2">
        <v>22629</v>
      </c>
      <c r="D439" s="2">
        <v>85.9</v>
      </c>
      <c r="E439" s="2">
        <v>-0.36699999999999999</v>
      </c>
      <c r="F439" s="2">
        <v>897</v>
      </c>
      <c r="G439" s="2">
        <v>7949</v>
      </c>
    </row>
    <row r="440" spans="1:7">
      <c r="A440" s="2" t="s">
        <v>81</v>
      </c>
      <c r="B440" s="3" t="s">
        <v>14</v>
      </c>
      <c r="C440" s="2">
        <v>23948</v>
      </c>
      <c r="D440" s="2">
        <v>85.1</v>
      </c>
      <c r="E440" s="2">
        <v>-0.38400000000000001</v>
      </c>
      <c r="F440" s="2">
        <v>50</v>
      </c>
      <c r="G440" s="2">
        <v>8196</v>
      </c>
    </row>
    <row r="441" spans="1:7">
      <c r="A441" s="2" t="s">
        <v>81</v>
      </c>
      <c r="B441" s="3" t="s">
        <v>15</v>
      </c>
      <c r="C441" s="2">
        <v>19653</v>
      </c>
      <c r="D441" s="2">
        <v>84.1</v>
      </c>
      <c r="E441" s="2">
        <v>-0.41299999999999998</v>
      </c>
      <c r="F441" s="2">
        <v>4068</v>
      </c>
      <c r="G441" s="2">
        <v>8203</v>
      </c>
    </row>
    <row r="442" spans="1:7">
      <c r="A442" s="2" t="s">
        <v>81</v>
      </c>
      <c r="B442" s="3" t="s">
        <v>16</v>
      </c>
      <c r="C442" s="2">
        <v>22500</v>
      </c>
      <c r="D442" s="2">
        <v>84.6</v>
      </c>
      <c r="E442" s="2">
        <v>-0.4</v>
      </c>
      <c r="F442" s="2">
        <v>1978</v>
      </c>
      <c r="G442" s="2">
        <v>8131</v>
      </c>
    </row>
    <row r="443" spans="1:7">
      <c r="A443" s="2" t="s">
        <v>81</v>
      </c>
      <c r="B443" s="3" t="s">
        <v>17</v>
      </c>
      <c r="C443" s="2">
        <v>22710</v>
      </c>
      <c r="D443" s="2">
        <v>85.4</v>
      </c>
      <c r="E443" s="2">
        <v>-0.38</v>
      </c>
      <c r="F443" s="2">
        <v>1056</v>
      </c>
      <c r="G443" s="2">
        <v>8209</v>
      </c>
    </row>
    <row r="444" spans="1:7">
      <c r="A444" s="2" t="s">
        <v>81</v>
      </c>
      <c r="B444" s="3" t="s">
        <v>18</v>
      </c>
      <c r="C444" s="2">
        <v>21899</v>
      </c>
      <c r="D444" s="2">
        <v>85.2</v>
      </c>
      <c r="E444" s="2">
        <v>-0.38400000000000001</v>
      </c>
      <c r="F444" s="2">
        <v>2230</v>
      </c>
      <c r="G444" s="2">
        <v>8201</v>
      </c>
    </row>
    <row r="445" spans="1:7">
      <c r="A445" s="2" t="s">
        <v>81</v>
      </c>
      <c r="B445" s="3" t="s">
        <v>19</v>
      </c>
      <c r="C445" s="2">
        <v>20559</v>
      </c>
      <c r="D445" s="2">
        <v>84.9</v>
      </c>
      <c r="E445" s="2">
        <v>-0.39300000000000002</v>
      </c>
      <c r="F445" s="2">
        <v>3220</v>
      </c>
      <c r="G445" s="2">
        <v>8194</v>
      </c>
    </row>
    <row r="446" spans="1:7">
      <c r="A446" s="2" t="s">
        <v>81</v>
      </c>
      <c r="B446" s="3" t="s">
        <v>20</v>
      </c>
      <c r="C446" s="2">
        <v>20243</v>
      </c>
      <c r="D446" s="2">
        <v>84.4</v>
      </c>
      <c r="E446" s="2">
        <v>-0.4</v>
      </c>
      <c r="F446" s="2">
        <v>3621</v>
      </c>
      <c r="G446" s="2">
        <v>8200</v>
      </c>
    </row>
    <row r="447" spans="1:7">
      <c r="A447" s="2" t="s">
        <v>81</v>
      </c>
      <c r="B447" s="3" t="s">
        <v>21</v>
      </c>
      <c r="C447" s="2">
        <v>20540</v>
      </c>
      <c r="D447" s="2">
        <v>83.8</v>
      </c>
      <c r="E447" s="2">
        <v>-0.41</v>
      </c>
      <c r="F447" s="2">
        <v>3065</v>
      </c>
      <c r="G447" s="2">
        <v>8195</v>
      </c>
    </row>
    <row r="448" spans="1:7">
      <c r="A448" s="2" t="s">
        <v>81</v>
      </c>
      <c r="B448" s="3" t="s">
        <v>22</v>
      </c>
      <c r="C448" s="2">
        <v>20383</v>
      </c>
      <c r="D448" s="2">
        <v>84.2</v>
      </c>
      <c r="E448" s="2">
        <v>-0.40400000000000003</v>
      </c>
      <c r="F448" s="2">
        <v>2724</v>
      </c>
      <c r="G448" s="2">
        <v>7916</v>
      </c>
    </row>
    <row r="449" spans="1:7">
      <c r="A449" s="2" t="s">
        <v>81</v>
      </c>
      <c r="B449" s="3" t="s">
        <v>23</v>
      </c>
      <c r="C449" s="2">
        <v>21718</v>
      </c>
      <c r="D449" s="2">
        <v>84.2</v>
      </c>
      <c r="E449" s="2">
        <v>-0.40799999999999997</v>
      </c>
      <c r="F449" s="2">
        <v>1686</v>
      </c>
      <c r="G449" s="2">
        <v>8032</v>
      </c>
    </row>
    <row r="450" spans="1:7">
      <c r="A450" s="2" t="s">
        <v>81</v>
      </c>
      <c r="B450" s="3" t="s">
        <v>24</v>
      </c>
      <c r="C450" s="2">
        <v>20630</v>
      </c>
      <c r="D450" s="2">
        <v>84</v>
      </c>
      <c r="E450" s="2">
        <v>-0.40100000000000002</v>
      </c>
      <c r="F450" s="2">
        <v>2510</v>
      </c>
      <c r="G450" s="2">
        <v>8180</v>
      </c>
    </row>
    <row r="451" spans="1:7">
      <c r="A451" s="2" t="s">
        <v>81</v>
      </c>
      <c r="B451" s="3" t="s">
        <v>25</v>
      </c>
      <c r="C451" s="2">
        <v>21702</v>
      </c>
      <c r="D451" s="2">
        <v>84.1</v>
      </c>
      <c r="E451" s="2">
        <v>-0.40100000000000002</v>
      </c>
      <c r="F451" s="2">
        <v>2331</v>
      </c>
      <c r="G451" s="2">
        <v>8200</v>
      </c>
    </row>
    <row r="452" spans="1:7">
      <c r="A452" s="2" t="s">
        <v>81</v>
      </c>
      <c r="B452" s="3" t="s">
        <v>26</v>
      </c>
      <c r="C452" s="2">
        <v>20459</v>
      </c>
      <c r="D452" s="2">
        <v>83.8</v>
      </c>
      <c r="E452" s="2">
        <v>-0.41099999999999998</v>
      </c>
      <c r="F452" s="2">
        <v>3424</v>
      </c>
      <c r="G452" s="2">
        <v>8208</v>
      </c>
    </row>
    <row r="453" spans="1:7">
      <c r="A453" s="2" t="s">
        <v>81</v>
      </c>
      <c r="B453" s="3" t="s">
        <v>27</v>
      </c>
      <c r="C453" s="2">
        <v>21082</v>
      </c>
      <c r="D453" s="2">
        <v>83.6</v>
      </c>
      <c r="E453" s="2">
        <v>-0.42</v>
      </c>
      <c r="F453" s="2">
        <v>2807</v>
      </c>
      <c r="G453" s="2">
        <v>8212</v>
      </c>
    </row>
    <row r="454" spans="1:7">
      <c r="A454" s="2" t="s">
        <v>81</v>
      </c>
      <c r="B454" s="3" t="s">
        <v>28</v>
      </c>
      <c r="C454" s="2">
        <v>21376</v>
      </c>
      <c r="D454" s="2">
        <v>83.7</v>
      </c>
      <c r="E454" s="2">
        <v>-0.41599999999999998</v>
      </c>
      <c r="F454" s="2">
        <v>2736</v>
      </c>
      <c r="G454" s="2">
        <v>8188</v>
      </c>
    </row>
    <row r="455" spans="1:7">
      <c r="A455" s="2" t="s">
        <v>81</v>
      </c>
      <c r="B455" s="3" t="s">
        <v>29</v>
      </c>
      <c r="C455" s="2">
        <v>21361</v>
      </c>
      <c r="D455" s="2">
        <v>83.6</v>
      </c>
      <c r="E455" s="2">
        <v>-0.41299999999999998</v>
      </c>
      <c r="F455" s="2">
        <v>2170</v>
      </c>
      <c r="G455" s="2">
        <v>8054</v>
      </c>
    </row>
    <row r="456" spans="1:7">
      <c r="A456" s="2" t="s">
        <v>81</v>
      </c>
      <c r="B456" s="3" t="s">
        <v>30</v>
      </c>
      <c r="C456" s="2">
        <v>18867</v>
      </c>
      <c r="D456" s="2">
        <v>83.3</v>
      </c>
      <c r="E456" s="2">
        <v>-0.41699999999999998</v>
      </c>
      <c r="F456" s="2">
        <v>4577</v>
      </c>
      <c r="G456" s="2">
        <v>8203</v>
      </c>
    </row>
    <row r="457" spans="1:7">
      <c r="A457" s="2" t="s">
        <v>81</v>
      </c>
      <c r="B457" s="3" t="s">
        <v>31</v>
      </c>
      <c r="C457" s="2">
        <v>12738</v>
      </c>
      <c r="D457" s="2">
        <v>83.4</v>
      </c>
      <c r="E457" s="2">
        <v>-0.42499999999999999</v>
      </c>
      <c r="F457" s="2">
        <v>11365</v>
      </c>
      <c r="G457" s="2">
        <v>8205</v>
      </c>
    </row>
    <row r="458" spans="1:7">
      <c r="A458" s="2" t="s">
        <v>82</v>
      </c>
      <c r="B458" s="3" t="s">
        <v>8</v>
      </c>
      <c r="C458" s="2">
        <v>12320</v>
      </c>
      <c r="D458" s="2">
        <v>83.2</v>
      </c>
      <c r="E458" s="2">
        <v>-0.42199999999999999</v>
      </c>
      <c r="F458" s="2">
        <v>10362</v>
      </c>
      <c r="G458" s="2">
        <v>8200</v>
      </c>
    </row>
    <row r="459" spans="1:7">
      <c r="A459" s="2" t="s">
        <v>82</v>
      </c>
      <c r="B459" s="3" t="s">
        <v>9</v>
      </c>
      <c r="C459" s="2">
        <v>13857</v>
      </c>
      <c r="D459" s="2">
        <v>82.9</v>
      </c>
      <c r="E459" s="2">
        <v>-0.436</v>
      </c>
      <c r="F459" s="2">
        <v>9799</v>
      </c>
      <c r="G459" s="2">
        <v>8196</v>
      </c>
    </row>
    <row r="460" spans="1:7">
      <c r="A460" s="2" t="s">
        <v>82</v>
      </c>
      <c r="B460" s="3" t="s">
        <v>10</v>
      </c>
      <c r="C460" s="2">
        <v>14740</v>
      </c>
      <c r="D460" s="2">
        <v>83</v>
      </c>
      <c r="E460" s="2">
        <v>-0.441</v>
      </c>
      <c r="F460" s="2">
        <v>9009</v>
      </c>
      <c r="G460" s="2">
        <v>8201</v>
      </c>
    </row>
    <row r="461" spans="1:7">
      <c r="A461" s="2" t="s">
        <v>82</v>
      </c>
      <c r="B461" s="3" t="s">
        <v>11</v>
      </c>
      <c r="C461" s="2">
        <v>14116</v>
      </c>
      <c r="D461" s="2">
        <v>82.6</v>
      </c>
      <c r="E461" s="2">
        <v>-0.441</v>
      </c>
      <c r="F461" s="2">
        <v>9406</v>
      </c>
      <c r="G461" s="2">
        <v>8196</v>
      </c>
    </row>
    <row r="462" spans="1:7">
      <c r="A462" s="2" t="s">
        <v>82</v>
      </c>
      <c r="B462" s="3" t="s">
        <v>12</v>
      </c>
      <c r="C462" s="2">
        <v>21931</v>
      </c>
      <c r="D462" s="2">
        <v>82.6</v>
      </c>
      <c r="E462" s="2">
        <v>-0.435</v>
      </c>
      <c r="F462" s="2">
        <v>1101</v>
      </c>
      <c r="G462" s="2">
        <v>7956</v>
      </c>
    </row>
    <row r="463" spans="1:7">
      <c r="A463" s="2" t="s">
        <v>82</v>
      </c>
      <c r="B463" s="3" t="s">
        <v>13</v>
      </c>
      <c r="C463" s="2">
        <v>21897</v>
      </c>
      <c r="D463" s="2">
        <v>82.5</v>
      </c>
      <c r="E463" s="2">
        <v>-0.434</v>
      </c>
      <c r="F463" s="2">
        <v>1390</v>
      </c>
      <c r="G463" s="2">
        <v>8202</v>
      </c>
    </row>
    <row r="464" spans="1:7">
      <c r="A464" s="2" t="s">
        <v>82</v>
      </c>
      <c r="B464" s="3" t="s">
        <v>14</v>
      </c>
      <c r="C464" s="2">
        <v>23508</v>
      </c>
      <c r="D464" s="2">
        <v>83.8</v>
      </c>
      <c r="E464" s="2">
        <v>-0.40600000000000003</v>
      </c>
      <c r="F464" s="2">
        <v>483</v>
      </c>
      <c r="G464" s="2">
        <v>8209</v>
      </c>
    </row>
    <row r="465" spans="1:7">
      <c r="A465" s="2" t="s">
        <v>82</v>
      </c>
      <c r="B465" s="3" t="s">
        <v>15</v>
      </c>
      <c r="C465" s="2">
        <v>16092</v>
      </c>
      <c r="D465" s="2">
        <v>80.3</v>
      </c>
      <c r="E465" s="2">
        <v>-0.49</v>
      </c>
      <c r="F465" s="2">
        <v>8187</v>
      </c>
      <c r="G465" s="2">
        <v>8205</v>
      </c>
    </row>
    <row r="466" spans="1:7">
      <c r="A466" s="2" t="s">
        <v>82</v>
      </c>
      <c r="B466" s="3" t="s">
        <v>16</v>
      </c>
      <c r="C466" s="2">
        <v>20017</v>
      </c>
      <c r="D466" s="2">
        <v>82.3</v>
      </c>
      <c r="E466" s="2">
        <v>-0.438</v>
      </c>
      <c r="F466" s="2">
        <v>3235</v>
      </c>
      <c r="G466" s="2">
        <v>8210</v>
      </c>
    </row>
    <row r="467" spans="1:7">
      <c r="A467" s="2" t="s">
        <v>82</v>
      </c>
      <c r="B467" s="3" t="s">
        <v>17</v>
      </c>
      <c r="C467" s="2">
        <v>22290</v>
      </c>
      <c r="D467" s="2">
        <v>83.6</v>
      </c>
      <c r="E467" s="2">
        <v>-0.41299999999999998</v>
      </c>
      <c r="F467" s="2">
        <v>1191</v>
      </c>
      <c r="G467" s="2">
        <v>8195</v>
      </c>
    </row>
    <row r="468" spans="1:7">
      <c r="A468" s="2" t="s">
        <v>82</v>
      </c>
      <c r="B468" s="3" t="s">
        <v>18</v>
      </c>
      <c r="C468" s="2">
        <v>17900</v>
      </c>
      <c r="D468" s="2">
        <v>81.3</v>
      </c>
      <c r="E468" s="2">
        <v>-0.45500000000000002</v>
      </c>
      <c r="F468" s="2">
        <v>5049</v>
      </c>
      <c r="G468" s="2">
        <v>8200</v>
      </c>
    </row>
    <row r="469" spans="1:7">
      <c r="A469" s="2" t="s">
        <v>82</v>
      </c>
      <c r="B469" s="3" t="s">
        <v>19</v>
      </c>
      <c r="C469" s="2">
        <v>17542</v>
      </c>
      <c r="D469" s="2">
        <v>80.8</v>
      </c>
      <c r="E469" s="2">
        <v>-0.46200000000000002</v>
      </c>
      <c r="F469" s="2">
        <v>5511</v>
      </c>
      <c r="G469" s="2">
        <v>8189</v>
      </c>
    </row>
    <row r="470" spans="1:7">
      <c r="A470" s="2" t="s">
        <v>82</v>
      </c>
      <c r="B470" s="3" t="s">
        <v>20</v>
      </c>
      <c r="C470" s="2">
        <v>17749</v>
      </c>
      <c r="D470" s="2">
        <v>80.3</v>
      </c>
      <c r="E470" s="2">
        <v>-0.47499999999999998</v>
      </c>
      <c r="F470" s="2">
        <v>5574</v>
      </c>
      <c r="G470" s="2">
        <v>8184</v>
      </c>
    </row>
    <row r="471" spans="1:7">
      <c r="A471" s="2" t="s">
        <v>82</v>
      </c>
      <c r="B471" s="3" t="s">
        <v>21</v>
      </c>
      <c r="C471" s="2">
        <v>17844</v>
      </c>
      <c r="D471" s="2">
        <v>80</v>
      </c>
      <c r="E471" s="2">
        <v>-0.47199999999999998</v>
      </c>
      <c r="F471" s="2">
        <v>4865</v>
      </c>
      <c r="G471" s="2">
        <v>8118</v>
      </c>
    </row>
    <row r="472" spans="1:7">
      <c r="A472" s="2" t="s">
        <v>82</v>
      </c>
      <c r="B472" s="3" t="s">
        <v>22</v>
      </c>
      <c r="C472" s="2">
        <v>18401</v>
      </c>
      <c r="D472" s="2">
        <v>79.7</v>
      </c>
      <c r="E472" s="2">
        <v>-0.48499999999999999</v>
      </c>
      <c r="F472" s="2">
        <v>4397</v>
      </c>
      <c r="G472" s="2">
        <v>8126</v>
      </c>
    </row>
    <row r="473" spans="1:7">
      <c r="A473" s="2" t="s">
        <v>82</v>
      </c>
      <c r="B473" s="3" t="s">
        <v>23</v>
      </c>
      <c r="C473" s="2">
        <v>18939</v>
      </c>
      <c r="D473" s="2">
        <v>80</v>
      </c>
      <c r="E473" s="2">
        <v>-0.48</v>
      </c>
      <c r="F473" s="2">
        <v>3841</v>
      </c>
      <c r="G473" s="2">
        <v>8193</v>
      </c>
    </row>
    <row r="474" spans="1:7">
      <c r="A474" s="2" t="s">
        <v>82</v>
      </c>
      <c r="B474" s="3" t="s">
        <v>24</v>
      </c>
      <c r="C474" s="2">
        <v>17849</v>
      </c>
      <c r="D474" s="2">
        <v>79.599999999999994</v>
      </c>
      <c r="E474" s="2">
        <v>-0.48899999999999999</v>
      </c>
      <c r="F474" s="2">
        <v>5307</v>
      </c>
      <c r="G474" s="2">
        <v>8137</v>
      </c>
    </row>
    <row r="475" spans="1:7">
      <c r="A475" s="2" t="s">
        <v>82</v>
      </c>
      <c r="B475" s="3" t="s">
        <v>25</v>
      </c>
      <c r="C475" s="2">
        <v>19094</v>
      </c>
      <c r="D475" s="2">
        <v>80.400000000000006</v>
      </c>
      <c r="E475" s="2">
        <v>-0.47899999999999998</v>
      </c>
      <c r="F475" s="2">
        <v>4768</v>
      </c>
      <c r="G475" s="2">
        <v>8208</v>
      </c>
    </row>
    <row r="476" spans="1:7">
      <c r="A476" s="2" t="s">
        <v>82</v>
      </c>
      <c r="B476" s="3" t="s">
        <v>26</v>
      </c>
      <c r="C476" s="2">
        <v>18221</v>
      </c>
      <c r="D476" s="2">
        <v>79.599999999999994</v>
      </c>
      <c r="E476" s="2">
        <v>-0.48499999999999999</v>
      </c>
      <c r="F476" s="2">
        <v>5142</v>
      </c>
      <c r="G476" s="2">
        <v>8187</v>
      </c>
    </row>
    <row r="477" spans="1:7">
      <c r="A477" s="2" t="s">
        <v>82</v>
      </c>
      <c r="B477" s="3" t="s">
        <v>27</v>
      </c>
      <c r="C477" s="2">
        <v>18485</v>
      </c>
      <c r="D477" s="2">
        <v>79.7</v>
      </c>
      <c r="E477" s="2">
        <v>-0.48499999999999999</v>
      </c>
      <c r="F477" s="2">
        <v>4088</v>
      </c>
      <c r="G477" s="2">
        <v>8031</v>
      </c>
    </row>
    <row r="478" spans="1:7">
      <c r="A478" s="2" t="s">
        <v>82</v>
      </c>
      <c r="B478" s="3" t="s">
        <v>28</v>
      </c>
      <c r="C478" s="2">
        <v>18008</v>
      </c>
      <c r="D478" s="2">
        <v>79.599999999999994</v>
      </c>
      <c r="E478" s="2">
        <v>-0.48899999999999999</v>
      </c>
      <c r="F478" s="2">
        <v>4961</v>
      </c>
      <c r="G478" s="2">
        <v>8171</v>
      </c>
    </row>
    <row r="479" spans="1:7">
      <c r="A479" s="2" t="s">
        <v>82</v>
      </c>
      <c r="B479" s="3" t="s">
        <v>29</v>
      </c>
      <c r="C479" s="2">
        <v>18569</v>
      </c>
      <c r="D479" s="2">
        <v>79.8</v>
      </c>
      <c r="E479" s="2">
        <v>-0.49</v>
      </c>
      <c r="F479" s="2">
        <v>4070</v>
      </c>
      <c r="G479" s="2">
        <v>8089</v>
      </c>
    </row>
    <row r="480" spans="1:7">
      <c r="A480" s="2" t="s">
        <v>82</v>
      </c>
      <c r="B480" s="3" t="s">
        <v>30</v>
      </c>
      <c r="C480" s="2">
        <v>16448</v>
      </c>
      <c r="D480" s="2">
        <v>80</v>
      </c>
      <c r="E480" s="2">
        <v>-0.49</v>
      </c>
      <c r="F480" s="2">
        <v>7032</v>
      </c>
      <c r="G480" s="2">
        <v>8194</v>
      </c>
    </row>
    <row r="481" spans="1:7">
      <c r="A481" s="2" t="s">
        <v>82</v>
      </c>
      <c r="B481" s="3" t="s">
        <v>31</v>
      </c>
      <c r="C481" s="2">
        <v>10762</v>
      </c>
      <c r="D481" s="2">
        <v>80</v>
      </c>
      <c r="E481" s="2">
        <v>-0.49</v>
      </c>
      <c r="F481" s="2">
        <v>12407</v>
      </c>
      <c r="G481" s="2">
        <v>8196</v>
      </c>
    </row>
    <row r="482" spans="1:7">
      <c r="A482" s="2" t="s">
        <v>83</v>
      </c>
      <c r="B482" s="3" t="s">
        <v>8</v>
      </c>
      <c r="C482" s="2">
        <v>9555</v>
      </c>
      <c r="D482" s="2">
        <v>80</v>
      </c>
      <c r="E482" s="2">
        <v>-0.49</v>
      </c>
      <c r="F482" s="2">
        <v>13469</v>
      </c>
      <c r="G482" s="2">
        <v>8205</v>
      </c>
    </row>
    <row r="483" spans="1:7">
      <c r="A483" s="2" t="s">
        <v>83</v>
      </c>
      <c r="B483" s="3" t="s">
        <v>9</v>
      </c>
      <c r="C483" s="2">
        <v>10340</v>
      </c>
      <c r="D483" s="2">
        <v>79.7</v>
      </c>
      <c r="E483" s="2">
        <v>-0.49399999999999999</v>
      </c>
      <c r="F483" s="2">
        <v>13039</v>
      </c>
      <c r="G483" s="2">
        <v>8201</v>
      </c>
    </row>
    <row r="484" spans="1:7">
      <c r="A484" s="2" t="s">
        <v>83</v>
      </c>
      <c r="B484" s="3" t="s">
        <v>10</v>
      </c>
      <c r="C484" s="2">
        <v>12256</v>
      </c>
      <c r="D484" s="2">
        <v>79.900000000000006</v>
      </c>
      <c r="E484" s="2">
        <v>-0.49099999999999999</v>
      </c>
      <c r="F484" s="2">
        <v>10937</v>
      </c>
      <c r="G484" s="2">
        <v>8189</v>
      </c>
    </row>
    <row r="485" spans="1:7">
      <c r="A485" s="2" t="s">
        <v>83</v>
      </c>
      <c r="B485" s="3" t="s">
        <v>11</v>
      </c>
      <c r="C485" s="2">
        <v>11929</v>
      </c>
      <c r="D485" s="2">
        <v>79.5</v>
      </c>
      <c r="E485" s="2">
        <v>-0.495</v>
      </c>
      <c r="F485" s="2">
        <v>10725</v>
      </c>
      <c r="G485" s="2">
        <v>8205</v>
      </c>
    </row>
    <row r="486" spans="1:7">
      <c r="A486" s="2" t="s">
        <v>83</v>
      </c>
      <c r="B486" s="3" t="s">
        <v>12</v>
      </c>
      <c r="C486" s="2">
        <v>20530</v>
      </c>
      <c r="D486" s="2">
        <v>79.8</v>
      </c>
      <c r="E486" s="2">
        <v>-0.47599999999999998</v>
      </c>
      <c r="F486" s="2">
        <v>2652</v>
      </c>
      <c r="G486" s="2">
        <v>8202</v>
      </c>
    </row>
    <row r="487" spans="1:7">
      <c r="A487" s="2" t="s">
        <v>83</v>
      </c>
      <c r="B487" s="3" t="s">
        <v>13</v>
      </c>
      <c r="C487" s="2">
        <v>19172</v>
      </c>
      <c r="D487" s="2">
        <v>79.3</v>
      </c>
      <c r="E487" s="2">
        <v>-0.48699999999999999</v>
      </c>
      <c r="F487" s="2">
        <v>3743</v>
      </c>
      <c r="G487" s="2">
        <v>8202</v>
      </c>
    </row>
    <row r="488" spans="1:7">
      <c r="A488" s="2" t="s">
        <v>83</v>
      </c>
      <c r="B488" s="3" t="s">
        <v>14</v>
      </c>
      <c r="C488" s="2">
        <v>19512</v>
      </c>
      <c r="D488" s="2">
        <v>78.900000000000006</v>
      </c>
      <c r="E488" s="2">
        <v>-0.5</v>
      </c>
      <c r="F488" s="2">
        <v>4012</v>
      </c>
      <c r="G488" s="2">
        <v>8208</v>
      </c>
    </row>
    <row r="489" spans="1:7">
      <c r="A489" s="2" t="s">
        <v>83</v>
      </c>
      <c r="B489" s="3" t="s">
        <v>15</v>
      </c>
      <c r="C489" s="2">
        <v>17161</v>
      </c>
      <c r="D489" s="2">
        <v>79.599999999999994</v>
      </c>
      <c r="E489" s="2">
        <v>-0.48499999999999999</v>
      </c>
      <c r="F489" s="2">
        <v>6154</v>
      </c>
      <c r="G489" s="2">
        <v>8047</v>
      </c>
    </row>
    <row r="490" spans="1:7">
      <c r="A490" s="2" t="s">
        <v>83</v>
      </c>
      <c r="B490" s="3" t="s">
        <v>16</v>
      </c>
      <c r="C490" s="2">
        <v>17403</v>
      </c>
      <c r="D490" s="2">
        <v>79.400000000000006</v>
      </c>
      <c r="E490" s="2">
        <v>-0.48699999999999999</v>
      </c>
      <c r="F490" s="2">
        <v>5482</v>
      </c>
      <c r="G490" s="2">
        <v>8094</v>
      </c>
    </row>
    <row r="491" spans="1:7">
      <c r="A491" s="2" t="s">
        <v>83</v>
      </c>
      <c r="B491" s="3" t="s">
        <v>17</v>
      </c>
      <c r="C491" s="2">
        <v>17286</v>
      </c>
      <c r="D491" s="2">
        <v>79.099999999999994</v>
      </c>
      <c r="E491" s="2">
        <v>-0.48899999999999999</v>
      </c>
      <c r="F491" s="2">
        <v>6031</v>
      </c>
      <c r="G491" s="2">
        <v>7973</v>
      </c>
    </row>
    <row r="492" spans="1:7">
      <c r="A492" s="2" t="s">
        <v>83</v>
      </c>
      <c r="B492" s="3" t="s">
        <v>18</v>
      </c>
      <c r="C492" s="2">
        <v>17089</v>
      </c>
      <c r="D492" s="2">
        <v>79.5</v>
      </c>
      <c r="E492" s="2">
        <v>-0.48899999999999999</v>
      </c>
      <c r="F492" s="2">
        <v>5885</v>
      </c>
      <c r="G492" s="2">
        <v>8189</v>
      </c>
    </row>
    <row r="493" spans="1:7">
      <c r="A493" s="2" t="s">
        <v>83</v>
      </c>
      <c r="B493" s="3" t="s">
        <v>19</v>
      </c>
      <c r="C493" s="2">
        <v>16136</v>
      </c>
      <c r="D493" s="2">
        <v>78.900000000000006</v>
      </c>
      <c r="E493" s="2">
        <v>-0.49399999999999999</v>
      </c>
      <c r="F493" s="2">
        <v>6866</v>
      </c>
      <c r="G493" s="2">
        <v>8204</v>
      </c>
    </row>
    <row r="494" spans="1:7">
      <c r="A494" s="2" t="s">
        <v>83</v>
      </c>
      <c r="B494" s="3" t="s">
        <v>20</v>
      </c>
      <c r="C494" s="2">
        <v>15758</v>
      </c>
      <c r="D494" s="2">
        <v>79</v>
      </c>
      <c r="E494" s="2">
        <v>-0.497</v>
      </c>
      <c r="F494" s="2">
        <v>7427</v>
      </c>
      <c r="G494" s="2">
        <v>8194</v>
      </c>
    </row>
    <row r="495" spans="1:7">
      <c r="A495" s="2" t="s">
        <v>83</v>
      </c>
      <c r="B495" s="3" t="s">
        <v>21</v>
      </c>
      <c r="C495" s="2">
        <v>15844</v>
      </c>
      <c r="D495" s="2">
        <v>78.8</v>
      </c>
      <c r="E495" s="2">
        <v>-0.496</v>
      </c>
      <c r="F495" s="2">
        <v>7091</v>
      </c>
      <c r="G495" s="2">
        <v>8179</v>
      </c>
    </row>
    <row r="496" spans="1:7">
      <c r="A496" s="2" t="s">
        <v>83</v>
      </c>
      <c r="B496" s="3" t="s">
        <v>22</v>
      </c>
      <c r="C496" s="2">
        <v>15956</v>
      </c>
      <c r="D496" s="2">
        <v>78.900000000000006</v>
      </c>
      <c r="E496" s="2">
        <v>-0.497</v>
      </c>
      <c r="F496" s="2">
        <v>7928</v>
      </c>
      <c r="G496" s="2">
        <v>8215</v>
      </c>
    </row>
    <row r="497" spans="1:7">
      <c r="A497" s="2" t="s">
        <v>83</v>
      </c>
      <c r="B497" s="3" t="s">
        <v>23</v>
      </c>
      <c r="C497" s="2">
        <v>16732</v>
      </c>
      <c r="D497" s="2">
        <v>78.900000000000006</v>
      </c>
      <c r="E497" s="2">
        <v>-0.499</v>
      </c>
      <c r="F497" s="2">
        <v>6774</v>
      </c>
      <c r="G497" s="2">
        <v>8097</v>
      </c>
    </row>
    <row r="498" spans="1:7">
      <c r="A498" s="2" t="s">
        <v>83</v>
      </c>
      <c r="B498" s="3" t="s">
        <v>24</v>
      </c>
      <c r="C498" s="2">
        <v>17106</v>
      </c>
      <c r="D498" s="2">
        <v>79.400000000000006</v>
      </c>
      <c r="E498" s="2">
        <v>-0.48499999999999999</v>
      </c>
      <c r="F498" s="2">
        <v>5762</v>
      </c>
      <c r="G498" s="2">
        <v>8013</v>
      </c>
    </row>
    <row r="499" spans="1:7">
      <c r="A499" s="2" t="s">
        <v>83</v>
      </c>
      <c r="B499" s="3" t="s">
        <v>25</v>
      </c>
      <c r="C499" s="2">
        <v>16874</v>
      </c>
      <c r="D499" s="2">
        <v>79.099999999999994</v>
      </c>
      <c r="E499" s="2">
        <v>-0.49399999999999999</v>
      </c>
      <c r="F499" s="2">
        <v>6861</v>
      </c>
      <c r="G499" s="2">
        <v>8206</v>
      </c>
    </row>
    <row r="500" spans="1:7">
      <c r="A500" s="2" t="s">
        <v>83</v>
      </c>
      <c r="B500" s="3" t="s">
        <v>26</v>
      </c>
      <c r="C500" s="2">
        <v>17231</v>
      </c>
      <c r="D500" s="2">
        <v>79.5</v>
      </c>
      <c r="E500" s="2">
        <v>-0.48299999999999998</v>
      </c>
      <c r="F500" s="2">
        <v>6033</v>
      </c>
      <c r="G500" s="2">
        <v>8200</v>
      </c>
    </row>
    <row r="501" spans="1:7">
      <c r="A501" s="2" t="s">
        <v>83</v>
      </c>
      <c r="B501" s="3" t="s">
        <v>27</v>
      </c>
      <c r="C501" s="2">
        <v>17024</v>
      </c>
      <c r="D501" s="2">
        <v>79</v>
      </c>
      <c r="E501" s="2">
        <v>-0.495</v>
      </c>
      <c r="F501" s="2">
        <v>6291</v>
      </c>
      <c r="G501" s="2">
        <v>8206</v>
      </c>
    </row>
    <row r="502" spans="1:7">
      <c r="A502" s="2" t="s">
        <v>83</v>
      </c>
      <c r="B502" s="3" t="s">
        <v>28</v>
      </c>
      <c r="C502" s="2">
        <v>16675</v>
      </c>
      <c r="D502" s="2">
        <v>79</v>
      </c>
      <c r="E502" s="2">
        <v>-0.499</v>
      </c>
      <c r="F502" s="2">
        <v>6396</v>
      </c>
      <c r="G502" s="2">
        <v>8194</v>
      </c>
    </row>
    <row r="503" spans="1:7">
      <c r="A503" s="2" t="s">
        <v>83</v>
      </c>
      <c r="B503" s="3" t="s">
        <v>29</v>
      </c>
      <c r="C503" s="2">
        <v>16938</v>
      </c>
      <c r="D503" s="2">
        <v>79.099999999999994</v>
      </c>
      <c r="E503" s="2">
        <v>-0.49399999999999999</v>
      </c>
      <c r="F503" s="2">
        <v>4982</v>
      </c>
      <c r="G503" s="2">
        <v>7819</v>
      </c>
    </row>
    <row r="504" spans="1:7">
      <c r="A504" s="2" t="s">
        <v>83</v>
      </c>
      <c r="B504" s="3" t="s">
        <v>30</v>
      </c>
      <c r="C504" s="2">
        <v>15631</v>
      </c>
      <c r="D504" s="2">
        <v>79.599999999999994</v>
      </c>
      <c r="E504" s="2">
        <v>-0.48</v>
      </c>
      <c r="F504" s="2">
        <v>6718</v>
      </c>
      <c r="G504" s="2">
        <v>8129</v>
      </c>
    </row>
    <row r="505" spans="1:7">
      <c r="A505" s="2" t="s">
        <v>83</v>
      </c>
      <c r="B505" s="3" t="s">
        <v>31</v>
      </c>
      <c r="C505" s="2">
        <v>9384</v>
      </c>
      <c r="D505" s="2">
        <v>79.900000000000006</v>
      </c>
      <c r="E505" s="2">
        <v>-0.48499999999999999</v>
      </c>
      <c r="F505" s="2">
        <v>13919</v>
      </c>
      <c r="G505" s="2">
        <v>8188</v>
      </c>
    </row>
    <row r="506" spans="1:7">
      <c r="A506" s="2" t="s">
        <v>84</v>
      </c>
      <c r="B506" s="3" t="s">
        <v>8</v>
      </c>
      <c r="C506" s="2">
        <v>8646</v>
      </c>
      <c r="D506" s="2">
        <v>80.099999999999994</v>
      </c>
      <c r="E506" s="2">
        <v>-0.48099999999999998</v>
      </c>
      <c r="F506" s="2">
        <v>14614</v>
      </c>
      <c r="G506" s="2">
        <v>8200</v>
      </c>
    </row>
    <row r="507" spans="1:7">
      <c r="A507" s="2" t="s">
        <v>84</v>
      </c>
      <c r="B507" s="3" t="s">
        <v>9</v>
      </c>
      <c r="C507" s="2">
        <v>8940</v>
      </c>
      <c r="D507" s="2">
        <v>79.8</v>
      </c>
      <c r="E507" s="2">
        <v>-0.48899999999999999</v>
      </c>
      <c r="F507" s="2">
        <v>14884</v>
      </c>
      <c r="G507" s="2">
        <v>8178</v>
      </c>
    </row>
    <row r="508" spans="1:7">
      <c r="A508" s="2" t="s">
        <v>84</v>
      </c>
      <c r="B508" s="3" t="s">
        <v>10</v>
      </c>
      <c r="C508" s="2">
        <v>9865</v>
      </c>
      <c r="D508" s="2">
        <v>79.400000000000006</v>
      </c>
      <c r="E508" s="2">
        <v>-0.48699999999999999</v>
      </c>
      <c r="F508" s="2">
        <v>11825</v>
      </c>
      <c r="G508" s="2">
        <v>7820</v>
      </c>
    </row>
    <row r="509" spans="1:7">
      <c r="A509" s="2" t="s">
        <v>84</v>
      </c>
      <c r="B509" s="3" t="s">
        <v>11</v>
      </c>
      <c r="C509" s="2">
        <v>10088</v>
      </c>
      <c r="D509" s="2">
        <v>79.099999999999994</v>
      </c>
      <c r="E509" s="2">
        <v>-0.496</v>
      </c>
      <c r="F509" s="2">
        <v>12624</v>
      </c>
      <c r="G509" s="2">
        <v>8204</v>
      </c>
    </row>
    <row r="510" spans="1:7">
      <c r="A510" s="2" t="s">
        <v>84</v>
      </c>
      <c r="B510" s="3" t="s">
        <v>12</v>
      </c>
      <c r="C510" s="2">
        <v>19586</v>
      </c>
      <c r="D510" s="2">
        <v>78.599999999999994</v>
      </c>
      <c r="E510" s="2">
        <v>-0.505</v>
      </c>
      <c r="F510" s="2">
        <v>3382</v>
      </c>
      <c r="G510" s="2">
        <v>8208</v>
      </c>
    </row>
    <row r="511" spans="1:7">
      <c r="A511" s="2" t="s">
        <v>84</v>
      </c>
      <c r="B511" s="3" t="s">
        <v>13</v>
      </c>
      <c r="C511" s="2">
        <v>17859</v>
      </c>
      <c r="D511" s="2">
        <v>78.400000000000006</v>
      </c>
      <c r="E511" s="2">
        <v>-0.505</v>
      </c>
      <c r="F511" s="2">
        <v>5269</v>
      </c>
      <c r="G511" s="2">
        <v>8201</v>
      </c>
    </row>
    <row r="512" spans="1:7">
      <c r="A512" s="2" t="s">
        <v>84</v>
      </c>
      <c r="B512" s="3" t="s">
        <v>14</v>
      </c>
      <c r="C512" s="2">
        <v>17841</v>
      </c>
      <c r="D512" s="2">
        <v>78.400000000000006</v>
      </c>
      <c r="E512" s="2">
        <v>-0.5</v>
      </c>
      <c r="F512" s="2">
        <v>4659</v>
      </c>
      <c r="G512" s="2">
        <v>8125</v>
      </c>
    </row>
    <row r="513" spans="1:7">
      <c r="A513" s="2" t="s">
        <v>84</v>
      </c>
      <c r="B513" s="3" t="s">
        <v>15</v>
      </c>
      <c r="C513" s="2">
        <v>16383</v>
      </c>
      <c r="D513" s="2">
        <v>78.8</v>
      </c>
      <c r="E513" s="2">
        <v>-0.497</v>
      </c>
      <c r="F513" s="2">
        <v>7188</v>
      </c>
      <c r="G513" s="2">
        <v>8199</v>
      </c>
    </row>
    <row r="514" spans="1:7">
      <c r="A514" s="2" t="s">
        <v>84</v>
      </c>
      <c r="B514" s="3" t="s">
        <v>16</v>
      </c>
      <c r="C514" s="2">
        <v>17128</v>
      </c>
      <c r="D514" s="2">
        <v>79</v>
      </c>
      <c r="E514" s="2">
        <v>-0.48699999999999999</v>
      </c>
      <c r="F514" s="2">
        <v>6487</v>
      </c>
      <c r="G514" s="2">
        <v>8201</v>
      </c>
    </row>
    <row r="515" spans="1:7">
      <c r="A515" s="2" t="s">
        <v>84</v>
      </c>
      <c r="B515" s="3" t="s">
        <v>17</v>
      </c>
      <c r="C515" s="2">
        <v>16407</v>
      </c>
      <c r="D515" s="2">
        <v>78.3</v>
      </c>
      <c r="E515" s="2">
        <v>-0.5</v>
      </c>
      <c r="F515" s="2">
        <v>6683</v>
      </c>
      <c r="G515" s="2">
        <v>8191</v>
      </c>
    </row>
    <row r="516" spans="1:7">
      <c r="A516" s="2" t="s">
        <v>84</v>
      </c>
      <c r="B516" s="3" t="s">
        <v>18</v>
      </c>
      <c r="C516" s="2">
        <v>16624</v>
      </c>
      <c r="D516" s="2">
        <v>78.7</v>
      </c>
      <c r="E516" s="2">
        <v>-0.49399999999999999</v>
      </c>
      <c r="F516" s="2">
        <v>5993</v>
      </c>
      <c r="G516" s="2">
        <v>8195</v>
      </c>
    </row>
    <row r="517" spans="1:7">
      <c r="A517" s="2" t="s">
        <v>84</v>
      </c>
      <c r="B517" s="3" t="s">
        <v>19</v>
      </c>
      <c r="C517" s="2">
        <v>16325</v>
      </c>
      <c r="D517" s="2">
        <v>78.400000000000006</v>
      </c>
      <c r="E517" s="2">
        <v>-0.49399999999999999</v>
      </c>
      <c r="F517" s="2">
        <v>7168</v>
      </c>
      <c r="G517" s="2">
        <v>8183</v>
      </c>
    </row>
    <row r="518" spans="1:7">
      <c r="A518" s="2" t="s">
        <v>84</v>
      </c>
      <c r="B518" s="3" t="s">
        <v>20</v>
      </c>
      <c r="C518" s="2">
        <v>15158</v>
      </c>
      <c r="D518" s="2">
        <v>77.900000000000006</v>
      </c>
      <c r="E518" s="2">
        <v>-0.503</v>
      </c>
      <c r="F518" s="2">
        <v>7245</v>
      </c>
      <c r="G518" s="2">
        <v>7987</v>
      </c>
    </row>
    <row r="519" spans="1:7">
      <c r="A519" s="2" t="s">
        <v>84</v>
      </c>
      <c r="B519" s="3" t="s">
        <v>21</v>
      </c>
      <c r="C519" s="2">
        <v>14936</v>
      </c>
      <c r="D519" s="2">
        <v>78.400000000000006</v>
      </c>
      <c r="E519" s="2">
        <v>-0.501</v>
      </c>
      <c r="F519" s="2">
        <v>7975</v>
      </c>
      <c r="G519" s="2">
        <v>7984</v>
      </c>
    </row>
    <row r="520" spans="1:7">
      <c r="A520" s="2" t="s">
        <v>84</v>
      </c>
      <c r="B520" s="3" t="s">
        <v>22</v>
      </c>
      <c r="C520" s="2">
        <v>14534</v>
      </c>
      <c r="D520" s="2">
        <v>78.3</v>
      </c>
      <c r="E520" s="2">
        <v>-0.50900000000000001</v>
      </c>
      <c r="F520" s="2">
        <v>8046</v>
      </c>
      <c r="G520" s="2">
        <v>7809</v>
      </c>
    </row>
    <row r="521" spans="1:7">
      <c r="A521" s="2" t="s">
        <v>84</v>
      </c>
      <c r="B521" s="3" t="s">
        <v>23</v>
      </c>
      <c r="C521" s="2">
        <v>14634</v>
      </c>
      <c r="D521" s="2">
        <v>78.2</v>
      </c>
      <c r="E521" s="2">
        <v>-0.51200000000000001</v>
      </c>
      <c r="F521" s="2">
        <v>6878</v>
      </c>
      <c r="G521" s="2">
        <v>7487</v>
      </c>
    </row>
    <row r="522" spans="1:7">
      <c r="A522" s="2" t="s">
        <v>84</v>
      </c>
      <c r="B522" s="3" t="s">
        <v>24</v>
      </c>
      <c r="C522" s="2">
        <v>14896</v>
      </c>
      <c r="D522" s="2">
        <v>78.3</v>
      </c>
      <c r="E522" s="2">
        <v>-0.505</v>
      </c>
      <c r="F522" s="2">
        <v>7388</v>
      </c>
      <c r="G522" s="2">
        <v>7722</v>
      </c>
    </row>
    <row r="523" spans="1:7">
      <c r="A523" s="2" t="s">
        <v>84</v>
      </c>
      <c r="B523" s="3" t="s">
        <v>25</v>
      </c>
      <c r="C523" s="2">
        <v>14852</v>
      </c>
      <c r="D523" s="2">
        <v>77.8</v>
      </c>
      <c r="E523" s="2">
        <v>-0.51500000000000001</v>
      </c>
      <c r="F523" s="2">
        <v>8045</v>
      </c>
      <c r="G523" s="2">
        <v>7748</v>
      </c>
    </row>
    <row r="524" spans="1:7">
      <c r="A524" s="2" t="s">
        <v>84</v>
      </c>
      <c r="B524" s="3" t="s">
        <v>26</v>
      </c>
      <c r="C524" s="2">
        <v>14941</v>
      </c>
      <c r="D524" s="2">
        <v>78.099999999999994</v>
      </c>
      <c r="E524" s="2">
        <v>-0.505</v>
      </c>
      <c r="F524" s="2">
        <v>6982</v>
      </c>
      <c r="G524" s="2">
        <v>7579</v>
      </c>
    </row>
    <row r="525" spans="1:7">
      <c r="A525" s="2" t="s">
        <v>84</v>
      </c>
      <c r="B525" s="3" t="s">
        <v>27</v>
      </c>
      <c r="C525" s="2">
        <v>15583</v>
      </c>
      <c r="D525" s="2">
        <v>78.599999999999994</v>
      </c>
      <c r="E525" s="2">
        <v>-0.503</v>
      </c>
      <c r="F525" s="2">
        <v>3959</v>
      </c>
      <c r="G525" s="2">
        <v>6731</v>
      </c>
    </row>
    <row r="526" spans="1:7">
      <c r="A526" s="2" t="s">
        <v>84</v>
      </c>
      <c r="B526" s="3" t="s">
        <v>28</v>
      </c>
      <c r="C526" s="2">
        <v>14994</v>
      </c>
      <c r="D526" s="2">
        <v>77.900000000000006</v>
      </c>
      <c r="E526" s="2">
        <v>-0.503</v>
      </c>
      <c r="F526" s="2">
        <v>7244</v>
      </c>
      <c r="G526" s="2">
        <v>7693</v>
      </c>
    </row>
    <row r="527" spans="1:7">
      <c r="A527" s="2" t="s">
        <v>84</v>
      </c>
      <c r="B527" s="3" t="s">
        <v>29</v>
      </c>
      <c r="C527" s="2">
        <v>14766</v>
      </c>
      <c r="D527" s="2">
        <v>77.7</v>
      </c>
      <c r="E527" s="2">
        <v>-0.50600000000000001</v>
      </c>
      <c r="F527" s="2">
        <v>6997</v>
      </c>
      <c r="G527" s="2">
        <v>7645</v>
      </c>
    </row>
    <row r="528" spans="1:7">
      <c r="A528" s="2" t="s">
        <v>84</v>
      </c>
      <c r="B528" s="3" t="s">
        <v>30</v>
      </c>
      <c r="C528" s="2">
        <v>13805</v>
      </c>
      <c r="D528" s="2">
        <v>78.2</v>
      </c>
      <c r="E528" s="2">
        <v>-0.50600000000000001</v>
      </c>
      <c r="F528" s="2">
        <v>8280</v>
      </c>
      <c r="G528" s="2">
        <v>7634</v>
      </c>
    </row>
    <row r="529" spans="1:7">
      <c r="A529" s="2" t="s">
        <v>84</v>
      </c>
      <c r="B529" s="3" t="s">
        <v>31</v>
      </c>
      <c r="C529" s="2">
        <v>7284</v>
      </c>
      <c r="D529" s="2">
        <v>78.2</v>
      </c>
      <c r="E529" s="2">
        <v>-0.50800000000000001</v>
      </c>
      <c r="F529" s="2">
        <v>16299</v>
      </c>
      <c r="G529" s="2">
        <v>8040</v>
      </c>
    </row>
    <row r="530" spans="1:7">
      <c r="A530" s="2" t="s">
        <v>85</v>
      </c>
      <c r="B530" s="3" t="s">
        <v>8</v>
      </c>
      <c r="C530" s="2">
        <v>4095</v>
      </c>
      <c r="D530" s="2">
        <v>77.7</v>
      </c>
      <c r="E530" s="2">
        <v>-0.51400000000000001</v>
      </c>
      <c r="F530" s="2">
        <v>18804</v>
      </c>
      <c r="G530" s="2">
        <v>8006</v>
      </c>
    </row>
    <row r="531" spans="1:7">
      <c r="A531" s="2" t="s">
        <v>85</v>
      </c>
      <c r="B531" s="3" t="s">
        <v>9</v>
      </c>
      <c r="C531" s="2">
        <v>2727</v>
      </c>
      <c r="D531" s="2">
        <v>78.099999999999994</v>
      </c>
      <c r="E531" s="2">
        <v>-0.51500000000000001</v>
      </c>
      <c r="F531" s="2">
        <v>20781</v>
      </c>
      <c r="G531" s="2">
        <v>8202</v>
      </c>
    </row>
    <row r="532" spans="1:7">
      <c r="A532" s="2" t="s">
        <v>85</v>
      </c>
      <c r="B532" s="3" t="s">
        <v>10</v>
      </c>
      <c r="C532" s="2">
        <v>4152</v>
      </c>
      <c r="D532" s="2">
        <v>78.3</v>
      </c>
      <c r="E532" s="2">
        <v>-0.502</v>
      </c>
      <c r="F532" s="2">
        <v>19246</v>
      </c>
      <c r="G532" s="2">
        <v>8194</v>
      </c>
    </row>
    <row r="533" spans="1:7">
      <c r="A533" s="2" t="s">
        <v>85</v>
      </c>
      <c r="B533" s="3" t="s">
        <v>11</v>
      </c>
      <c r="C533" s="2">
        <v>3996</v>
      </c>
      <c r="D533" s="2">
        <v>78.5</v>
      </c>
      <c r="E533" s="2">
        <v>-0.503</v>
      </c>
      <c r="F533" s="2">
        <v>18754</v>
      </c>
      <c r="G533" s="2">
        <v>8077</v>
      </c>
    </row>
    <row r="534" spans="1:7">
      <c r="A534" s="2" t="s">
        <v>85</v>
      </c>
      <c r="B534" s="3" t="s">
        <v>12</v>
      </c>
      <c r="C534" s="2">
        <v>17474</v>
      </c>
      <c r="D534" s="2">
        <v>78.400000000000006</v>
      </c>
      <c r="E534" s="2">
        <v>-0.496</v>
      </c>
      <c r="F534" s="2">
        <v>5308</v>
      </c>
      <c r="G534" s="2">
        <v>8204</v>
      </c>
    </row>
    <row r="535" spans="1:7">
      <c r="A535" s="2" t="s">
        <v>85</v>
      </c>
      <c r="B535" s="3" t="s">
        <v>13</v>
      </c>
      <c r="C535" s="2">
        <v>18398</v>
      </c>
      <c r="D535" s="2">
        <v>79.3</v>
      </c>
      <c r="E535" s="2">
        <v>-0.48699999999999999</v>
      </c>
      <c r="F535" s="2">
        <v>4852</v>
      </c>
      <c r="G535" s="2">
        <v>8205</v>
      </c>
    </row>
    <row r="536" spans="1:7">
      <c r="A536" s="2" t="s">
        <v>85</v>
      </c>
      <c r="B536" s="3" t="s">
        <v>14</v>
      </c>
      <c r="C536" s="2">
        <v>15941</v>
      </c>
      <c r="D536" s="2">
        <v>77.7</v>
      </c>
      <c r="E536" s="2">
        <v>-0.50900000000000001</v>
      </c>
      <c r="F536" s="2">
        <v>7766</v>
      </c>
      <c r="G536" s="2">
        <v>8194</v>
      </c>
    </row>
    <row r="537" spans="1:7">
      <c r="A537" s="2" t="s">
        <v>85</v>
      </c>
      <c r="B537" s="3" t="s">
        <v>15</v>
      </c>
      <c r="C537" s="2">
        <v>15250</v>
      </c>
      <c r="D537" s="2">
        <v>78.5</v>
      </c>
      <c r="E537" s="2">
        <v>-0.497</v>
      </c>
      <c r="F537" s="2">
        <v>8153</v>
      </c>
      <c r="G537" s="2">
        <v>8191</v>
      </c>
    </row>
    <row r="538" spans="1:7">
      <c r="A538" s="2" t="s">
        <v>85</v>
      </c>
      <c r="B538" s="3" t="s">
        <v>16</v>
      </c>
      <c r="C538" s="2">
        <v>14741</v>
      </c>
      <c r="D538" s="2">
        <v>77.900000000000006</v>
      </c>
      <c r="E538" s="2">
        <v>-0.504</v>
      </c>
      <c r="F538" s="2">
        <v>8447</v>
      </c>
      <c r="G538" s="2">
        <v>8029</v>
      </c>
    </row>
    <row r="539" spans="1:7">
      <c r="A539" s="2" t="s">
        <v>85</v>
      </c>
      <c r="B539" s="3" t="s">
        <v>17</v>
      </c>
      <c r="C539" s="2">
        <v>15754</v>
      </c>
      <c r="D539" s="2">
        <v>77.8</v>
      </c>
      <c r="E539" s="2">
        <v>-0.504</v>
      </c>
      <c r="F539" s="2">
        <v>7473</v>
      </c>
      <c r="G539" s="2">
        <v>8209</v>
      </c>
    </row>
    <row r="540" spans="1:7">
      <c r="A540" s="2" t="s">
        <v>85</v>
      </c>
      <c r="B540" s="3" t="s">
        <v>18</v>
      </c>
      <c r="C540" s="2">
        <v>15401</v>
      </c>
      <c r="D540" s="2">
        <v>78.099999999999994</v>
      </c>
      <c r="E540" s="2">
        <v>-0.505</v>
      </c>
      <c r="F540" s="2">
        <v>7623</v>
      </c>
      <c r="G540" s="2">
        <v>8209</v>
      </c>
    </row>
    <row r="541" spans="1:7">
      <c r="A541" s="2" t="s">
        <v>85</v>
      </c>
      <c r="B541" s="3" t="s">
        <v>19</v>
      </c>
      <c r="C541" s="2">
        <v>15081</v>
      </c>
      <c r="D541" s="2">
        <v>77.599999999999994</v>
      </c>
      <c r="E541" s="2">
        <v>-0.51200000000000001</v>
      </c>
      <c r="F541" s="2">
        <v>9261</v>
      </c>
      <c r="G541" s="2">
        <v>8198</v>
      </c>
    </row>
    <row r="542" spans="1:7">
      <c r="A542" s="2" t="s">
        <v>85</v>
      </c>
      <c r="B542" s="3" t="s">
        <v>20</v>
      </c>
      <c r="C542" s="2">
        <v>13733</v>
      </c>
      <c r="D542" s="2">
        <v>77.099999999999994</v>
      </c>
      <c r="E542" s="2">
        <v>-0.51800000000000002</v>
      </c>
      <c r="F542" s="2">
        <v>9580</v>
      </c>
      <c r="G542" s="2">
        <v>8198</v>
      </c>
    </row>
    <row r="543" spans="1:7">
      <c r="A543" s="2" t="s">
        <v>85</v>
      </c>
      <c r="B543" s="3" t="s">
        <v>21</v>
      </c>
      <c r="C543" s="2">
        <v>13851</v>
      </c>
      <c r="D543" s="2">
        <v>77</v>
      </c>
      <c r="E543" s="2">
        <v>-0.51600000000000001</v>
      </c>
      <c r="F543" s="2">
        <v>9939</v>
      </c>
      <c r="G543" s="2">
        <v>8192</v>
      </c>
    </row>
    <row r="544" spans="1:7">
      <c r="A544" s="2" t="s">
        <v>85</v>
      </c>
      <c r="B544" s="3" t="s">
        <v>22</v>
      </c>
      <c r="C544" s="2">
        <v>13230</v>
      </c>
      <c r="D544" s="2">
        <v>76.3</v>
      </c>
      <c r="E544" s="2">
        <v>-0.53</v>
      </c>
      <c r="F544" s="2">
        <v>10032</v>
      </c>
      <c r="G544" s="2">
        <v>8202</v>
      </c>
    </row>
    <row r="545" spans="1:7">
      <c r="A545" s="2" t="s">
        <v>85</v>
      </c>
      <c r="B545" s="3" t="s">
        <v>23</v>
      </c>
      <c r="C545" s="2">
        <v>14492</v>
      </c>
      <c r="D545" s="2">
        <v>77.599999999999994</v>
      </c>
      <c r="E545" s="2">
        <v>-0.50800000000000001</v>
      </c>
      <c r="F545" s="2">
        <v>8300</v>
      </c>
      <c r="G545" s="2">
        <v>8198</v>
      </c>
    </row>
    <row r="546" spans="1:7">
      <c r="A546" s="2" t="s">
        <v>85</v>
      </c>
      <c r="B546" s="3" t="s">
        <v>24</v>
      </c>
      <c r="C546" s="2">
        <v>15744</v>
      </c>
      <c r="D546" s="2">
        <v>77.3</v>
      </c>
      <c r="E546" s="2">
        <v>-0.51600000000000001</v>
      </c>
      <c r="F546" s="2">
        <v>7234</v>
      </c>
      <c r="G546" s="2">
        <v>8182</v>
      </c>
    </row>
    <row r="547" spans="1:7">
      <c r="A547" s="2" t="s">
        <v>85</v>
      </c>
      <c r="B547" s="3" t="s">
        <v>25</v>
      </c>
      <c r="C547" s="2">
        <v>15911</v>
      </c>
      <c r="D547" s="2">
        <v>77.900000000000006</v>
      </c>
      <c r="E547" s="2">
        <v>-0.50900000000000001</v>
      </c>
      <c r="F547" s="2">
        <v>7578</v>
      </c>
      <c r="G547" s="2">
        <v>8206</v>
      </c>
    </row>
    <row r="548" spans="1:7">
      <c r="A548" s="2" t="s">
        <v>85</v>
      </c>
      <c r="B548" s="3" t="s">
        <v>26</v>
      </c>
      <c r="C548" s="2">
        <v>15477</v>
      </c>
      <c r="D548" s="2">
        <v>77.900000000000006</v>
      </c>
      <c r="E548" s="2">
        <v>-0.502</v>
      </c>
      <c r="F548" s="2">
        <v>8154</v>
      </c>
      <c r="G548" s="2">
        <v>8201</v>
      </c>
    </row>
    <row r="549" spans="1:7">
      <c r="A549" s="2" t="s">
        <v>85</v>
      </c>
      <c r="B549" s="3" t="s">
        <v>27</v>
      </c>
      <c r="C549" s="2">
        <v>15725</v>
      </c>
      <c r="D549" s="2">
        <v>78</v>
      </c>
      <c r="E549" s="2">
        <v>-0.502</v>
      </c>
      <c r="F549" s="2">
        <v>7760</v>
      </c>
      <c r="G549" s="2">
        <v>8205</v>
      </c>
    </row>
    <row r="550" spans="1:7">
      <c r="A550" s="2" t="s">
        <v>85</v>
      </c>
      <c r="B550" s="3" t="s">
        <v>28</v>
      </c>
      <c r="C550" s="2">
        <v>15489</v>
      </c>
      <c r="D550" s="2">
        <v>78.400000000000006</v>
      </c>
      <c r="E550" s="2">
        <v>-0.49399999999999999</v>
      </c>
      <c r="F550" s="2">
        <v>7752</v>
      </c>
      <c r="G550" s="2">
        <v>8201</v>
      </c>
    </row>
    <row r="551" spans="1:7">
      <c r="A551" s="2" t="s">
        <v>85</v>
      </c>
      <c r="B551" s="3" t="s">
        <v>29</v>
      </c>
      <c r="C551" s="2">
        <v>15898</v>
      </c>
      <c r="D551" s="2">
        <v>78</v>
      </c>
      <c r="E551" s="2">
        <v>-0.5</v>
      </c>
      <c r="F551" s="2">
        <v>7587</v>
      </c>
      <c r="G551" s="2">
        <v>8188</v>
      </c>
    </row>
    <row r="552" spans="1:7">
      <c r="A552" s="2" t="s">
        <v>85</v>
      </c>
      <c r="B552" s="3" t="s">
        <v>30</v>
      </c>
      <c r="C552" s="2">
        <v>14107</v>
      </c>
      <c r="D552" s="2">
        <v>78.5</v>
      </c>
      <c r="E552" s="2">
        <v>-0.49399999999999999</v>
      </c>
      <c r="F552" s="2">
        <v>9153</v>
      </c>
      <c r="G552" s="2">
        <v>8206</v>
      </c>
    </row>
    <row r="553" spans="1:7">
      <c r="A553" s="2" t="s">
        <v>85</v>
      </c>
      <c r="B553" s="3" t="s">
        <v>31</v>
      </c>
      <c r="C553" s="2">
        <v>7362</v>
      </c>
      <c r="D553" s="2">
        <v>78.5</v>
      </c>
      <c r="E553" s="2">
        <v>-0.5</v>
      </c>
      <c r="F553" s="2">
        <v>16105</v>
      </c>
      <c r="G553" s="2">
        <v>8194</v>
      </c>
    </row>
    <row r="554" spans="1:7">
      <c r="A554" s="2" t="s">
        <v>86</v>
      </c>
      <c r="B554" s="3" t="s">
        <v>8</v>
      </c>
      <c r="C554" s="2">
        <v>4843</v>
      </c>
      <c r="D554" s="2">
        <v>78.400000000000006</v>
      </c>
      <c r="E554" s="2">
        <v>-0.5</v>
      </c>
      <c r="F554" s="2">
        <v>18666</v>
      </c>
      <c r="G554" s="2">
        <v>8209</v>
      </c>
    </row>
    <row r="555" spans="1:7">
      <c r="A555" s="2" t="s">
        <v>86</v>
      </c>
      <c r="B555" s="3" t="s">
        <v>9</v>
      </c>
      <c r="C555" s="2">
        <v>3886</v>
      </c>
      <c r="D555" s="2">
        <v>78.5</v>
      </c>
      <c r="E555" s="2">
        <v>-0.502</v>
      </c>
      <c r="F555" s="2">
        <v>19893</v>
      </c>
      <c r="G555" s="2">
        <v>8214</v>
      </c>
    </row>
    <row r="556" spans="1:7">
      <c r="A556" s="2" t="s">
        <v>86</v>
      </c>
      <c r="B556" s="3" t="s">
        <v>10</v>
      </c>
      <c r="C556" s="2">
        <v>2773</v>
      </c>
      <c r="D556" s="2">
        <v>78.7</v>
      </c>
      <c r="E556" s="2">
        <v>-0.496</v>
      </c>
      <c r="F556" s="2">
        <v>21669</v>
      </c>
      <c r="G556" s="2">
        <v>8198</v>
      </c>
    </row>
    <row r="557" spans="1:7">
      <c r="A557" s="2" t="s">
        <v>86</v>
      </c>
      <c r="B557" s="3" t="s">
        <v>11</v>
      </c>
      <c r="C557" s="2">
        <v>3053</v>
      </c>
      <c r="D557" s="2">
        <v>78.599999999999994</v>
      </c>
      <c r="E557" s="2">
        <v>-0.497</v>
      </c>
      <c r="F557" s="2">
        <v>20640</v>
      </c>
      <c r="G557" s="2">
        <v>8200</v>
      </c>
    </row>
    <row r="558" spans="1:7">
      <c r="A558" s="2" t="s">
        <v>86</v>
      </c>
      <c r="B558" s="3" t="s">
        <v>12</v>
      </c>
      <c r="C558" s="2">
        <v>13029</v>
      </c>
      <c r="D558" s="2">
        <v>78.2</v>
      </c>
      <c r="E558" s="2">
        <v>-0.495</v>
      </c>
      <c r="F558" s="2">
        <v>10300</v>
      </c>
      <c r="G558" s="2">
        <v>8209</v>
      </c>
    </row>
    <row r="559" spans="1:7">
      <c r="A559" s="2" t="s">
        <v>86</v>
      </c>
      <c r="B559" s="3" t="s">
        <v>13</v>
      </c>
      <c r="C559" s="2">
        <v>18630</v>
      </c>
      <c r="D559" s="2">
        <v>78.599999999999994</v>
      </c>
      <c r="E559" s="2">
        <v>-0.48499999999999999</v>
      </c>
      <c r="F559" s="2">
        <v>4810</v>
      </c>
      <c r="G559" s="2">
        <v>8191</v>
      </c>
    </row>
    <row r="560" spans="1:7">
      <c r="A560" s="2" t="s">
        <v>86</v>
      </c>
      <c r="B560" s="3" t="s">
        <v>14</v>
      </c>
      <c r="C560" s="2">
        <v>17620</v>
      </c>
      <c r="D560" s="2">
        <v>78.3</v>
      </c>
      <c r="E560" s="2">
        <v>-0.495</v>
      </c>
      <c r="F560" s="2">
        <v>5655</v>
      </c>
      <c r="G560" s="2">
        <v>8192</v>
      </c>
    </row>
    <row r="561" spans="1:7">
      <c r="A561" s="2" t="s">
        <v>86</v>
      </c>
      <c r="B561" s="3" t="s">
        <v>15</v>
      </c>
      <c r="C561" s="2">
        <v>13164</v>
      </c>
      <c r="D561" s="2">
        <v>78.599999999999994</v>
      </c>
      <c r="E561" s="2">
        <v>-0.48799999999999999</v>
      </c>
      <c r="F561" s="2">
        <v>9874</v>
      </c>
      <c r="G561" s="2">
        <v>8178</v>
      </c>
    </row>
    <row r="562" spans="1:7">
      <c r="A562" s="2" t="s">
        <v>86</v>
      </c>
      <c r="B562" s="3" t="s">
        <v>16</v>
      </c>
      <c r="C562" s="2">
        <v>13761</v>
      </c>
      <c r="D562" s="2">
        <v>78.2</v>
      </c>
      <c r="E562" s="2">
        <v>-0.48899999999999999</v>
      </c>
      <c r="F562" s="2">
        <v>8748</v>
      </c>
      <c r="G562" s="2">
        <v>8189</v>
      </c>
    </row>
    <row r="563" spans="1:7">
      <c r="A563" s="2" t="s">
        <v>86</v>
      </c>
      <c r="B563" s="3" t="s">
        <v>17</v>
      </c>
      <c r="C563" s="2">
        <v>15168</v>
      </c>
      <c r="D563" s="2">
        <v>78.400000000000006</v>
      </c>
      <c r="E563" s="2">
        <v>-0.496</v>
      </c>
      <c r="F563" s="2">
        <v>8655</v>
      </c>
      <c r="G563" s="2">
        <v>8107</v>
      </c>
    </row>
    <row r="564" spans="1:7">
      <c r="A564" s="2" t="s">
        <v>86</v>
      </c>
      <c r="B564" s="3" t="s">
        <v>18</v>
      </c>
      <c r="C564" s="2">
        <v>15150</v>
      </c>
      <c r="D564" s="2">
        <v>78</v>
      </c>
      <c r="E564" s="2">
        <v>-0.49199999999999999</v>
      </c>
      <c r="F564" s="2">
        <v>7414</v>
      </c>
      <c r="G564" s="2">
        <v>8189</v>
      </c>
    </row>
    <row r="565" spans="1:7">
      <c r="A565" s="2" t="s">
        <v>86</v>
      </c>
      <c r="B565" s="3" t="s">
        <v>19</v>
      </c>
      <c r="C565" s="2">
        <v>14525</v>
      </c>
      <c r="D565" s="2">
        <v>77.900000000000006</v>
      </c>
      <c r="E565" s="2">
        <v>-0.499</v>
      </c>
      <c r="F565" s="2">
        <v>8455</v>
      </c>
      <c r="G565" s="2">
        <v>8188</v>
      </c>
    </row>
    <row r="566" spans="1:7">
      <c r="A566" s="2" t="s">
        <v>86</v>
      </c>
      <c r="B566" s="3" t="s">
        <v>20</v>
      </c>
      <c r="C566" s="2">
        <v>14301</v>
      </c>
      <c r="D566" s="2">
        <v>77.7</v>
      </c>
      <c r="E566" s="2">
        <v>-0.504</v>
      </c>
      <c r="F566" s="2">
        <v>9381</v>
      </c>
      <c r="G566" s="2">
        <v>8180</v>
      </c>
    </row>
    <row r="567" spans="1:7">
      <c r="A567" s="2" t="s">
        <v>86</v>
      </c>
      <c r="B567" s="3" t="s">
        <v>21</v>
      </c>
      <c r="C567" s="2">
        <v>14840</v>
      </c>
      <c r="D567" s="2">
        <v>78</v>
      </c>
      <c r="E567" s="2">
        <v>-0.502</v>
      </c>
      <c r="F567" s="2">
        <v>8338</v>
      </c>
      <c r="G567" s="2">
        <v>8200</v>
      </c>
    </row>
    <row r="568" spans="1:7">
      <c r="A568" s="2" t="s">
        <v>86</v>
      </c>
      <c r="B568" s="3" t="s">
        <v>22</v>
      </c>
      <c r="C568" s="2">
        <v>14684</v>
      </c>
      <c r="D568" s="2">
        <v>78</v>
      </c>
      <c r="E568" s="2">
        <v>-0.5</v>
      </c>
      <c r="F568" s="2">
        <v>8681</v>
      </c>
      <c r="G568" s="2">
        <v>8197</v>
      </c>
    </row>
    <row r="569" spans="1:7">
      <c r="A569" s="2" t="s">
        <v>86</v>
      </c>
      <c r="B569" s="3" t="s">
        <v>23</v>
      </c>
      <c r="C569" s="2">
        <v>15451</v>
      </c>
      <c r="D569" s="2">
        <v>78.900000000000006</v>
      </c>
      <c r="E569" s="2">
        <v>-0.49399999999999999</v>
      </c>
      <c r="F569" s="2">
        <v>8027</v>
      </c>
      <c r="G569" s="2">
        <v>8194</v>
      </c>
    </row>
    <row r="570" spans="1:7">
      <c r="A570" s="2" t="s">
        <v>86</v>
      </c>
      <c r="B570" s="3" t="s">
        <v>24</v>
      </c>
      <c r="C570" s="2">
        <v>17105</v>
      </c>
      <c r="D570" s="2">
        <v>79.5</v>
      </c>
      <c r="E570" s="2">
        <v>-0.47799999999999998</v>
      </c>
      <c r="F570" s="2">
        <v>5918</v>
      </c>
      <c r="G570" s="2">
        <v>8202</v>
      </c>
    </row>
    <row r="571" spans="1:7">
      <c r="A571" s="2" t="s">
        <v>86</v>
      </c>
      <c r="B571" s="3" t="s">
        <v>25</v>
      </c>
      <c r="C571" s="2">
        <v>17687</v>
      </c>
      <c r="D571" s="2">
        <v>79.599999999999994</v>
      </c>
      <c r="E571" s="2">
        <v>-0.47799999999999998</v>
      </c>
      <c r="F571" s="2">
        <v>6071</v>
      </c>
      <c r="G571" s="2">
        <v>8205</v>
      </c>
    </row>
    <row r="572" spans="1:7">
      <c r="A572" s="2" t="s">
        <v>86</v>
      </c>
      <c r="B572" s="3" t="s">
        <v>26</v>
      </c>
      <c r="C572" s="2">
        <v>15137</v>
      </c>
      <c r="D572" s="2">
        <v>78.400000000000006</v>
      </c>
      <c r="E572" s="2">
        <v>-0.48899999999999999</v>
      </c>
      <c r="F572" s="2">
        <v>6403</v>
      </c>
      <c r="G572" s="2">
        <v>8192</v>
      </c>
    </row>
    <row r="573" spans="1:7">
      <c r="A573" s="2" t="s">
        <v>86</v>
      </c>
      <c r="B573" s="3" t="s">
        <v>27</v>
      </c>
      <c r="C573" s="2">
        <v>18098</v>
      </c>
      <c r="D573" s="2">
        <v>80.099999999999994</v>
      </c>
      <c r="E573" s="2">
        <v>-0.46200000000000002</v>
      </c>
      <c r="F573" s="2">
        <v>4943</v>
      </c>
      <c r="G573" s="2">
        <v>8203</v>
      </c>
    </row>
    <row r="574" spans="1:7">
      <c r="A574" s="2" t="s">
        <v>86</v>
      </c>
      <c r="B574" s="3" t="s">
        <v>28</v>
      </c>
      <c r="C574" s="2">
        <v>17794</v>
      </c>
      <c r="D574" s="2">
        <v>80.400000000000006</v>
      </c>
      <c r="E574" s="2">
        <v>-0.46400000000000002</v>
      </c>
      <c r="F574" s="2">
        <v>6132</v>
      </c>
      <c r="G574" s="2">
        <v>8196</v>
      </c>
    </row>
    <row r="575" spans="1:7">
      <c r="A575" s="2" t="s">
        <v>86</v>
      </c>
      <c r="B575" s="3" t="s">
        <v>29</v>
      </c>
      <c r="C575" s="2">
        <v>16150</v>
      </c>
      <c r="D575" s="2">
        <v>79.2</v>
      </c>
      <c r="E575" s="2">
        <v>-0.48699999999999999</v>
      </c>
      <c r="F575" s="2">
        <v>6884</v>
      </c>
      <c r="G575" s="2">
        <v>8199</v>
      </c>
    </row>
    <row r="576" spans="1:7">
      <c r="A576" s="2" t="s">
        <v>86</v>
      </c>
      <c r="B576" s="3" t="s">
        <v>30</v>
      </c>
      <c r="C576" s="2">
        <v>14864</v>
      </c>
      <c r="D576" s="2">
        <v>79.8</v>
      </c>
      <c r="E576" s="2">
        <v>-0.48399999999999999</v>
      </c>
      <c r="F576" s="2">
        <v>9484</v>
      </c>
      <c r="G576" s="2">
        <v>8213</v>
      </c>
    </row>
    <row r="577" spans="1:7">
      <c r="A577" s="2" t="s">
        <v>86</v>
      </c>
      <c r="B577" s="3" t="s">
        <v>31</v>
      </c>
      <c r="C577" s="2">
        <v>7980</v>
      </c>
      <c r="D577" s="2">
        <v>79.8</v>
      </c>
      <c r="E577" s="2">
        <v>-0.47799999999999998</v>
      </c>
      <c r="F577" s="2">
        <v>15608</v>
      </c>
      <c r="G577" s="2">
        <v>8201</v>
      </c>
    </row>
    <row r="578" spans="1:7">
      <c r="A578" s="2" t="s">
        <v>87</v>
      </c>
      <c r="B578" s="3" t="s">
        <v>8</v>
      </c>
      <c r="C578" s="2">
        <v>7897</v>
      </c>
      <c r="D578" s="2">
        <v>79.2</v>
      </c>
      <c r="E578" s="2">
        <v>-0.48699999999999999</v>
      </c>
      <c r="F578" s="2">
        <v>15798</v>
      </c>
      <c r="G578" s="2">
        <v>8192</v>
      </c>
    </row>
    <row r="579" spans="1:7">
      <c r="A579" s="2" t="s">
        <v>87</v>
      </c>
      <c r="B579" s="3" t="s">
        <v>9</v>
      </c>
      <c r="C579" s="2">
        <v>7719</v>
      </c>
      <c r="D579" s="2">
        <v>79.400000000000006</v>
      </c>
      <c r="E579" s="2">
        <v>-0.48499999999999999</v>
      </c>
      <c r="F579" s="2">
        <v>15793</v>
      </c>
      <c r="G579" s="2">
        <v>8212</v>
      </c>
    </row>
    <row r="580" spans="1:7">
      <c r="A580" s="2" t="s">
        <v>87</v>
      </c>
      <c r="B580" s="3" t="s">
        <v>10</v>
      </c>
      <c r="C580" s="2">
        <v>9490</v>
      </c>
      <c r="D580" s="2">
        <v>79.8</v>
      </c>
      <c r="E580" s="2">
        <v>-0.48099999999999998</v>
      </c>
      <c r="F580" s="2">
        <v>13984</v>
      </c>
      <c r="G580" s="2">
        <v>8200</v>
      </c>
    </row>
    <row r="581" spans="1:7">
      <c r="A581" s="2" t="s">
        <v>87</v>
      </c>
      <c r="B581" s="3" t="s">
        <v>11</v>
      </c>
      <c r="C581" s="2">
        <v>10863</v>
      </c>
      <c r="D581" s="2">
        <v>79.7</v>
      </c>
      <c r="E581" s="2">
        <v>-0.48299999999999998</v>
      </c>
      <c r="F581" s="2">
        <v>13043</v>
      </c>
      <c r="G581" s="2">
        <v>8204</v>
      </c>
    </row>
    <row r="582" spans="1:7">
      <c r="A582" s="2" t="s">
        <v>87</v>
      </c>
      <c r="B582" s="3" t="s">
        <v>12</v>
      </c>
      <c r="C582" s="2">
        <v>21557</v>
      </c>
      <c r="D582" s="2">
        <v>79.900000000000006</v>
      </c>
      <c r="E582" s="2">
        <v>-0.47599999999999998</v>
      </c>
      <c r="F582" s="2">
        <v>2351</v>
      </c>
      <c r="G582" s="2">
        <v>8198</v>
      </c>
    </row>
    <row r="583" spans="1:7">
      <c r="A583" s="2" t="s">
        <v>87</v>
      </c>
      <c r="B583" s="3" t="s">
        <v>13</v>
      </c>
      <c r="C583" s="2">
        <v>20381</v>
      </c>
      <c r="D583" s="2">
        <v>80.2</v>
      </c>
      <c r="E583" s="2">
        <v>-0.47399999999999998</v>
      </c>
      <c r="F583" s="2">
        <v>3981</v>
      </c>
      <c r="G583" s="2">
        <v>8224</v>
      </c>
    </row>
    <row r="584" spans="1:7">
      <c r="A584" s="2" t="s">
        <v>87</v>
      </c>
      <c r="B584" s="3" t="s">
        <v>14</v>
      </c>
      <c r="C584" s="2">
        <v>18981</v>
      </c>
      <c r="D584" s="2">
        <v>79.7</v>
      </c>
      <c r="E584" s="2">
        <v>-0.47399999999999998</v>
      </c>
      <c r="F584" s="2">
        <v>4864</v>
      </c>
      <c r="G584" s="2">
        <v>8205</v>
      </c>
    </row>
    <row r="585" spans="1:7">
      <c r="A585" s="2" t="s">
        <v>87</v>
      </c>
      <c r="B585" s="3" t="s">
        <v>15</v>
      </c>
      <c r="C585" s="2">
        <v>16212</v>
      </c>
      <c r="D585" s="2">
        <v>79.900000000000006</v>
      </c>
      <c r="E585" s="2">
        <v>-0.47199999999999998</v>
      </c>
      <c r="F585" s="2">
        <v>7365</v>
      </c>
      <c r="G585" s="2">
        <v>8054</v>
      </c>
    </row>
    <row r="586" spans="1:7">
      <c r="A586" s="2" t="s">
        <v>87</v>
      </c>
      <c r="B586" s="3" t="s">
        <v>16</v>
      </c>
      <c r="C586" s="2">
        <v>18551</v>
      </c>
      <c r="D586" s="2">
        <v>79.599999999999994</v>
      </c>
      <c r="E586" s="2">
        <v>-0.47299999999999998</v>
      </c>
      <c r="F586" s="2">
        <v>4559</v>
      </c>
      <c r="G586" s="2">
        <v>8194</v>
      </c>
    </row>
    <row r="587" spans="1:7">
      <c r="A587" s="2" t="s">
        <v>87</v>
      </c>
      <c r="B587" s="3" t="s">
        <v>17</v>
      </c>
      <c r="C587" s="2">
        <v>16862</v>
      </c>
      <c r="D587" s="2">
        <v>79.3</v>
      </c>
      <c r="E587" s="2">
        <v>-0.47099999999999997</v>
      </c>
      <c r="F587" s="2">
        <v>5212</v>
      </c>
      <c r="G587" s="2">
        <v>8200</v>
      </c>
    </row>
    <row r="588" spans="1:7">
      <c r="A588" s="2" t="s">
        <v>87</v>
      </c>
      <c r="B588" s="3" t="s">
        <v>18</v>
      </c>
      <c r="C588" s="2">
        <v>17717</v>
      </c>
      <c r="D588" s="2">
        <v>79.900000000000006</v>
      </c>
      <c r="E588" s="2">
        <v>-0.45900000000000002</v>
      </c>
      <c r="F588" s="2">
        <v>4865</v>
      </c>
      <c r="G588" s="2">
        <v>7992</v>
      </c>
    </row>
    <row r="589" spans="1:7">
      <c r="A589" s="2" t="s">
        <v>87</v>
      </c>
      <c r="B589" s="3" t="s">
        <v>19</v>
      </c>
      <c r="C589" s="2">
        <v>17640</v>
      </c>
      <c r="D589" s="2">
        <v>80.400000000000006</v>
      </c>
      <c r="E589" s="2">
        <v>-0.41099999999999998</v>
      </c>
      <c r="F589" s="2">
        <v>10147</v>
      </c>
      <c r="G589" s="2">
        <v>0</v>
      </c>
    </row>
    <row r="590" spans="1:7">
      <c r="A590" s="2" t="s">
        <v>87</v>
      </c>
      <c r="B590" s="3" t="s">
        <v>20</v>
      </c>
      <c r="C590" s="2">
        <v>16725</v>
      </c>
      <c r="D590" s="2">
        <v>80</v>
      </c>
      <c r="E590" s="2">
        <v>-0.45700000000000002</v>
      </c>
      <c r="F590" s="2">
        <v>10320</v>
      </c>
      <c r="G590" s="2">
        <v>0</v>
      </c>
    </row>
    <row r="591" spans="1:7">
      <c r="A591" s="2" t="s">
        <v>87</v>
      </c>
      <c r="B591" s="3" t="s">
        <v>21</v>
      </c>
      <c r="C591" s="2">
        <v>17132</v>
      </c>
      <c r="D591" s="2">
        <v>80.5</v>
      </c>
      <c r="E591" s="2">
        <v>-0.45</v>
      </c>
      <c r="F591" s="2">
        <v>5333</v>
      </c>
      <c r="G591" s="2">
        <v>7817</v>
      </c>
    </row>
    <row r="592" spans="1:7">
      <c r="A592" s="2" t="s">
        <v>87</v>
      </c>
      <c r="B592" s="3" t="s">
        <v>22</v>
      </c>
      <c r="C592" s="2">
        <v>15801</v>
      </c>
      <c r="D592" s="2">
        <v>79.599999999999994</v>
      </c>
      <c r="E592" s="2">
        <v>-0.47299999999999998</v>
      </c>
      <c r="F592" s="2">
        <v>7973</v>
      </c>
      <c r="G592" s="2">
        <v>8208</v>
      </c>
    </row>
    <row r="593" spans="1:7">
      <c r="A593" s="2" t="s">
        <v>87</v>
      </c>
      <c r="B593" s="3" t="s">
        <v>23</v>
      </c>
      <c r="C593" s="2">
        <v>16808</v>
      </c>
      <c r="D593" s="2">
        <v>79.8</v>
      </c>
      <c r="E593" s="2">
        <v>-0.47099999999999997</v>
      </c>
      <c r="F593" s="2">
        <v>6572</v>
      </c>
      <c r="G593" s="2">
        <v>8194</v>
      </c>
    </row>
    <row r="594" spans="1:7">
      <c r="A594" s="2" t="s">
        <v>87</v>
      </c>
      <c r="B594" s="3" t="s">
        <v>24</v>
      </c>
      <c r="C594" s="2">
        <v>16504</v>
      </c>
      <c r="D594" s="2">
        <v>79.900000000000006</v>
      </c>
      <c r="E594" s="2">
        <v>-0.47799999999999998</v>
      </c>
      <c r="F594" s="2">
        <v>7126</v>
      </c>
      <c r="G594" s="2">
        <v>8202</v>
      </c>
    </row>
    <row r="595" spans="1:7">
      <c r="A595" s="2" t="s">
        <v>87</v>
      </c>
      <c r="B595" s="3" t="s">
        <v>25</v>
      </c>
      <c r="C595" s="2">
        <v>16806</v>
      </c>
      <c r="D595" s="2">
        <v>79.7</v>
      </c>
      <c r="E595" s="2">
        <v>-0.46899999999999997</v>
      </c>
      <c r="F595" s="2">
        <v>6954</v>
      </c>
      <c r="G595" s="2">
        <v>8208</v>
      </c>
    </row>
    <row r="596" spans="1:7">
      <c r="A596" s="2" t="s">
        <v>87</v>
      </c>
      <c r="B596" s="3" t="s">
        <v>26</v>
      </c>
      <c r="C596" s="2">
        <v>17219</v>
      </c>
      <c r="D596" s="2">
        <v>79.900000000000006</v>
      </c>
      <c r="E596" s="2">
        <v>-0.47599999999999998</v>
      </c>
      <c r="F596" s="2">
        <v>6815</v>
      </c>
      <c r="G596" s="2">
        <v>8209</v>
      </c>
    </row>
    <row r="597" spans="1:7">
      <c r="A597" s="2" t="s">
        <v>87</v>
      </c>
      <c r="B597" s="3" t="s">
        <v>27</v>
      </c>
      <c r="C597" s="2">
        <v>17025</v>
      </c>
      <c r="D597" s="2">
        <v>79.3</v>
      </c>
      <c r="E597" s="2">
        <v>-0.48</v>
      </c>
      <c r="F597" s="2">
        <v>7009</v>
      </c>
      <c r="G597" s="2">
        <v>8201</v>
      </c>
    </row>
    <row r="598" spans="1:7">
      <c r="A598" s="2" t="s">
        <v>87</v>
      </c>
      <c r="B598" s="3" t="s">
        <v>28</v>
      </c>
      <c r="C598" s="2">
        <v>16922</v>
      </c>
      <c r="D598" s="2">
        <v>79.400000000000006</v>
      </c>
      <c r="E598" s="2">
        <v>-0.47899999999999998</v>
      </c>
      <c r="F598" s="2">
        <v>7244</v>
      </c>
      <c r="G598" s="2">
        <v>8220</v>
      </c>
    </row>
    <row r="599" spans="1:7">
      <c r="A599" s="2" t="s">
        <v>87</v>
      </c>
      <c r="B599" s="3" t="s">
        <v>29</v>
      </c>
      <c r="C599" s="2">
        <v>16882</v>
      </c>
      <c r="D599" s="2">
        <v>79.5</v>
      </c>
      <c r="E599" s="2">
        <v>-0.47099999999999997</v>
      </c>
      <c r="F599" s="2">
        <v>5951</v>
      </c>
      <c r="G599" s="2">
        <v>8190</v>
      </c>
    </row>
    <row r="600" spans="1:7">
      <c r="A600" s="2" t="s">
        <v>87</v>
      </c>
      <c r="B600" s="3" t="s">
        <v>30</v>
      </c>
      <c r="C600" s="2">
        <v>15733</v>
      </c>
      <c r="D600" s="2">
        <v>79.8</v>
      </c>
      <c r="E600" s="2">
        <v>-0.46899999999999997</v>
      </c>
      <c r="F600" s="2">
        <v>8371</v>
      </c>
      <c r="G600" s="2">
        <v>8190</v>
      </c>
    </row>
    <row r="601" spans="1:7">
      <c r="A601" s="2" t="s">
        <v>87</v>
      </c>
      <c r="B601" s="3" t="s">
        <v>31</v>
      </c>
      <c r="C601" s="2">
        <v>8917</v>
      </c>
      <c r="D601" s="2">
        <v>80</v>
      </c>
      <c r="E601" s="2">
        <v>-0.47899999999999998</v>
      </c>
      <c r="F601" s="2">
        <v>14849</v>
      </c>
      <c r="G601" s="2">
        <v>8177</v>
      </c>
    </row>
    <row r="602" spans="1:7">
      <c r="A602" s="2" t="s">
        <v>88</v>
      </c>
      <c r="B602" s="3" t="s">
        <v>8</v>
      </c>
      <c r="C602" s="2">
        <v>8493</v>
      </c>
      <c r="D602" s="2">
        <v>80</v>
      </c>
      <c r="E602" s="2">
        <v>-0.46899999999999997</v>
      </c>
      <c r="F602" s="2">
        <v>14844</v>
      </c>
      <c r="G602" s="2">
        <v>8200</v>
      </c>
    </row>
    <row r="603" spans="1:7">
      <c r="A603" s="2" t="s">
        <v>88</v>
      </c>
      <c r="B603" s="3" t="s">
        <v>9</v>
      </c>
      <c r="C603" s="2">
        <v>9619</v>
      </c>
      <c r="D603" s="2">
        <v>79.7</v>
      </c>
      <c r="E603" s="2">
        <v>-0.47899999999999998</v>
      </c>
      <c r="F603" s="2">
        <v>13779</v>
      </c>
      <c r="G603" s="2">
        <v>8194</v>
      </c>
    </row>
    <row r="604" spans="1:7">
      <c r="A604" s="2" t="s">
        <v>88</v>
      </c>
      <c r="B604" s="3" t="s">
        <v>10</v>
      </c>
      <c r="C604" s="2">
        <v>11830</v>
      </c>
      <c r="D604" s="2">
        <v>80</v>
      </c>
      <c r="E604" s="2">
        <v>-0.48099999999999998</v>
      </c>
      <c r="F604" s="2">
        <v>11685</v>
      </c>
      <c r="G604" s="2">
        <v>8191</v>
      </c>
    </row>
    <row r="605" spans="1:7">
      <c r="A605" s="2" t="s">
        <v>88</v>
      </c>
      <c r="B605" s="3" t="s">
        <v>11</v>
      </c>
      <c r="C605" s="2">
        <v>11511</v>
      </c>
      <c r="D605" s="2">
        <v>79.8</v>
      </c>
      <c r="E605" s="2">
        <v>-0.49</v>
      </c>
      <c r="F605" s="2">
        <v>12865</v>
      </c>
      <c r="G605" s="2">
        <v>8194</v>
      </c>
    </row>
    <row r="606" spans="1:7">
      <c r="A606" s="2" t="s">
        <v>88</v>
      </c>
      <c r="B606" s="3" t="s">
        <v>12</v>
      </c>
      <c r="C606" s="2">
        <v>21551</v>
      </c>
      <c r="D606" s="2">
        <v>79.8</v>
      </c>
      <c r="E606" s="2">
        <v>-0.48</v>
      </c>
      <c r="F606" s="2">
        <v>1833</v>
      </c>
      <c r="G606" s="2">
        <v>8199</v>
      </c>
    </row>
    <row r="607" spans="1:7">
      <c r="A607" s="2" t="s">
        <v>88</v>
      </c>
      <c r="B607" s="3" t="s">
        <v>13</v>
      </c>
      <c r="C607" s="2">
        <v>20764</v>
      </c>
      <c r="D607" s="2">
        <v>80.2</v>
      </c>
      <c r="E607" s="2">
        <v>-0.47199999999999998</v>
      </c>
      <c r="F607" s="2">
        <v>3260</v>
      </c>
      <c r="G607" s="2">
        <v>8204</v>
      </c>
    </row>
    <row r="608" spans="1:7">
      <c r="A608" s="2" t="s">
        <v>88</v>
      </c>
      <c r="B608" s="3" t="s">
        <v>14</v>
      </c>
      <c r="C608" s="2">
        <v>21741</v>
      </c>
      <c r="D608" s="2">
        <v>81.5</v>
      </c>
      <c r="E608" s="2">
        <v>-0.42799999999999999</v>
      </c>
      <c r="F608" s="2">
        <v>3382</v>
      </c>
      <c r="G608" s="2">
        <v>5323</v>
      </c>
    </row>
    <row r="609" spans="1:7">
      <c r="A609" s="2" t="s">
        <v>88</v>
      </c>
      <c r="B609" s="3" t="s">
        <v>15</v>
      </c>
      <c r="C609" s="2">
        <v>18926</v>
      </c>
      <c r="D609" s="2">
        <v>82.3</v>
      </c>
      <c r="E609" s="2">
        <v>-0.42799999999999999</v>
      </c>
      <c r="F609" s="2">
        <v>4547</v>
      </c>
      <c r="G609" s="2">
        <v>8176</v>
      </c>
    </row>
    <row r="610" spans="1:7">
      <c r="A610" s="2" t="s">
        <v>88</v>
      </c>
      <c r="B610" s="3" t="s">
        <v>16</v>
      </c>
      <c r="C610" s="2">
        <v>18697</v>
      </c>
      <c r="D610" s="2">
        <v>82.5</v>
      </c>
      <c r="E610" s="2">
        <v>-0.40799999999999997</v>
      </c>
      <c r="F610" s="2">
        <v>3080</v>
      </c>
      <c r="G610" s="2">
        <v>8190</v>
      </c>
    </row>
    <row r="611" spans="1:7">
      <c r="A611" s="2" t="s">
        <v>88</v>
      </c>
      <c r="B611" s="3" t="s">
        <v>17</v>
      </c>
      <c r="C611" s="2">
        <v>17562</v>
      </c>
      <c r="D611" s="2">
        <v>81.8</v>
      </c>
      <c r="E611" s="2">
        <v>-0.44400000000000001</v>
      </c>
      <c r="F611" s="2">
        <v>5933</v>
      </c>
      <c r="G611" s="2">
        <v>8201</v>
      </c>
    </row>
    <row r="612" spans="1:7">
      <c r="A612" s="2" t="s">
        <v>88</v>
      </c>
      <c r="B612" s="3" t="s">
        <v>18</v>
      </c>
      <c r="C612" s="2">
        <v>18963</v>
      </c>
      <c r="D612" s="2">
        <v>83.3</v>
      </c>
      <c r="E612" s="2">
        <v>-0.4</v>
      </c>
      <c r="F612" s="2">
        <v>4855</v>
      </c>
      <c r="G612" s="2">
        <v>8146</v>
      </c>
    </row>
    <row r="613" spans="1:7">
      <c r="A613" s="2" t="s">
        <v>88</v>
      </c>
      <c r="B613" s="3" t="s">
        <v>19</v>
      </c>
      <c r="C613" s="2">
        <v>14928</v>
      </c>
      <c r="D613" s="2">
        <v>79.599999999999994</v>
      </c>
      <c r="E613" s="2">
        <v>-0.47799999999999998</v>
      </c>
      <c r="F613" s="2">
        <v>7902</v>
      </c>
      <c r="G613" s="2">
        <v>8179</v>
      </c>
    </row>
    <row r="614" spans="1:7">
      <c r="A614" s="2" t="s">
        <v>88</v>
      </c>
      <c r="B614" s="3" t="s">
        <v>20</v>
      </c>
      <c r="C614" s="2">
        <v>18681</v>
      </c>
      <c r="D614" s="2">
        <v>80.5</v>
      </c>
      <c r="E614" s="2">
        <v>-0.47099999999999997</v>
      </c>
      <c r="F614" s="2">
        <v>5834</v>
      </c>
      <c r="G614" s="2">
        <v>8227</v>
      </c>
    </row>
    <row r="615" spans="1:7">
      <c r="A615" s="2" t="s">
        <v>88</v>
      </c>
      <c r="B615" s="3" t="s">
        <v>21</v>
      </c>
      <c r="C615" s="2">
        <v>16503</v>
      </c>
      <c r="D615" s="2">
        <v>79.599999999999994</v>
      </c>
      <c r="E615" s="2">
        <v>-0.48699999999999999</v>
      </c>
      <c r="F615" s="2">
        <v>7403</v>
      </c>
      <c r="G615" s="2">
        <v>8185</v>
      </c>
    </row>
    <row r="616" spans="1:7">
      <c r="A616" s="2" t="s">
        <v>88</v>
      </c>
      <c r="B616" s="3" t="s">
        <v>22</v>
      </c>
      <c r="C616" s="2">
        <v>14745</v>
      </c>
      <c r="D616" s="2">
        <v>80</v>
      </c>
      <c r="E616" s="2">
        <v>-0.47599999999999998</v>
      </c>
      <c r="F616" s="2">
        <v>8693</v>
      </c>
      <c r="G616" s="2">
        <v>8191</v>
      </c>
    </row>
    <row r="617" spans="1:7">
      <c r="A617" s="2" t="s">
        <v>88</v>
      </c>
      <c r="B617" s="3" t="s">
        <v>23</v>
      </c>
      <c r="C617" s="2">
        <v>16373</v>
      </c>
      <c r="D617" s="2">
        <v>80.400000000000006</v>
      </c>
      <c r="E617" s="2">
        <v>-0.47799999999999998</v>
      </c>
      <c r="F617" s="2">
        <v>7568</v>
      </c>
      <c r="G617" s="2">
        <v>8192</v>
      </c>
    </row>
    <row r="618" spans="1:7">
      <c r="A618" s="2" t="s">
        <v>88</v>
      </c>
      <c r="B618" s="3" t="s">
        <v>24</v>
      </c>
      <c r="C618" s="2">
        <v>17450</v>
      </c>
      <c r="D618" s="2">
        <v>80.599999999999994</v>
      </c>
      <c r="E618" s="2">
        <v>-0.46700000000000003</v>
      </c>
      <c r="F618" s="2">
        <v>6529</v>
      </c>
      <c r="G618" s="2">
        <v>8173</v>
      </c>
    </row>
    <row r="619" spans="1:7">
      <c r="A619" s="2" t="s">
        <v>88</v>
      </c>
      <c r="B619" s="3" t="s">
        <v>25</v>
      </c>
      <c r="C619" s="2">
        <v>20890</v>
      </c>
      <c r="D619" s="2">
        <v>82.2</v>
      </c>
      <c r="E619" s="2">
        <v>-0.42899999999999999</v>
      </c>
      <c r="F619" s="2">
        <v>2260</v>
      </c>
      <c r="G619" s="2">
        <v>7950</v>
      </c>
    </row>
    <row r="620" spans="1:7">
      <c r="A620" s="2" t="s">
        <v>88</v>
      </c>
      <c r="B620" s="3" t="s">
        <v>26</v>
      </c>
      <c r="C620" s="2">
        <v>20113</v>
      </c>
      <c r="D620" s="2">
        <v>83.3</v>
      </c>
      <c r="E620" s="2">
        <v>-0.41799999999999998</v>
      </c>
      <c r="F620" s="2">
        <v>3826</v>
      </c>
      <c r="G620" s="2">
        <v>8141</v>
      </c>
    </row>
    <row r="621" spans="1:7">
      <c r="A621" s="2" t="s">
        <v>88</v>
      </c>
      <c r="B621" s="3" t="s">
        <v>27</v>
      </c>
      <c r="C621" s="2">
        <v>20172</v>
      </c>
      <c r="D621" s="2">
        <v>84.1</v>
      </c>
      <c r="E621" s="2">
        <v>-0.39200000000000002</v>
      </c>
      <c r="F621" s="2">
        <v>3096</v>
      </c>
      <c r="G621" s="2">
        <v>8181</v>
      </c>
    </row>
    <row r="622" spans="1:7">
      <c r="A622" s="2" t="s">
        <v>88</v>
      </c>
      <c r="B622" s="3" t="s">
        <v>28</v>
      </c>
      <c r="C622" s="2">
        <v>21185</v>
      </c>
      <c r="D622" s="2">
        <v>84.8</v>
      </c>
      <c r="E622" s="2">
        <v>-0.38500000000000001</v>
      </c>
      <c r="F622" s="2">
        <v>3039</v>
      </c>
      <c r="G622" s="2">
        <v>8187</v>
      </c>
    </row>
    <row r="623" spans="1:7">
      <c r="A623" s="2" t="s">
        <v>88</v>
      </c>
      <c r="B623" s="3" t="s">
        <v>29</v>
      </c>
      <c r="C623" s="2">
        <v>19989</v>
      </c>
      <c r="D623" s="2">
        <v>85</v>
      </c>
      <c r="E623" s="2">
        <v>-0.38600000000000001</v>
      </c>
      <c r="F623" s="2">
        <v>3738</v>
      </c>
      <c r="G623" s="2">
        <v>8122</v>
      </c>
    </row>
    <row r="624" spans="1:7">
      <c r="A624" s="2" t="s">
        <v>88</v>
      </c>
      <c r="B624" s="3" t="s">
        <v>30</v>
      </c>
      <c r="C624" s="2">
        <v>16979</v>
      </c>
      <c r="D624" s="2">
        <v>83.4</v>
      </c>
      <c r="E624" s="2">
        <v>-0.437</v>
      </c>
      <c r="F624" s="2">
        <v>8089</v>
      </c>
      <c r="G624" s="2">
        <v>8188</v>
      </c>
    </row>
    <row r="625" spans="1:7">
      <c r="A625" s="2" t="s">
        <v>88</v>
      </c>
      <c r="B625" s="3" t="s">
        <v>31</v>
      </c>
      <c r="C625" s="2">
        <v>10728</v>
      </c>
      <c r="D625" s="2">
        <v>83.1</v>
      </c>
      <c r="E625" s="2">
        <v>-0.42499999999999999</v>
      </c>
      <c r="F625" s="2">
        <v>12764</v>
      </c>
      <c r="G625" s="2">
        <v>8182</v>
      </c>
    </row>
    <row r="626" spans="1:7">
      <c r="A626" s="2" t="s">
        <v>89</v>
      </c>
      <c r="B626" s="3" t="s">
        <v>8</v>
      </c>
      <c r="C626" s="2">
        <v>12237</v>
      </c>
      <c r="D626" s="2">
        <v>83.6</v>
      </c>
      <c r="E626" s="2">
        <v>-0.42399999999999999</v>
      </c>
      <c r="F626" s="2">
        <v>11963</v>
      </c>
      <c r="G626" s="2">
        <v>8169</v>
      </c>
    </row>
    <row r="627" spans="1:7">
      <c r="A627" s="2" t="s">
        <v>89</v>
      </c>
      <c r="B627" s="3" t="s">
        <v>9</v>
      </c>
      <c r="C627" s="2">
        <v>14097</v>
      </c>
      <c r="D627" s="2">
        <v>84</v>
      </c>
      <c r="E627" s="2">
        <v>-0.41299999999999998</v>
      </c>
      <c r="F627" s="2">
        <v>10091</v>
      </c>
      <c r="G627" s="2">
        <v>8199</v>
      </c>
    </row>
    <row r="628" spans="1:7">
      <c r="A628" s="2" t="s">
        <v>89</v>
      </c>
      <c r="B628" s="3" t="s">
        <v>10</v>
      </c>
      <c r="C628" s="2">
        <v>14775</v>
      </c>
      <c r="D628" s="2">
        <v>84.7</v>
      </c>
      <c r="E628" s="2">
        <v>-0.40600000000000003</v>
      </c>
      <c r="F628" s="2">
        <v>9200</v>
      </c>
      <c r="G628" s="2">
        <v>8202</v>
      </c>
    </row>
    <row r="629" spans="1:7">
      <c r="A629" s="2" t="s">
        <v>89</v>
      </c>
      <c r="B629" s="3" t="s">
        <v>11</v>
      </c>
      <c r="C629" s="2">
        <v>14595</v>
      </c>
      <c r="D629" s="2">
        <v>84.5</v>
      </c>
      <c r="E629" s="2">
        <v>-0.39900000000000002</v>
      </c>
      <c r="F629" s="2">
        <v>9039</v>
      </c>
      <c r="G629" s="2">
        <v>8190</v>
      </c>
    </row>
    <row r="630" spans="1:7">
      <c r="A630" s="2" t="s">
        <v>89</v>
      </c>
      <c r="B630" s="3" t="s">
        <v>12</v>
      </c>
      <c r="C630" s="2">
        <v>23805</v>
      </c>
      <c r="D630" s="2">
        <v>84.5</v>
      </c>
      <c r="E630" s="2">
        <v>-0.40200000000000002</v>
      </c>
      <c r="F630" s="2">
        <v>49</v>
      </c>
      <c r="G630" s="2">
        <v>8188</v>
      </c>
    </row>
    <row r="631" spans="1:7">
      <c r="A631" s="2" t="s">
        <v>89</v>
      </c>
      <c r="B631" s="3" t="s">
        <v>13</v>
      </c>
      <c r="C631" s="2">
        <v>23652</v>
      </c>
      <c r="D631" s="2">
        <v>84.9</v>
      </c>
      <c r="E631" s="2">
        <v>-0.38100000000000001</v>
      </c>
      <c r="F631" s="2">
        <v>336</v>
      </c>
      <c r="G631" s="2">
        <v>8145</v>
      </c>
    </row>
    <row r="632" spans="1:7">
      <c r="A632" s="2" t="s">
        <v>89</v>
      </c>
      <c r="B632" s="3" t="s">
        <v>14</v>
      </c>
      <c r="C632" s="2">
        <v>23996</v>
      </c>
      <c r="D632" s="2">
        <v>85.1</v>
      </c>
      <c r="E632" s="2">
        <v>-0.38</v>
      </c>
      <c r="F632" s="2">
        <v>65</v>
      </c>
      <c r="G632" s="2">
        <v>8189</v>
      </c>
    </row>
    <row r="633" spans="1:7">
      <c r="A633" s="2" t="s">
        <v>89</v>
      </c>
      <c r="B633" s="3" t="s">
        <v>15</v>
      </c>
      <c r="C633" s="2">
        <v>21400</v>
      </c>
      <c r="D633" s="2">
        <v>85.1</v>
      </c>
      <c r="E633" s="2">
        <v>-0.38100000000000001</v>
      </c>
      <c r="F633" s="2">
        <v>2829</v>
      </c>
      <c r="G633" s="2">
        <v>8204</v>
      </c>
    </row>
    <row r="634" spans="1:7">
      <c r="A634" s="2" t="s">
        <v>89</v>
      </c>
      <c r="B634" s="3" t="s">
        <v>16</v>
      </c>
      <c r="C634" s="2">
        <v>22413</v>
      </c>
      <c r="D634" s="2">
        <v>84.8</v>
      </c>
      <c r="E634" s="2">
        <v>-0.38300000000000001</v>
      </c>
      <c r="F634" s="2">
        <v>1542</v>
      </c>
      <c r="G634" s="2">
        <v>8202</v>
      </c>
    </row>
    <row r="635" spans="1:7">
      <c r="A635" s="2" t="s">
        <v>89</v>
      </c>
      <c r="B635" s="3" t="s">
        <v>17</v>
      </c>
      <c r="C635" s="2">
        <v>18838</v>
      </c>
      <c r="D635" s="2">
        <v>83.9</v>
      </c>
      <c r="E635" s="2">
        <v>-0.39</v>
      </c>
      <c r="F635" s="2">
        <v>3838</v>
      </c>
      <c r="G635" s="2">
        <v>8178</v>
      </c>
    </row>
    <row r="636" spans="1:7">
      <c r="A636" s="2" t="s">
        <v>89</v>
      </c>
      <c r="B636" s="3" t="s">
        <v>18</v>
      </c>
      <c r="C636" s="2">
        <v>16819</v>
      </c>
      <c r="D636" s="2">
        <v>83</v>
      </c>
      <c r="E636" s="2">
        <v>-0.42099999999999999</v>
      </c>
      <c r="F636" s="2">
        <v>5909</v>
      </c>
      <c r="G636" s="2">
        <v>8053</v>
      </c>
    </row>
    <row r="637" spans="1:7">
      <c r="A637" s="2" t="s">
        <v>89</v>
      </c>
      <c r="B637" s="3" t="s">
        <v>19</v>
      </c>
      <c r="C637" s="2">
        <v>16767</v>
      </c>
      <c r="D637" s="2">
        <v>82.2</v>
      </c>
      <c r="E637" s="2">
        <v>-0.44700000000000001</v>
      </c>
      <c r="F637" s="2">
        <v>7643</v>
      </c>
      <c r="G637" s="2">
        <v>8018</v>
      </c>
    </row>
    <row r="638" spans="1:7">
      <c r="A638" s="2" t="s">
        <v>89</v>
      </c>
      <c r="B638" s="3" t="s">
        <v>20</v>
      </c>
      <c r="C638" s="2">
        <v>16654</v>
      </c>
      <c r="D638" s="2">
        <v>80.5</v>
      </c>
      <c r="E638" s="2">
        <v>-0.46700000000000003</v>
      </c>
      <c r="F638" s="2">
        <v>5998</v>
      </c>
      <c r="G638" s="2">
        <v>7811</v>
      </c>
    </row>
    <row r="639" spans="1:7">
      <c r="A639" s="2" t="s">
        <v>89</v>
      </c>
      <c r="B639" s="3" t="s">
        <v>21</v>
      </c>
      <c r="C639" s="2">
        <v>15774</v>
      </c>
      <c r="D639" s="2">
        <v>78.8</v>
      </c>
      <c r="E639" s="2">
        <v>-0.495</v>
      </c>
      <c r="F639" s="2">
        <v>6485</v>
      </c>
      <c r="G639" s="2">
        <v>7780</v>
      </c>
    </row>
    <row r="640" spans="1:7">
      <c r="A640" s="2" t="s">
        <v>89</v>
      </c>
      <c r="B640" s="3" t="s">
        <v>22</v>
      </c>
      <c r="C640" s="2">
        <v>17073</v>
      </c>
      <c r="D640" s="2">
        <v>78.8</v>
      </c>
      <c r="E640" s="2">
        <v>-0.502</v>
      </c>
      <c r="F640" s="2">
        <v>5789</v>
      </c>
      <c r="G640" s="2">
        <v>7896</v>
      </c>
    </row>
    <row r="641" spans="1:7">
      <c r="A641" s="2" t="s">
        <v>89</v>
      </c>
      <c r="B641" s="3" t="s">
        <v>23</v>
      </c>
      <c r="C641" s="2">
        <v>17750</v>
      </c>
      <c r="D641" s="2">
        <v>79.2</v>
      </c>
      <c r="E641" s="2">
        <v>-0.49199999999999999</v>
      </c>
      <c r="F641" s="2">
        <v>5613</v>
      </c>
      <c r="G641" s="2">
        <v>8199</v>
      </c>
    </row>
    <row r="642" spans="1:7">
      <c r="A642" s="2" t="s">
        <v>89</v>
      </c>
      <c r="B642" s="3" t="s">
        <v>24</v>
      </c>
      <c r="C642" s="2">
        <v>16591</v>
      </c>
      <c r="D642" s="2">
        <v>78</v>
      </c>
      <c r="E642" s="2">
        <v>-0.50900000000000001</v>
      </c>
      <c r="F642" s="2">
        <v>5769</v>
      </c>
      <c r="G642" s="2">
        <v>8194</v>
      </c>
    </row>
    <row r="643" spans="1:7">
      <c r="A643" s="2" t="s">
        <v>89</v>
      </c>
      <c r="B643" s="3" t="s">
        <v>25</v>
      </c>
      <c r="C643" s="2">
        <v>19387</v>
      </c>
      <c r="D643" s="2">
        <v>80.900000000000006</v>
      </c>
      <c r="E643" s="2">
        <v>-0.45500000000000002</v>
      </c>
      <c r="F643" s="2">
        <v>4283</v>
      </c>
      <c r="G643" s="2">
        <v>8200</v>
      </c>
    </row>
    <row r="644" spans="1:7">
      <c r="A644" s="2" t="s">
        <v>89</v>
      </c>
      <c r="B644" s="3" t="s">
        <v>26</v>
      </c>
      <c r="C644" s="2">
        <v>18950</v>
      </c>
      <c r="D644" s="2">
        <v>81</v>
      </c>
      <c r="E644" s="2">
        <v>-0.46400000000000002</v>
      </c>
      <c r="F644" s="2">
        <v>4096</v>
      </c>
      <c r="G644" s="2">
        <v>7799</v>
      </c>
    </row>
    <row r="645" spans="1:7">
      <c r="A645" s="2" t="s">
        <v>89</v>
      </c>
      <c r="B645" s="3" t="s">
        <v>27</v>
      </c>
      <c r="C645" s="2">
        <v>16894</v>
      </c>
      <c r="D645" s="2">
        <v>79.900000000000006</v>
      </c>
      <c r="E645" s="2">
        <v>-0.47299999999999998</v>
      </c>
      <c r="F645" s="2">
        <v>5823</v>
      </c>
      <c r="G645" s="2">
        <v>8057</v>
      </c>
    </row>
    <row r="646" spans="1:7">
      <c r="A646" s="2" t="s">
        <v>89</v>
      </c>
      <c r="B646" s="3" t="s">
        <v>28</v>
      </c>
      <c r="C646" s="2">
        <v>18358</v>
      </c>
      <c r="D646" s="2">
        <v>80.900000000000006</v>
      </c>
      <c r="E646" s="2">
        <v>-0.45200000000000001</v>
      </c>
      <c r="F646" s="2">
        <v>3624</v>
      </c>
      <c r="G646" s="2">
        <v>7690</v>
      </c>
    </row>
    <row r="647" spans="1:7">
      <c r="A647" s="2" t="s">
        <v>89</v>
      </c>
      <c r="B647" s="3" t="s">
        <v>29</v>
      </c>
      <c r="C647" s="2">
        <v>17681</v>
      </c>
      <c r="D647" s="2">
        <v>80.8</v>
      </c>
      <c r="E647" s="2">
        <v>-0.46700000000000003</v>
      </c>
      <c r="F647" s="2">
        <v>5215</v>
      </c>
      <c r="G647" s="2">
        <v>7996</v>
      </c>
    </row>
    <row r="648" spans="1:7">
      <c r="A648" s="2" t="s">
        <v>89</v>
      </c>
      <c r="B648" s="3" t="s">
        <v>30</v>
      </c>
      <c r="C648" s="2">
        <v>15961</v>
      </c>
      <c r="D648" s="2">
        <v>79.900000000000006</v>
      </c>
      <c r="E648" s="2">
        <v>-0.47799999999999998</v>
      </c>
      <c r="F648" s="2">
        <v>6619</v>
      </c>
      <c r="G648" s="2">
        <v>7878</v>
      </c>
    </row>
    <row r="649" spans="1:7">
      <c r="A649" s="2" t="s">
        <v>89</v>
      </c>
      <c r="B649" s="3" t="s">
        <v>31</v>
      </c>
      <c r="C649" s="2">
        <v>10049</v>
      </c>
      <c r="D649" s="2">
        <v>80.8</v>
      </c>
      <c r="E649" s="2">
        <v>-0.46400000000000002</v>
      </c>
      <c r="F649" s="2">
        <v>13436</v>
      </c>
      <c r="G649" s="2">
        <v>8189</v>
      </c>
    </row>
    <row r="650" spans="1:7">
      <c r="A650" s="2" t="s">
        <v>90</v>
      </c>
      <c r="B650" s="3" t="s">
        <v>8</v>
      </c>
      <c r="C650" s="2">
        <v>9567</v>
      </c>
      <c r="D650" s="2">
        <v>81.099999999999994</v>
      </c>
      <c r="E650" s="2">
        <v>-0.46200000000000002</v>
      </c>
      <c r="F650" s="2">
        <v>14212</v>
      </c>
      <c r="G650" s="2">
        <v>8201</v>
      </c>
    </row>
    <row r="651" spans="1:7">
      <c r="A651" s="2" t="s">
        <v>90</v>
      </c>
      <c r="B651" s="3" t="s">
        <v>9</v>
      </c>
      <c r="C651" s="2">
        <v>11703</v>
      </c>
      <c r="D651" s="2">
        <v>81.5</v>
      </c>
      <c r="E651" s="2">
        <v>-0.46100000000000002</v>
      </c>
      <c r="F651" s="2">
        <v>12347</v>
      </c>
      <c r="G651" s="2">
        <v>8098</v>
      </c>
    </row>
    <row r="652" spans="1:7">
      <c r="A652" s="2" t="s">
        <v>90</v>
      </c>
      <c r="B652" s="3" t="s">
        <v>10</v>
      </c>
      <c r="C652" s="2">
        <v>13036</v>
      </c>
      <c r="D652" s="2">
        <v>82.1</v>
      </c>
      <c r="E652" s="2">
        <v>-0.45100000000000001</v>
      </c>
      <c r="F652" s="2">
        <v>11017</v>
      </c>
      <c r="G652" s="2">
        <v>8214</v>
      </c>
    </row>
    <row r="653" spans="1:7">
      <c r="A653" s="2" t="s">
        <v>90</v>
      </c>
      <c r="B653" s="3" t="s">
        <v>11</v>
      </c>
      <c r="C653" s="2">
        <v>12956</v>
      </c>
      <c r="D653" s="2">
        <v>82.2</v>
      </c>
      <c r="E653" s="2">
        <v>-0.45200000000000001</v>
      </c>
      <c r="F653" s="2">
        <v>11396</v>
      </c>
      <c r="G653" s="2">
        <v>8087</v>
      </c>
    </row>
    <row r="654" spans="1:7">
      <c r="A654" s="2" t="s">
        <v>90</v>
      </c>
      <c r="B654" s="3" t="s">
        <v>12</v>
      </c>
      <c r="C654" s="2">
        <v>22824</v>
      </c>
      <c r="D654" s="2">
        <v>82</v>
      </c>
      <c r="E654" s="2">
        <v>-0.443</v>
      </c>
      <c r="F654" s="2">
        <v>731</v>
      </c>
      <c r="G654" s="2">
        <v>8064</v>
      </c>
    </row>
    <row r="655" spans="1:7">
      <c r="A655" s="2" t="s">
        <v>90</v>
      </c>
      <c r="B655" s="3" t="s">
        <v>13</v>
      </c>
      <c r="C655" s="2">
        <v>22099</v>
      </c>
      <c r="D655" s="2">
        <v>82.2</v>
      </c>
      <c r="E655" s="2">
        <v>-0.439</v>
      </c>
      <c r="F655" s="2">
        <v>1503</v>
      </c>
      <c r="G655" s="2">
        <v>8165</v>
      </c>
    </row>
    <row r="656" spans="1:7">
      <c r="A656" s="2" t="s">
        <v>90</v>
      </c>
      <c r="B656" s="3" t="s">
        <v>14</v>
      </c>
      <c r="C656" s="2">
        <v>22177</v>
      </c>
      <c r="D656" s="2">
        <v>82.9</v>
      </c>
      <c r="E656" s="2">
        <v>-0.42399999999999999</v>
      </c>
      <c r="F656" s="2">
        <v>1882</v>
      </c>
      <c r="G656" s="2">
        <v>8190</v>
      </c>
    </row>
    <row r="657" spans="1:7">
      <c r="A657" s="2" t="s">
        <v>90</v>
      </c>
      <c r="B657" s="3" t="s">
        <v>15</v>
      </c>
      <c r="C657" s="2">
        <v>20435</v>
      </c>
      <c r="D657" s="2">
        <v>84</v>
      </c>
      <c r="E657" s="2">
        <v>-0.40400000000000003</v>
      </c>
      <c r="F657" s="2">
        <v>3845</v>
      </c>
      <c r="G657" s="2">
        <v>8121</v>
      </c>
    </row>
    <row r="658" spans="1:7">
      <c r="A658" s="2" t="s">
        <v>90</v>
      </c>
      <c r="B658" s="3" t="s">
        <v>16</v>
      </c>
      <c r="C658" s="2">
        <v>20925</v>
      </c>
      <c r="D658" s="2">
        <v>82.8</v>
      </c>
      <c r="E658" s="2">
        <v>-0.42099999999999999</v>
      </c>
      <c r="F658" s="2">
        <v>2699</v>
      </c>
      <c r="G658" s="2">
        <v>8205</v>
      </c>
    </row>
    <row r="659" spans="1:7">
      <c r="A659" s="2" t="s">
        <v>90</v>
      </c>
      <c r="B659" s="3" t="s">
        <v>17</v>
      </c>
      <c r="C659" s="2">
        <v>20906</v>
      </c>
      <c r="D659" s="2">
        <v>82.7</v>
      </c>
      <c r="E659" s="2">
        <v>-0.42299999999999999</v>
      </c>
      <c r="F659" s="2">
        <v>2705</v>
      </c>
      <c r="G659" s="2">
        <v>8200</v>
      </c>
    </row>
    <row r="660" spans="1:7">
      <c r="A660" s="2" t="s">
        <v>90</v>
      </c>
      <c r="B660" s="3" t="s">
        <v>18</v>
      </c>
      <c r="C660" s="2">
        <v>17302</v>
      </c>
      <c r="D660" s="2">
        <v>81.5</v>
      </c>
      <c r="E660" s="2">
        <v>-0.46500000000000002</v>
      </c>
      <c r="F660" s="2">
        <v>7440</v>
      </c>
      <c r="G660" s="2">
        <v>8221</v>
      </c>
    </row>
    <row r="661" spans="1:7">
      <c r="A661" s="2" t="s">
        <v>90</v>
      </c>
      <c r="B661" s="3" t="s">
        <v>19</v>
      </c>
      <c r="C661" s="2">
        <v>15733</v>
      </c>
      <c r="D661" s="2">
        <v>80.5</v>
      </c>
      <c r="E661" s="2">
        <v>-0.46200000000000002</v>
      </c>
      <c r="F661" s="2">
        <v>6582</v>
      </c>
      <c r="G661" s="2">
        <v>7965</v>
      </c>
    </row>
    <row r="662" spans="1:7">
      <c r="A662" s="2" t="s">
        <v>90</v>
      </c>
      <c r="B662" s="3" t="s">
        <v>20</v>
      </c>
      <c r="C662" s="2">
        <v>15095</v>
      </c>
      <c r="D662" s="2">
        <v>79.7</v>
      </c>
      <c r="E662" s="2">
        <v>-0.48499999999999999</v>
      </c>
      <c r="F662" s="2">
        <v>8296</v>
      </c>
      <c r="G662" s="2">
        <v>8040</v>
      </c>
    </row>
    <row r="663" spans="1:7">
      <c r="A663" s="2" t="s">
        <v>90</v>
      </c>
      <c r="B663" s="3" t="s">
        <v>21</v>
      </c>
      <c r="C663" s="2">
        <v>15383</v>
      </c>
      <c r="D663" s="2">
        <v>79.3</v>
      </c>
      <c r="E663" s="2">
        <v>-0.48199999999999998</v>
      </c>
      <c r="F663" s="2">
        <v>7878</v>
      </c>
      <c r="G663" s="2">
        <v>8202</v>
      </c>
    </row>
    <row r="664" spans="1:7">
      <c r="A664" s="2" t="s">
        <v>90</v>
      </c>
      <c r="B664" s="3" t="s">
        <v>22</v>
      </c>
      <c r="C664" s="2">
        <v>16491</v>
      </c>
      <c r="D664" s="2">
        <v>80</v>
      </c>
      <c r="E664" s="2">
        <v>-0.47099999999999997</v>
      </c>
      <c r="F664" s="2">
        <v>7112</v>
      </c>
      <c r="G664" s="2">
        <v>8196</v>
      </c>
    </row>
    <row r="665" spans="1:7">
      <c r="A665" s="2" t="s">
        <v>90</v>
      </c>
      <c r="B665" s="3" t="s">
        <v>23</v>
      </c>
      <c r="C665" s="2">
        <v>15831</v>
      </c>
      <c r="D665" s="2">
        <v>78.8</v>
      </c>
      <c r="E665" s="2">
        <v>-0.48699999999999999</v>
      </c>
      <c r="F665" s="2">
        <v>6854</v>
      </c>
      <c r="G665" s="2">
        <v>8183</v>
      </c>
    </row>
    <row r="666" spans="1:7">
      <c r="A666" s="2" t="s">
        <v>90</v>
      </c>
      <c r="B666" s="3" t="s">
        <v>24</v>
      </c>
      <c r="C666" s="2">
        <v>17154</v>
      </c>
      <c r="D666" s="2">
        <v>80.099999999999994</v>
      </c>
      <c r="E666" s="2">
        <v>-0.46500000000000002</v>
      </c>
      <c r="F666" s="2">
        <v>6153</v>
      </c>
      <c r="G666" s="2">
        <v>8175</v>
      </c>
    </row>
    <row r="667" spans="1:7">
      <c r="A667" s="2" t="s">
        <v>90</v>
      </c>
      <c r="B667" s="3" t="s">
        <v>25</v>
      </c>
      <c r="C667" s="2">
        <v>17549</v>
      </c>
      <c r="D667" s="2">
        <v>80.2</v>
      </c>
      <c r="E667" s="2">
        <v>-0.47299999999999998</v>
      </c>
      <c r="F667" s="2">
        <v>4670</v>
      </c>
      <c r="G667" s="2">
        <v>7461</v>
      </c>
    </row>
    <row r="668" spans="1:7">
      <c r="A668" s="2" t="s">
        <v>90</v>
      </c>
      <c r="B668" s="3" t="s">
        <v>26</v>
      </c>
      <c r="C668" s="2">
        <v>17012</v>
      </c>
      <c r="D668" s="2">
        <v>80</v>
      </c>
      <c r="E668" s="2">
        <v>-0.47399999999999998</v>
      </c>
      <c r="F668" s="2">
        <v>5070</v>
      </c>
      <c r="G668" s="2">
        <v>7746</v>
      </c>
    </row>
    <row r="669" spans="1:7">
      <c r="A669" s="2" t="s">
        <v>90</v>
      </c>
      <c r="B669" s="3" t="s">
        <v>27</v>
      </c>
      <c r="C669" s="2">
        <v>17597</v>
      </c>
      <c r="D669" s="2">
        <v>79.7</v>
      </c>
      <c r="E669" s="2">
        <v>-0.46600000000000003</v>
      </c>
      <c r="F669" s="2">
        <v>5112</v>
      </c>
      <c r="G669" s="2">
        <v>8079</v>
      </c>
    </row>
    <row r="670" spans="1:7">
      <c r="A670" s="2" t="s">
        <v>90</v>
      </c>
      <c r="B670" s="3" t="s">
        <v>28</v>
      </c>
      <c r="C670" s="2">
        <v>17968</v>
      </c>
      <c r="D670" s="2">
        <v>79.8</v>
      </c>
      <c r="E670" s="2">
        <v>-0.46899999999999997</v>
      </c>
      <c r="F670" s="2">
        <v>5062</v>
      </c>
      <c r="G670" s="2">
        <v>8007</v>
      </c>
    </row>
    <row r="671" spans="1:7">
      <c r="A671" s="2" t="s">
        <v>90</v>
      </c>
      <c r="B671" s="3" t="s">
        <v>29</v>
      </c>
      <c r="C671" s="2">
        <v>17697</v>
      </c>
      <c r="D671" s="2">
        <v>80</v>
      </c>
      <c r="E671" s="2">
        <v>-0.46899999999999997</v>
      </c>
      <c r="F671" s="2">
        <v>5287</v>
      </c>
      <c r="G671" s="2">
        <v>7995</v>
      </c>
    </row>
    <row r="672" spans="1:7">
      <c r="A672" s="2" t="s">
        <v>90</v>
      </c>
      <c r="B672" s="3" t="s">
        <v>30</v>
      </c>
      <c r="C672" s="2">
        <v>17055</v>
      </c>
      <c r="D672" s="2">
        <v>80.400000000000006</v>
      </c>
      <c r="E672" s="2">
        <v>-0.45800000000000002</v>
      </c>
      <c r="F672" s="2">
        <v>6792</v>
      </c>
      <c r="G672" s="2">
        <v>8219</v>
      </c>
    </row>
    <row r="673" spans="1:7">
      <c r="A673" s="2" t="s">
        <v>90</v>
      </c>
      <c r="B673" s="3" t="s">
        <v>31</v>
      </c>
      <c r="C673" s="2">
        <v>9841</v>
      </c>
      <c r="D673" s="2">
        <v>79.8</v>
      </c>
      <c r="E673" s="2">
        <v>-0.47599999999999998</v>
      </c>
      <c r="F673" s="2">
        <v>13824</v>
      </c>
      <c r="G673" s="2">
        <v>8207</v>
      </c>
    </row>
    <row r="674" spans="1:7">
      <c r="A674" s="2" t="s">
        <v>91</v>
      </c>
      <c r="B674" s="3" t="s">
        <v>8</v>
      </c>
      <c r="C674" s="2">
        <v>8123</v>
      </c>
      <c r="D674" s="2">
        <v>79.7</v>
      </c>
      <c r="E674" s="2">
        <v>-0.48699999999999999</v>
      </c>
      <c r="F674" s="2">
        <v>15434</v>
      </c>
      <c r="G674" s="2">
        <v>8199</v>
      </c>
    </row>
    <row r="675" spans="1:7">
      <c r="A675" s="2" t="s">
        <v>91</v>
      </c>
      <c r="B675" s="3" t="s">
        <v>9</v>
      </c>
      <c r="C675" s="2">
        <v>9603</v>
      </c>
      <c r="D675" s="2">
        <v>79.8</v>
      </c>
      <c r="E675" s="2">
        <v>-0.48299999999999998</v>
      </c>
      <c r="F675" s="2">
        <v>14306</v>
      </c>
      <c r="G675" s="2">
        <v>8196</v>
      </c>
    </row>
    <row r="676" spans="1:7">
      <c r="A676" s="2" t="s">
        <v>91</v>
      </c>
      <c r="B676" s="3" t="s">
        <v>10</v>
      </c>
      <c r="C676" s="2">
        <v>11351</v>
      </c>
      <c r="D676" s="2">
        <v>79.599999999999994</v>
      </c>
      <c r="E676" s="2">
        <v>-0.48499999999999999</v>
      </c>
      <c r="F676" s="2">
        <v>11512</v>
      </c>
      <c r="G676" s="2">
        <v>8045</v>
      </c>
    </row>
    <row r="677" spans="1:7">
      <c r="A677" s="2" t="s">
        <v>91</v>
      </c>
      <c r="B677" s="3" t="s">
        <v>11</v>
      </c>
      <c r="C677" s="2">
        <v>11767</v>
      </c>
      <c r="D677" s="2">
        <v>79.599999999999994</v>
      </c>
      <c r="E677" s="2">
        <v>-0.48299999999999998</v>
      </c>
      <c r="F677" s="2">
        <v>11920</v>
      </c>
      <c r="G677" s="2">
        <v>8196</v>
      </c>
    </row>
    <row r="678" spans="1:7">
      <c r="A678" s="2" t="s">
        <v>91</v>
      </c>
      <c r="B678" s="3" t="s">
        <v>12</v>
      </c>
      <c r="C678" s="2">
        <v>21283</v>
      </c>
      <c r="D678" s="2">
        <v>79.8</v>
      </c>
      <c r="E678" s="2">
        <v>-0.47299999999999998</v>
      </c>
      <c r="F678" s="2">
        <v>2058</v>
      </c>
      <c r="G678" s="2">
        <v>8196</v>
      </c>
    </row>
    <row r="679" spans="1:7">
      <c r="A679" s="2" t="s">
        <v>91</v>
      </c>
      <c r="B679" s="3" t="s">
        <v>13</v>
      </c>
      <c r="C679" s="2">
        <v>19597</v>
      </c>
      <c r="D679" s="2">
        <v>80</v>
      </c>
      <c r="E679" s="2">
        <v>-0.46899999999999997</v>
      </c>
      <c r="F679" s="2">
        <v>3844</v>
      </c>
      <c r="G679" s="2">
        <v>8028</v>
      </c>
    </row>
    <row r="680" spans="1:7">
      <c r="A680" s="2" t="s">
        <v>91</v>
      </c>
      <c r="B680" s="3" t="s">
        <v>14</v>
      </c>
      <c r="C680" s="2">
        <v>19625</v>
      </c>
      <c r="D680" s="2">
        <v>79.900000000000006</v>
      </c>
      <c r="E680" s="2">
        <v>-0.46899999999999997</v>
      </c>
      <c r="F680" s="2">
        <v>3889</v>
      </c>
      <c r="G680" s="2">
        <v>8197</v>
      </c>
    </row>
    <row r="681" spans="1:7">
      <c r="A681" s="2" t="s">
        <v>91</v>
      </c>
      <c r="B681" s="3" t="s">
        <v>15</v>
      </c>
      <c r="C681" s="2">
        <v>17157</v>
      </c>
      <c r="D681" s="2">
        <v>80.3</v>
      </c>
      <c r="E681" s="2">
        <v>-0.47099999999999997</v>
      </c>
      <c r="F681" s="2">
        <v>6316</v>
      </c>
      <c r="G681" s="2">
        <v>8199</v>
      </c>
    </row>
    <row r="682" spans="1:7">
      <c r="A682" s="2" t="s">
        <v>91</v>
      </c>
      <c r="B682" s="3" t="s">
        <v>16</v>
      </c>
      <c r="C682" s="2">
        <v>17944</v>
      </c>
      <c r="D682" s="2">
        <v>80</v>
      </c>
      <c r="E682" s="2">
        <v>-0.46600000000000003</v>
      </c>
      <c r="F682" s="2">
        <v>5744</v>
      </c>
      <c r="G682" s="2">
        <v>8196</v>
      </c>
    </row>
    <row r="683" spans="1:7">
      <c r="A683" s="2" t="s">
        <v>91</v>
      </c>
      <c r="B683" s="3" t="s">
        <v>17</v>
      </c>
      <c r="C683" s="2">
        <v>19089</v>
      </c>
      <c r="D683" s="2">
        <v>81.099999999999994</v>
      </c>
      <c r="E683" s="2">
        <v>-0.46</v>
      </c>
      <c r="F683" s="2">
        <v>4988</v>
      </c>
      <c r="G683" s="2">
        <v>8209</v>
      </c>
    </row>
    <row r="684" spans="1:7">
      <c r="A684" s="2" t="s">
        <v>91</v>
      </c>
      <c r="B684" s="3" t="s">
        <v>18</v>
      </c>
      <c r="C684" s="2">
        <v>17002</v>
      </c>
      <c r="D684" s="2">
        <v>80.099999999999994</v>
      </c>
      <c r="E684" s="2">
        <v>-0.46500000000000002</v>
      </c>
      <c r="F684" s="2">
        <v>6380</v>
      </c>
      <c r="G684" s="2">
        <v>8141</v>
      </c>
    </row>
    <row r="685" spans="1:7">
      <c r="A685" s="2" t="s">
        <v>91</v>
      </c>
      <c r="B685" s="3" t="s">
        <v>19</v>
      </c>
      <c r="C685" s="2">
        <v>16149</v>
      </c>
      <c r="D685" s="2">
        <v>79.7</v>
      </c>
      <c r="E685" s="2">
        <v>-0.46899999999999997</v>
      </c>
      <c r="F685" s="2">
        <v>5728</v>
      </c>
      <c r="G685" s="2">
        <v>7575</v>
      </c>
    </row>
    <row r="686" spans="1:7">
      <c r="A686" s="2" t="s">
        <v>91</v>
      </c>
      <c r="B686" s="3" t="s">
        <v>20</v>
      </c>
      <c r="C686" s="2">
        <v>15874</v>
      </c>
      <c r="D686" s="2">
        <v>79.8</v>
      </c>
      <c r="E686" s="2">
        <v>-0.47499999999999998</v>
      </c>
      <c r="F686" s="2">
        <v>5934</v>
      </c>
      <c r="G686" s="2">
        <v>7740</v>
      </c>
    </row>
    <row r="687" spans="1:7">
      <c r="A687" s="2" t="s">
        <v>91</v>
      </c>
      <c r="B687" s="3" t="s">
        <v>21</v>
      </c>
      <c r="C687" s="2">
        <v>16293</v>
      </c>
      <c r="D687" s="2">
        <v>79.5</v>
      </c>
      <c r="E687" s="2">
        <v>-0.48099999999999998</v>
      </c>
      <c r="F687" s="2">
        <v>7053</v>
      </c>
      <c r="G687" s="2">
        <v>8065</v>
      </c>
    </row>
    <row r="688" spans="1:7">
      <c r="A688" s="2" t="s">
        <v>91</v>
      </c>
      <c r="B688" s="3" t="s">
        <v>22</v>
      </c>
      <c r="C688" s="2">
        <v>15462</v>
      </c>
      <c r="D688" s="2">
        <v>79.099999999999994</v>
      </c>
      <c r="E688" s="2">
        <v>-0.48099999999999998</v>
      </c>
      <c r="F688" s="2">
        <v>7347</v>
      </c>
      <c r="G688" s="2">
        <v>8178</v>
      </c>
    </row>
    <row r="689" spans="1:7">
      <c r="A689" s="2" t="s">
        <v>91</v>
      </c>
      <c r="B689" s="3" t="s">
        <v>23</v>
      </c>
      <c r="C689" s="2">
        <v>16748</v>
      </c>
      <c r="D689" s="2">
        <v>79.400000000000006</v>
      </c>
      <c r="E689" s="2">
        <v>-0.48199999999999998</v>
      </c>
      <c r="F689" s="2">
        <v>6697</v>
      </c>
      <c r="G689" s="2">
        <v>8196</v>
      </c>
    </row>
    <row r="690" spans="1:7">
      <c r="A690" s="2" t="s">
        <v>91</v>
      </c>
      <c r="B690" s="3" t="s">
        <v>24</v>
      </c>
      <c r="C690" s="2">
        <v>17381</v>
      </c>
      <c r="D690" s="2">
        <v>79.5</v>
      </c>
      <c r="E690" s="2">
        <v>-0.47899999999999998</v>
      </c>
      <c r="F690" s="2">
        <v>6107</v>
      </c>
      <c r="G690" s="2">
        <v>8042</v>
      </c>
    </row>
    <row r="691" spans="1:7">
      <c r="A691" s="2" t="s">
        <v>91</v>
      </c>
      <c r="B691" s="3" t="s">
        <v>25</v>
      </c>
      <c r="C691" s="2">
        <v>17880</v>
      </c>
      <c r="D691" s="2">
        <v>79.900000000000006</v>
      </c>
      <c r="E691" s="2">
        <v>-0.47199999999999998</v>
      </c>
      <c r="F691" s="2">
        <v>5191</v>
      </c>
      <c r="G691" s="2">
        <v>7947</v>
      </c>
    </row>
    <row r="692" spans="1:7">
      <c r="A692" s="2" t="s">
        <v>91</v>
      </c>
      <c r="B692" s="3" t="s">
        <v>26</v>
      </c>
      <c r="C692" s="2">
        <v>17290</v>
      </c>
      <c r="D692" s="2">
        <v>79.7</v>
      </c>
      <c r="E692" s="2">
        <v>-0.47499999999999998</v>
      </c>
      <c r="F692" s="2">
        <v>5615</v>
      </c>
      <c r="G692" s="2">
        <v>7995</v>
      </c>
    </row>
    <row r="693" spans="1:7">
      <c r="A693" s="2" t="s">
        <v>91</v>
      </c>
      <c r="B693" s="3" t="s">
        <v>27</v>
      </c>
      <c r="C693" s="2">
        <v>16637</v>
      </c>
      <c r="D693" s="2">
        <v>79.400000000000006</v>
      </c>
      <c r="E693" s="2">
        <v>-0.48299999999999998</v>
      </c>
      <c r="F693" s="2">
        <v>5569</v>
      </c>
      <c r="G693" s="2">
        <v>7552</v>
      </c>
    </row>
    <row r="694" spans="1:7">
      <c r="A694" s="2" t="s">
        <v>91</v>
      </c>
      <c r="B694" s="3" t="s">
        <v>28</v>
      </c>
      <c r="C694" s="2">
        <v>17440</v>
      </c>
      <c r="D694" s="2">
        <v>80</v>
      </c>
      <c r="E694" s="2">
        <v>-0.46400000000000002</v>
      </c>
      <c r="F694" s="2">
        <v>5267</v>
      </c>
      <c r="G694" s="2">
        <v>8039</v>
      </c>
    </row>
    <row r="695" spans="1:7">
      <c r="A695" s="2" t="s">
        <v>91</v>
      </c>
      <c r="B695" s="3" t="s">
        <v>29</v>
      </c>
      <c r="C695" s="2">
        <v>16893</v>
      </c>
      <c r="D695" s="2">
        <v>79.900000000000006</v>
      </c>
      <c r="E695" s="2">
        <v>-0.46600000000000003</v>
      </c>
      <c r="F695" s="2">
        <v>6147</v>
      </c>
      <c r="G695" s="2">
        <v>8031</v>
      </c>
    </row>
    <row r="696" spans="1:7">
      <c r="A696" s="2" t="s">
        <v>91</v>
      </c>
      <c r="B696" s="3" t="s">
        <v>30</v>
      </c>
      <c r="C696" s="2">
        <v>16334</v>
      </c>
      <c r="D696" s="2">
        <v>80.2</v>
      </c>
      <c r="E696" s="2">
        <v>-0.46600000000000003</v>
      </c>
      <c r="F696" s="2">
        <v>7070</v>
      </c>
      <c r="G696" s="2">
        <v>7993</v>
      </c>
    </row>
    <row r="697" spans="1:7">
      <c r="A697" s="2" t="s">
        <v>91</v>
      </c>
      <c r="B697" s="3" t="s">
        <v>31</v>
      </c>
      <c r="C697" s="2">
        <v>8728</v>
      </c>
      <c r="D697" s="2">
        <v>79.7</v>
      </c>
      <c r="E697" s="2">
        <v>-0.47399999999999998</v>
      </c>
      <c r="F697" s="2">
        <v>14477</v>
      </c>
      <c r="G697" s="2">
        <v>8195</v>
      </c>
    </row>
    <row r="698" spans="1:7">
      <c r="A698" s="2" t="s">
        <v>92</v>
      </c>
      <c r="B698" s="3" t="s">
        <v>8</v>
      </c>
      <c r="C698" s="2">
        <v>8468</v>
      </c>
      <c r="D698" s="2">
        <v>79.599999999999994</v>
      </c>
      <c r="E698" s="2">
        <v>-0.47799999999999998</v>
      </c>
      <c r="F698" s="2">
        <v>15160</v>
      </c>
      <c r="G698" s="2">
        <v>8202</v>
      </c>
    </row>
    <row r="699" spans="1:7">
      <c r="A699" s="2" t="s">
        <v>92</v>
      </c>
      <c r="B699" s="3" t="s">
        <v>9</v>
      </c>
      <c r="C699" s="2">
        <v>9776</v>
      </c>
      <c r="D699" s="2">
        <v>79.7</v>
      </c>
      <c r="E699" s="2">
        <v>-0.48199999999999998</v>
      </c>
      <c r="F699" s="2">
        <v>13666</v>
      </c>
      <c r="G699" s="2">
        <v>8187</v>
      </c>
    </row>
    <row r="700" spans="1:7">
      <c r="A700" s="2" t="s">
        <v>92</v>
      </c>
      <c r="B700" s="3" t="s">
        <v>10</v>
      </c>
      <c r="C700" s="2">
        <v>11301</v>
      </c>
      <c r="D700" s="2">
        <v>79.8</v>
      </c>
      <c r="E700" s="2">
        <v>-0.48099999999999998</v>
      </c>
      <c r="F700" s="2">
        <v>12259</v>
      </c>
      <c r="G700" s="2">
        <v>8093</v>
      </c>
    </row>
    <row r="701" spans="1:7">
      <c r="A701" s="2" t="s">
        <v>92</v>
      </c>
      <c r="B701" s="3" t="s">
        <v>11</v>
      </c>
      <c r="C701" s="2">
        <v>11295</v>
      </c>
      <c r="D701" s="2">
        <v>79.7</v>
      </c>
      <c r="E701" s="2">
        <v>-0.47799999999999998</v>
      </c>
      <c r="F701" s="2">
        <v>11312</v>
      </c>
      <c r="G701" s="2">
        <v>8052</v>
      </c>
    </row>
    <row r="702" spans="1:7">
      <c r="A702" s="2" t="s">
        <v>92</v>
      </c>
      <c r="B702" s="3" t="s">
        <v>12</v>
      </c>
      <c r="C702" s="2">
        <v>20947</v>
      </c>
      <c r="D702" s="2">
        <v>79.5</v>
      </c>
      <c r="E702" s="2">
        <v>-0.48199999999999998</v>
      </c>
      <c r="F702" s="2">
        <v>1949</v>
      </c>
      <c r="G702" s="2">
        <v>7957</v>
      </c>
    </row>
    <row r="703" spans="1:7">
      <c r="A703" s="2" t="s">
        <v>92</v>
      </c>
      <c r="B703" s="3" t="s">
        <v>13</v>
      </c>
      <c r="C703" s="2">
        <v>18588</v>
      </c>
      <c r="D703" s="2">
        <v>79.8</v>
      </c>
      <c r="E703" s="2">
        <v>-0.47199999999999998</v>
      </c>
      <c r="F703" s="2">
        <v>4917</v>
      </c>
      <c r="G703" s="2">
        <v>8195</v>
      </c>
    </row>
    <row r="704" spans="1:7">
      <c r="A704" s="2" t="s">
        <v>92</v>
      </c>
      <c r="B704" s="3" t="s">
        <v>14</v>
      </c>
      <c r="C704" s="2">
        <v>19221</v>
      </c>
      <c r="D704" s="2">
        <v>79.5</v>
      </c>
      <c r="E704" s="2">
        <v>-0.47099999999999997</v>
      </c>
      <c r="F704" s="2">
        <v>4259</v>
      </c>
      <c r="G704" s="2">
        <v>8202</v>
      </c>
    </row>
    <row r="705" spans="1:7">
      <c r="A705" s="2" t="s">
        <v>92</v>
      </c>
      <c r="B705" s="3" t="s">
        <v>15</v>
      </c>
      <c r="C705" s="2">
        <v>15932</v>
      </c>
      <c r="D705" s="2">
        <v>80.099999999999994</v>
      </c>
      <c r="E705" s="2">
        <v>-0.46700000000000003</v>
      </c>
      <c r="F705" s="2">
        <v>6967</v>
      </c>
      <c r="G705" s="2">
        <v>7851</v>
      </c>
    </row>
    <row r="706" spans="1:7">
      <c r="A706" s="2" t="s">
        <v>92</v>
      </c>
      <c r="B706" s="3" t="s">
        <v>16</v>
      </c>
      <c r="C706" s="2">
        <v>17199</v>
      </c>
      <c r="D706" s="2">
        <v>79.900000000000006</v>
      </c>
      <c r="E706" s="2">
        <v>-0.46899999999999997</v>
      </c>
      <c r="F706" s="2">
        <v>6168</v>
      </c>
      <c r="G706" s="2">
        <v>8040</v>
      </c>
    </row>
    <row r="707" spans="1:7">
      <c r="A707" s="2" t="s">
        <v>92</v>
      </c>
      <c r="B707" s="3" t="s">
        <v>17</v>
      </c>
      <c r="C707" s="2">
        <v>16395</v>
      </c>
      <c r="D707" s="2">
        <v>78.8</v>
      </c>
      <c r="E707" s="2">
        <v>-0.47599999999999998</v>
      </c>
      <c r="F707" s="2">
        <v>6440</v>
      </c>
      <c r="G707" s="2">
        <v>8196</v>
      </c>
    </row>
    <row r="708" spans="1:7">
      <c r="A708" s="2" t="s">
        <v>92</v>
      </c>
      <c r="B708" s="3" t="s">
        <v>18</v>
      </c>
      <c r="C708" s="2">
        <v>17352</v>
      </c>
      <c r="D708" s="2">
        <v>79.900000000000006</v>
      </c>
      <c r="E708" s="2">
        <v>-0.46400000000000002</v>
      </c>
      <c r="F708" s="2">
        <v>5693</v>
      </c>
      <c r="G708" s="2">
        <v>8208</v>
      </c>
    </row>
    <row r="709" spans="1:7">
      <c r="A709" s="2" t="s">
        <v>92</v>
      </c>
      <c r="B709" s="3" t="s">
        <v>19</v>
      </c>
      <c r="C709" s="2">
        <v>17240</v>
      </c>
      <c r="D709" s="2">
        <v>79.599999999999994</v>
      </c>
      <c r="E709" s="2">
        <v>-0.46700000000000003</v>
      </c>
      <c r="F709" s="2">
        <v>5271</v>
      </c>
      <c r="G709" s="2">
        <v>8139</v>
      </c>
    </row>
    <row r="710" spans="1:7">
      <c r="A710" s="2" t="s">
        <v>92</v>
      </c>
      <c r="B710" s="3" t="s">
        <v>20</v>
      </c>
      <c r="C710" s="2">
        <v>15024</v>
      </c>
      <c r="D710" s="2">
        <v>77.8</v>
      </c>
      <c r="E710" s="2">
        <v>-0.505</v>
      </c>
      <c r="F710" s="2">
        <v>8307</v>
      </c>
      <c r="G710" s="2">
        <v>8210</v>
      </c>
    </row>
    <row r="711" spans="1:7">
      <c r="A711" s="2" t="s">
        <v>92</v>
      </c>
      <c r="B711" s="3" t="s">
        <v>21</v>
      </c>
      <c r="C711" s="2">
        <v>17227</v>
      </c>
      <c r="D711" s="2">
        <v>79.5</v>
      </c>
      <c r="E711" s="2">
        <v>-0.47399999999999998</v>
      </c>
      <c r="F711" s="2">
        <v>6141</v>
      </c>
      <c r="G711" s="2">
        <v>8110</v>
      </c>
    </row>
    <row r="712" spans="1:7">
      <c r="A712" s="2" t="s">
        <v>92</v>
      </c>
      <c r="B712" s="3" t="s">
        <v>22</v>
      </c>
      <c r="C712" s="2">
        <v>16761</v>
      </c>
      <c r="D712" s="2">
        <v>79.5</v>
      </c>
      <c r="E712" s="2">
        <v>-0.47599999999999998</v>
      </c>
      <c r="F712" s="2">
        <v>6822</v>
      </c>
      <c r="G712" s="2">
        <v>8195</v>
      </c>
    </row>
    <row r="713" spans="1:7">
      <c r="A713" s="2" t="s">
        <v>92</v>
      </c>
      <c r="B713" s="3" t="s">
        <v>23</v>
      </c>
      <c r="C713" s="2">
        <v>16953</v>
      </c>
      <c r="D713" s="2">
        <v>79.3</v>
      </c>
      <c r="E713" s="2">
        <v>-0.47499999999999998</v>
      </c>
      <c r="F713" s="2">
        <v>6026</v>
      </c>
      <c r="G713" s="2">
        <v>8196</v>
      </c>
    </row>
    <row r="714" spans="1:7">
      <c r="A714" s="2" t="s">
        <v>92</v>
      </c>
      <c r="B714" s="3" t="s">
        <v>24</v>
      </c>
      <c r="C714" s="2">
        <v>18363</v>
      </c>
      <c r="D714" s="2">
        <v>79.599999999999994</v>
      </c>
      <c r="E714" s="2">
        <v>-0.46899999999999997</v>
      </c>
      <c r="F714" s="2">
        <v>4928</v>
      </c>
      <c r="G714" s="2">
        <v>8195</v>
      </c>
    </row>
    <row r="715" spans="1:7">
      <c r="A715" s="2" t="s">
        <v>92</v>
      </c>
      <c r="B715" s="3" t="s">
        <v>25</v>
      </c>
      <c r="C715" s="2">
        <v>17725</v>
      </c>
      <c r="D715" s="2">
        <v>79.7</v>
      </c>
      <c r="E715" s="2">
        <v>-0.47099999999999997</v>
      </c>
      <c r="F715" s="2">
        <v>4878</v>
      </c>
      <c r="G715" s="2">
        <v>7940</v>
      </c>
    </row>
    <row r="716" spans="1:7">
      <c r="A716" s="2" t="s">
        <v>92</v>
      </c>
      <c r="B716" s="3" t="s">
        <v>26</v>
      </c>
      <c r="C716" s="2">
        <v>18006</v>
      </c>
      <c r="D716" s="2">
        <v>79.599999999999994</v>
      </c>
      <c r="E716" s="2">
        <v>-0.46899999999999997</v>
      </c>
      <c r="F716" s="2">
        <v>4948</v>
      </c>
      <c r="G716" s="2">
        <v>8195</v>
      </c>
    </row>
    <row r="717" spans="1:7">
      <c r="A717" s="2" t="s">
        <v>92</v>
      </c>
      <c r="B717" s="3" t="s">
        <v>27</v>
      </c>
      <c r="C717" s="2">
        <v>18104</v>
      </c>
      <c r="D717" s="2">
        <v>79.8</v>
      </c>
      <c r="E717" s="2">
        <v>-0.47599999999999998</v>
      </c>
      <c r="F717" s="2">
        <v>5164</v>
      </c>
      <c r="G717" s="2">
        <v>8022</v>
      </c>
    </row>
    <row r="718" spans="1:7">
      <c r="A718" s="2" t="s">
        <v>92</v>
      </c>
      <c r="B718" s="3" t="s">
        <v>28</v>
      </c>
      <c r="C718" s="2">
        <v>18921</v>
      </c>
      <c r="D718" s="2">
        <v>80.599999999999994</v>
      </c>
      <c r="E718" s="2">
        <v>-0.45700000000000002</v>
      </c>
      <c r="F718" s="2">
        <v>4795</v>
      </c>
      <c r="G718" s="2">
        <v>8148</v>
      </c>
    </row>
    <row r="719" spans="1:7">
      <c r="A719" s="2" t="s">
        <v>92</v>
      </c>
      <c r="B719" s="3" t="s">
        <v>29</v>
      </c>
      <c r="C719" s="2">
        <v>18641</v>
      </c>
      <c r="D719" s="2">
        <v>80.599999999999994</v>
      </c>
      <c r="E719" s="2">
        <v>-0.45200000000000001</v>
      </c>
      <c r="F719" s="2">
        <v>4536</v>
      </c>
      <c r="G719" s="2">
        <v>8200</v>
      </c>
    </row>
    <row r="720" spans="1:7">
      <c r="A720" s="2" t="s">
        <v>92</v>
      </c>
      <c r="B720" s="3" t="s">
        <v>30</v>
      </c>
      <c r="C720" s="2">
        <v>17047</v>
      </c>
      <c r="D720" s="2">
        <v>80.8</v>
      </c>
      <c r="E720" s="2">
        <v>-0.45400000000000001</v>
      </c>
      <c r="F720" s="2">
        <v>6469</v>
      </c>
      <c r="G720" s="2">
        <v>8103</v>
      </c>
    </row>
    <row r="721" spans="1:7">
      <c r="A721" s="2" t="s">
        <v>92</v>
      </c>
      <c r="B721" s="3" t="s">
        <v>31</v>
      </c>
      <c r="C721" s="2">
        <v>9773</v>
      </c>
      <c r="D721" s="2">
        <v>81</v>
      </c>
      <c r="E721" s="2">
        <v>-0.46100000000000002</v>
      </c>
      <c r="F721" s="2">
        <v>13661</v>
      </c>
      <c r="G721" s="2">
        <v>8102</v>
      </c>
    </row>
    <row r="722" spans="1:7">
      <c r="A722" s="2" t="s">
        <v>93</v>
      </c>
      <c r="B722" s="3" t="s">
        <v>8</v>
      </c>
      <c r="C722" s="2">
        <v>9904</v>
      </c>
      <c r="D722" s="2">
        <v>81.400000000000006</v>
      </c>
      <c r="E722" s="2">
        <v>-0.44700000000000001</v>
      </c>
      <c r="F722" s="2">
        <v>12844</v>
      </c>
      <c r="G722" s="2">
        <v>8198</v>
      </c>
    </row>
    <row r="723" spans="1:7">
      <c r="A723" s="2" t="s">
        <v>93</v>
      </c>
      <c r="B723" s="3" t="s">
        <v>9</v>
      </c>
      <c r="C723" s="2">
        <v>11788</v>
      </c>
      <c r="D723" s="2">
        <v>82.2</v>
      </c>
      <c r="E723" s="2">
        <v>-0.44500000000000001</v>
      </c>
      <c r="F723" s="2">
        <v>11444</v>
      </c>
      <c r="G723" s="2">
        <v>8200</v>
      </c>
    </row>
    <row r="724" spans="1:7">
      <c r="A724" s="2" t="s">
        <v>93</v>
      </c>
      <c r="B724" s="3" t="s">
        <v>10</v>
      </c>
      <c r="C724" s="2">
        <v>14269</v>
      </c>
      <c r="D724" s="2">
        <v>83.2</v>
      </c>
      <c r="E724" s="2">
        <v>-0.42399999999999999</v>
      </c>
      <c r="F724" s="2">
        <v>9951</v>
      </c>
      <c r="G724" s="2">
        <v>8212</v>
      </c>
    </row>
    <row r="725" spans="1:7">
      <c r="A725" s="2" t="s">
        <v>93</v>
      </c>
      <c r="B725" s="3" t="s">
        <v>11</v>
      </c>
      <c r="C725" s="2">
        <v>13254</v>
      </c>
      <c r="D725" s="2">
        <v>82.5</v>
      </c>
      <c r="E725" s="2">
        <v>-0.439</v>
      </c>
      <c r="F725" s="2">
        <v>9974</v>
      </c>
      <c r="G725" s="2">
        <v>8098</v>
      </c>
    </row>
    <row r="726" spans="1:7">
      <c r="A726" s="2" t="s">
        <v>93</v>
      </c>
      <c r="B726" s="3" t="s">
        <v>12</v>
      </c>
      <c r="C726" s="2">
        <v>21054</v>
      </c>
      <c r="D726" s="2">
        <v>81.3</v>
      </c>
      <c r="E726" s="2">
        <v>-0.45</v>
      </c>
      <c r="F726" s="2">
        <v>2394</v>
      </c>
      <c r="G726" s="2">
        <v>8169</v>
      </c>
    </row>
    <row r="727" spans="1:7">
      <c r="A727" s="2" t="s">
        <v>93</v>
      </c>
      <c r="B727" s="3" t="s">
        <v>13</v>
      </c>
      <c r="C727" s="2">
        <v>17605</v>
      </c>
      <c r="D727" s="2">
        <v>79.7</v>
      </c>
      <c r="E727" s="2">
        <v>-0.46400000000000002</v>
      </c>
      <c r="F727" s="2">
        <v>3321</v>
      </c>
      <c r="G727" s="2">
        <v>8159</v>
      </c>
    </row>
    <row r="728" spans="1:7">
      <c r="A728" s="2" t="s">
        <v>93</v>
      </c>
      <c r="B728" s="3" t="s">
        <v>14</v>
      </c>
      <c r="C728" s="2">
        <v>21839</v>
      </c>
      <c r="D728" s="2">
        <v>83.1</v>
      </c>
      <c r="E728" s="2">
        <v>-0.41799999999999998</v>
      </c>
      <c r="F728" s="2">
        <v>1861</v>
      </c>
      <c r="G728" s="2">
        <v>8207</v>
      </c>
    </row>
    <row r="729" spans="1:7">
      <c r="A729" s="2" t="s">
        <v>93</v>
      </c>
      <c r="B729" s="3" t="s">
        <v>15</v>
      </c>
      <c r="C729" s="2">
        <v>17443</v>
      </c>
      <c r="D729" s="2">
        <v>83.4</v>
      </c>
      <c r="E729" s="2">
        <v>-0.40699999999999997</v>
      </c>
      <c r="F729" s="2">
        <v>5968</v>
      </c>
      <c r="G729" s="2">
        <v>8204</v>
      </c>
    </row>
    <row r="730" spans="1:7">
      <c r="A730" s="2" t="s">
        <v>93</v>
      </c>
      <c r="B730" s="3" t="s">
        <v>16</v>
      </c>
      <c r="C730" s="2">
        <v>18761</v>
      </c>
      <c r="D730" s="2">
        <v>83.1</v>
      </c>
      <c r="E730" s="2">
        <v>-0.42799999999999999</v>
      </c>
      <c r="F730" s="2">
        <v>5100</v>
      </c>
      <c r="G730" s="2">
        <v>8198</v>
      </c>
    </row>
    <row r="731" spans="1:7">
      <c r="A731" s="2" t="s">
        <v>93</v>
      </c>
      <c r="B731" s="3" t="s">
        <v>17</v>
      </c>
      <c r="C731" s="2">
        <v>18840</v>
      </c>
      <c r="D731" s="2">
        <v>82.1</v>
      </c>
      <c r="E731" s="2">
        <v>-0.438</v>
      </c>
      <c r="F731" s="2">
        <v>4698</v>
      </c>
      <c r="G731" s="2">
        <v>8193</v>
      </c>
    </row>
    <row r="732" spans="1:7">
      <c r="A732" s="2" t="s">
        <v>93</v>
      </c>
      <c r="B732" s="3" t="s">
        <v>18</v>
      </c>
      <c r="C732" s="2">
        <v>18827</v>
      </c>
      <c r="D732" s="2">
        <v>81.400000000000006</v>
      </c>
      <c r="E732" s="2">
        <v>-0.44700000000000001</v>
      </c>
      <c r="F732" s="2">
        <v>4592</v>
      </c>
      <c r="G732" s="2">
        <v>8209</v>
      </c>
    </row>
    <row r="733" spans="1:7">
      <c r="A733" s="2" t="s">
        <v>93</v>
      </c>
      <c r="B733" s="3" t="s">
        <v>19</v>
      </c>
      <c r="C733" s="2">
        <v>18549</v>
      </c>
      <c r="D733" s="2">
        <v>81.400000000000006</v>
      </c>
      <c r="E733" s="2">
        <v>-0.44800000000000001</v>
      </c>
      <c r="F733" s="2">
        <v>4844</v>
      </c>
      <c r="G733" s="2">
        <v>8200</v>
      </c>
    </row>
    <row r="734" spans="1:7">
      <c r="A734" s="2" t="s">
        <v>93</v>
      </c>
      <c r="B734" s="3" t="s">
        <v>20</v>
      </c>
      <c r="C734" s="2">
        <v>17508</v>
      </c>
      <c r="D734" s="2">
        <v>80.599999999999994</v>
      </c>
      <c r="E734" s="2">
        <v>-0.47099999999999997</v>
      </c>
      <c r="F734" s="2">
        <v>5968</v>
      </c>
      <c r="G734" s="2">
        <v>8188</v>
      </c>
    </row>
    <row r="735" spans="1:7">
      <c r="A735" s="2" t="s">
        <v>93</v>
      </c>
      <c r="B735" s="3" t="s">
        <v>21</v>
      </c>
      <c r="C735" s="2">
        <v>16149</v>
      </c>
      <c r="D735" s="2">
        <v>79.900000000000006</v>
      </c>
      <c r="E735" s="2">
        <v>-0.46600000000000003</v>
      </c>
      <c r="F735" s="2">
        <v>6385</v>
      </c>
      <c r="G735" s="2">
        <v>8198</v>
      </c>
    </row>
    <row r="736" spans="1:7">
      <c r="A736" s="2" t="s">
        <v>93</v>
      </c>
      <c r="B736" s="3" t="s">
        <v>22</v>
      </c>
      <c r="C736" s="2">
        <v>16184</v>
      </c>
      <c r="D736" s="2">
        <v>80.3</v>
      </c>
      <c r="E736" s="2">
        <v>-0.46200000000000002</v>
      </c>
      <c r="F736" s="2">
        <v>6605</v>
      </c>
      <c r="G736" s="2">
        <v>8202</v>
      </c>
    </row>
    <row r="737" spans="1:7">
      <c r="A737" s="2" t="s">
        <v>93</v>
      </c>
      <c r="B737" s="3" t="s">
        <v>23</v>
      </c>
      <c r="C737" s="2">
        <v>16470</v>
      </c>
      <c r="D737" s="2">
        <v>80.7</v>
      </c>
      <c r="E737" s="2">
        <v>-0.46100000000000002</v>
      </c>
      <c r="F737" s="2">
        <v>6573</v>
      </c>
      <c r="G737" s="2">
        <v>8198</v>
      </c>
    </row>
    <row r="738" spans="1:7">
      <c r="A738" s="2" t="s">
        <v>93</v>
      </c>
      <c r="B738" s="3" t="s">
        <v>24</v>
      </c>
      <c r="C738" s="2">
        <v>17143</v>
      </c>
      <c r="D738" s="2">
        <v>80.7</v>
      </c>
      <c r="E738" s="2">
        <v>-0.46</v>
      </c>
      <c r="F738" s="2">
        <v>5761</v>
      </c>
      <c r="G738" s="2">
        <v>8201</v>
      </c>
    </row>
    <row r="739" spans="1:7">
      <c r="A739" s="2" t="s">
        <v>93</v>
      </c>
      <c r="B739" s="3" t="s">
        <v>25</v>
      </c>
      <c r="C739" s="2">
        <v>21112</v>
      </c>
      <c r="D739" s="2">
        <v>83.5</v>
      </c>
      <c r="E739" s="2">
        <v>-0.40899999999999997</v>
      </c>
      <c r="F739" s="2">
        <v>2449</v>
      </c>
      <c r="G739" s="2">
        <v>8150</v>
      </c>
    </row>
    <row r="740" spans="1:7">
      <c r="A740" s="2" t="s">
        <v>93</v>
      </c>
      <c r="B740" s="3" t="s">
        <v>26</v>
      </c>
      <c r="C740" s="2">
        <v>21211</v>
      </c>
      <c r="D740" s="2">
        <v>84.1</v>
      </c>
      <c r="E740" s="2">
        <v>-0.4</v>
      </c>
      <c r="F740" s="2">
        <v>1859</v>
      </c>
      <c r="G740" s="2">
        <v>7954</v>
      </c>
    </row>
    <row r="741" spans="1:7">
      <c r="A741" s="2" t="s">
        <v>93</v>
      </c>
      <c r="B741" s="3" t="s">
        <v>27</v>
      </c>
      <c r="C741" s="2">
        <v>21125</v>
      </c>
      <c r="D741" s="2">
        <v>85</v>
      </c>
      <c r="E741" s="2">
        <v>-0.38300000000000001</v>
      </c>
      <c r="F741" s="2">
        <v>2785</v>
      </c>
      <c r="G741" s="2">
        <v>8166</v>
      </c>
    </row>
    <row r="742" spans="1:7">
      <c r="A742" s="2" t="s">
        <v>93</v>
      </c>
      <c r="B742" s="3" t="s">
        <v>28</v>
      </c>
      <c r="C742" s="2">
        <v>22629</v>
      </c>
      <c r="D742" s="2">
        <v>84.8</v>
      </c>
      <c r="E742" s="2">
        <v>-0.376</v>
      </c>
      <c r="F742" s="2">
        <v>1446</v>
      </c>
      <c r="G742" s="2">
        <v>8206</v>
      </c>
    </row>
    <row r="743" spans="1:7">
      <c r="A743" s="2" t="s">
        <v>93</v>
      </c>
      <c r="B743" s="3" t="s">
        <v>29</v>
      </c>
      <c r="C743" s="2">
        <v>22283</v>
      </c>
      <c r="D743" s="2">
        <v>85.1</v>
      </c>
      <c r="E743" s="2">
        <v>-0.373</v>
      </c>
      <c r="F743" s="2">
        <v>1734</v>
      </c>
      <c r="G743" s="2">
        <v>8189</v>
      </c>
    </row>
    <row r="744" spans="1:7">
      <c r="A744" s="2" t="s">
        <v>93</v>
      </c>
      <c r="B744" s="3" t="s">
        <v>30</v>
      </c>
      <c r="C744" s="2">
        <v>20533</v>
      </c>
      <c r="D744" s="2">
        <v>85.1</v>
      </c>
      <c r="E744" s="2">
        <v>-0.38300000000000001</v>
      </c>
      <c r="F744" s="2">
        <v>3650</v>
      </c>
      <c r="G744" s="2">
        <v>8206</v>
      </c>
    </row>
    <row r="745" spans="1:7">
      <c r="A745" s="2" t="s">
        <v>93</v>
      </c>
      <c r="B745" s="3" t="s">
        <v>31</v>
      </c>
      <c r="C745" s="2">
        <v>12484</v>
      </c>
      <c r="D745" s="2">
        <v>85.1</v>
      </c>
      <c r="E745" s="2">
        <v>-0.38</v>
      </c>
      <c r="F745" s="2">
        <v>11529</v>
      </c>
      <c r="G745" s="2">
        <v>8202</v>
      </c>
    </row>
    <row r="746" spans="1:7">
      <c r="A746" s="2" t="s">
        <v>94</v>
      </c>
      <c r="B746" s="3" t="s">
        <v>8</v>
      </c>
      <c r="C746" s="2">
        <v>13500</v>
      </c>
      <c r="D746" s="2">
        <v>84.6</v>
      </c>
      <c r="E746" s="2">
        <v>-0.38700000000000001</v>
      </c>
      <c r="F746" s="2">
        <v>10119</v>
      </c>
      <c r="G746" s="2">
        <v>8160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46"/>
  <sheetViews>
    <sheetView workbookViewId="0">
      <selection activeCell="H5" sqref="H5"/>
    </sheetView>
  </sheetViews>
  <sheetFormatPr defaultRowHeight="12.75"/>
  <cols>
    <col min="3" max="3" width="20.5703125" customWidth="1"/>
    <col min="4" max="4" width="21.5703125" customWidth="1"/>
    <col min="5" max="5" width="25.140625" customWidth="1"/>
    <col min="6" max="6" width="28.7109375" customWidth="1"/>
    <col min="7" max="7" width="3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127</v>
      </c>
      <c r="B2" s="1" t="s">
        <v>8</v>
      </c>
      <c r="C2">
        <v>2689</v>
      </c>
      <c r="D2">
        <v>78.599999999999994</v>
      </c>
      <c r="E2">
        <v>-0.499</v>
      </c>
      <c r="F2">
        <v>96</v>
      </c>
      <c r="G2">
        <v>5699</v>
      </c>
    </row>
    <row r="3" spans="1:7">
      <c r="A3" t="s">
        <v>127</v>
      </c>
      <c r="B3" s="1" t="s">
        <v>9</v>
      </c>
      <c r="C3">
        <v>2551</v>
      </c>
      <c r="D3">
        <v>78.5</v>
      </c>
      <c r="E3">
        <v>-0.51600000000000001</v>
      </c>
      <c r="F3">
        <v>64</v>
      </c>
      <c r="G3">
        <v>4989</v>
      </c>
    </row>
    <row r="4" spans="1:7">
      <c r="A4" t="s">
        <v>127</v>
      </c>
      <c r="B4" s="1" t="s">
        <v>10</v>
      </c>
      <c r="C4">
        <v>4289</v>
      </c>
      <c r="D4">
        <v>79.3</v>
      </c>
      <c r="E4">
        <v>-0.50700000000000001</v>
      </c>
      <c r="F4">
        <v>33</v>
      </c>
      <c r="G4">
        <v>5019</v>
      </c>
    </row>
    <row r="5" spans="1:7">
      <c r="A5" t="s">
        <v>127</v>
      </c>
      <c r="B5" s="1" t="s">
        <v>11</v>
      </c>
      <c r="C5">
        <v>3060</v>
      </c>
      <c r="D5">
        <v>78.8</v>
      </c>
      <c r="E5">
        <v>-0.50700000000000001</v>
      </c>
      <c r="F5">
        <v>85</v>
      </c>
      <c r="G5">
        <v>4991</v>
      </c>
    </row>
    <row r="6" spans="1:7">
      <c r="A6" t="s">
        <v>127</v>
      </c>
      <c r="B6" s="1" t="s">
        <v>12</v>
      </c>
      <c r="C6">
        <v>11925</v>
      </c>
      <c r="D6">
        <v>78.2</v>
      </c>
      <c r="E6">
        <v>-0.497</v>
      </c>
      <c r="F6">
        <v>94</v>
      </c>
      <c r="G6">
        <v>4998</v>
      </c>
    </row>
    <row r="7" spans="1:7">
      <c r="A7" t="s">
        <v>127</v>
      </c>
      <c r="B7" s="1" t="s">
        <v>13</v>
      </c>
      <c r="C7">
        <v>11649</v>
      </c>
      <c r="D7">
        <v>78.599999999999994</v>
      </c>
      <c r="E7">
        <v>-0.49199999999999999</v>
      </c>
      <c r="F7">
        <v>68</v>
      </c>
      <c r="G7">
        <v>5005</v>
      </c>
    </row>
    <row r="8" spans="1:7">
      <c r="A8" t="s">
        <v>127</v>
      </c>
      <c r="B8" s="1" t="s">
        <v>14</v>
      </c>
      <c r="C8">
        <v>15412</v>
      </c>
      <c r="D8">
        <v>77.7</v>
      </c>
      <c r="E8">
        <v>-0.50900000000000001</v>
      </c>
      <c r="F8">
        <v>93</v>
      </c>
      <c r="G8">
        <v>4997</v>
      </c>
    </row>
    <row r="9" spans="1:7">
      <c r="A9" t="s">
        <v>127</v>
      </c>
      <c r="B9" s="1" t="s">
        <v>15</v>
      </c>
      <c r="C9">
        <v>11700</v>
      </c>
      <c r="D9">
        <v>78.3</v>
      </c>
      <c r="E9">
        <v>-0.50600000000000001</v>
      </c>
      <c r="F9">
        <v>74</v>
      </c>
      <c r="G9">
        <v>5036</v>
      </c>
    </row>
    <row r="10" spans="1:7">
      <c r="A10" t="s">
        <v>127</v>
      </c>
      <c r="B10" s="1" t="s">
        <v>16</v>
      </c>
      <c r="C10">
        <v>9900</v>
      </c>
      <c r="D10">
        <v>77.3</v>
      </c>
      <c r="E10">
        <v>-0.52800000000000002</v>
      </c>
      <c r="F10">
        <v>102</v>
      </c>
      <c r="G10">
        <v>4994</v>
      </c>
    </row>
    <row r="11" spans="1:7">
      <c r="A11" t="s">
        <v>127</v>
      </c>
      <c r="B11" s="1" t="s">
        <v>17</v>
      </c>
      <c r="C11">
        <v>11947</v>
      </c>
      <c r="D11">
        <v>77.8</v>
      </c>
      <c r="E11">
        <v>-0.50800000000000001</v>
      </c>
      <c r="F11">
        <v>31</v>
      </c>
      <c r="G11">
        <v>5000</v>
      </c>
    </row>
    <row r="12" spans="1:7">
      <c r="A12" t="s">
        <v>127</v>
      </c>
      <c r="B12" s="1" t="s">
        <v>18</v>
      </c>
      <c r="C12">
        <v>11512</v>
      </c>
      <c r="D12">
        <v>77.599999999999994</v>
      </c>
      <c r="E12">
        <v>-0.51700000000000002</v>
      </c>
      <c r="F12">
        <v>31</v>
      </c>
      <c r="G12">
        <v>5023</v>
      </c>
    </row>
    <row r="13" spans="1:7">
      <c r="A13" t="s">
        <v>127</v>
      </c>
      <c r="B13" s="1" t="s">
        <v>19</v>
      </c>
      <c r="C13">
        <v>10799</v>
      </c>
      <c r="D13">
        <v>77</v>
      </c>
      <c r="E13">
        <v>-0.52300000000000002</v>
      </c>
      <c r="F13">
        <v>74</v>
      </c>
      <c r="G13">
        <v>4996</v>
      </c>
    </row>
    <row r="14" spans="1:7">
      <c r="A14" t="s">
        <v>127</v>
      </c>
      <c r="B14" s="1" t="s">
        <v>20</v>
      </c>
      <c r="C14">
        <v>11834</v>
      </c>
      <c r="D14">
        <v>77.599999999999994</v>
      </c>
      <c r="E14">
        <v>-0.51600000000000001</v>
      </c>
      <c r="F14">
        <v>56</v>
      </c>
      <c r="G14">
        <v>4999</v>
      </c>
    </row>
    <row r="15" spans="1:7">
      <c r="A15" t="s">
        <v>127</v>
      </c>
      <c r="B15" s="1" t="s">
        <v>21</v>
      </c>
      <c r="C15">
        <v>11645</v>
      </c>
      <c r="D15">
        <v>77.3</v>
      </c>
      <c r="E15">
        <v>-0.51200000000000001</v>
      </c>
      <c r="F15">
        <v>73</v>
      </c>
      <c r="G15">
        <v>4999</v>
      </c>
    </row>
    <row r="16" spans="1:7">
      <c r="A16" t="s">
        <v>127</v>
      </c>
      <c r="B16" s="1" t="s">
        <v>22</v>
      </c>
      <c r="C16">
        <v>11231</v>
      </c>
      <c r="D16">
        <v>77.599999999999994</v>
      </c>
      <c r="E16">
        <v>-0.52</v>
      </c>
      <c r="F16">
        <v>45</v>
      </c>
      <c r="G16">
        <v>4996</v>
      </c>
    </row>
    <row r="17" spans="1:7">
      <c r="A17" t="s">
        <v>127</v>
      </c>
      <c r="B17" s="1" t="s">
        <v>23</v>
      </c>
      <c r="C17">
        <v>10983</v>
      </c>
      <c r="D17">
        <v>77.5</v>
      </c>
      <c r="E17">
        <v>-0.52300000000000002</v>
      </c>
      <c r="F17">
        <v>31</v>
      </c>
      <c r="G17">
        <v>5006</v>
      </c>
    </row>
    <row r="18" spans="1:7">
      <c r="A18" t="s">
        <v>127</v>
      </c>
      <c r="B18" s="1" t="s">
        <v>24</v>
      </c>
      <c r="C18">
        <v>11198</v>
      </c>
      <c r="D18">
        <v>78.099999999999994</v>
      </c>
      <c r="E18">
        <v>-0.51100000000000001</v>
      </c>
      <c r="F18">
        <v>68</v>
      </c>
      <c r="G18">
        <v>4995</v>
      </c>
    </row>
    <row r="19" spans="1:7">
      <c r="A19" t="s">
        <v>127</v>
      </c>
      <c r="B19" s="1" t="s">
        <v>25</v>
      </c>
      <c r="C19">
        <v>11327</v>
      </c>
      <c r="D19">
        <v>78.3</v>
      </c>
      <c r="E19">
        <v>-0.51200000000000001</v>
      </c>
      <c r="F19">
        <v>32</v>
      </c>
      <c r="G19">
        <v>5001</v>
      </c>
    </row>
    <row r="20" spans="1:7">
      <c r="A20" t="s">
        <v>127</v>
      </c>
      <c r="B20" s="1" t="s">
        <v>26</v>
      </c>
      <c r="C20">
        <v>11249</v>
      </c>
      <c r="D20">
        <v>77.5</v>
      </c>
      <c r="E20">
        <v>-0.52</v>
      </c>
      <c r="F20">
        <v>69</v>
      </c>
      <c r="G20">
        <v>5001</v>
      </c>
    </row>
    <row r="21" spans="1:7">
      <c r="A21" t="s">
        <v>127</v>
      </c>
      <c r="B21" s="1" t="s">
        <v>27</v>
      </c>
      <c r="C21">
        <v>11556</v>
      </c>
      <c r="D21">
        <v>77.2</v>
      </c>
      <c r="E21">
        <v>-0.52600000000000002</v>
      </c>
      <c r="F21">
        <v>220</v>
      </c>
      <c r="G21">
        <v>4996</v>
      </c>
    </row>
    <row r="22" spans="1:7">
      <c r="A22" t="s">
        <v>127</v>
      </c>
      <c r="B22" s="1" t="s">
        <v>28</v>
      </c>
      <c r="C22">
        <v>11341</v>
      </c>
      <c r="D22">
        <v>77.599999999999994</v>
      </c>
      <c r="E22">
        <v>-0.52100000000000002</v>
      </c>
      <c r="F22">
        <v>51</v>
      </c>
      <c r="G22">
        <v>5011</v>
      </c>
    </row>
    <row r="23" spans="1:7">
      <c r="A23" t="s">
        <v>127</v>
      </c>
      <c r="B23" s="1" t="s">
        <v>29</v>
      </c>
      <c r="C23">
        <v>11906</v>
      </c>
      <c r="D23">
        <v>77.099999999999994</v>
      </c>
      <c r="E23">
        <v>-0.53</v>
      </c>
      <c r="F23">
        <v>133</v>
      </c>
      <c r="G23">
        <v>5007</v>
      </c>
    </row>
    <row r="24" spans="1:7">
      <c r="A24" t="s">
        <v>127</v>
      </c>
      <c r="B24" s="1" t="s">
        <v>30</v>
      </c>
      <c r="C24">
        <v>9694</v>
      </c>
      <c r="D24">
        <v>77.400000000000006</v>
      </c>
      <c r="E24">
        <v>-0.51400000000000001</v>
      </c>
      <c r="F24">
        <v>77</v>
      </c>
      <c r="G24">
        <v>5000</v>
      </c>
    </row>
    <row r="25" spans="1:7">
      <c r="A25" t="s">
        <v>127</v>
      </c>
      <c r="B25" s="1" t="s">
        <v>31</v>
      </c>
      <c r="C25">
        <v>4618</v>
      </c>
      <c r="D25">
        <v>78.2</v>
      </c>
      <c r="E25">
        <v>-0.51700000000000002</v>
      </c>
      <c r="F25">
        <v>149</v>
      </c>
      <c r="G25">
        <v>5007</v>
      </c>
    </row>
    <row r="26" spans="1:7">
      <c r="A26" t="s">
        <v>128</v>
      </c>
      <c r="B26" s="1" t="s">
        <v>8</v>
      </c>
      <c r="C26">
        <v>1694</v>
      </c>
      <c r="D26">
        <v>78.099999999999994</v>
      </c>
      <c r="E26">
        <v>-0.52800000000000002</v>
      </c>
      <c r="F26">
        <v>46</v>
      </c>
      <c r="G26">
        <v>5009</v>
      </c>
    </row>
    <row r="27" spans="1:7">
      <c r="A27" t="s">
        <v>128</v>
      </c>
      <c r="B27" s="1" t="s">
        <v>9</v>
      </c>
      <c r="C27">
        <v>2089</v>
      </c>
      <c r="D27">
        <v>78.7</v>
      </c>
      <c r="E27">
        <v>-0.51700000000000002</v>
      </c>
      <c r="F27">
        <v>74</v>
      </c>
      <c r="G27">
        <v>5009</v>
      </c>
    </row>
    <row r="28" spans="1:7">
      <c r="A28" t="s">
        <v>128</v>
      </c>
      <c r="B28" s="1" t="s">
        <v>10</v>
      </c>
      <c r="C28">
        <v>1955</v>
      </c>
      <c r="D28">
        <v>78.900000000000006</v>
      </c>
      <c r="E28">
        <v>-0.502</v>
      </c>
      <c r="F28">
        <v>100</v>
      </c>
      <c r="G28">
        <v>4992</v>
      </c>
    </row>
    <row r="29" spans="1:7">
      <c r="A29" t="s">
        <v>128</v>
      </c>
      <c r="B29" s="1" t="s">
        <v>11</v>
      </c>
      <c r="C29">
        <v>3253</v>
      </c>
      <c r="D29">
        <v>82.1</v>
      </c>
      <c r="E29">
        <v>-0.45</v>
      </c>
      <c r="F29">
        <v>67</v>
      </c>
      <c r="G29">
        <v>4976</v>
      </c>
    </row>
    <row r="30" spans="1:7">
      <c r="A30" t="s">
        <v>128</v>
      </c>
      <c r="B30" s="1" t="s">
        <v>12</v>
      </c>
      <c r="C30">
        <v>13134</v>
      </c>
      <c r="D30">
        <v>83.2</v>
      </c>
      <c r="E30">
        <v>-0.42299999999999999</v>
      </c>
      <c r="F30">
        <v>187</v>
      </c>
      <c r="G30">
        <v>4996</v>
      </c>
    </row>
    <row r="31" spans="1:7">
      <c r="A31" t="s">
        <v>128</v>
      </c>
      <c r="B31" s="1" t="s">
        <v>13</v>
      </c>
      <c r="C31">
        <v>12921</v>
      </c>
      <c r="D31">
        <v>81.2</v>
      </c>
      <c r="E31">
        <v>-0.46500000000000002</v>
      </c>
      <c r="F31">
        <v>31</v>
      </c>
      <c r="G31">
        <v>4989</v>
      </c>
    </row>
    <row r="32" spans="1:7">
      <c r="A32" t="s">
        <v>128</v>
      </c>
      <c r="B32" s="1" t="s">
        <v>14</v>
      </c>
      <c r="C32">
        <v>12882</v>
      </c>
      <c r="D32">
        <v>78.2</v>
      </c>
      <c r="E32">
        <v>-0.51300000000000001</v>
      </c>
      <c r="F32">
        <v>66</v>
      </c>
      <c r="G32">
        <v>5007</v>
      </c>
    </row>
    <row r="33" spans="1:7">
      <c r="A33" t="s">
        <v>128</v>
      </c>
      <c r="B33" s="1" t="s">
        <v>15</v>
      </c>
      <c r="C33">
        <v>10282</v>
      </c>
      <c r="D33">
        <v>77.7</v>
      </c>
      <c r="E33">
        <v>-0.51400000000000001</v>
      </c>
      <c r="F33">
        <v>66</v>
      </c>
      <c r="G33">
        <v>5001</v>
      </c>
    </row>
    <row r="34" spans="1:7">
      <c r="A34" t="s">
        <v>128</v>
      </c>
      <c r="B34" s="1" t="s">
        <v>16</v>
      </c>
      <c r="C34">
        <v>11103</v>
      </c>
      <c r="D34">
        <v>77.8</v>
      </c>
      <c r="E34">
        <v>-0.51200000000000001</v>
      </c>
      <c r="F34">
        <v>80</v>
      </c>
      <c r="G34">
        <v>5001</v>
      </c>
    </row>
    <row r="35" spans="1:7">
      <c r="A35" t="s">
        <v>128</v>
      </c>
      <c r="B35" s="1" t="s">
        <v>17</v>
      </c>
      <c r="C35">
        <v>11639</v>
      </c>
      <c r="D35">
        <v>77.8</v>
      </c>
      <c r="E35">
        <v>-0.51800000000000002</v>
      </c>
      <c r="F35">
        <v>28</v>
      </c>
      <c r="G35">
        <v>4997</v>
      </c>
    </row>
    <row r="36" spans="1:7">
      <c r="A36" t="s">
        <v>128</v>
      </c>
      <c r="B36" s="1" t="s">
        <v>18</v>
      </c>
      <c r="C36">
        <v>11871</v>
      </c>
      <c r="D36">
        <v>77.2</v>
      </c>
      <c r="E36">
        <v>-0.52200000000000002</v>
      </c>
      <c r="F36">
        <v>84</v>
      </c>
      <c r="G36">
        <v>5001</v>
      </c>
    </row>
    <row r="37" spans="1:7">
      <c r="A37" t="s">
        <v>128</v>
      </c>
      <c r="B37" s="1" t="s">
        <v>19</v>
      </c>
      <c r="C37">
        <v>11379</v>
      </c>
      <c r="D37">
        <v>77.5</v>
      </c>
      <c r="E37">
        <v>-0.52800000000000002</v>
      </c>
      <c r="F37">
        <v>25</v>
      </c>
      <c r="G37">
        <v>5006</v>
      </c>
    </row>
    <row r="38" spans="1:7">
      <c r="A38" t="s">
        <v>128</v>
      </c>
      <c r="B38" s="1" t="s">
        <v>20</v>
      </c>
      <c r="C38">
        <v>10411</v>
      </c>
      <c r="D38">
        <v>76.7</v>
      </c>
      <c r="E38">
        <v>-0.53200000000000003</v>
      </c>
      <c r="F38">
        <v>84</v>
      </c>
      <c r="G38">
        <v>5001</v>
      </c>
    </row>
    <row r="39" spans="1:7">
      <c r="A39" t="s">
        <v>128</v>
      </c>
      <c r="B39" s="1" t="s">
        <v>21</v>
      </c>
      <c r="C39">
        <v>10491</v>
      </c>
      <c r="D39">
        <v>77</v>
      </c>
      <c r="E39">
        <v>-0.52800000000000002</v>
      </c>
      <c r="F39">
        <v>41</v>
      </c>
      <c r="G39">
        <v>5004</v>
      </c>
    </row>
    <row r="40" spans="1:7">
      <c r="A40" t="s">
        <v>128</v>
      </c>
      <c r="B40" s="1" t="s">
        <v>22</v>
      </c>
      <c r="C40">
        <v>10348</v>
      </c>
      <c r="D40">
        <v>76.900000000000006</v>
      </c>
      <c r="E40">
        <v>-0.52800000000000002</v>
      </c>
      <c r="F40">
        <v>35</v>
      </c>
      <c r="G40">
        <v>5001</v>
      </c>
    </row>
    <row r="41" spans="1:7">
      <c r="A41" t="s">
        <v>128</v>
      </c>
      <c r="B41" s="1" t="s">
        <v>23</v>
      </c>
      <c r="C41">
        <v>10858</v>
      </c>
      <c r="D41">
        <v>77.099999999999994</v>
      </c>
      <c r="E41">
        <v>-0.53</v>
      </c>
      <c r="F41">
        <v>44</v>
      </c>
      <c r="G41">
        <v>5005</v>
      </c>
    </row>
    <row r="42" spans="1:7">
      <c r="A42" t="s">
        <v>128</v>
      </c>
      <c r="B42" s="1" t="s">
        <v>24</v>
      </c>
      <c r="C42">
        <v>10293</v>
      </c>
      <c r="D42">
        <v>76.8</v>
      </c>
      <c r="E42">
        <v>-0.53100000000000003</v>
      </c>
      <c r="F42">
        <v>127</v>
      </c>
      <c r="G42">
        <v>4995</v>
      </c>
    </row>
    <row r="43" spans="1:7">
      <c r="A43" t="s">
        <v>128</v>
      </c>
      <c r="B43" s="1" t="s">
        <v>25</v>
      </c>
      <c r="C43">
        <v>11865</v>
      </c>
      <c r="D43">
        <v>77.900000000000006</v>
      </c>
      <c r="E43">
        <v>-0.50900000000000001</v>
      </c>
      <c r="F43">
        <v>25</v>
      </c>
      <c r="G43">
        <v>5017</v>
      </c>
    </row>
    <row r="44" spans="1:7">
      <c r="A44" t="s">
        <v>128</v>
      </c>
      <c r="B44" s="1" t="s">
        <v>26</v>
      </c>
      <c r="C44">
        <v>11181</v>
      </c>
      <c r="D44">
        <v>77.599999999999994</v>
      </c>
      <c r="E44">
        <v>-0.50800000000000001</v>
      </c>
      <c r="F44">
        <v>92</v>
      </c>
      <c r="G44">
        <v>5002</v>
      </c>
    </row>
    <row r="45" spans="1:7">
      <c r="A45" t="s">
        <v>128</v>
      </c>
      <c r="B45" s="1" t="s">
        <v>27</v>
      </c>
      <c r="C45">
        <v>10323</v>
      </c>
      <c r="D45">
        <v>76.599999999999994</v>
      </c>
      <c r="E45">
        <v>-0.52500000000000002</v>
      </c>
      <c r="F45">
        <v>22</v>
      </c>
      <c r="G45">
        <v>5002</v>
      </c>
    </row>
    <row r="46" spans="1:7">
      <c r="A46" t="s">
        <v>128</v>
      </c>
      <c r="B46" s="1" t="s">
        <v>28</v>
      </c>
      <c r="C46">
        <v>11660</v>
      </c>
      <c r="D46">
        <v>77.900000000000006</v>
      </c>
      <c r="E46">
        <v>-0.51700000000000002</v>
      </c>
      <c r="F46">
        <v>188</v>
      </c>
      <c r="G46">
        <v>4994</v>
      </c>
    </row>
    <row r="47" spans="1:7">
      <c r="A47" t="s">
        <v>128</v>
      </c>
      <c r="B47" s="1" t="s">
        <v>29</v>
      </c>
      <c r="C47">
        <v>11403</v>
      </c>
      <c r="D47">
        <v>77.3</v>
      </c>
      <c r="E47">
        <v>-0.52300000000000002</v>
      </c>
      <c r="F47">
        <v>76</v>
      </c>
      <c r="G47">
        <v>4995</v>
      </c>
    </row>
    <row r="48" spans="1:7">
      <c r="A48" t="s">
        <v>128</v>
      </c>
      <c r="B48" s="1" t="s">
        <v>30</v>
      </c>
      <c r="C48">
        <v>10778</v>
      </c>
      <c r="D48">
        <v>78.599999999999994</v>
      </c>
      <c r="E48">
        <v>-0.50700000000000001</v>
      </c>
      <c r="F48">
        <v>21</v>
      </c>
      <c r="G48">
        <v>4997</v>
      </c>
    </row>
    <row r="49" spans="1:7">
      <c r="A49" t="s">
        <v>128</v>
      </c>
      <c r="B49" s="1" t="s">
        <v>31</v>
      </c>
      <c r="C49">
        <v>4740</v>
      </c>
      <c r="D49">
        <v>77.8</v>
      </c>
      <c r="E49">
        <v>-0.53</v>
      </c>
      <c r="F49">
        <v>38</v>
      </c>
      <c r="G49">
        <v>5015</v>
      </c>
    </row>
    <row r="50" spans="1:7">
      <c r="A50" t="s">
        <v>129</v>
      </c>
      <c r="B50" s="1" t="s">
        <v>8</v>
      </c>
      <c r="C50">
        <v>1261</v>
      </c>
      <c r="D50">
        <v>77.599999999999994</v>
      </c>
      <c r="E50">
        <v>-0.53400000000000003</v>
      </c>
      <c r="F50">
        <v>22</v>
      </c>
      <c r="G50">
        <v>4989</v>
      </c>
    </row>
    <row r="51" spans="1:7">
      <c r="A51" t="s">
        <v>129</v>
      </c>
      <c r="B51" s="1" t="s">
        <v>9</v>
      </c>
      <c r="C51">
        <v>1305</v>
      </c>
      <c r="D51">
        <v>77.5</v>
      </c>
      <c r="E51">
        <v>-0.53700000000000003</v>
      </c>
      <c r="F51">
        <v>18</v>
      </c>
      <c r="G51">
        <v>5003</v>
      </c>
    </row>
    <row r="52" spans="1:7">
      <c r="A52" t="s">
        <v>129</v>
      </c>
      <c r="B52" s="1" t="s">
        <v>10</v>
      </c>
      <c r="C52">
        <v>1759</v>
      </c>
      <c r="D52">
        <v>78.900000000000006</v>
      </c>
      <c r="E52">
        <v>-0.51200000000000001</v>
      </c>
      <c r="F52">
        <v>64</v>
      </c>
      <c r="G52">
        <v>4989</v>
      </c>
    </row>
    <row r="53" spans="1:7">
      <c r="A53" t="s">
        <v>129</v>
      </c>
      <c r="B53" s="1" t="s">
        <v>11</v>
      </c>
      <c r="C53">
        <v>3286</v>
      </c>
      <c r="D53">
        <v>81</v>
      </c>
      <c r="E53">
        <v>-0.48199999999999998</v>
      </c>
      <c r="F53">
        <v>93</v>
      </c>
      <c r="G53">
        <v>5012</v>
      </c>
    </row>
    <row r="54" spans="1:7">
      <c r="A54" t="s">
        <v>129</v>
      </c>
      <c r="B54" s="1" t="s">
        <v>12</v>
      </c>
      <c r="C54">
        <v>10070</v>
      </c>
      <c r="D54">
        <v>81</v>
      </c>
      <c r="E54">
        <v>-0.45900000000000002</v>
      </c>
      <c r="F54">
        <v>80</v>
      </c>
      <c r="G54">
        <v>4991</v>
      </c>
    </row>
    <row r="55" spans="1:7">
      <c r="A55" t="s">
        <v>129</v>
      </c>
      <c r="B55" s="1" t="s">
        <v>13</v>
      </c>
      <c r="C55">
        <v>12698</v>
      </c>
      <c r="D55">
        <v>80.900000000000006</v>
      </c>
      <c r="E55">
        <v>-0.46800000000000003</v>
      </c>
      <c r="F55">
        <v>22</v>
      </c>
      <c r="G55">
        <v>4999</v>
      </c>
    </row>
    <row r="56" spans="1:7">
      <c r="A56" t="s">
        <v>129</v>
      </c>
      <c r="B56" s="1" t="s">
        <v>14</v>
      </c>
      <c r="C56">
        <v>13917</v>
      </c>
      <c r="D56">
        <v>78.2</v>
      </c>
      <c r="E56">
        <v>-0.52300000000000002</v>
      </c>
      <c r="F56">
        <v>101</v>
      </c>
      <c r="G56">
        <v>5004</v>
      </c>
    </row>
    <row r="57" spans="1:7">
      <c r="A57" t="s">
        <v>129</v>
      </c>
      <c r="B57" s="1" t="s">
        <v>15</v>
      </c>
      <c r="C57">
        <v>10869</v>
      </c>
      <c r="D57">
        <v>78.099999999999994</v>
      </c>
      <c r="E57">
        <v>-0.51800000000000002</v>
      </c>
      <c r="F57">
        <v>98</v>
      </c>
      <c r="G57">
        <v>4999</v>
      </c>
    </row>
    <row r="58" spans="1:7">
      <c r="A58" t="s">
        <v>129</v>
      </c>
      <c r="B58" s="1" t="s">
        <v>16</v>
      </c>
      <c r="C58">
        <v>13344</v>
      </c>
      <c r="D58">
        <v>78.400000000000006</v>
      </c>
      <c r="E58">
        <v>-0.51600000000000001</v>
      </c>
      <c r="F58">
        <v>77</v>
      </c>
      <c r="G58">
        <v>4989</v>
      </c>
    </row>
    <row r="59" spans="1:7">
      <c r="A59" t="s">
        <v>129</v>
      </c>
      <c r="B59" s="1" t="s">
        <v>17</v>
      </c>
      <c r="C59">
        <v>11786</v>
      </c>
      <c r="D59">
        <v>77.7</v>
      </c>
      <c r="E59">
        <v>-0.52</v>
      </c>
      <c r="F59">
        <v>18</v>
      </c>
      <c r="G59">
        <v>4999</v>
      </c>
    </row>
    <row r="60" spans="1:7">
      <c r="A60" t="s">
        <v>129</v>
      </c>
      <c r="B60" s="1" t="s">
        <v>18</v>
      </c>
      <c r="C60">
        <v>11612</v>
      </c>
      <c r="D60">
        <v>77.8</v>
      </c>
      <c r="E60">
        <v>-0.51700000000000002</v>
      </c>
      <c r="F60">
        <v>51</v>
      </c>
      <c r="G60">
        <v>4997</v>
      </c>
    </row>
    <row r="61" spans="1:7">
      <c r="A61" t="s">
        <v>129</v>
      </c>
      <c r="B61" s="1" t="s">
        <v>19</v>
      </c>
      <c r="C61">
        <v>11534</v>
      </c>
      <c r="D61">
        <v>77.7</v>
      </c>
      <c r="E61">
        <v>-0.51600000000000001</v>
      </c>
      <c r="F61">
        <v>67</v>
      </c>
      <c r="G61">
        <v>5001</v>
      </c>
    </row>
    <row r="62" spans="1:7">
      <c r="A62" t="s">
        <v>129</v>
      </c>
      <c r="B62" s="1" t="s">
        <v>20</v>
      </c>
      <c r="C62">
        <v>12704</v>
      </c>
      <c r="D62">
        <v>77.5</v>
      </c>
      <c r="E62">
        <v>-0.54</v>
      </c>
      <c r="F62">
        <v>69</v>
      </c>
      <c r="G62">
        <v>5021</v>
      </c>
    </row>
    <row r="63" spans="1:7">
      <c r="A63" t="s">
        <v>129</v>
      </c>
      <c r="B63" s="1" t="s">
        <v>21</v>
      </c>
      <c r="C63">
        <v>11282</v>
      </c>
      <c r="D63">
        <v>77.599999999999994</v>
      </c>
      <c r="E63">
        <v>-0.51600000000000001</v>
      </c>
      <c r="F63">
        <v>19</v>
      </c>
      <c r="G63">
        <v>4998</v>
      </c>
    </row>
    <row r="64" spans="1:7">
      <c r="A64" t="s">
        <v>129</v>
      </c>
      <c r="B64" s="1" t="s">
        <v>22</v>
      </c>
      <c r="C64">
        <v>10868</v>
      </c>
      <c r="D64">
        <v>77.400000000000006</v>
      </c>
      <c r="E64">
        <v>-0.52</v>
      </c>
      <c r="F64">
        <v>92</v>
      </c>
      <c r="G64">
        <v>5003</v>
      </c>
    </row>
    <row r="65" spans="1:7">
      <c r="A65" t="s">
        <v>129</v>
      </c>
      <c r="B65" s="1" t="s">
        <v>23</v>
      </c>
      <c r="C65">
        <v>10381</v>
      </c>
      <c r="D65">
        <v>77.5</v>
      </c>
      <c r="E65">
        <v>-0.52600000000000002</v>
      </c>
      <c r="F65">
        <v>46</v>
      </c>
      <c r="G65">
        <v>5005</v>
      </c>
    </row>
    <row r="66" spans="1:7">
      <c r="A66" t="s">
        <v>129</v>
      </c>
      <c r="B66" s="1" t="s">
        <v>24</v>
      </c>
      <c r="C66">
        <v>11059</v>
      </c>
      <c r="D66">
        <v>77.7</v>
      </c>
      <c r="E66">
        <v>-0.51600000000000001</v>
      </c>
      <c r="F66">
        <v>77</v>
      </c>
      <c r="G66">
        <v>4993</v>
      </c>
    </row>
    <row r="67" spans="1:7">
      <c r="A67" t="s">
        <v>129</v>
      </c>
      <c r="B67" s="1" t="s">
        <v>25</v>
      </c>
      <c r="C67">
        <v>11898</v>
      </c>
      <c r="D67">
        <v>78.099999999999994</v>
      </c>
      <c r="E67">
        <v>-0.51700000000000002</v>
      </c>
      <c r="F67">
        <v>201</v>
      </c>
      <c r="G67">
        <v>5004</v>
      </c>
    </row>
    <row r="68" spans="1:7">
      <c r="A68" t="s">
        <v>129</v>
      </c>
      <c r="B68" s="1" t="s">
        <v>26</v>
      </c>
      <c r="C68">
        <v>12767</v>
      </c>
      <c r="D68">
        <v>79</v>
      </c>
      <c r="E68">
        <v>-0.503</v>
      </c>
      <c r="F68">
        <v>25</v>
      </c>
      <c r="G68">
        <v>4993</v>
      </c>
    </row>
    <row r="69" spans="1:7">
      <c r="A69" t="s">
        <v>129</v>
      </c>
      <c r="B69" s="1" t="s">
        <v>27</v>
      </c>
      <c r="C69">
        <v>12482</v>
      </c>
      <c r="D69">
        <v>78.400000000000006</v>
      </c>
      <c r="E69">
        <v>-0.51200000000000001</v>
      </c>
      <c r="F69">
        <v>82</v>
      </c>
      <c r="G69">
        <v>5005</v>
      </c>
    </row>
    <row r="70" spans="1:7">
      <c r="A70" t="s">
        <v>129</v>
      </c>
      <c r="B70" s="1" t="s">
        <v>28</v>
      </c>
      <c r="C70">
        <v>13261</v>
      </c>
      <c r="D70">
        <v>79.099999999999994</v>
      </c>
      <c r="E70">
        <v>-0.502</v>
      </c>
      <c r="F70">
        <v>68</v>
      </c>
      <c r="G70">
        <v>5022</v>
      </c>
    </row>
    <row r="71" spans="1:7">
      <c r="A71" t="s">
        <v>129</v>
      </c>
      <c r="B71" s="1" t="s">
        <v>29</v>
      </c>
      <c r="C71">
        <v>13695</v>
      </c>
      <c r="D71">
        <v>79.599999999999994</v>
      </c>
      <c r="E71">
        <v>-0.49</v>
      </c>
      <c r="F71">
        <v>82</v>
      </c>
      <c r="G71">
        <v>5012</v>
      </c>
    </row>
    <row r="72" spans="1:7">
      <c r="A72" t="s">
        <v>129</v>
      </c>
      <c r="B72" s="1" t="s">
        <v>30</v>
      </c>
      <c r="C72">
        <v>11378</v>
      </c>
      <c r="D72">
        <v>79.599999999999994</v>
      </c>
      <c r="E72">
        <v>-0.504</v>
      </c>
      <c r="F72">
        <v>75</v>
      </c>
      <c r="G72">
        <v>5018</v>
      </c>
    </row>
    <row r="73" spans="1:7">
      <c r="A73" t="s">
        <v>129</v>
      </c>
      <c r="B73" s="1" t="s">
        <v>31</v>
      </c>
      <c r="C73">
        <v>5428</v>
      </c>
      <c r="D73">
        <v>80.099999999999994</v>
      </c>
      <c r="E73">
        <v>-0.50900000000000001</v>
      </c>
      <c r="F73">
        <v>71</v>
      </c>
      <c r="G73">
        <v>5005</v>
      </c>
    </row>
    <row r="74" spans="1:7">
      <c r="A74" t="s">
        <v>130</v>
      </c>
      <c r="B74" s="1" t="s">
        <v>8</v>
      </c>
      <c r="C74">
        <v>4023</v>
      </c>
      <c r="D74">
        <v>80.099999999999994</v>
      </c>
      <c r="E74">
        <v>-0.496</v>
      </c>
      <c r="F74">
        <v>24</v>
      </c>
      <c r="G74">
        <v>5000</v>
      </c>
    </row>
    <row r="75" spans="1:7">
      <c r="A75" t="s">
        <v>130</v>
      </c>
      <c r="B75" s="1" t="s">
        <v>9</v>
      </c>
      <c r="C75">
        <v>5938</v>
      </c>
      <c r="D75">
        <v>80.8</v>
      </c>
      <c r="E75">
        <v>-0.49099999999999999</v>
      </c>
      <c r="F75">
        <v>66</v>
      </c>
      <c r="G75">
        <v>4997</v>
      </c>
    </row>
    <row r="76" spans="1:7">
      <c r="A76" t="s">
        <v>130</v>
      </c>
      <c r="B76" s="1" t="s">
        <v>10</v>
      </c>
      <c r="C76">
        <v>6900</v>
      </c>
      <c r="D76">
        <v>82</v>
      </c>
      <c r="E76">
        <v>-0.46400000000000002</v>
      </c>
      <c r="F76">
        <v>90</v>
      </c>
      <c r="G76">
        <v>5004</v>
      </c>
    </row>
    <row r="77" spans="1:7">
      <c r="A77" t="s">
        <v>130</v>
      </c>
      <c r="B77" s="1" t="s">
        <v>11</v>
      </c>
      <c r="C77">
        <v>8844</v>
      </c>
      <c r="D77">
        <v>84.1</v>
      </c>
      <c r="E77">
        <v>-0.438</v>
      </c>
      <c r="F77">
        <v>215</v>
      </c>
      <c r="G77">
        <v>5033</v>
      </c>
    </row>
    <row r="78" spans="1:7">
      <c r="A78" t="s">
        <v>130</v>
      </c>
      <c r="B78" s="1" t="s">
        <v>12</v>
      </c>
      <c r="C78">
        <v>15599</v>
      </c>
      <c r="D78">
        <v>84.2</v>
      </c>
      <c r="E78">
        <v>-0.42899999999999999</v>
      </c>
      <c r="F78">
        <v>65</v>
      </c>
      <c r="G78">
        <v>4993</v>
      </c>
    </row>
    <row r="79" spans="1:7">
      <c r="A79" t="s">
        <v>130</v>
      </c>
      <c r="B79" s="1" t="s">
        <v>13</v>
      </c>
      <c r="C79">
        <v>15876</v>
      </c>
      <c r="D79">
        <v>83.2</v>
      </c>
      <c r="E79">
        <v>-0.45100000000000001</v>
      </c>
      <c r="F79">
        <v>128</v>
      </c>
      <c r="G79">
        <v>5022</v>
      </c>
    </row>
    <row r="80" spans="1:7">
      <c r="A80" t="s">
        <v>130</v>
      </c>
      <c r="B80" s="1" t="s">
        <v>14</v>
      </c>
      <c r="C80">
        <v>16092</v>
      </c>
      <c r="D80">
        <v>82.3</v>
      </c>
      <c r="E80">
        <v>-0.434</v>
      </c>
      <c r="F80">
        <v>124</v>
      </c>
      <c r="G80">
        <v>5005</v>
      </c>
    </row>
    <row r="81" spans="1:7">
      <c r="A81" t="s">
        <v>130</v>
      </c>
      <c r="B81" s="1" t="s">
        <v>15</v>
      </c>
      <c r="C81">
        <v>15826</v>
      </c>
      <c r="D81">
        <v>82.4</v>
      </c>
      <c r="E81">
        <v>-0.44600000000000001</v>
      </c>
      <c r="F81">
        <v>20</v>
      </c>
      <c r="G81">
        <v>5001</v>
      </c>
    </row>
    <row r="82" spans="1:7">
      <c r="A82" t="s">
        <v>130</v>
      </c>
      <c r="B82" s="1" t="s">
        <v>16</v>
      </c>
      <c r="C82">
        <v>15660</v>
      </c>
      <c r="D82">
        <v>81.3</v>
      </c>
      <c r="E82">
        <v>-0.45700000000000002</v>
      </c>
      <c r="F82">
        <v>73</v>
      </c>
      <c r="G82">
        <v>4998</v>
      </c>
    </row>
    <row r="83" spans="1:7">
      <c r="A83" t="s">
        <v>130</v>
      </c>
      <c r="B83" s="1" t="s">
        <v>17</v>
      </c>
      <c r="C83">
        <v>15320</v>
      </c>
      <c r="D83">
        <v>80.8</v>
      </c>
      <c r="E83">
        <v>-0.46600000000000003</v>
      </c>
      <c r="F83">
        <v>20</v>
      </c>
      <c r="G83">
        <v>5003</v>
      </c>
    </row>
    <row r="84" spans="1:7">
      <c r="A84" t="s">
        <v>130</v>
      </c>
      <c r="B84" s="1" t="s">
        <v>18</v>
      </c>
      <c r="C84">
        <v>15033</v>
      </c>
      <c r="D84">
        <v>80.900000000000006</v>
      </c>
      <c r="E84">
        <v>-0.46200000000000002</v>
      </c>
      <c r="F84">
        <v>21</v>
      </c>
      <c r="G84">
        <v>5007</v>
      </c>
    </row>
    <row r="85" spans="1:7">
      <c r="A85" t="s">
        <v>130</v>
      </c>
      <c r="B85" s="1" t="s">
        <v>19</v>
      </c>
      <c r="C85">
        <v>11423</v>
      </c>
      <c r="D85">
        <v>79.8</v>
      </c>
      <c r="E85">
        <v>-0.44700000000000001</v>
      </c>
      <c r="F85">
        <v>69</v>
      </c>
      <c r="G85">
        <v>4992</v>
      </c>
    </row>
    <row r="86" spans="1:7">
      <c r="A86" t="s">
        <v>130</v>
      </c>
      <c r="B86" s="1" t="s">
        <v>20</v>
      </c>
      <c r="C86">
        <v>12720</v>
      </c>
      <c r="D86">
        <v>79.7</v>
      </c>
      <c r="E86">
        <v>-0.47299999999999998</v>
      </c>
      <c r="F86">
        <v>50</v>
      </c>
      <c r="G86">
        <v>5020</v>
      </c>
    </row>
    <row r="87" spans="1:7">
      <c r="A87" t="s">
        <v>130</v>
      </c>
      <c r="B87" s="1" t="s">
        <v>21</v>
      </c>
      <c r="C87">
        <v>11875</v>
      </c>
      <c r="D87">
        <v>78.599999999999994</v>
      </c>
      <c r="E87">
        <v>-0.48899999999999999</v>
      </c>
      <c r="F87">
        <v>68</v>
      </c>
      <c r="G87">
        <v>5010</v>
      </c>
    </row>
    <row r="88" spans="1:7">
      <c r="A88" t="s">
        <v>130</v>
      </c>
      <c r="B88" s="1" t="s">
        <v>22</v>
      </c>
      <c r="C88">
        <v>11861</v>
      </c>
      <c r="D88">
        <v>78.5</v>
      </c>
      <c r="E88">
        <v>-0.496</v>
      </c>
      <c r="F88">
        <v>23</v>
      </c>
      <c r="G88">
        <v>5006</v>
      </c>
    </row>
    <row r="89" spans="1:7">
      <c r="A89" t="s">
        <v>130</v>
      </c>
      <c r="B89" s="1" t="s">
        <v>23</v>
      </c>
      <c r="C89">
        <v>11601</v>
      </c>
      <c r="D89">
        <v>77.8</v>
      </c>
      <c r="E89">
        <v>-0.50700000000000001</v>
      </c>
      <c r="F89">
        <v>74</v>
      </c>
      <c r="G89">
        <v>4988</v>
      </c>
    </row>
    <row r="90" spans="1:7">
      <c r="A90" t="s">
        <v>130</v>
      </c>
      <c r="B90" s="1" t="s">
        <v>24</v>
      </c>
      <c r="C90">
        <v>12151</v>
      </c>
      <c r="D90">
        <v>78.2</v>
      </c>
      <c r="E90">
        <v>-0.49399999999999999</v>
      </c>
      <c r="F90">
        <v>188</v>
      </c>
      <c r="G90">
        <v>4983</v>
      </c>
    </row>
    <row r="91" spans="1:7">
      <c r="A91" t="s">
        <v>130</v>
      </c>
      <c r="B91" s="1" t="s">
        <v>25</v>
      </c>
      <c r="C91">
        <v>12329</v>
      </c>
      <c r="D91">
        <v>78.400000000000006</v>
      </c>
      <c r="E91">
        <v>-0.499</v>
      </c>
      <c r="F91">
        <v>42</v>
      </c>
      <c r="G91">
        <v>5006</v>
      </c>
    </row>
    <row r="92" spans="1:7">
      <c r="A92" t="s">
        <v>130</v>
      </c>
      <c r="B92" s="1" t="s">
        <v>26</v>
      </c>
      <c r="C92">
        <v>13231</v>
      </c>
      <c r="D92">
        <v>78.3</v>
      </c>
      <c r="E92">
        <v>-0.48899999999999999</v>
      </c>
      <c r="F92">
        <v>24</v>
      </c>
      <c r="G92">
        <v>5007</v>
      </c>
    </row>
    <row r="93" spans="1:7">
      <c r="A93" t="s">
        <v>130</v>
      </c>
      <c r="B93" s="1" t="s">
        <v>27</v>
      </c>
      <c r="C93">
        <v>11273</v>
      </c>
      <c r="D93">
        <v>76.599999999999994</v>
      </c>
      <c r="E93">
        <v>-0.52500000000000002</v>
      </c>
      <c r="F93">
        <v>66</v>
      </c>
      <c r="G93">
        <v>5017</v>
      </c>
    </row>
    <row r="94" spans="1:7">
      <c r="A94" t="s">
        <v>130</v>
      </c>
      <c r="B94" s="1" t="s">
        <v>28</v>
      </c>
      <c r="C94">
        <v>12490</v>
      </c>
      <c r="D94">
        <v>78</v>
      </c>
      <c r="E94">
        <v>-0.49199999999999999</v>
      </c>
      <c r="F94">
        <v>102</v>
      </c>
      <c r="G94">
        <v>4998</v>
      </c>
    </row>
    <row r="95" spans="1:7">
      <c r="A95" t="s">
        <v>130</v>
      </c>
      <c r="B95" s="1" t="s">
        <v>29</v>
      </c>
      <c r="C95">
        <v>13527</v>
      </c>
      <c r="D95">
        <v>79.5</v>
      </c>
      <c r="E95">
        <v>-0.47599999999999998</v>
      </c>
      <c r="F95">
        <v>67</v>
      </c>
      <c r="G95">
        <v>5010</v>
      </c>
    </row>
    <row r="96" spans="1:7">
      <c r="A96" t="s">
        <v>130</v>
      </c>
      <c r="B96" s="1" t="s">
        <v>30</v>
      </c>
      <c r="C96">
        <v>11707</v>
      </c>
      <c r="D96">
        <v>78.900000000000006</v>
      </c>
      <c r="E96">
        <v>-0.48499999999999999</v>
      </c>
      <c r="F96">
        <v>71</v>
      </c>
      <c r="G96">
        <v>4996</v>
      </c>
    </row>
    <row r="97" spans="1:7">
      <c r="A97" t="s">
        <v>130</v>
      </c>
      <c r="B97" s="1" t="s">
        <v>31</v>
      </c>
      <c r="C97">
        <v>5282</v>
      </c>
      <c r="D97">
        <v>78.599999999999994</v>
      </c>
      <c r="E97">
        <v>-0.503</v>
      </c>
      <c r="F97">
        <v>128</v>
      </c>
      <c r="G97">
        <v>5019</v>
      </c>
    </row>
    <row r="98" spans="1:7">
      <c r="A98" t="s">
        <v>131</v>
      </c>
      <c r="B98" s="1" t="s">
        <v>8</v>
      </c>
      <c r="C98">
        <v>4037</v>
      </c>
      <c r="D98">
        <v>78.8</v>
      </c>
      <c r="E98">
        <v>-0.49099999999999999</v>
      </c>
      <c r="F98">
        <v>93</v>
      </c>
      <c r="G98">
        <v>4992</v>
      </c>
    </row>
    <row r="99" spans="1:7">
      <c r="A99" t="s">
        <v>131</v>
      </c>
      <c r="B99" s="1" t="s">
        <v>9</v>
      </c>
      <c r="C99">
        <v>3980</v>
      </c>
      <c r="D99">
        <v>77.599999999999994</v>
      </c>
      <c r="E99">
        <v>-0.50900000000000001</v>
      </c>
      <c r="F99">
        <v>66</v>
      </c>
      <c r="G99">
        <v>5001</v>
      </c>
    </row>
    <row r="100" spans="1:7">
      <c r="A100" t="s">
        <v>131</v>
      </c>
      <c r="B100" s="1" t="s">
        <v>10</v>
      </c>
      <c r="C100">
        <v>3487</v>
      </c>
      <c r="D100">
        <v>78.900000000000006</v>
      </c>
      <c r="E100">
        <v>-0.495</v>
      </c>
      <c r="F100">
        <v>24</v>
      </c>
      <c r="G100">
        <v>4999</v>
      </c>
    </row>
    <row r="101" spans="1:7">
      <c r="A101" t="s">
        <v>131</v>
      </c>
      <c r="B101" s="1" t="s">
        <v>11</v>
      </c>
      <c r="C101">
        <v>5273</v>
      </c>
      <c r="D101">
        <v>80.5</v>
      </c>
      <c r="E101">
        <v>-0.46200000000000002</v>
      </c>
      <c r="F101">
        <v>63</v>
      </c>
      <c r="G101">
        <v>4979</v>
      </c>
    </row>
    <row r="102" spans="1:7">
      <c r="A102" t="s">
        <v>131</v>
      </c>
      <c r="B102" s="1" t="s">
        <v>12</v>
      </c>
      <c r="C102">
        <v>15779</v>
      </c>
      <c r="D102">
        <v>80</v>
      </c>
      <c r="E102">
        <v>-0.46</v>
      </c>
      <c r="F102">
        <v>25</v>
      </c>
      <c r="G102">
        <v>5011</v>
      </c>
    </row>
    <row r="103" spans="1:7">
      <c r="A103" t="s">
        <v>131</v>
      </c>
      <c r="B103" s="1" t="s">
        <v>13</v>
      </c>
      <c r="C103">
        <v>15547</v>
      </c>
      <c r="D103">
        <v>80.400000000000006</v>
      </c>
      <c r="E103">
        <v>-0.45400000000000001</v>
      </c>
      <c r="F103">
        <v>107</v>
      </c>
      <c r="G103">
        <v>4988</v>
      </c>
    </row>
    <row r="104" spans="1:7">
      <c r="A104" t="s">
        <v>131</v>
      </c>
      <c r="B104" s="1" t="s">
        <v>14</v>
      </c>
      <c r="C104">
        <v>13486</v>
      </c>
      <c r="D104">
        <v>78.099999999999994</v>
      </c>
      <c r="E104">
        <v>-0.48199999999999998</v>
      </c>
      <c r="F104">
        <v>29</v>
      </c>
      <c r="G104">
        <v>4996</v>
      </c>
    </row>
    <row r="105" spans="1:7">
      <c r="A105" t="s">
        <v>131</v>
      </c>
      <c r="B105" s="1" t="s">
        <v>15</v>
      </c>
      <c r="C105">
        <v>11578</v>
      </c>
      <c r="D105">
        <v>78.599999999999994</v>
      </c>
      <c r="E105">
        <v>-0.46800000000000003</v>
      </c>
      <c r="F105">
        <v>73</v>
      </c>
      <c r="G105">
        <v>4988</v>
      </c>
    </row>
    <row r="106" spans="1:7">
      <c r="A106" t="s">
        <v>131</v>
      </c>
      <c r="B106" s="1" t="s">
        <v>16</v>
      </c>
      <c r="C106">
        <v>11986</v>
      </c>
      <c r="D106">
        <v>78.599999999999994</v>
      </c>
      <c r="E106">
        <v>-0.47499999999999998</v>
      </c>
      <c r="F106">
        <v>82</v>
      </c>
      <c r="G106">
        <v>4999</v>
      </c>
    </row>
    <row r="107" spans="1:7">
      <c r="A107" t="s">
        <v>131</v>
      </c>
      <c r="B107" s="1" t="s">
        <v>17</v>
      </c>
      <c r="C107">
        <v>13069</v>
      </c>
      <c r="D107">
        <v>78.5</v>
      </c>
      <c r="E107">
        <v>-0.48499999999999999</v>
      </c>
      <c r="F107">
        <v>93</v>
      </c>
      <c r="G107">
        <v>5002</v>
      </c>
    </row>
    <row r="108" spans="1:7">
      <c r="A108" t="s">
        <v>131</v>
      </c>
      <c r="B108" s="1" t="s">
        <v>18</v>
      </c>
      <c r="C108">
        <v>12290</v>
      </c>
      <c r="D108">
        <v>78.099999999999994</v>
      </c>
      <c r="E108">
        <v>-0.49199999999999999</v>
      </c>
      <c r="F108">
        <v>24</v>
      </c>
      <c r="G108">
        <v>4999</v>
      </c>
    </row>
    <row r="109" spans="1:7">
      <c r="A109" t="s">
        <v>131</v>
      </c>
      <c r="B109" s="1" t="s">
        <v>19</v>
      </c>
      <c r="C109">
        <v>11784</v>
      </c>
      <c r="D109">
        <v>78.099999999999994</v>
      </c>
      <c r="E109">
        <v>-0.48699999999999999</v>
      </c>
      <c r="F109">
        <v>121</v>
      </c>
      <c r="G109">
        <v>5000</v>
      </c>
    </row>
    <row r="110" spans="1:7">
      <c r="A110" t="s">
        <v>131</v>
      </c>
      <c r="B110" s="1" t="s">
        <v>20</v>
      </c>
      <c r="C110">
        <v>12164</v>
      </c>
      <c r="D110">
        <v>78</v>
      </c>
      <c r="E110">
        <v>-0.48399999999999999</v>
      </c>
      <c r="F110">
        <v>53</v>
      </c>
      <c r="G110">
        <v>5011</v>
      </c>
    </row>
    <row r="111" spans="1:7">
      <c r="A111" t="s">
        <v>131</v>
      </c>
      <c r="B111" s="1" t="s">
        <v>21</v>
      </c>
      <c r="C111">
        <v>11060</v>
      </c>
      <c r="D111">
        <v>77.2</v>
      </c>
      <c r="E111">
        <v>-0.49199999999999999</v>
      </c>
      <c r="F111">
        <v>98</v>
      </c>
      <c r="G111">
        <v>4990</v>
      </c>
    </row>
    <row r="112" spans="1:7">
      <c r="A112" t="s">
        <v>131</v>
      </c>
      <c r="B112" s="1" t="s">
        <v>22</v>
      </c>
      <c r="C112">
        <v>9625</v>
      </c>
      <c r="D112">
        <v>76.7</v>
      </c>
      <c r="E112">
        <v>-0.51400000000000001</v>
      </c>
      <c r="F112">
        <v>85</v>
      </c>
      <c r="G112">
        <v>5012</v>
      </c>
    </row>
    <row r="113" spans="1:7">
      <c r="A113" t="s">
        <v>131</v>
      </c>
      <c r="B113" s="1" t="s">
        <v>23</v>
      </c>
      <c r="C113">
        <v>10546</v>
      </c>
      <c r="D113">
        <v>77.7</v>
      </c>
      <c r="E113">
        <v>-0.496</v>
      </c>
      <c r="F113">
        <v>27</v>
      </c>
      <c r="G113">
        <v>5009</v>
      </c>
    </row>
    <row r="114" spans="1:7">
      <c r="A114" t="s">
        <v>131</v>
      </c>
      <c r="B114" s="1" t="s">
        <v>24</v>
      </c>
      <c r="C114">
        <v>10944</v>
      </c>
      <c r="D114">
        <v>77.3</v>
      </c>
      <c r="E114">
        <v>-0.50600000000000001</v>
      </c>
      <c r="F114">
        <v>81</v>
      </c>
      <c r="G114">
        <v>4997</v>
      </c>
    </row>
    <row r="115" spans="1:7">
      <c r="A115" t="s">
        <v>131</v>
      </c>
      <c r="B115" s="1" t="s">
        <v>25</v>
      </c>
      <c r="C115">
        <v>12006</v>
      </c>
      <c r="D115">
        <v>77.8</v>
      </c>
      <c r="E115">
        <v>-0.495</v>
      </c>
      <c r="F115">
        <v>81</v>
      </c>
      <c r="G115">
        <v>4996</v>
      </c>
    </row>
    <row r="116" spans="1:7">
      <c r="A116" t="s">
        <v>131</v>
      </c>
      <c r="B116" s="1" t="s">
        <v>26</v>
      </c>
      <c r="C116">
        <v>11945</v>
      </c>
      <c r="D116">
        <v>77.7</v>
      </c>
      <c r="E116">
        <v>-0.49099999999999999</v>
      </c>
      <c r="F116">
        <v>28</v>
      </c>
      <c r="G116">
        <v>5002</v>
      </c>
    </row>
    <row r="117" spans="1:7">
      <c r="A117" t="s">
        <v>131</v>
      </c>
      <c r="B117" s="1" t="s">
        <v>27</v>
      </c>
      <c r="C117">
        <v>12690</v>
      </c>
      <c r="D117">
        <v>78.3</v>
      </c>
      <c r="E117">
        <v>-0.48399999999999999</v>
      </c>
      <c r="F117">
        <v>65</v>
      </c>
      <c r="G117">
        <v>5006</v>
      </c>
    </row>
    <row r="118" spans="1:7">
      <c r="A118" t="s">
        <v>131</v>
      </c>
      <c r="B118" s="1" t="s">
        <v>28</v>
      </c>
      <c r="C118">
        <v>12204</v>
      </c>
      <c r="D118">
        <v>78.3</v>
      </c>
      <c r="E118">
        <v>-0.48699999999999999</v>
      </c>
      <c r="F118">
        <v>71</v>
      </c>
      <c r="G118">
        <v>4996</v>
      </c>
    </row>
    <row r="119" spans="1:7">
      <c r="A119" t="s">
        <v>131</v>
      </c>
      <c r="B119" s="1" t="s">
        <v>29</v>
      </c>
      <c r="C119">
        <v>11585</v>
      </c>
      <c r="D119">
        <v>77.8</v>
      </c>
      <c r="E119">
        <v>-0.49399999999999999</v>
      </c>
      <c r="F119">
        <v>63</v>
      </c>
      <c r="G119">
        <v>4998</v>
      </c>
    </row>
    <row r="120" spans="1:7">
      <c r="A120" t="s">
        <v>131</v>
      </c>
      <c r="B120" s="1" t="s">
        <v>30</v>
      </c>
      <c r="C120">
        <v>10375</v>
      </c>
      <c r="D120">
        <v>78</v>
      </c>
      <c r="E120">
        <v>-0.48699999999999999</v>
      </c>
      <c r="F120">
        <v>114</v>
      </c>
      <c r="G120">
        <v>5000</v>
      </c>
    </row>
    <row r="121" spans="1:7">
      <c r="A121" t="s">
        <v>131</v>
      </c>
      <c r="B121" s="1" t="s">
        <v>31</v>
      </c>
      <c r="C121">
        <v>5097</v>
      </c>
      <c r="D121">
        <v>77.900000000000006</v>
      </c>
      <c r="E121">
        <v>-0.50600000000000001</v>
      </c>
      <c r="F121">
        <v>144</v>
      </c>
      <c r="G121">
        <v>4998</v>
      </c>
    </row>
    <row r="122" spans="1:7">
      <c r="A122" t="s">
        <v>132</v>
      </c>
      <c r="B122" s="1" t="s">
        <v>8</v>
      </c>
      <c r="C122">
        <v>1763</v>
      </c>
      <c r="D122">
        <v>78.099999999999994</v>
      </c>
      <c r="E122">
        <v>-0.503</v>
      </c>
      <c r="F122">
        <v>21</v>
      </c>
      <c r="G122">
        <v>4996</v>
      </c>
    </row>
    <row r="123" spans="1:7">
      <c r="A123" t="s">
        <v>132</v>
      </c>
      <c r="B123" s="1" t="s">
        <v>9</v>
      </c>
      <c r="C123">
        <v>1932</v>
      </c>
      <c r="D123">
        <v>78</v>
      </c>
      <c r="E123">
        <v>-0.50700000000000001</v>
      </c>
      <c r="F123">
        <v>26</v>
      </c>
      <c r="G123">
        <v>5003</v>
      </c>
    </row>
    <row r="124" spans="1:7">
      <c r="A124" t="s">
        <v>132</v>
      </c>
      <c r="B124" s="1" t="s">
        <v>10</v>
      </c>
      <c r="C124">
        <v>2688</v>
      </c>
      <c r="D124">
        <v>79.7</v>
      </c>
      <c r="E124">
        <v>-0.48799999999999999</v>
      </c>
      <c r="F124">
        <v>88</v>
      </c>
      <c r="G124">
        <v>4989</v>
      </c>
    </row>
    <row r="125" spans="1:7">
      <c r="A125" t="s">
        <v>132</v>
      </c>
      <c r="B125" s="1" t="s">
        <v>11</v>
      </c>
      <c r="C125">
        <v>2550</v>
      </c>
      <c r="D125">
        <v>80.3</v>
      </c>
      <c r="E125">
        <v>-0.47599999999999998</v>
      </c>
      <c r="F125">
        <v>23</v>
      </c>
      <c r="G125">
        <v>4991</v>
      </c>
    </row>
    <row r="126" spans="1:7">
      <c r="A126" t="s">
        <v>132</v>
      </c>
      <c r="B126" s="1" t="s">
        <v>12</v>
      </c>
      <c r="C126">
        <v>14674</v>
      </c>
      <c r="D126">
        <v>81.3</v>
      </c>
      <c r="E126">
        <v>-0.438</v>
      </c>
      <c r="F126">
        <v>24</v>
      </c>
      <c r="G126">
        <v>4995</v>
      </c>
    </row>
    <row r="127" spans="1:7">
      <c r="A127" t="s">
        <v>132</v>
      </c>
      <c r="B127" s="1" t="s">
        <v>13</v>
      </c>
      <c r="C127">
        <v>15642</v>
      </c>
      <c r="D127">
        <v>81.099999999999994</v>
      </c>
      <c r="E127">
        <v>-0.45</v>
      </c>
      <c r="F127">
        <v>24</v>
      </c>
      <c r="G127">
        <v>5016</v>
      </c>
    </row>
    <row r="128" spans="1:7">
      <c r="A128" t="s">
        <v>132</v>
      </c>
      <c r="B128" s="1" t="s">
        <v>14</v>
      </c>
      <c r="C128">
        <v>15599</v>
      </c>
      <c r="D128">
        <v>79.400000000000006</v>
      </c>
      <c r="E128">
        <v>-0.48899999999999999</v>
      </c>
      <c r="F128">
        <v>79</v>
      </c>
      <c r="G128">
        <v>5000</v>
      </c>
    </row>
    <row r="129" spans="1:7">
      <c r="A129" t="s">
        <v>132</v>
      </c>
      <c r="B129" s="1" t="s">
        <v>15</v>
      </c>
      <c r="C129">
        <v>15322</v>
      </c>
      <c r="D129">
        <v>79.099999999999994</v>
      </c>
      <c r="E129">
        <v>-0.48</v>
      </c>
      <c r="F129">
        <v>93</v>
      </c>
      <c r="G129">
        <v>4988</v>
      </c>
    </row>
    <row r="130" spans="1:7">
      <c r="A130" t="s">
        <v>132</v>
      </c>
      <c r="B130" s="1" t="s">
        <v>16</v>
      </c>
      <c r="C130">
        <v>11870</v>
      </c>
      <c r="D130">
        <v>79.2</v>
      </c>
      <c r="E130">
        <v>-0.48299999999999998</v>
      </c>
      <c r="F130">
        <v>82</v>
      </c>
      <c r="G130">
        <v>5007</v>
      </c>
    </row>
    <row r="131" spans="1:7">
      <c r="A131" t="s">
        <v>132</v>
      </c>
      <c r="B131" s="1" t="s">
        <v>17</v>
      </c>
      <c r="C131">
        <v>12077</v>
      </c>
      <c r="D131">
        <v>78.400000000000006</v>
      </c>
      <c r="E131">
        <v>-0.48799999999999999</v>
      </c>
      <c r="F131">
        <v>36</v>
      </c>
      <c r="G131">
        <v>5002</v>
      </c>
    </row>
    <row r="132" spans="1:7">
      <c r="A132" t="s">
        <v>132</v>
      </c>
      <c r="B132" s="1" t="s">
        <v>18</v>
      </c>
      <c r="C132">
        <v>13208</v>
      </c>
      <c r="D132">
        <v>78.7</v>
      </c>
      <c r="E132">
        <v>-0.49199999999999999</v>
      </c>
      <c r="F132">
        <v>103</v>
      </c>
      <c r="G132">
        <v>4992</v>
      </c>
    </row>
    <row r="133" spans="1:7">
      <c r="A133" t="s">
        <v>132</v>
      </c>
      <c r="B133" s="1" t="s">
        <v>19</v>
      </c>
      <c r="C133">
        <v>13092</v>
      </c>
      <c r="D133">
        <v>78.099999999999994</v>
      </c>
      <c r="E133">
        <v>-0.49199999999999999</v>
      </c>
      <c r="F133">
        <v>210</v>
      </c>
      <c r="G133">
        <v>4986</v>
      </c>
    </row>
    <row r="134" spans="1:7">
      <c r="A134" t="s">
        <v>132</v>
      </c>
      <c r="B134" s="1" t="s">
        <v>20</v>
      </c>
      <c r="C134">
        <v>12488</v>
      </c>
      <c r="D134">
        <v>78</v>
      </c>
      <c r="E134">
        <v>-0.499</v>
      </c>
      <c r="F134">
        <v>67</v>
      </c>
      <c r="G134">
        <v>5000</v>
      </c>
    </row>
    <row r="135" spans="1:7">
      <c r="A135" t="s">
        <v>132</v>
      </c>
      <c r="B135" s="1" t="s">
        <v>21</v>
      </c>
      <c r="C135">
        <v>12401</v>
      </c>
      <c r="D135">
        <v>78.099999999999994</v>
      </c>
      <c r="E135">
        <v>-0.497</v>
      </c>
      <c r="F135">
        <v>79</v>
      </c>
      <c r="G135">
        <v>5007</v>
      </c>
    </row>
    <row r="136" spans="1:7">
      <c r="A136" t="s">
        <v>132</v>
      </c>
      <c r="B136" s="1" t="s">
        <v>22</v>
      </c>
      <c r="C136">
        <v>11493</v>
      </c>
      <c r="D136">
        <v>77.900000000000006</v>
      </c>
      <c r="E136">
        <v>-0.502</v>
      </c>
      <c r="F136">
        <v>35</v>
      </c>
      <c r="G136">
        <v>5000</v>
      </c>
    </row>
    <row r="137" spans="1:7">
      <c r="A137" t="s">
        <v>132</v>
      </c>
      <c r="B137" s="1" t="s">
        <v>23</v>
      </c>
      <c r="C137">
        <v>12015</v>
      </c>
      <c r="D137">
        <v>77.900000000000006</v>
      </c>
      <c r="E137">
        <v>-0.501</v>
      </c>
      <c r="F137">
        <v>44</v>
      </c>
      <c r="G137">
        <v>5002</v>
      </c>
    </row>
    <row r="138" spans="1:7">
      <c r="A138" t="s">
        <v>132</v>
      </c>
      <c r="B138" s="1" t="s">
        <v>24</v>
      </c>
      <c r="C138">
        <v>12149</v>
      </c>
      <c r="D138">
        <v>78.7</v>
      </c>
      <c r="E138">
        <v>-0.48499999999999999</v>
      </c>
      <c r="F138">
        <v>96</v>
      </c>
      <c r="G138">
        <v>5006</v>
      </c>
    </row>
    <row r="139" spans="1:7">
      <c r="A139" t="s">
        <v>132</v>
      </c>
      <c r="B139" s="1" t="s">
        <v>25</v>
      </c>
      <c r="C139">
        <v>12617</v>
      </c>
      <c r="D139">
        <v>78.7</v>
      </c>
      <c r="E139">
        <v>-0.48499999999999999</v>
      </c>
      <c r="F139">
        <v>30</v>
      </c>
      <c r="G139">
        <v>5008</v>
      </c>
    </row>
    <row r="140" spans="1:7">
      <c r="A140" t="s">
        <v>132</v>
      </c>
      <c r="B140" s="1" t="s">
        <v>26</v>
      </c>
      <c r="C140">
        <v>13057</v>
      </c>
      <c r="D140">
        <v>79.5</v>
      </c>
      <c r="E140">
        <v>-0.47099999999999997</v>
      </c>
      <c r="F140">
        <v>24</v>
      </c>
      <c r="G140">
        <v>4992</v>
      </c>
    </row>
    <row r="141" spans="1:7">
      <c r="A141" t="s">
        <v>132</v>
      </c>
      <c r="B141" s="1" t="s">
        <v>27</v>
      </c>
      <c r="C141">
        <v>12490</v>
      </c>
      <c r="D141">
        <v>79.099999999999994</v>
      </c>
      <c r="E141">
        <v>-0.47599999999999998</v>
      </c>
      <c r="F141">
        <v>81</v>
      </c>
      <c r="G141">
        <v>4994</v>
      </c>
    </row>
    <row r="142" spans="1:7">
      <c r="A142" t="s">
        <v>132</v>
      </c>
      <c r="B142" s="1" t="s">
        <v>28</v>
      </c>
      <c r="C142">
        <v>12293</v>
      </c>
      <c r="D142">
        <v>79.400000000000006</v>
      </c>
      <c r="E142">
        <v>-0.47299999999999998</v>
      </c>
      <c r="F142">
        <v>27</v>
      </c>
      <c r="G142">
        <v>4988</v>
      </c>
    </row>
    <row r="143" spans="1:7">
      <c r="A143" t="s">
        <v>132</v>
      </c>
      <c r="B143" s="1" t="s">
        <v>29</v>
      </c>
      <c r="C143">
        <v>12322</v>
      </c>
      <c r="D143">
        <v>79.3</v>
      </c>
      <c r="E143">
        <v>-0.48</v>
      </c>
      <c r="F143">
        <v>62</v>
      </c>
      <c r="G143">
        <v>5000</v>
      </c>
    </row>
    <row r="144" spans="1:7">
      <c r="A144" t="s">
        <v>132</v>
      </c>
      <c r="B144" s="1" t="s">
        <v>30</v>
      </c>
      <c r="C144">
        <v>11092</v>
      </c>
      <c r="D144">
        <v>79.099999999999994</v>
      </c>
      <c r="E144">
        <v>-0.48099999999999998</v>
      </c>
      <c r="F144">
        <v>25</v>
      </c>
      <c r="G144">
        <v>5000</v>
      </c>
    </row>
    <row r="145" spans="1:7">
      <c r="A145" t="s">
        <v>132</v>
      </c>
      <c r="B145" s="1" t="s">
        <v>31</v>
      </c>
      <c r="C145">
        <v>4989</v>
      </c>
      <c r="D145">
        <v>79.400000000000006</v>
      </c>
      <c r="E145">
        <v>-0.48499999999999999</v>
      </c>
      <c r="F145">
        <v>76</v>
      </c>
      <c r="G145">
        <v>4985</v>
      </c>
    </row>
    <row r="146" spans="1:7">
      <c r="A146" t="s">
        <v>133</v>
      </c>
      <c r="B146" s="1" t="s">
        <v>8</v>
      </c>
      <c r="C146">
        <v>4574</v>
      </c>
      <c r="D146">
        <v>79.5</v>
      </c>
      <c r="E146">
        <v>-0.495</v>
      </c>
      <c r="F146">
        <v>87</v>
      </c>
      <c r="G146">
        <v>5010</v>
      </c>
    </row>
    <row r="147" spans="1:7">
      <c r="A147" t="s">
        <v>133</v>
      </c>
      <c r="B147" s="1" t="s">
        <v>9</v>
      </c>
      <c r="C147">
        <v>5984</v>
      </c>
      <c r="D147">
        <v>79.5</v>
      </c>
      <c r="E147">
        <v>-0.503</v>
      </c>
      <c r="F147">
        <v>58</v>
      </c>
      <c r="G147">
        <v>5001</v>
      </c>
    </row>
    <row r="148" spans="1:7">
      <c r="A148" t="s">
        <v>133</v>
      </c>
      <c r="B148" s="1" t="s">
        <v>10</v>
      </c>
      <c r="C148">
        <v>5872</v>
      </c>
      <c r="D148">
        <v>80.400000000000006</v>
      </c>
      <c r="E148">
        <v>-0.47199999999999998</v>
      </c>
      <c r="F148">
        <v>85</v>
      </c>
      <c r="G148">
        <v>4998</v>
      </c>
    </row>
    <row r="149" spans="1:7">
      <c r="A149" t="s">
        <v>133</v>
      </c>
      <c r="B149" s="1" t="s">
        <v>11</v>
      </c>
      <c r="C149">
        <v>7122</v>
      </c>
      <c r="D149">
        <v>82.4</v>
      </c>
      <c r="E149">
        <v>-0.437</v>
      </c>
      <c r="F149">
        <v>80</v>
      </c>
      <c r="G149">
        <v>5014</v>
      </c>
    </row>
    <row r="150" spans="1:7">
      <c r="A150" t="s">
        <v>133</v>
      </c>
      <c r="B150" s="1" t="s">
        <v>12</v>
      </c>
      <c r="C150">
        <v>16196</v>
      </c>
      <c r="D150">
        <v>82.2</v>
      </c>
      <c r="E150">
        <v>-0.438</v>
      </c>
      <c r="F150">
        <v>51</v>
      </c>
      <c r="G150">
        <v>5016</v>
      </c>
    </row>
    <row r="151" spans="1:7">
      <c r="A151" t="s">
        <v>133</v>
      </c>
      <c r="B151" s="1" t="s">
        <v>13</v>
      </c>
      <c r="C151">
        <v>15940</v>
      </c>
      <c r="D151">
        <v>82.4</v>
      </c>
      <c r="E151">
        <v>-0.436</v>
      </c>
      <c r="F151">
        <v>50</v>
      </c>
      <c r="G151">
        <v>5010</v>
      </c>
    </row>
    <row r="152" spans="1:7">
      <c r="A152" t="s">
        <v>133</v>
      </c>
      <c r="B152" s="1" t="s">
        <v>14</v>
      </c>
      <c r="C152">
        <v>13170</v>
      </c>
      <c r="D152">
        <v>79.5</v>
      </c>
      <c r="E152">
        <v>-0.47599999999999998</v>
      </c>
      <c r="F152">
        <v>165</v>
      </c>
      <c r="G152">
        <v>5007</v>
      </c>
    </row>
    <row r="153" spans="1:7">
      <c r="A153" t="s">
        <v>133</v>
      </c>
      <c r="B153" s="1" t="s">
        <v>15</v>
      </c>
      <c r="C153">
        <v>10746</v>
      </c>
      <c r="D153">
        <v>78</v>
      </c>
      <c r="E153">
        <v>-0.502</v>
      </c>
      <c r="F153">
        <v>30</v>
      </c>
      <c r="G153">
        <v>5008</v>
      </c>
    </row>
    <row r="154" spans="1:7">
      <c r="A154" t="s">
        <v>133</v>
      </c>
      <c r="B154" s="1" t="s">
        <v>16</v>
      </c>
      <c r="C154">
        <v>10076</v>
      </c>
      <c r="D154">
        <v>77.2</v>
      </c>
      <c r="E154">
        <v>-0.50900000000000001</v>
      </c>
      <c r="F154">
        <v>26</v>
      </c>
      <c r="G154">
        <v>4979</v>
      </c>
    </row>
    <row r="155" spans="1:7">
      <c r="A155" t="s">
        <v>133</v>
      </c>
      <c r="B155" s="1" t="s">
        <v>17</v>
      </c>
      <c r="C155">
        <v>13501</v>
      </c>
      <c r="D155">
        <v>79.2</v>
      </c>
      <c r="E155">
        <v>-0.49399999999999999</v>
      </c>
      <c r="F155">
        <v>133</v>
      </c>
      <c r="G155">
        <v>5019</v>
      </c>
    </row>
    <row r="156" spans="1:7">
      <c r="A156" t="s">
        <v>133</v>
      </c>
      <c r="B156" s="1" t="s">
        <v>18</v>
      </c>
      <c r="C156">
        <v>13471</v>
      </c>
      <c r="D156">
        <v>78.900000000000006</v>
      </c>
      <c r="E156">
        <v>-0.48199999999999998</v>
      </c>
      <c r="F156">
        <v>90</v>
      </c>
      <c r="G156">
        <v>5000</v>
      </c>
    </row>
    <row r="157" spans="1:7">
      <c r="A157" t="s">
        <v>133</v>
      </c>
      <c r="B157" s="1" t="s">
        <v>19</v>
      </c>
      <c r="C157">
        <v>13105</v>
      </c>
      <c r="D157">
        <v>79.3</v>
      </c>
      <c r="E157">
        <v>-0.48199999999999998</v>
      </c>
      <c r="F157">
        <v>46</v>
      </c>
      <c r="G157">
        <v>5007</v>
      </c>
    </row>
    <row r="158" spans="1:7">
      <c r="A158" t="s">
        <v>133</v>
      </c>
      <c r="B158" s="1" t="s">
        <v>20</v>
      </c>
      <c r="C158">
        <v>13085</v>
      </c>
      <c r="D158">
        <v>79.2</v>
      </c>
      <c r="E158">
        <v>-0.48799999999999999</v>
      </c>
      <c r="F158">
        <v>38</v>
      </c>
      <c r="G158">
        <v>4998</v>
      </c>
    </row>
    <row r="159" spans="1:7">
      <c r="A159" t="s">
        <v>133</v>
      </c>
      <c r="B159" s="1" t="s">
        <v>21</v>
      </c>
      <c r="C159">
        <v>12821</v>
      </c>
      <c r="D159">
        <v>78.5</v>
      </c>
      <c r="E159">
        <v>-0.49099999999999999</v>
      </c>
      <c r="F159">
        <v>98</v>
      </c>
      <c r="G159">
        <v>4997</v>
      </c>
    </row>
    <row r="160" spans="1:7">
      <c r="A160" t="s">
        <v>133</v>
      </c>
      <c r="B160" s="1" t="s">
        <v>22</v>
      </c>
      <c r="C160">
        <v>12793</v>
      </c>
      <c r="D160">
        <v>78.400000000000006</v>
      </c>
      <c r="E160">
        <v>-0.48699999999999999</v>
      </c>
      <c r="F160">
        <v>103</v>
      </c>
      <c r="G160">
        <v>5006</v>
      </c>
    </row>
    <row r="161" spans="1:7">
      <c r="A161" t="s">
        <v>133</v>
      </c>
      <c r="B161" s="1" t="s">
        <v>23</v>
      </c>
      <c r="C161">
        <v>12413</v>
      </c>
      <c r="D161">
        <v>78</v>
      </c>
      <c r="E161">
        <v>-0.495</v>
      </c>
      <c r="F161">
        <v>24</v>
      </c>
      <c r="G161">
        <v>5021</v>
      </c>
    </row>
    <row r="162" spans="1:7">
      <c r="A162" t="s">
        <v>133</v>
      </c>
      <c r="B162" s="1" t="s">
        <v>24</v>
      </c>
      <c r="C162">
        <v>12563</v>
      </c>
      <c r="D162">
        <v>78.5</v>
      </c>
      <c r="E162">
        <v>-0.49199999999999999</v>
      </c>
      <c r="F162">
        <v>146</v>
      </c>
      <c r="G162">
        <v>4994</v>
      </c>
    </row>
    <row r="163" spans="1:7">
      <c r="A163" t="s">
        <v>133</v>
      </c>
      <c r="B163" s="1" t="s">
        <v>25</v>
      </c>
      <c r="C163">
        <v>13355</v>
      </c>
      <c r="D163">
        <v>79</v>
      </c>
      <c r="E163">
        <v>-0.48199999999999998</v>
      </c>
      <c r="F163">
        <v>25</v>
      </c>
      <c r="G163">
        <v>5002</v>
      </c>
    </row>
    <row r="164" spans="1:7">
      <c r="A164" t="s">
        <v>133</v>
      </c>
      <c r="B164" s="1" t="s">
        <v>26</v>
      </c>
      <c r="C164">
        <v>12946</v>
      </c>
      <c r="D164">
        <v>78.5</v>
      </c>
      <c r="E164">
        <v>-0.49099999999999999</v>
      </c>
      <c r="F164">
        <v>25</v>
      </c>
      <c r="G164">
        <v>4998</v>
      </c>
    </row>
    <row r="165" spans="1:7">
      <c r="A165" t="s">
        <v>133</v>
      </c>
      <c r="B165" s="1" t="s">
        <v>27</v>
      </c>
      <c r="C165">
        <v>12848</v>
      </c>
      <c r="D165">
        <v>78.599999999999994</v>
      </c>
      <c r="E165">
        <v>-0.48399999999999999</v>
      </c>
      <c r="F165">
        <v>106</v>
      </c>
      <c r="G165">
        <v>4995</v>
      </c>
    </row>
    <row r="166" spans="1:7">
      <c r="A166" t="s">
        <v>133</v>
      </c>
      <c r="B166" s="1" t="s">
        <v>28</v>
      </c>
      <c r="C166">
        <v>13645</v>
      </c>
      <c r="D166">
        <v>78.7</v>
      </c>
      <c r="E166">
        <v>-0.48799999999999999</v>
      </c>
      <c r="F166">
        <v>74</v>
      </c>
      <c r="G166">
        <v>5008</v>
      </c>
    </row>
    <row r="167" spans="1:7">
      <c r="A167" t="s">
        <v>133</v>
      </c>
      <c r="B167" s="1" t="s">
        <v>29</v>
      </c>
      <c r="C167">
        <v>14937</v>
      </c>
      <c r="D167">
        <v>80.2</v>
      </c>
      <c r="E167">
        <v>-0.47399999999999998</v>
      </c>
      <c r="F167">
        <v>24</v>
      </c>
      <c r="G167">
        <v>5013</v>
      </c>
    </row>
    <row r="168" spans="1:7">
      <c r="A168" t="s">
        <v>133</v>
      </c>
      <c r="B168" s="1" t="s">
        <v>30</v>
      </c>
      <c r="C168">
        <v>9990</v>
      </c>
      <c r="D168">
        <v>76.8</v>
      </c>
      <c r="E168">
        <v>-0.52600000000000002</v>
      </c>
      <c r="F168">
        <v>37</v>
      </c>
      <c r="G168">
        <v>5016</v>
      </c>
    </row>
    <row r="169" spans="1:7">
      <c r="A169" t="s">
        <v>133</v>
      </c>
      <c r="B169" s="1" t="s">
        <v>31</v>
      </c>
      <c r="C169">
        <v>5304</v>
      </c>
      <c r="D169">
        <v>78.2</v>
      </c>
      <c r="E169">
        <v>-0.49399999999999999</v>
      </c>
      <c r="F169">
        <v>187</v>
      </c>
      <c r="G169">
        <v>5008</v>
      </c>
    </row>
    <row r="170" spans="1:7">
      <c r="A170" t="s">
        <v>134</v>
      </c>
      <c r="B170" s="1" t="s">
        <v>8</v>
      </c>
      <c r="C170">
        <v>4176</v>
      </c>
      <c r="D170">
        <v>79</v>
      </c>
      <c r="E170">
        <v>-0.498</v>
      </c>
      <c r="F170">
        <v>91</v>
      </c>
      <c r="G170">
        <v>5000</v>
      </c>
    </row>
    <row r="171" spans="1:7">
      <c r="A171" t="s">
        <v>134</v>
      </c>
      <c r="B171" s="1" t="s">
        <v>9</v>
      </c>
      <c r="C171">
        <v>5464</v>
      </c>
      <c r="D171">
        <v>78.5</v>
      </c>
      <c r="E171">
        <v>-0.5</v>
      </c>
      <c r="F171">
        <v>66</v>
      </c>
      <c r="G171">
        <v>4999</v>
      </c>
    </row>
    <row r="172" spans="1:7">
      <c r="A172" t="s">
        <v>134</v>
      </c>
      <c r="B172" s="1" t="s">
        <v>10</v>
      </c>
      <c r="C172">
        <v>5968</v>
      </c>
      <c r="D172">
        <v>79.5</v>
      </c>
      <c r="E172">
        <v>-0.48</v>
      </c>
      <c r="F172">
        <v>74</v>
      </c>
      <c r="G172">
        <v>5002</v>
      </c>
    </row>
    <row r="173" spans="1:7">
      <c r="A173" t="s">
        <v>134</v>
      </c>
      <c r="B173" s="1" t="s">
        <v>11</v>
      </c>
      <c r="C173">
        <v>6657</v>
      </c>
      <c r="D173">
        <v>81.3</v>
      </c>
      <c r="E173">
        <v>-0.45500000000000002</v>
      </c>
      <c r="F173">
        <v>109</v>
      </c>
      <c r="G173">
        <v>5008</v>
      </c>
    </row>
    <row r="174" spans="1:7">
      <c r="A174" t="s">
        <v>134</v>
      </c>
      <c r="B174" s="1" t="s">
        <v>12</v>
      </c>
      <c r="C174">
        <v>16188</v>
      </c>
      <c r="D174">
        <v>81.5</v>
      </c>
      <c r="E174">
        <v>-0.45400000000000001</v>
      </c>
      <c r="F174">
        <v>20</v>
      </c>
      <c r="G174">
        <v>5011</v>
      </c>
    </row>
    <row r="175" spans="1:7">
      <c r="A175" t="s">
        <v>134</v>
      </c>
      <c r="B175" s="1" t="s">
        <v>13</v>
      </c>
      <c r="C175">
        <v>16540</v>
      </c>
      <c r="D175">
        <v>81.3</v>
      </c>
      <c r="E175">
        <v>-0.45400000000000001</v>
      </c>
      <c r="F175">
        <v>140</v>
      </c>
      <c r="G175">
        <v>5017</v>
      </c>
    </row>
    <row r="176" spans="1:7">
      <c r="A176" t="s">
        <v>134</v>
      </c>
      <c r="B176" s="1" t="s">
        <v>14</v>
      </c>
      <c r="C176">
        <v>12302</v>
      </c>
      <c r="D176">
        <v>78.099999999999994</v>
      </c>
      <c r="E176">
        <v>-0.49399999999999999</v>
      </c>
      <c r="F176">
        <v>42</v>
      </c>
      <c r="G176">
        <v>4996</v>
      </c>
    </row>
    <row r="177" spans="1:7">
      <c r="A177" t="s">
        <v>134</v>
      </c>
      <c r="B177" s="1" t="s">
        <v>15</v>
      </c>
      <c r="C177">
        <v>11913</v>
      </c>
      <c r="D177">
        <v>78.3</v>
      </c>
      <c r="E177">
        <v>-0.48899999999999999</v>
      </c>
      <c r="F177">
        <v>50</v>
      </c>
      <c r="G177">
        <v>5014</v>
      </c>
    </row>
    <row r="178" spans="1:7">
      <c r="A178" t="s">
        <v>134</v>
      </c>
      <c r="B178" s="1" t="s">
        <v>16</v>
      </c>
      <c r="C178">
        <v>12008</v>
      </c>
      <c r="D178">
        <v>78.599999999999994</v>
      </c>
      <c r="E178">
        <v>-0.48299999999999998</v>
      </c>
      <c r="F178">
        <v>82</v>
      </c>
      <c r="G178">
        <v>5006</v>
      </c>
    </row>
    <row r="179" spans="1:7">
      <c r="A179" t="s">
        <v>134</v>
      </c>
      <c r="B179" s="1" t="s">
        <v>17</v>
      </c>
      <c r="C179">
        <v>12794</v>
      </c>
      <c r="D179">
        <v>78</v>
      </c>
      <c r="E179">
        <v>-0.49099999999999999</v>
      </c>
      <c r="F179">
        <v>51</v>
      </c>
      <c r="G179">
        <v>4993</v>
      </c>
    </row>
    <row r="180" spans="1:7">
      <c r="A180" t="s">
        <v>134</v>
      </c>
      <c r="B180" s="1" t="s">
        <v>18</v>
      </c>
      <c r="C180">
        <v>12727</v>
      </c>
      <c r="D180">
        <v>78.3</v>
      </c>
      <c r="E180">
        <v>-0.49199999999999999</v>
      </c>
      <c r="F180">
        <v>158</v>
      </c>
      <c r="G180">
        <v>4996</v>
      </c>
    </row>
    <row r="181" spans="1:7">
      <c r="A181" t="s">
        <v>134</v>
      </c>
      <c r="B181" s="1" t="s">
        <v>19</v>
      </c>
      <c r="C181">
        <v>13232</v>
      </c>
      <c r="D181">
        <v>78.5</v>
      </c>
      <c r="E181">
        <v>-0.48699999999999999</v>
      </c>
      <c r="F181">
        <v>64</v>
      </c>
      <c r="G181">
        <v>5000</v>
      </c>
    </row>
    <row r="182" spans="1:7">
      <c r="A182" t="s">
        <v>134</v>
      </c>
      <c r="B182" s="1" t="s">
        <v>20</v>
      </c>
      <c r="C182">
        <v>13057</v>
      </c>
      <c r="D182">
        <v>77.900000000000006</v>
      </c>
      <c r="E182">
        <v>-0.499</v>
      </c>
      <c r="F182">
        <v>179</v>
      </c>
      <c r="G182">
        <v>5012</v>
      </c>
    </row>
    <row r="183" spans="1:7">
      <c r="A183" t="s">
        <v>134</v>
      </c>
      <c r="B183" s="1" t="s">
        <v>21</v>
      </c>
      <c r="C183">
        <v>13253</v>
      </c>
      <c r="D183">
        <v>78</v>
      </c>
      <c r="E183">
        <v>-0.49099999999999999</v>
      </c>
      <c r="F183">
        <v>84</v>
      </c>
      <c r="G183">
        <v>5002</v>
      </c>
    </row>
    <row r="184" spans="1:7">
      <c r="A184" t="s">
        <v>134</v>
      </c>
      <c r="B184" s="1" t="s">
        <v>22</v>
      </c>
      <c r="C184">
        <v>12918</v>
      </c>
      <c r="D184">
        <v>78.3</v>
      </c>
      <c r="E184">
        <v>-0.49099999999999999</v>
      </c>
      <c r="F184">
        <v>71</v>
      </c>
      <c r="G184">
        <v>4993</v>
      </c>
    </row>
    <row r="185" spans="1:7">
      <c r="A185" t="s">
        <v>134</v>
      </c>
      <c r="B185" s="1" t="s">
        <v>23</v>
      </c>
      <c r="C185">
        <v>12979</v>
      </c>
      <c r="D185">
        <v>78.400000000000006</v>
      </c>
      <c r="E185">
        <v>-0.48799999999999999</v>
      </c>
      <c r="F185">
        <v>115</v>
      </c>
      <c r="G185">
        <v>5011</v>
      </c>
    </row>
    <row r="186" spans="1:7">
      <c r="A186" t="s">
        <v>134</v>
      </c>
      <c r="B186" s="1" t="s">
        <v>24</v>
      </c>
      <c r="C186">
        <v>12743</v>
      </c>
      <c r="D186">
        <v>78.2</v>
      </c>
      <c r="E186">
        <v>-0.49199999999999999</v>
      </c>
      <c r="F186">
        <v>65</v>
      </c>
      <c r="G186">
        <v>5002</v>
      </c>
    </row>
    <row r="187" spans="1:7">
      <c r="A187" t="s">
        <v>134</v>
      </c>
      <c r="B187" s="1" t="s">
        <v>25</v>
      </c>
      <c r="C187">
        <v>12749</v>
      </c>
      <c r="D187">
        <v>78.2</v>
      </c>
      <c r="E187">
        <v>-0.49399999999999999</v>
      </c>
      <c r="F187">
        <v>136</v>
      </c>
      <c r="G187">
        <v>4970</v>
      </c>
    </row>
    <row r="188" spans="1:7">
      <c r="A188" t="s">
        <v>134</v>
      </c>
      <c r="B188" s="1" t="s">
        <v>26</v>
      </c>
      <c r="C188">
        <v>13468</v>
      </c>
      <c r="D188">
        <v>78.400000000000006</v>
      </c>
      <c r="E188">
        <v>-0.48299999999999998</v>
      </c>
      <c r="F188">
        <v>236</v>
      </c>
      <c r="G188">
        <v>5011</v>
      </c>
    </row>
    <row r="189" spans="1:7">
      <c r="A189" t="s">
        <v>134</v>
      </c>
      <c r="B189" s="1" t="s">
        <v>27</v>
      </c>
      <c r="C189">
        <v>13280</v>
      </c>
      <c r="D189">
        <v>78</v>
      </c>
      <c r="E189">
        <v>-0.48299999999999998</v>
      </c>
      <c r="F189">
        <v>77</v>
      </c>
      <c r="G189">
        <v>5001</v>
      </c>
    </row>
    <row r="190" spans="1:7">
      <c r="A190" t="s">
        <v>134</v>
      </c>
      <c r="B190" s="1" t="s">
        <v>28</v>
      </c>
      <c r="C190">
        <v>13407</v>
      </c>
      <c r="D190">
        <v>78.3</v>
      </c>
      <c r="E190">
        <v>-0.48399999999999999</v>
      </c>
      <c r="F190">
        <v>63</v>
      </c>
      <c r="G190">
        <v>4993</v>
      </c>
    </row>
    <row r="191" spans="1:7">
      <c r="A191" t="s">
        <v>134</v>
      </c>
      <c r="B191" s="1" t="s">
        <v>29</v>
      </c>
      <c r="C191">
        <v>13374</v>
      </c>
      <c r="D191">
        <v>78</v>
      </c>
      <c r="E191">
        <v>-0.48899999999999999</v>
      </c>
      <c r="F191">
        <v>27</v>
      </c>
      <c r="G191">
        <v>5000</v>
      </c>
    </row>
    <row r="192" spans="1:7">
      <c r="A192" t="s">
        <v>134</v>
      </c>
      <c r="B192" s="1" t="s">
        <v>30</v>
      </c>
      <c r="C192">
        <v>10594</v>
      </c>
      <c r="D192">
        <v>77.7</v>
      </c>
      <c r="E192">
        <v>-0.505</v>
      </c>
      <c r="F192">
        <v>121</v>
      </c>
      <c r="G192">
        <v>5009</v>
      </c>
    </row>
    <row r="193" spans="1:7">
      <c r="A193" t="s">
        <v>134</v>
      </c>
      <c r="B193" s="1" t="s">
        <v>31</v>
      </c>
      <c r="C193">
        <v>5584</v>
      </c>
      <c r="D193">
        <v>77.599999999999994</v>
      </c>
      <c r="E193">
        <v>-0.504</v>
      </c>
      <c r="F193">
        <v>43</v>
      </c>
      <c r="G193">
        <v>5005</v>
      </c>
    </row>
    <row r="194" spans="1:7">
      <c r="A194" t="s">
        <v>135</v>
      </c>
      <c r="B194" s="1" t="s">
        <v>8</v>
      </c>
      <c r="C194">
        <v>2424</v>
      </c>
      <c r="D194">
        <v>77.8</v>
      </c>
      <c r="E194">
        <v>-0.5</v>
      </c>
      <c r="F194">
        <v>80</v>
      </c>
      <c r="G194">
        <v>4979</v>
      </c>
    </row>
    <row r="195" spans="1:7">
      <c r="A195" t="s">
        <v>135</v>
      </c>
      <c r="B195" s="1" t="s">
        <v>9</v>
      </c>
      <c r="C195">
        <v>2943</v>
      </c>
      <c r="D195">
        <v>77.900000000000006</v>
      </c>
      <c r="E195">
        <v>-0.5</v>
      </c>
      <c r="F195">
        <v>24</v>
      </c>
      <c r="G195">
        <v>4981</v>
      </c>
    </row>
    <row r="196" spans="1:7">
      <c r="A196" t="s">
        <v>135</v>
      </c>
      <c r="B196" s="1" t="s">
        <v>10</v>
      </c>
      <c r="C196">
        <v>2467</v>
      </c>
      <c r="D196">
        <v>79</v>
      </c>
      <c r="E196">
        <v>-0.48699999999999999</v>
      </c>
      <c r="F196">
        <v>215</v>
      </c>
      <c r="G196">
        <v>4996</v>
      </c>
    </row>
    <row r="197" spans="1:7">
      <c r="A197" t="s">
        <v>135</v>
      </c>
      <c r="B197" s="1" t="s">
        <v>11</v>
      </c>
      <c r="C197">
        <v>2560</v>
      </c>
      <c r="D197">
        <v>80.900000000000006</v>
      </c>
      <c r="E197">
        <v>-0.45700000000000002</v>
      </c>
      <c r="F197">
        <v>107</v>
      </c>
      <c r="G197">
        <v>4988</v>
      </c>
    </row>
    <row r="198" spans="1:7">
      <c r="A198" t="s">
        <v>135</v>
      </c>
      <c r="B198" s="1" t="s">
        <v>12</v>
      </c>
      <c r="C198">
        <v>13000</v>
      </c>
      <c r="D198">
        <v>80.900000000000006</v>
      </c>
      <c r="E198">
        <v>-0.435</v>
      </c>
      <c r="F198">
        <v>71</v>
      </c>
      <c r="G198">
        <v>5015</v>
      </c>
    </row>
    <row r="199" spans="1:7">
      <c r="A199" t="s">
        <v>135</v>
      </c>
      <c r="B199" s="1" t="s">
        <v>13</v>
      </c>
      <c r="C199">
        <v>15618</v>
      </c>
      <c r="D199">
        <v>80.7</v>
      </c>
      <c r="E199">
        <v>-0.44500000000000001</v>
      </c>
      <c r="F199">
        <v>85</v>
      </c>
      <c r="G199">
        <v>5002</v>
      </c>
    </row>
    <row r="200" spans="1:7">
      <c r="A200" t="s">
        <v>135</v>
      </c>
      <c r="B200" s="1" t="s">
        <v>14</v>
      </c>
      <c r="C200">
        <v>15353</v>
      </c>
      <c r="D200">
        <v>77.8</v>
      </c>
      <c r="E200">
        <v>-0.496</v>
      </c>
      <c r="F200">
        <v>99</v>
      </c>
      <c r="G200">
        <v>5003</v>
      </c>
    </row>
    <row r="201" spans="1:7">
      <c r="A201" t="s">
        <v>135</v>
      </c>
      <c r="B201" s="1" t="s">
        <v>15</v>
      </c>
      <c r="C201">
        <v>13918</v>
      </c>
      <c r="D201">
        <v>77.900000000000006</v>
      </c>
      <c r="E201">
        <v>-0.47799999999999998</v>
      </c>
      <c r="F201">
        <v>64</v>
      </c>
      <c r="G201">
        <v>4999</v>
      </c>
    </row>
    <row r="202" spans="1:7">
      <c r="A202" t="s">
        <v>135</v>
      </c>
      <c r="B202" s="1" t="s">
        <v>16</v>
      </c>
      <c r="C202">
        <v>12619</v>
      </c>
      <c r="D202">
        <v>78.3</v>
      </c>
      <c r="E202">
        <v>-0.48799999999999999</v>
      </c>
      <c r="F202">
        <v>82</v>
      </c>
      <c r="G202">
        <v>5014</v>
      </c>
    </row>
    <row r="203" spans="1:7">
      <c r="A203" t="s">
        <v>135</v>
      </c>
      <c r="B203" s="1" t="s">
        <v>17</v>
      </c>
      <c r="C203">
        <v>14150</v>
      </c>
      <c r="D203">
        <v>77.8</v>
      </c>
      <c r="E203">
        <v>-0.495</v>
      </c>
      <c r="F203">
        <v>81</v>
      </c>
      <c r="G203">
        <v>5021</v>
      </c>
    </row>
    <row r="204" spans="1:7">
      <c r="A204" t="s">
        <v>135</v>
      </c>
      <c r="B204" s="1" t="s">
        <v>18</v>
      </c>
      <c r="C204">
        <v>13190</v>
      </c>
      <c r="D204">
        <v>77.8</v>
      </c>
      <c r="E204">
        <v>-0.49099999999999999</v>
      </c>
      <c r="F204">
        <v>71</v>
      </c>
      <c r="G204">
        <v>4994</v>
      </c>
    </row>
    <row r="205" spans="1:7">
      <c r="A205" t="s">
        <v>135</v>
      </c>
      <c r="B205" s="1" t="s">
        <v>19</v>
      </c>
      <c r="C205">
        <v>12349</v>
      </c>
      <c r="D205">
        <v>77.7</v>
      </c>
      <c r="E205">
        <v>-0.495</v>
      </c>
      <c r="F205">
        <v>74</v>
      </c>
      <c r="G205">
        <v>5007</v>
      </c>
    </row>
    <row r="206" spans="1:7">
      <c r="A206" t="s">
        <v>135</v>
      </c>
      <c r="B206" s="1" t="s">
        <v>20</v>
      </c>
      <c r="C206">
        <v>12452</v>
      </c>
      <c r="D206">
        <v>77.8</v>
      </c>
      <c r="E206">
        <v>-0.49199999999999999</v>
      </c>
      <c r="F206">
        <v>64</v>
      </c>
      <c r="G206">
        <v>5008</v>
      </c>
    </row>
    <row r="207" spans="1:7">
      <c r="A207" t="s">
        <v>135</v>
      </c>
      <c r="B207" s="1" t="s">
        <v>21</v>
      </c>
      <c r="C207">
        <v>12495</v>
      </c>
      <c r="D207">
        <v>77.599999999999994</v>
      </c>
      <c r="E207">
        <v>-0.49399999999999999</v>
      </c>
      <c r="F207">
        <v>243</v>
      </c>
      <c r="G207">
        <v>4990</v>
      </c>
    </row>
    <row r="208" spans="1:7">
      <c r="A208" t="s">
        <v>135</v>
      </c>
      <c r="B208" s="1" t="s">
        <v>22</v>
      </c>
      <c r="C208">
        <v>11703</v>
      </c>
      <c r="D208">
        <v>77.400000000000006</v>
      </c>
      <c r="E208">
        <v>-0.49399999999999999</v>
      </c>
      <c r="F208">
        <v>47</v>
      </c>
      <c r="G208">
        <v>5003</v>
      </c>
    </row>
    <row r="209" spans="1:7">
      <c r="A209" t="s">
        <v>135</v>
      </c>
      <c r="B209" s="1" t="s">
        <v>23</v>
      </c>
      <c r="C209">
        <v>11634</v>
      </c>
      <c r="D209">
        <v>77.5</v>
      </c>
      <c r="E209">
        <v>-0.48799999999999999</v>
      </c>
      <c r="F209">
        <v>67</v>
      </c>
      <c r="G209">
        <v>4990</v>
      </c>
    </row>
    <row r="210" spans="1:7">
      <c r="A210" t="s">
        <v>135</v>
      </c>
      <c r="B210" s="1" t="s">
        <v>24</v>
      </c>
      <c r="C210">
        <v>12292</v>
      </c>
      <c r="D210">
        <v>77.599999999999994</v>
      </c>
      <c r="E210">
        <v>-0.48899999999999999</v>
      </c>
      <c r="F210">
        <v>29</v>
      </c>
      <c r="G210">
        <v>5002</v>
      </c>
    </row>
    <row r="211" spans="1:7">
      <c r="A211" t="s">
        <v>135</v>
      </c>
      <c r="B211" s="1" t="s">
        <v>25</v>
      </c>
      <c r="C211">
        <v>12337</v>
      </c>
      <c r="D211">
        <v>77.8</v>
      </c>
      <c r="E211">
        <v>-0.48499999999999999</v>
      </c>
      <c r="F211">
        <v>90</v>
      </c>
      <c r="G211">
        <v>5017</v>
      </c>
    </row>
    <row r="212" spans="1:7">
      <c r="A212" t="s">
        <v>135</v>
      </c>
      <c r="B212" s="1" t="s">
        <v>26</v>
      </c>
      <c r="C212">
        <v>9603</v>
      </c>
      <c r="D212">
        <v>75.400000000000006</v>
      </c>
      <c r="E212">
        <v>-0.502</v>
      </c>
      <c r="F212">
        <v>63</v>
      </c>
      <c r="G212">
        <v>4957</v>
      </c>
    </row>
    <row r="213" spans="1:7">
      <c r="A213" t="s">
        <v>135</v>
      </c>
      <c r="B213" s="1" t="s">
        <v>27</v>
      </c>
      <c r="C213">
        <v>12167</v>
      </c>
      <c r="D213">
        <v>77.599999999999994</v>
      </c>
      <c r="E213">
        <v>-0.48199999999999998</v>
      </c>
      <c r="F213">
        <v>155</v>
      </c>
      <c r="G213">
        <v>4992</v>
      </c>
    </row>
    <row r="214" spans="1:7">
      <c r="A214" t="s">
        <v>135</v>
      </c>
      <c r="B214" s="1" t="s">
        <v>28</v>
      </c>
      <c r="C214">
        <v>12295</v>
      </c>
      <c r="D214">
        <v>77.7</v>
      </c>
      <c r="E214">
        <v>-0.48799999999999999</v>
      </c>
      <c r="F214">
        <v>48</v>
      </c>
      <c r="G214">
        <v>4999</v>
      </c>
    </row>
    <row r="215" spans="1:7">
      <c r="A215" t="s">
        <v>135</v>
      </c>
      <c r="B215" s="1" t="s">
        <v>29</v>
      </c>
      <c r="C215">
        <v>12121</v>
      </c>
      <c r="D215">
        <v>77.900000000000006</v>
      </c>
      <c r="E215">
        <v>-0.48699999999999999</v>
      </c>
      <c r="F215">
        <v>74</v>
      </c>
      <c r="G215">
        <v>4997</v>
      </c>
    </row>
    <row r="216" spans="1:7">
      <c r="A216" t="s">
        <v>135</v>
      </c>
      <c r="B216" s="1" t="s">
        <v>30</v>
      </c>
      <c r="C216">
        <v>10417</v>
      </c>
      <c r="D216">
        <v>78</v>
      </c>
      <c r="E216">
        <v>-0.48099999999999998</v>
      </c>
      <c r="F216">
        <v>79</v>
      </c>
      <c r="G216">
        <v>5011</v>
      </c>
    </row>
    <row r="217" spans="1:7">
      <c r="A217" t="s">
        <v>135</v>
      </c>
      <c r="B217" s="1" t="s">
        <v>31</v>
      </c>
      <c r="C217">
        <v>5281</v>
      </c>
      <c r="D217">
        <v>78.5</v>
      </c>
      <c r="E217">
        <v>-0.48699999999999999</v>
      </c>
      <c r="F217">
        <v>25</v>
      </c>
      <c r="G217">
        <v>5015</v>
      </c>
    </row>
    <row r="218" spans="1:7">
      <c r="A218" t="s">
        <v>136</v>
      </c>
      <c r="B218" s="1" t="s">
        <v>8</v>
      </c>
      <c r="C218">
        <v>1745</v>
      </c>
      <c r="D218">
        <v>78.400000000000006</v>
      </c>
      <c r="E218">
        <v>-0.5</v>
      </c>
      <c r="F218">
        <v>61</v>
      </c>
      <c r="G218">
        <v>5003</v>
      </c>
    </row>
    <row r="219" spans="1:7">
      <c r="A219" t="s">
        <v>136</v>
      </c>
      <c r="B219" s="1" t="s">
        <v>9</v>
      </c>
      <c r="C219">
        <v>1683</v>
      </c>
      <c r="D219">
        <v>78</v>
      </c>
      <c r="E219">
        <v>-0.50600000000000001</v>
      </c>
      <c r="F219">
        <v>93</v>
      </c>
      <c r="G219">
        <v>4997</v>
      </c>
    </row>
    <row r="220" spans="1:7">
      <c r="A220" t="s">
        <v>136</v>
      </c>
      <c r="B220" s="1" t="s">
        <v>10</v>
      </c>
      <c r="C220">
        <v>2142</v>
      </c>
      <c r="D220">
        <v>79.8</v>
      </c>
      <c r="E220">
        <v>-0.48099999999999998</v>
      </c>
      <c r="F220">
        <v>27</v>
      </c>
      <c r="G220">
        <v>4993</v>
      </c>
    </row>
    <row r="221" spans="1:7">
      <c r="A221" t="s">
        <v>136</v>
      </c>
      <c r="B221" s="1" t="s">
        <v>11</v>
      </c>
      <c r="C221">
        <v>2435</v>
      </c>
      <c r="D221">
        <v>81.400000000000006</v>
      </c>
      <c r="E221">
        <v>-0.45</v>
      </c>
      <c r="F221">
        <v>27</v>
      </c>
      <c r="G221">
        <v>5004</v>
      </c>
    </row>
    <row r="222" spans="1:7">
      <c r="A222" t="s">
        <v>136</v>
      </c>
      <c r="B222" s="1" t="s">
        <v>12</v>
      </c>
      <c r="C222">
        <v>9357</v>
      </c>
      <c r="D222">
        <v>80.7</v>
      </c>
      <c r="E222">
        <v>-0.43</v>
      </c>
      <c r="F222">
        <v>100</v>
      </c>
      <c r="G222">
        <v>4989</v>
      </c>
    </row>
    <row r="223" spans="1:7">
      <c r="A223" t="s">
        <v>136</v>
      </c>
      <c r="B223" s="1" t="s">
        <v>13</v>
      </c>
      <c r="C223">
        <v>15679</v>
      </c>
      <c r="D223">
        <v>80.900000000000006</v>
      </c>
      <c r="E223">
        <v>-0.44500000000000001</v>
      </c>
      <c r="F223">
        <v>89</v>
      </c>
      <c r="G223">
        <v>5000</v>
      </c>
    </row>
    <row r="224" spans="1:7">
      <c r="A224" t="s">
        <v>136</v>
      </c>
      <c r="B224" s="1" t="s">
        <v>14</v>
      </c>
      <c r="C224">
        <v>15210</v>
      </c>
      <c r="D224">
        <v>78.2</v>
      </c>
      <c r="E224">
        <v>-0.48299999999999998</v>
      </c>
      <c r="F224">
        <v>88</v>
      </c>
      <c r="G224">
        <v>5004</v>
      </c>
    </row>
    <row r="225" spans="1:7">
      <c r="A225" t="s">
        <v>136</v>
      </c>
      <c r="B225" s="1" t="s">
        <v>15</v>
      </c>
      <c r="C225">
        <v>13750</v>
      </c>
      <c r="D225">
        <v>78.5</v>
      </c>
      <c r="E225">
        <v>-0.47099999999999997</v>
      </c>
      <c r="F225">
        <v>27</v>
      </c>
      <c r="G225">
        <v>4997</v>
      </c>
    </row>
    <row r="226" spans="1:7">
      <c r="A226" t="s">
        <v>136</v>
      </c>
      <c r="B226" s="1" t="s">
        <v>16</v>
      </c>
      <c r="C226">
        <v>13801</v>
      </c>
      <c r="D226">
        <v>78.8</v>
      </c>
      <c r="E226">
        <v>-0.47099999999999997</v>
      </c>
      <c r="F226">
        <v>153</v>
      </c>
      <c r="G226">
        <v>4990</v>
      </c>
    </row>
    <row r="227" spans="1:7">
      <c r="A227" t="s">
        <v>136</v>
      </c>
      <c r="B227" s="1" t="s">
        <v>17</v>
      </c>
      <c r="C227">
        <v>14270</v>
      </c>
      <c r="D227">
        <v>78.400000000000006</v>
      </c>
      <c r="E227">
        <v>-0.48199999999999998</v>
      </c>
      <c r="F227">
        <v>28</v>
      </c>
      <c r="G227">
        <v>4984</v>
      </c>
    </row>
    <row r="228" spans="1:7">
      <c r="A228" t="s">
        <v>136</v>
      </c>
      <c r="B228" s="1" t="s">
        <v>18</v>
      </c>
      <c r="C228">
        <v>13330</v>
      </c>
      <c r="D228">
        <v>78.2</v>
      </c>
      <c r="E228">
        <v>-0.48399999999999999</v>
      </c>
      <c r="F228">
        <v>85</v>
      </c>
      <c r="G228">
        <v>4991</v>
      </c>
    </row>
    <row r="229" spans="1:7">
      <c r="A229" t="s">
        <v>136</v>
      </c>
      <c r="B229" s="1" t="s">
        <v>19</v>
      </c>
      <c r="C229">
        <v>13415</v>
      </c>
      <c r="D229">
        <v>78.400000000000006</v>
      </c>
      <c r="E229">
        <v>-0.47599999999999998</v>
      </c>
      <c r="F229">
        <v>124</v>
      </c>
      <c r="G229">
        <v>4983</v>
      </c>
    </row>
    <row r="230" spans="1:7">
      <c r="A230" t="s">
        <v>136</v>
      </c>
      <c r="B230" s="1" t="s">
        <v>20</v>
      </c>
      <c r="C230">
        <v>13335</v>
      </c>
      <c r="D230">
        <v>78.5</v>
      </c>
      <c r="E230">
        <v>-0.48099999999999998</v>
      </c>
      <c r="F230">
        <v>28</v>
      </c>
      <c r="G230">
        <v>4993</v>
      </c>
    </row>
    <row r="231" spans="1:7">
      <c r="A231" t="s">
        <v>136</v>
      </c>
      <c r="B231" s="1" t="s">
        <v>21</v>
      </c>
      <c r="C231">
        <v>14109</v>
      </c>
      <c r="D231">
        <v>78.5</v>
      </c>
      <c r="E231">
        <v>-0.48299999999999998</v>
      </c>
      <c r="F231">
        <v>101</v>
      </c>
      <c r="G231">
        <v>4993</v>
      </c>
    </row>
    <row r="232" spans="1:7">
      <c r="A232" t="s">
        <v>136</v>
      </c>
      <c r="B232" s="1" t="s">
        <v>22</v>
      </c>
      <c r="C232">
        <v>13293</v>
      </c>
      <c r="D232">
        <v>78.3</v>
      </c>
      <c r="E232">
        <v>-0.48499999999999999</v>
      </c>
      <c r="F232">
        <v>48</v>
      </c>
      <c r="G232">
        <v>4994</v>
      </c>
    </row>
    <row r="233" spans="1:7">
      <c r="A233" t="s">
        <v>136</v>
      </c>
      <c r="B233" s="1" t="s">
        <v>23</v>
      </c>
      <c r="C233">
        <v>13527</v>
      </c>
      <c r="D233">
        <v>78.400000000000006</v>
      </c>
      <c r="E233">
        <v>-0.47799999999999998</v>
      </c>
      <c r="F233">
        <v>79</v>
      </c>
      <c r="G233">
        <v>4985</v>
      </c>
    </row>
    <row r="234" spans="1:7">
      <c r="A234" t="s">
        <v>136</v>
      </c>
      <c r="B234" s="1" t="s">
        <v>24</v>
      </c>
      <c r="C234">
        <v>13671</v>
      </c>
      <c r="D234">
        <v>78.599999999999994</v>
      </c>
      <c r="E234">
        <v>-0.48699999999999999</v>
      </c>
      <c r="F234">
        <v>88</v>
      </c>
      <c r="G234">
        <v>5017</v>
      </c>
    </row>
    <row r="235" spans="1:7">
      <c r="A235" t="s">
        <v>136</v>
      </c>
      <c r="B235" s="1" t="s">
        <v>25</v>
      </c>
      <c r="C235">
        <v>13181</v>
      </c>
      <c r="D235">
        <v>78.599999999999994</v>
      </c>
      <c r="E235">
        <v>-0.47799999999999998</v>
      </c>
      <c r="F235">
        <v>95</v>
      </c>
      <c r="G235">
        <v>5004</v>
      </c>
    </row>
    <row r="236" spans="1:7">
      <c r="A236" t="s">
        <v>136</v>
      </c>
      <c r="B236" s="1" t="s">
        <v>26</v>
      </c>
      <c r="C236">
        <v>13569</v>
      </c>
      <c r="D236">
        <v>78.5</v>
      </c>
      <c r="E236">
        <v>-0.48399999999999999</v>
      </c>
      <c r="F236">
        <v>91</v>
      </c>
      <c r="G236">
        <v>4992</v>
      </c>
    </row>
    <row r="237" spans="1:7">
      <c r="A237" t="s">
        <v>136</v>
      </c>
      <c r="B237" s="1" t="s">
        <v>27</v>
      </c>
      <c r="C237">
        <v>13466</v>
      </c>
      <c r="D237">
        <v>78.400000000000006</v>
      </c>
      <c r="E237">
        <v>-0.48499999999999999</v>
      </c>
      <c r="F237">
        <v>29</v>
      </c>
      <c r="G237">
        <v>5009</v>
      </c>
    </row>
    <row r="238" spans="1:7">
      <c r="A238" t="s">
        <v>136</v>
      </c>
      <c r="B238" s="1" t="s">
        <v>28</v>
      </c>
      <c r="C238">
        <v>13541</v>
      </c>
      <c r="D238">
        <v>78.400000000000006</v>
      </c>
      <c r="E238">
        <v>-0.48399999999999999</v>
      </c>
      <c r="F238">
        <v>27</v>
      </c>
      <c r="G238">
        <v>4996</v>
      </c>
    </row>
    <row r="239" spans="1:7">
      <c r="A239" t="s">
        <v>136</v>
      </c>
      <c r="B239" s="1" t="s">
        <v>29</v>
      </c>
      <c r="C239">
        <v>13597</v>
      </c>
      <c r="D239">
        <v>78.400000000000006</v>
      </c>
      <c r="E239">
        <v>-0.48299999999999998</v>
      </c>
      <c r="F239">
        <v>67</v>
      </c>
      <c r="G239">
        <v>5000</v>
      </c>
    </row>
    <row r="240" spans="1:7">
      <c r="A240" t="s">
        <v>136</v>
      </c>
      <c r="B240" s="1" t="s">
        <v>30</v>
      </c>
      <c r="C240">
        <v>11316</v>
      </c>
      <c r="D240">
        <v>78.400000000000006</v>
      </c>
      <c r="E240">
        <v>-0.48199999999999998</v>
      </c>
      <c r="F240">
        <v>107</v>
      </c>
      <c r="G240">
        <v>4995</v>
      </c>
    </row>
    <row r="241" spans="1:7">
      <c r="A241" t="s">
        <v>136</v>
      </c>
      <c r="B241" s="1" t="s">
        <v>31</v>
      </c>
      <c r="C241">
        <v>5563</v>
      </c>
      <c r="D241">
        <v>78.8</v>
      </c>
      <c r="E241">
        <v>-0.48399999999999999</v>
      </c>
      <c r="F241">
        <v>105</v>
      </c>
      <c r="G241">
        <v>4992</v>
      </c>
    </row>
    <row r="242" spans="1:7">
      <c r="A242" t="s">
        <v>137</v>
      </c>
      <c r="B242" s="1" t="s">
        <v>8</v>
      </c>
      <c r="C242">
        <v>4293</v>
      </c>
      <c r="D242">
        <v>79.099999999999994</v>
      </c>
      <c r="E242">
        <v>-0.49199999999999999</v>
      </c>
      <c r="F242">
        <v>70</v>
      </c>
      <c r="G242">
        <v>4997</v>
      </c>
    </row>
    <row r="243" spans="1:7">
      <c r="A243" t="s">
        <v>137</v>
      </c>
      <c r="B243" s="1" t="s">
        <v>9</v>
      </c>
      <c r="C243">
        <v>5566</v>
      </c>
      <c r="D243">
        <v>78.599999999999994</v>
      </c>
      <c r="E243">
        <v>-0.49399999999999999</v>
      </c>
      <c r="F243">
        <v>49</v>
      </c>
      <c r="G243">
        <v>4996</v>
      </c>
    </row>
    <row r="244" spans="1:7">
      <c r="A244" t="s">
        <v>137</v>
      </c>
      <c r="B244" s="1" t="s">
        <v>10</v>
      </c>
      <c r="C244">
        <v>4349</v>
      </c>
      <c r="D244">
        <v>79.3</v>
      </c>
      <c r="E244">
        <v>-0.48199999999999998</v>
      </c>
      <c r="F244">
        <v>28</v>
      </c>
      <c r="G244">
        <v>4997</v>
      </c>
    </row>
    <row r="245" spans="1:7">
      <c r="A245" t="s">
        <v>137</v>
      </c>
      <c r="B245" s="1" t="s">
        <v>11</v>
      </c>
      <c r="C245">
        <v>5716</v>
      </c>
      <c r="D245">
        <v>81.7</v>
      </c>
      <c r="E245">
        <v>-0.45500000000000002</v>
      </c>
      <c r="F245">
        <v>108</v>
      </c>
      <c r="G245">
        <v>5025</v>
      </c>
    </row>
    <row r="246" spans="1:7">
      <c r="A246" t="s">
        <v>137</v>
      </c>
      <c r="B246" s="1" t="s">
        <v>12</v>
      </c>
      <c r="C246">
        <v>15706</v>
      </c>
      <c r="D246">
        <v>81.8</v>
      </c>
      <c r="E246">
        <v>-0.438</v>
      </c>
      <c r="F246">
        <v>196</v>
      </c>
      <c r="G246">
        <v>5003</v>
      </c>
    </row>
    <row r="247" spans="1:7">
      <c r="A247" t="s">
        <v>137</v>
      </c>
      <c r="B247" s="1" t="s">
        <v>13</v>
      </c>
      <c r="C247">
        <v>16269</v>
      </c>
      <c r="D247">
        <v>81.400000000000006</v>
      </c>
      <c r="E247">
        <v>-0.45700000000000002</v>
      </c>
      <c r="F247">
        <v>97</v>
      </c>
      <c r="G247">
        <v>4946</v>
      </c>
    </row>
    <row r="248" spans="1:7">
      <c r="A248" t="s">
        <v>137</v>
      </c>
      <c r="B248" s="1" t="s">
        <v>14</v>
      </c>
      <c r="C248">
        <v>15393</v>
      </c>
      <c r="D248">
        <v>78.599999999999994</v>
      </c>
      <c r="E248">
        <v>-0.495</v>
      </c>
      <c r="F248">
        <v>76</v>
      </c>
      <c r="G248">
        <v>5007</v>
      </c>
    </row>
    <row r="249" spans="1:7">
      <c r="A249" t="s">
        <v>137</v>
      </c>
      <c r="B249" s="1" t="s">
        <v>15</v>
      </c>
      <c r="C249">
        <v>15349</v>
      </c>
      <c r="D249">
        <v>78.5</v>
      </c>
      <c r="E249">
        <v>-0.48499999999999999</v>
      </c>
      <c r="F249">
        <v>37</v>
      </c>
      <c r="G249">
        <v>4999</v>
      </c>
    </row>
    <row r="250" spans="1:7">
      <c r="A250" t="s">
        <v>137</v>
      </c>
      <c r="B250" s="1" t="s">
        <v>16</v>
      </c>
      <c r="C250">
        <v>14377</v>
      </c>
      <c r="D250">
        <v>78.7</v>
      </c>
      <c r="E250">
        <v>-0.47899999999999998</v>
      </c>
      <c r="F250">
        <v>64</v>
      </c>
      <c r="G250">
        <v>4999</v>
      </c>
    </row>
    <row r="251" spans="1:7">
      <c r="A251" t="s">
        <v>137</v>
      </c>
      <c r="B251" s="1" t="s">
        <v>17</v>
      </c>
      <c r="C251">
        <v>14608</v>
      </c>
      <c r="D251">
        <v>78.8</v>
      </c>
      <c r="E251">
        <v>-0.47799999999999998</v>
      </c>
      <c r="F251">
        <v>37</v>
      </c>
      <c r="G251">
        <v>5003</v>
      </c>
    </row>
    <row r="252" spans="1:7">
      <c r="A252" t="s">
        <v>137</v>
      </c>
      <c r="B252" s="1" t="s">
        <v>18</v>
      </c>
      <c r="C252">
        <v>13604</v>
      </c>
      <c r="D252">
        <v>78.3</v>
      </c>
      <c r="E252">
        <v>-0.47899999999999998</v>
      </c>
      <c r="F252">
        <v>81</v>
      </c>
      <c r="G252">
        <v>5005</v>
      </c>
    </row>
    <row r="253" spans="1:7">
      <c r="A253" t="s">
        <v>137</v>
      </c>
      <c r="B253" s="1" t="s">
        <v>19</v>
      </c>
      <c r="C253">
        <v>10023</v>
      </c>
      <c r="D253">
        <v>76.900000000000006</v>
      </c>
      <c r="E253">
        <v>-0.48699999999999999</v>
      </c>
      <c r="F253">
        <v>25</v>
      </c>
      <c r="G253">
        <v>4957</v>
      </c>
    </row>
    <row r="254" spans="1:7">
      <c r="A254" t="s">
        <v>137</v>
      </c>
      <c r="B254" s="1" t="s">
        <v>20</v>
      </c>
      <c r="C254">
        <v>13243</v>
      </c>
      <c r="D254">
        <v>78.7</v>
      </c>
      <c r="E254">
        <v>-0.47299999999999998</v>
      </c>
      <c r="F254">
        <v>94</v>
      </c>
      <c r="G254">
        <v>4995</v>
      </c>
    </row>
    <row r="255" spans="1:7">
      <c r="A255" t="s">
        <v>137</v>
      </c>
      <c r="B255" s="1" t="s">
        <v>21</v>
      </c>
      <c r="C255">
        <v>12118</v>
      </c>
      <c r="D255">
        <v>78.3</v>
      </c>
      <c r="E255">
        <v>-0.48</v>
      </c>
      <c r="F255">
        <v>107</v>
      </c>
      <c r="G255">
        <v>4472</v>
      </c>
    </row>
    <row r="256" spans="1:7">
      <c r="A256" t="s">
        <v>137</v>
      </c>
      <c r="B256" s="1" t="s">
        <v>22</v>
      </c>
      <c r="C256">
        <v>12526</v>
      </c>
      <c r="D256">
        <v>78</v>
      </c>
      <c r="E256">
        <v>-0.49</v>
      </c>
      <c r="F256">
        <v>82</v>
      </c>
      <c r="G256">
        <v>4995</v>
      </c>
    </row>
    <row r="257" spans="1:7">
      <c r="A257" t="s">
        <v>137</v>
      </c>
      <c r="B257" s="1" t="s">
        <v>23</v>
      </c>
      <c r="C257">
        <v>12953</v>
      </c>
      <c r="D257">
        <v>78.5</v>
      </c>
      <c r="E257">
        <v>-0.48499999999999999</v>
      </c>
      <c r="F257">
        <v>172</v>
      </c>
      <c r="G257">
        <v>4991</v>
      </c>
    </row>
    <row r="258" spans="1:7">
      <c r="A258" t="s">
        <v>137</v>
      </c>
      <c r="B258" s="1" t="s">
        <v>24</v>
      </c>
      <c r="C258">
        <v>12726</v>
      </c>
      <c r="D258">
        <v>78.900000000000006</v>
      </c>
      <c r="E258">
        <v>-0.48099999999999998</v>
      </c>
      <c r="F258">
        <v>75</v>
      </c>
      <c r="G258">
        <v>4992</v>
      </c>
    </row>
    <row r="259" spans="1:7">
      <c r="A259" t="s">
        <v>137</v>
      </c>
      <c r="B259" s="1" t="s">
        <v>25</v>
      </c>
      <c r="C259">
        <v>13501</v>
      </c>
      <c r="D259">
        <v>77.900000000000006</v>
      </c>
      <c r="E259">
        <v>-0.495</v>
      </c>
      <c r="F259">
        <v>25</v>
      </c>
      <c r="G259">
        <v>5009</v>
      </c>
    </row>
    <row r="260" spans="1:7">
      <c r="A260" t="s">
        <v>137</v>
      </c>
      <c r="B260" s="1" t="s">
        <v>26</v>
      </c>
      <c r="C260">
        <v>14859</v>
      </c>
      <c r="D260">
        <v>79.400000000000006</v>
      </c>
      <c r="E260">
        <v>-0.46800000000000003</v>
      </c>
      <c r="F260">
        <v>130</v>
      </c>
      <c r="G260">
        <v>5024</v>
      </c>
    </row>
    <row r="261" spans="1:7">
      <c r="A261" t="s">
        <v>137</v>
      </c>
      <c r="B261" s="1" t="s">
        <v>27</v>
      </c>
      <c r="C261">
        <v>14071</v>
      </c>
      <c r="D261">
        <v>79.3</v>
      </c>
      <c r="E261">
        <v>-0.46100000000000002</v>
      </c>
      <c r="F261">
        <v>18</v>
      </c>
      <c r="G261">
        <v>5011</v>
      </c>
    </row>
    <row r="262" spans="1:7">
      <c r="A262" t="s">
        <v>137</v>
      </c>
      <c r="B262" s="1" t="s">
        <v>28</v>
      </c>
      <c r="C262">
        <v>14764</v>
      </c>
      <c r="D262">
        <v>79.400000000000006</v>
      </c>
      <c r="E262">
        <v>-0.46899999999999997</v>
      </c>
      <c r="F262">
        <v>19</v>
      </c>
      <c r="G262">
        <v>4996</v>
      </c>
    </row>
    <row r="263" spans="1:7">
      <c r="A263" t="s">
        <v>137</v>
      </c>
      <c r="B263" s="1" t="s">
        <v>29</v>
      </c>
      <c r="C263">
        <v>15186</v>
      </c>
      <c r="D263">
        <v>80.099999999999994</v>
      </c>
      <c r="E263">
        <v>-0.45700000000000002</v>
      </c>
      <c r="F263">
        <v>50</v>
      </c>
      <c r="G263">
        <v>5004</v>
      </c>
    </row>
    <row r="264" spans="1:7">
      <c r="A264" t="s">
        <v>137</v>
      </c>
      <c r="B264" s="1" t="s">
        <v>30</v>
      </c>
      <c r="C264">
        <v>13356</v>
      </c>
      <c r="D264">
        <v>80.2</v>
      </c>
      <c r="E264">
        <v>-0.45300000000000001</v>
      </c>
      <c r="F264">
        <v>25</v>
      </c>
      <c r="G264">
        <v>4987</v>
      </c>
    </row>
    <row r="265" spans="1:7">
      <c r="A265" t="s">
        <v>137</v>
      </c>
      <c r="B265" s="1" t="s">
        <v>31</v>
      </c>
      <c r="C265">
        <v>7306</v>
      </c>
      <c r="D265">
        <v>81.400000000000006</v>
      </c>
      <c r="E265">
        <v>-0.44800000000000001</v>
      </c>
      <c r="F265">
        <v>94</v>
      </c>
      <c r="G265">
        <v>5014</v>
      </c>
    </row>
    <row r="266" spans="1:7">
      <c r="A266" t="s">
        <v>138</v>
      </c>
      <c r="B266" s="1" t="s">
        <v>8</v>
      </c>
      <c r="C266">
        <v>6372</v>
      </c>
      <c r="D266">
        <v>79.900000000000006</v>
      </c>
      <c r="E266">
        <v>-0.46899999999999997</v>
      </c>
      <c r="F266">
        <v>16</v>
      </c>
      <c r="G266">
        <v>4985</v>
      </c>
    </row>
    <row r="267" spans="1:7">
      <c r="A267" t="s">
        <v>138</v>
      </c>
      <c r="B267" s="1" t="s">
        <v>9</v>
      </c>
      <c r="C267">
        <v>6632</v>
      </c>
      <c r="D267">
        <v>80.2</v>
      </c>
      <c r="E267">
        <v>-0.46600000000000003</v>
      </c>
      <c r="F267">
        <v>82</v>
      </c>
      <c r="G267">
        <v>4995</v>
      </c>
    </row>
    <row r="268" spans="1:7">
      <c r="A268" t="s">
        <v>138</v>
      </c>
      <c r="B268" s="1" t="s">
        <v>10</v>
      </c>
      <c r="C268">
        <v>7653</v>
      </c>
      <c r="D268">
        <v>81.2</v>
      </c>
      <c r="E268">
        <v>-0.44800000000000001</v>
      </c>
      <c r="F268">
        <v>63</v>
      </c>
      <c r="G268">
        <v>4997</v>
      </c>
    </row>
    <row r="269" spans="1:7">
      <c r="A269" t="s">
        <v>138</v>
      </c>
      <c r="B269" s="1" t="s">
        <v>11</v>
      </c>
      <c r="C269">
        <v>8770</v>
      </c>
      <c r="D269">
        <v>81.400000000000006</v>
      </c>
      <c r="E269">
        <v>-0.45200000000000001</v>
      </c>
      <c r="F269">
        <v>64</v>
      </c>
      <c r="G269">
        <v>4996</v>
      </c>
    </row>
    <row r="270" spans="1:7">
      <c r="A270" t="s">
        <v>138</v>
      </c>
      <c r="B270" s="1" t="s">
        <v>12</v>
      </c>
      <c r="C270">
        <v>15911</v>
      </c>
      <c r="D270">
        <v>82.6</v>
      </c>
      <c r="E270">
        <v>-0.42799999999999999</v>
      </c>
      <c r="F270">
        <v>103</v>
      </c>
      <c r="G270">
        <v>5001</v>
      </c>
    </row>
    <row r="271" spans="1:7">
      <c r="A271" t="s">
        <v>138</v>
      </c>
      <c r="B271" s="1" t="s">
        <v>13</v>
      </c>
      <c r="C271">
        <v>15665</v>
      </c>
      <c r="D271">
        <v>82.9</v>
      </c>
      <c r="E271">
        <v>-0.41799999999999998</v>
      </c>
      <c r="F271">
        <v>84</v>
      </c>
      <c r="G271">
        <v>4996</v>
      </c>
    </row>
    <row r="272" spans="1:7">
      <c r="A272" t="s">
        <v>138</v>
      </c>
      <c r="B272" s="1" t="s">
        <v>14</v>
      </c>
      <c r="C272">
        <v>15334</v>
      </c>
      <c r="D272">
        <v>79.900000000000006</v>
      </c>
      <c r="E272">
        <v>-0.47099999999999997</v>
      </c>
      <c r="F272">
        <v>81</v>
      </c>
      <c r="G272">
        <v>4997</v>
      </c>
    </row>
    <row r="273" spans="1:7">
      <c r="A273" t="s">
        <v>138</v>
      </c>
      <c r="B273" s="1" t="s">
        <v>15</v>
      </c>
      <c r="C273">
        <v>15253</v>
      </c>
      <c r="D273">
        <v>79.5</v>
      </c>
      <c r="E273">
        <v>-0.48499999999999999</v>
      </c>
      <c r="F273">
        <v>108</v>
      </c>
      <c r="G273">
        <v>4999</v>
      </c>
    </row>
    <row r="274" spans="1:7">
      <c r="A274" t="s">
        <v>138</v>
      </c>
      <c r="B274" s="1" t="s">
        <v>16</v>
      </c>
      <c r="C274">
        <v>15609</v>
      </c>
      <c r="D274">
        <v>79.900000000000006</v>
      </c>
      <c r="E274">
        <v>-0.47899999999999998</v>
      </c>
      <c r="F274">
        <v>75</v>
      </c>
      <c r="G274">
        <v>5005</v>
      </c>
    </row>
    <row r="275" spans="1:7">
      <c r="A275" t="s">
        <v>138</v>
      </c>
      <c r="B275" s="1" t="s">
        <v>17</v>
      </c>
      <c r="C275">
        <v>15342</v>
      </c>
      <c r="D275">
        <v>79.7</v>
      </c>
      <c r="E275">
        <v>-0.47799999999999998</v>
      </c>
      <c r="F275">
        <v>50</v>
      </c>
      <c r="G275">
        <v>4981</v>
      </c>
    </row>
    <row r="276" spans="1:7">
      <c r="A276" t="s">
        <v>138</v>
      </c>
      <c r="B276" s="1" t="s">
        <v>18</v>
      </c>
      <c r="C276">
        <v>15413</v>
      </c>
      <c r="D276">
        <v>79.3</v>
      </c>
      <c r="E276">
        <v>-0.48499999999999999</v>
      </c>
      <c r="F276">
        <v>79</v>
      </c>
      <c r="G276">
        <v>4992</v>
      </c>
    </row>
    <row r="277" spans="1:7">
      <c r="A277" t="s">
        <v>138</v>
      </c>
      <c r="B277" s="1" t="s">
        <v>19</v>
      </c>
      <c r="C277">
        <v>14294</v>
      </c>
      <c r="D277">
        <v>79</v>
      </c>
      <c r="E277">
        <v>-0.47799999999999998</v>
      </c>
      <c r="F277">
        <v>81</v>
      </c>
      <c r="G277">
        <v>4989</v>
      </c>
    </row>
    <row r="278" spans="1:7">
      <c r="A278" t="s">
        <v>138</v>
      </c>
      <c r="B278" s="1" t="s">
        <v>20</v>
      </c>
      <c r="C278">
        <v>12852</v>
      </c>
      <c r="D278">
        <v>79.2</v>
      </c>
      <c r="E278">
        <v>-0.47899999999999998</v>
      </c>
      <c r="F278">
        <v>34</v>
      </c>
      <c r="G278">
        <v>5013</v>
      </c>
    </row>
    <row r="279" spans="1:7">
      <c r="A279" t="s">
        <v>138</v>
      </c>
      <c r="B279" s="1" t="s">
        <v>21</v>
      </c>
      <c r="C279">
        <v>12609</v>
      </c>
      <c r="D279">
        <v>77.599999999999994</v>
      </c>
      <c r="E279">
        <v>-0.49199999999999999</v>
      </c>
      <c r="F279">
        <v>227</v>
      </c>
      <c r="G279">
        <v>4965</v>
      </c>
    </row>
    <row r="280" spans="1:7">
      <c r="A280" t="s">
        <v>138</v>
      </c>
      <c r="B280" s="1" t="s">
        <v>22</v>
      </c>
      <c r="C280">
        <v>13489</v>
      </c>
      <c r="D280">
        <v>78.599999999999994</v>
      </c>
      <c r="E280">
        <v>-0.49099999999999999</v>
      </c>
      <c r="F280">
        <v>28</v>
      </c>
      <c r="G280">
        <v>4993</v>
      </c>
    </row>
    <row r="281" spans="1:7">
      <c r="A281" t="s">
        <v>138</v>
      </c>
      <c r="B281" s="1" t="s">
        <v>23</v>
      </c>
      <c r="C281">
        <v>13270</v>
      </c>
      <c r="D281">
        <v>78.5</v>
      </c>
      <c r="E281">
        <v>-0.48499999999999999</v>
      </c>
      <c r="F281">
        <v>114</v>
      </c>
      <c r="G281">
        <v>4971</v>
      </c>
    </row>
    <row r="282" spans="1:7">
      <c r="A282" t="s">
        <v>138</v>
      </c>
      <c r="B282" s="1" t="s">
        <v>24</v>
      </c>
      <c r="C282">
        <v>13317</v>
      </c>
      <c r="D282">
        <v>79</v>
      </c>
      <c r="E282">
        <v>-0.47799999999999998</v>
      </c>
      <c r="F282">
        <v>22</v>
      </c>
      <c r="G282">
        <v>4995</v>
      </c>
    </row>
    <row r="283" spans="1:7">
      <c r="A283" t="s">
        <v>138</v>
      </c>
      <c r="B283" s="1" t="s">
        <v>25</v>
      </c>
      <c r="C283">
        <v>11276</v>
      </c>
      <c r="D283">
        <v>77.8</v>
      </c>
      <c r="E283">
        <v>-0.47099999999999997</v>
      </c>
      <c r="F283">
        <v>80</v>
      </c>
      <c r="G283">
        <v>4998</v>
      </c>
    </row>
    <row r="284" spans="1:7">
      <c r="A284" t="s">
        <v>138</v>
      </c>
      <c r="B284" s="1" t="s">
        <v>26</v>
      </c>
      <c r="C284">
        <v>13639</v>
      </c>
      <c r="D284">
        <v>78.8</v>
      </c>
      <c r="E284">
        <v>-0.48199999999999998</v>
      </c>
      <c r="F284">
        <v>25</v>
      </c>
      <c r="G284">
        <v>5011</v>
      </c>
    </row>
    <row r="285" spans="1:7">
      <c r="A285" t="s">
        <v>138</v>
      </c>
      <c r="B285" s="1" t="s">
        <v>27</v>
      </c>
      <c r="C285">
        <v>14410</v>
      </c>
      <c r="D285">
        <v>78.599999999999994</v>
      </c>
      <c r="E285">
        <v>-0.48299999999999998</v>
      </c>
      <c r="F285">
        <v>95</v>
      </c>
      <c r="G285">
        <v>4997</v>
      </c>
    </row>
    <row r="286" spans="1:7">
      <c r="A286" t="s">
        <v>138</v>
      </c>
      <c r="B286" s="1" t="s">
        <v>28</v>
      </c>
      <c r="C286">
        <v>13364</v>
      </c>
      <c r="D286">
        <v>78.5</v>
      </c>
      <c r="E286">
        <v>-0.48699999999999999</v>
      </c>
      <c r="F286">
        <v>70</v>
      </c>
      <c r="G286">
        <v>4972</v>
      </c>
    </row>
    <row r="287" spans="1:7">
      <c r="A287" t="s">
        <v>138</v>
      </c>
      <c r="B287" s="1" t="s">
        <v>29</v>
      </c>
      <c r="C287">
        <v>13941</v>
      </c>
      <c r="D287">
        <v>78.7</v>
      </c>
      <c r="E287">
        <v>-0.48499999999999999</v>
      </c>
      <c r="F287">
        <v>26</v>
      </c>
      <c r="G287">
        <v>4987</v>
      </c>
    </row>
    <row r="288" spans="1:7">
      <c r="A288" t="s">
        <v>138</v>
      </c>
      <c r="B288" s="1" t="s">
        <v>30</v>
      </c>
      <c r="C288">
        <v>11448</v>
      </c>
      <c r="D288">
        <v>78.5</v>
      </c>
      <c r="E288">
        <v>-0.48699999999999999</v>
      </c>
      <c r="F288">
        <v>20</v>
      </c>
      <c r="G288">
        <v>5004</v>
      </c>
    </row>
    <row r="289" spans="1:7">
      <c r="A289" t="s">
        <v>138</v>
      </c>
      <c r="B289" s="1" t="s">
        <v>31</v>
      </c>
      <c r="C289">
        <v>5615</v>
      </c>
      <c r="D289">
        <v>78.900000000000006</v>
      </c>
      <c r="E289">
        <v>-0.496</v>
      </c>
      <c r="F289">
        <v>68</v>
      </c>
      <c r="G289">
        <v>5004</v>
      </c>
    </row>
    <row r="290" spans="1:7">
      <c r="A290" t="s">
        <v>139</v>
      </c>
      <c r="B290" s="1" t="s">
        <v>8</v>
      </c>
      <c r="C290">
        <v>4973</v>
      </c>
      <c r="D290">
        <v>78.7</v>
      </c>
      <c r="E290">
        <v>-0.5</v>
      </c>
      <c r="F290">
        <v>79</v>
      </c>
      <c r="G290">
        <v>5009</v>
      </c>
    </row>
    <row r="291" spans="1:7">
      <c r="A291" t="s">
        <v>139</v>
      </c>
      <c r="B291" s="1" t="s">
        <v>9</v>
      </c>
      <c r="C291">
        <v>5417</v>
      </c>
      <c r="D291">
        <v>78.5</v>
      </c>
      <c r="E291">
        <v>-0.50600000000000001</v>
      </c>
      <c r="F291">
        <v>76</v>
      </c>
      <c r="G291">
        <v>4995</v>
      </c>
    </row>
    <row r="292" spans="1:7">
      <c r="A292" t="s">
        <v>139</v>
      </c>
      <c r="B292" s="1" t="s">
        <v>10</v>
      </c>
      <c r="C292">
        <v>5687</v>
      </c>
      <c r="D292">
        <v>79.7</v>
      </c>
      <c r="E292">
        <v>-0.48199999999999998</v>
      </c>
      <c r="F292">
        <v>78</v>
      </c>
      <c r="G292">
        <v>5014</v>
      </c>
    </row>
    <row r="293" spans="1:7">
      <c r="A293" t="s">
        <v>139</v>
      </c>
      <c r="B293" s="1" t="s">
        <v>11</v>
      </c>
      <c r="C293">
        <v>7927</v>
      </c>
      <c r="D293">
        <v>81.599999999999994</v>
      </c>
      <c r="E293">
        <v>-0.45700000000000002</v>
      </c>
      <c r="F293">
        <v>48</v>
      </c>
      <c r="G293">
        <v>5004</v>
      </c>
    </row>
    <row r="294" spans="1:7">
      <c r="A294" t="s">
        <v>139</v>
      </c>
      <c r="B294" s="1" t="s">
        <v>12</v>
      </c>
      <c r="C294">
        <v>15874</v>
      </c>
      <c r="D294">
        <v>81</v>
      </c>
      <c r="E294">
        <v>-0.45500000000000002</v>
      </c>
      <c r="F294">
        <v>26</v>
      </c>
      <c r="G294">
        <v>4970</v>
      </c>
    </row>
    <row r="295" spans="1:7">
      <c r="A295" t="s">
        <v>139</v>
      </c>
      <c r="B295" s="1" t="s">
        <v>13</v>
      </c>
      <c r="C295">
        <v>15518</v>
      </c>
      <c r="D295">
        <v>81.400000000000006</v>
      </c>
      <c r="E295">
        <v>-0.45200000000000001</v>
      </c>
      <c r="F295">
        <v>22</v>
      </c>
      <c r="G295">
        <v>5008</v>
      </c>
    </row>
    <row r="296" spans="1:7">
      <c r="A296" t="s">
        <v>139</v>
      </c>
      <c r="B296" s="1" t="s">
        <v>14</v>
      </c>
      <c r="C296">
        <v>15290</v>
      </c>
      <c r="D296">
        <v>78.900000000000006</v>
      </c>
      <c r="E296">
        <v>-0.49399999999999999</v>
      </c>
      <c r="F296">
        <v>119</v>
      </c>
      <c r="G296">
        <v>4995</v>
      </c>
    </row>
    <row r="297" spans="1:7">
      <c r="A297" t="s">
        <v>139</v>
      </c>
      <c r="B297" s="1" t="s">
        <v>15</v>
      </c>
      <c r="C297">
        <v>15414</v>
      </c>
      <c r="D297">
        <v>78.8</v>
      </c>
      <c r="E297">
        <v>-0.49199999999999999</v>
      </c>
      <c r="F297">
        <v>124</v>
      </c>
      <c r="G297">
        <v>5002</v>
      </c>
    </row>
    <row r="298" spans="1:7">
      <c r="A298" t="s">
        <v>139</v>
      </c>
      <c r="B298" s="1" t="s">
        <v>16</v>
      </c>
      <c r="C298">
        <v>14987</v>
      </c>
      <c r="D298">
        <v>78.8</v>
      </c>
      <c r="E298">
        <v>-0.48899999999999999</v>
      </c>
      <c r="F298">
        <v>46</v>
      </c>
      <c r="G298">
        <v>5002</v>
      </c>
    </row>
    <row r="299" spans="1:7">
      <c r="A299" t="s">
        <v>139</v>
      </c>
      <c r="B299" s="1" t="s">
        <v>17</v>
      </c>
      <c r="C299">
        <v>14367</v>
      </c>
      <c r="D299">
        <v>78.400000000000006</v>
      </c>
      <c r="E299">
        <v>-0.49399999999999999</v>
      </c>
      <c r="F299">
        <v>77</v>
      </c>
      <c r="G299">
        <v>5002</v>
      </c>
    </row>
    <row r="300" spans="1:7">
      <c r="A300" t="s">
        <v>139</v>
      </c>
      <c r="B300" s="1" t="s">
        <v>18</v>
      </c>
      <c r="C300">
        <v>13499</v>
      </c>
      <c r="D300">
        <v>78.400000000000006</v>
      </c>
      <c r="E300">
        <v>-0.498</v>
      </c>
      <c r="F300">
        <v>26</v>
      </c>
      <c r="G300">
        <v>5008</v>
      </c>
    </row>
    <row r="301" spans="1:7">
      <c r="A301" t="s">
        <v>139</v>
      </c>
      <c r="B301" s="1" t="s">
        <v>19</v>
      </c>
      <c r="C301">
        <v>13636</v>
      </c>
      <c r="D301">
        <v>78.400000000000006</v>
      </c>
      <c r="E301">
        <v>-0.49099999999999999</v>
      </c>
      <c r="F301">
        <v>166</v>
      </c>
      <c r="G301">
        <v>4953</v>
      </c>
    </row>
    <row r="302" spans="1:7">
      <c r="A302" t="s">
        <v>139</v>
      </c>
      <c r="B302" s="1" t="s">
        <v>20</v>
      </c>
      <c r="C302">
        <v>13310</v>
      </c>
      <c r="D302">
        <v>78.2</v>
      </c>
      <c r="E302">
        <v>-0.496</v>
      </c>
      <c r="F302">
        <v>98</v>
      </c>
      <c r="G302">
        <v>5000</v>
      </c>
    </row>
    <row r="303" spans="1:7">
      <c r="A303" t="s">
        <v>139</v>
      </c>
      <c r="B303" s="1" t="s">
        <v>21</v>
      </c>
      <c r="C303">
        <v>13397</v>
      </c>
      <c r="D303">
        <v>78</v>
      </c>
      <c r="E303">
        <v>-0.49399999999999999</v>
      </c>
      <c r="F303">
        <v>135</v>
      </c>
      <c r="G303">
        <v>5006</v>
      </c>
    </row>
    <row r="304" spans="1:7">
      <c r="A304" t="s">
        <v>139</v>
      </c>
      <c r="B304" s="1" t="s">
        <v>22</v>
      </c>
      <c r="C304">
        <v>13598</v>
      </c>
      <c r="D304">
        <v>78.099999999999994</v>
      </c>
      <c r="E304">
        <v>-0.48899999999999999</v>
      </c>
      <c r="F304">
        <v>181</v>
      </c>
      <c r="G304">
        <v>4995</v>
      </c>
    </row>
    <row r="305" spans="1:7">
      <c r="A305" t="s">
        <v>139</v>
      </c>
      <c r="B305" s="1" t="s">
        <v>23</v>
      </c>
      <c r="C305">
        <v>13491</v>
      </c>
      <c r="D305">
        <v>78.3</v>
      </c>
      <c r="E305">
        <v>-0.49399999999999999</v>
      </c>
      <c r="F305">
        <v>173</v>
      </c>
      <c r="G305">
        <v>5011</v>
      </c>
    </row>
    <row r="306" spans="1:7">
      <c r="A306" t="s">
        <v>139</v>
      </c>
      <c r="B306" s="1" t="s">
        <v>24</v>
      </c>
      <c r="C306">
        <v>13019</v>
      </c>
      <c r="D306">
        <v>78.400000000000006</v>
      </c>
      <c r="E306">
        <v>-0.48399999999999999</v>
      </c>
      <c r="F306">
        <v>85</v>
      </c>
      <c r="G306">
        <v>4999</v>
      </c>
    </row>
    <row r="307" spans="1:7">
      <c r="A307" t="s">
        <v>139</v>
      </c>
      <c r="B307" s="1" t="s">
        <v>25</v>
      </c>
      <c r="C307">
        <v>13194</v>
      </c>
      <c r="D307">
        <v>78.2</v>
      </c>
      <c r="E307">
        <v>-0.48699999999999999</v>
      </c>
      <c r="F307">
        <v>105</v>
      </c>
      <c r="G307">
        <v>4990</v>
      </c>
    </row>
    <row r="308" spans="1:7">
      <c r="A308" t="s">
        <v>139</v>
      </c>
      <c r="B308" s="1" t="s">
        <v>26</v>
      </c>
      <c r="C308">
        <v>12356</v>
      </c>
      <c r="D308">
        <v>78.3</v>
      </c>
      <c r="E308">
        <v>-0.49199999999999999</v>
      </c>
      <c r="F308">
        <v>76</v>
      </c>
      <c r="G308">
        <v>4995</v>
      </c>
    </row>
    <row r="309" spans="1:7">
      <c r="A309" t="s">
        <v>139</v>
      </c>
      <c r="B309" s="1" t="s">
        <v>27</v>
      </c>
      <c r="C309">
        <v>13490</v>
      </c>
      <c r="D309">
        <v>78.400000000000006</v>
      </c>
      <c r="E309">
        <v>-0.48899999999999999</v>
      </c>
      <c r="F309">
        <v>68</v>
      </c>
      <c r="G309">
        <v>4993</v>
      </c>
    </row>
    <row r="310" spans="1:7">
      <c r="A310" t="s">
        <v>139</v>
      </c>
      <c r="B310" s="1" t="s">
        <v>28</v>
      </c>
      <c r="C310">
        <v>12589</v>
      </c>
      <c r="D310">
        <v>77.900000000000006</v>
      </c>
      <c r="E310">
        <v>-0.499</v>
      </c>
      <c r="F310">
        <v>74</v>
      </c>
      <c r="G310">
        <v>5009</v>
      </c>
    </row>
    <row r="311" spans="1:7">
      <c r="A311" t="s">
        <v>139</v>
      </c>
      <c r="B311" s="1" t="s">
        <v>29</v>
      </c>
      <c r="C311">
        <v>12413</v>
      </c>
      <c r="D311">
        <v>78.3</v>
      </c>
      <c r="E311">
        <v>-0.49</v>
      </c>
      <c r="F311">
        <v>127</v>
      </c>
      <c r="G311">
        <v>5009</v>
      </c>
    </row>
    <row r="312" spans="1:7">
      <c r="A312" t="s">
        <v>139</v>
      </c>
      <c r="B312" s="1" t="s">
        <v>30</v>
      </c>
      <c r="C312">
        <v>11414</v>
      </c>
      <c r="D312">
        <v>78.599999999999994</v>
      </c>
      <c r="E312">
        <v>-0.48699999999999999</v>
      </c>
      <c r="F312">
        <v>80</v>
      </c>
      <c r="G312">
        <v>5015</v>
      </c>
    </row>
    <row r="313" spans="1:7">
      <c r="A313" t="s">
        <v>139</v>
      </c>
      <c r="B313" s="1" t="s">
        <v>31</v>
      </c>
      <c r="C313">
        <v>4928</v>
      </c>
      <c r="D313">
        <v>78.5</v>
      </c>
      <c r="E313">
        <v>-0.50700000000000001</v>
      </c>
      <c r="F313">
        <v>61</v>
      </c>
      <c r="G313">
        <v>5001</v>
      </c>
    </row>
    <row r="314" spans="1:7">
      <c r="A314" t="s">
        <v>140</v>
      </c>
      <c r="B314" s="1" t="s">
        <v>8</v>
      </c>
      <c r="C314">
        <v>4483</v>
      </c>
      <c r="D314">
        <v>79.2</v>
      </c>
      <c r="E314">
        <v>-0.497</v>
      </c>
      <c r="F314">
        <v>66</v>
      </c>
      <c r="G314">
        <v>4990</v>
      </c>
    </row>
    <row r="315" spans="1:7">
      <c r="A315" t="s">
        <v>140</v>
      </c>
      <c r="B315" s="1" t="s">
        <v>9</v>
      </c>
      <c r="C315">
        <v>11522</v>
      </c>
      <c r="D315">
        <v>81.3</v>
      </c>
      <c r="E315">
        <v>-0.45900000000000002</v>
      </c>
      <c r="F315">
        <v>82</v>
      </c>
      <c r="G315">
        <v>3494</v>
      </c>
    </row>
    <row r="316" spans="1:7">
      <c r="A316" t="s">
        <v>140</v>
      </c>
      <c r="B316" s="1" t="s">
        <v>10</v>
      </c>
      <c r="C316">
        <v>11571</v>
      </c>
      <c r="D316">
        <v>82.3</v>
      </c>
      <c r="E316">
        <v>-0.44700000000000001</v>
      </c>
      <c r="F316">
        <v>26</v>
      </c>
      <c r="G316">
        <v>3502</v>
      </c>
    </row>
    <row r="317" spans="1:7">
      <c r="A317" t="s">
        <v>140</v>
      </c>
      <c r="B317" s="1" t="s">
        <v>11</v>
      </c>
      <c r="C317">
        <v>8468</v>
      </c>
      <c r="D317">
        <v>81.900000000000006</v>
      </c>
      <c r="E317">
        <v>-0.45900000000000002</v>
      </c>
      <c r="F317">
        <v>23</v>
      </c>
      <c r="G317">
        <v>3452</v>
      </c>
    </row>
    <row r="318" spans="1:7">
      <c r="A318" t="s">
        <v>140</v>
      </c>
      <c r="B318" s="1" t="s">
        <v>12</v>
      </c>
      <c r="C318">
        <v>10267</v>
      </c>
      <c r="D318">
        <v>81.900000000000006</v>
      </c>
      <c r="E318">
        <v>-0.45</v>
      </c>
      <c r="F318">
        <v>91</v>
      </c>
      <c r="G318">
        <v>3459</v>
      </c>
    </row>
    <row r="319" spans="1:7">
      <c r="A319" t="s">
        <v>140</v>
      </c>
      <c r="B319" s="1" t="s">
        <v>13</v>
      </c>
      <c r="C319">
        <v>10807</v>
      </c>
      <c r="D319">
        <v>81.3</v>
      </c>
      <c r="E319">
        <v>-0.45900000000000002</v>
      </c>
      <c r="F319">
        <v>62</v>
      </c>
      <c r="G319">
        <v>3514</v>
      </c>
    </row>
    <row r="320" spans="1:7">
      <c r="A320" t="s">
        <v>140</v>
      </c>
      <c r="B320" s="1" t="s">
        <v>14</v>
      </c>
      <c r="C320">
        <v>11169</v>
      </c>
      <c r="D320">
        <v>80.599999999999994</v>
      </c>
      <c r="E320">
        <v>-0.48399999999999999</v>
      </c>
      <c r="F320">
        <v>25</v>
      </c>
      <c r="G320">
        <v>3480</v>
      </c>
    </row>
    <row r="321" spans="1:7">
      <c r="A321" t="s">
        <v>140</v>
      </c>
      <c r="B321" s="1" t="s">
        <v>15</v>
      </c>
      <c r="C321">
        <v>11553</v>
      </c>
      <c r="D321">
        <v>78.8</v>
      </c>
      <c r="E321">
        <v>-0.503</v>
      </c>
      <c r="F321">
        <v>69</v>
      </c>
      <c r="G321">
        <v>3527</v>
      </c>
    </row>
    <row r="322" spans="1:7">
      <c r="A322" t="s">
        <v>140</v>
      </c>
      <c r="B322" s="1" t="s">
        <v>16</v>
      </c>
      <c r="C322">
        <v>11404</v>
      </c>
      <c r="D322">
        <v>78.2</v>
      </c>
      <c r="E322">
        <v>-0.51100000000000001</v>
      </c>
      <c r="F322">
        <v>28</v>
      </c>
      <c r="G322">
        <v>3528</v>
      </c>
    </row>
    <row r="323" spans="1:7">
      <c r="A323" t="s">
        <v>140</v>
      </c>
      <c r="B323" s="1" t="s">
        <v>17</v>
      </c>
      <c r="C323">
        <v>10821</v>
      </c>
      <c r="D323">
        <v>79.2</v>
      </c>
      <c r="E323">
        <v>-0.502</v>
      </c>
      <c r="F323">
        <v>68</v>
      </c>
      <c r="G323">
        <v>3518</v>
      </c>
    </row>
    <row r="324" spans="1:7">
      <c r="A324" t="s">
        <v>140</v>
      </c>
      <c r="B324" s="1" t="s">
        <v>18</v>
      </c>
      <c r="C324">
        <v>13046</v>
      </c>
      <c r="D324">
        <v>78.5</v>
      </c>
      <c r="E324">
        <v>-0.497</v>
      </c>
      <c r="F324">
        <v>27</v>
      </c>
      <c r="G324">
        <v>3500</v>
      </c>
    </row>
    <row r="325" spans="1:7">
      <c r="A325" t="s">
        <v>140</v>
      </c>
      <c r="B325" s="1" t="s">
        <v>19</v>
      </c>
      <c r="C325">
        <v>11223</v>
      </c>
      <c r="D325">
        <v>79.099999999999994</v>
      </c>
      <c r="E325">
        <v>-0.49199999999999999</v>
      </c>
      <c r="F325">
        <v>115</v>
      </c>
      <c r="G325">
        <v>3511</v>
      </c>
    </row>
    <row r="326" spans="1:7">
      <c r="A326" t="s">
        <v>140</v>
      </c>
      <c r="B326" s="1" t="s">
        <v>20</v>
      </c>
      <c r="C326">
        <v>13231</v>
      </c>
      <c r="D326">
        <v>79</v>
      </c>
      <c r="E326">
        <v>-0.495</v>
      </c>
      <c r="F326">
        <v>113</v>
      </c>
      <c r="G326">
        <v>3500</v>
      </c>
    </row>
    <row r="327" spans="1:7">
      <c r="A327" t="s">
        <v>140</v>
      </c>
      <c r="B327" s="1" t="s">
        <v>21</v>
      </c>
      <c r="C327">
        <v>13223</v>
      </c>
      <c r="D327">
        <v>78.5</v>
      </c>
      <c r="E327">
        <v>-0.499</v>
      </c>
      <c r="F327">
        <v>118</v>
      </c>
      <c r="G327">
        <v>3498</v>
      </c>
    </row>
    <row r="328" spans="1:7">
      <c r="A328" t="s">
        <v>140</v>
      </c>
      <c r="B328" s="1" t="s">
        <v>22</v>
      </c>
      <c r="C328">
        <v>12280</v>
      </c>
      <c r="D328">
        <v>78.599999999999994</v>
      </c>
      <c r="E328">
        <v>-0.502</v>
      </c>
      <c r="F328">
        <v>91</v>
      </c>
      <c r="G328">
        <v>3508</v>
      </c>
    </row>
    <row r="329" spans="1:7">
      <c r="A329" t="s">
        <v>140</v>
      </c>
      <c r="B329" s="1" t="s">
        <v>23</v>
      </c>
      <c r="C329">
        <v>13136</v>
      </c>
      <c r="D329">
        <v>78.099999999999994</v>
      </c>
      <c r="E329">
        <v>-0.502</v>
      </c>
      <c r="F329">
        <v>76</v>
      </c>
      <c r="G329">
        <v>3501</v>
      </c>
    </row>
    <row r="330" spans="1:7">
      <c r="A330" t="s">
        <v>140</v>
      </c>
      <c r="B330" s="1" t="s">
        <v>24</v>
      </c>
      <c r="C330">
        <v>13076</v>
      </c>
      <c r="D330">
        <v>78.900000000000006</v>
      </c>
      <c r="E330">
        <v>-0.47799999999999998</v>
      </c>
      <c r="F330">
        <v>92</v>
      </c>
      <c r="G330">
        <v>3497</v>
      </c>
    </row>
    <row r="331" spans="1:7">
      <c r="A331" t="s">
        <v>140</v>
      </c>
      <c r="B331" s="1" t="s">
        <v>25</v>
      </c>
      <c r="C331">
        <v>12107</v>
      </c>
      <c r="D331">
        <v>79.099999999999994</v>
      </c>
      <c r="E331">
        <v>-0.497</v>
      </c>
      <c r="F331">
        <v>22</v>
      </c>
      <c r="G331">
        <v>3501</v>
      </c>
    </row>
    <row r="332" spans="1:7">
      <c r="A332" t="s">
        <v>140</v>
      </c>
      <c r="B332" s="1" t="s">
        <v>26</v>
      </c>
      <c r="C332">
        <v>12906</v>
      </c>
      <c r="D332">
        <v>78.900000000000006</v>
      </c>
      <c r="E332">
        <v>-0.48099999999999998</v>
      </c>
      <c r="F332">
        <v>137</v>
      </c>
      <c r="G332">
        <v>3489</v>
      </c>
    </row>
    <row r="333" spans="1:7">
      <c r="A333" t="s">
        <v>140</v>
      </c>
      <c r="B333" s="1" t="s">
        <v>27</v>
      </c>
      <c r="C333">
        <v>13148</v>
      </c>
      <c r="D333">
        <v>78.5</v>
      </c>
      <c r="E333">
        <v>-0.498</v>
      </c>
      <c r="F333">
        <v>143</v>
      </c>
      <c r="G333">
        <v>3498</v>
      </c>
    </row>
    <row r="334" spans="1:7">
      <c r="A334" t="s">
        <v>140</v>
      </c>
      <c r="B334" s="1" t="s">
        <v>28</v>
      </c>
      <c r="C334">
        <v>13159</v>
      </c>
      <c r="D334">
        <v>78.599999999999994</v>
      </c>
      <c r="E334">
        <v>-0.48899999999999999</v>
      </c>
      <c r="F334">
        <v>102</v>
      </c>
      <c r="G334">
        <v>3487</v>
      </c>
    </row>
    <row r="335" spans="1:7">
      <c r="A335" t="s">
        <v>140</v>
      </c>
      <c r="B335" s="1" t="s">
        <v>29</v>
      </c>
      <c r="C335">
        <v>10812</v>
      </c>
      <c r="D335">
        <v>78.400000000000006</v>
      </c>
      <c r="E335">
        <v>-0.502</v>
      </c>
      <c r="F335">
        <v>25</v>
      </c>
      <c r="G335">
        <v>3477</v>
      </c>
    </row>
    <row r="336" spans="1:7">
      <c r="A336" t="s">
        <v>140</v>
      </c>
      <c r="B336" s="1" t="s">
        <v>30</v>
      </c>
      <c r="C336">
        <v>13510</v>
      </c>
      <c r="D336">
        <v>78.5</v>
      </c>
      <c r="E336">
        <v>-0.502</v>
      </c>
      <c r="F336">
        <v>112</v>
      </c>
      <c r="G336">
        <v>3505</v>
      </c>
    </row>
    <row r="337" spans="1:7">
      <c r="A337" t="s">
        <v>140</v>
      </c>
      <c r="B337" s="1" t="s">
        <v>31</v>
      </c>
      <c r="C337">
        <v>10885</v>
      </c>
      <c r="D337">
        <v>78.599999999999994</v>
      </c>
      <c r="E337">
        <v>-0.499</v>
      </c>
      <c r="F337">
        <v>20</v>
      </c>
      <c r="G337">
        <v>3507</v>
      </c>
    </row>
    <row r="338" spans="1:7">
      <c r="A338" t="s">
        <v>141</v>
      </c>
      <c r="B338" s="1" t="s">
        <v>8</v>
      </c>
      <c r="C338">
        <v>6357</v>
      </c>
      <c r="D338">
        <v>78.099999999999994</v>
      </c>
      <c r="E338">
        <v>-0.51700000000000002</v>
      </c>
      <c r="F338">
        <v>71</v>
      </c>
      <c r="G338">
        <v>3495</v>
      </c>
    </row>
    <row r="339" spans="1:7">
      <c r="A339" t="s">
        <v>141</v>
      </c>
      <c r="B339" s="1" t="s">
        <v>9</v>
      </c>
      <c r="C339">
        <v>11267</v>
      </c>
      <c r="D339">
        <v>81</v>
      </c>
      <c r="E339">
        <v>-0.45800000000000002</v>
      </c>
      <c r="F339">
        <v>47</v>
      </c>
      <c r="G339">
        <v>3490</v>
      </c>
    </row>
    <row r="340" spans="1:7">
      <c r="A340" t="s">
        <v>141</v>
      </c>
      <c r="B340" s="1" t="s">
        <v>10</v>
      </c>
      <c r="C340">
        <v>9228</v>
      </c>
      <c r="D340">
        <v>81.099999999999994</v>
      </c>
      <c r="E340">
        <v>-0.44400000000000001</v>
      </c>
      <c r="F340">
        <v>56</v>
      </c>
      <c r="G340">
        <v>3499</v>
      </c>
    </row>
    <row r="341" spans="1:7">
      <c r="A341" t="s">
        <v>141</v>
      </c>
      <c r="B341" s="1" t="s">
        <v>11</v>
      </c>
      <c r="C341">
        <v>8687</v>
      </c>
      <c r="D341">
        <v>80.5</v>
      </c>
      <c r="E341">
        <v>-0.46100000000000002</v>
      </c>
      <c r="F341">
        <v>22</v>
      </c>
      <c r="G341">
        <v>3498</v>
      </c>
    </row>
    <row r="342" spans="1:7">
      <c r="A342" t="s">
        <v>141</v>
      </c>
      <c r="B342" s="1" t="s">
        <v>12</v>
      </c>
      <c r="C342">
        <v>10710</v>
      </c>
      <c r="D342">
        <v>80.599999999999994</v>
      </c>
      <c r="E342">
        <v>-0.45300000000000001</v>
      </c>
      <c r="F342">
        <v>22</v>
      </c>
      <c r="G342">
        <v>3488</v>
      </c>
    </row>
    <row r="343" spans="1:7">
      <c r="A343" t="s">
        <v>141</v>
      </c>
      <c r="B343" s="1" t="s">
        <v>13</v>
      </c>
      <c r="C343">
        <v>10958</v>
      </c>
      <c r="D343">
        <v>78.2</v>
      </c>
      <c r="E343">
        <v>-0.502</v>
      </c>
      <c r="F343">
        <v>27</v>
      </c>
      <c r="G343">
        <v>3498</v>
      </c>
    </row>
    <row r="344" spans="1:7">
      <c r="A344" t="s">
        <v>141</v>
      </c>
      <c r="B344" s="1" t="s">
        <v>14</v>
      </c>
      <c r="C344">
        <v>11111</v>
      </c>
      <c r="D344">
        <v>78.2</v>
      </c>
      <c r="E344">
        <v>-0.503</v>
      </c>
      <c r="F344">
        <v>168</v>
      </c>
      <c r="G344">
        <v>3497</v>
      </c>
    </row>
    <row r="345" spans="1:7">
      <c r="A345" t="s">
        <v>141</v>
      </c>
      <c r="B345" s="1" t="s">
        <v>15</v>
      </c>
      <c r="C345">
        <v>11023</v>
      </c>
      <c r="D345">
        <v>80.7</v>
      </c>
      <c r="E345">
        <v>-0.44700000000000001</v>
      </c>
      <c r="F345">
        <v>82</v>
      </c>
      <c r="G345">
        <v>3501</v>
      </c>
    </row>
    <row r="346" spans="1:7">
      <c r="A346" t="s">
        <v>141</v>
      </c>
      <c r="B346" s="1" t="s">
        <v>16</v>
      </c>
      <c r="C346">
        <v>11269</v>
      </c>
      <c r="D346">
        <v>81.8</v>
      </c>
      <c r="E346">
        <v>-0.44</v>
      </c>
      <c r="F346">
        <v>152</v>
      </c>
      <c r="G346">
        <v>3492</v>
      </c>
    </row>
    <row r="347" spans="1:7">
      <c r="A347" t="s">
        <v>141</v>
      </c>
      <c r="B347" s="1" t="s">
        <v>17</v>
      </c>
      <c r="C347">
        <v>13765</v>
      </c>
      <c r="D347">
        <v>82.2</v>
      </c>
      <c r="E347">
        <v>-0.437</v>
      </c>
      <c r="F347">
        <v>84</v>
      </c>
      <c r="G347">
        <v>3466</v>
      </c>
    </row>
    <row r="348" spans="1:7">
      <c r="A348" t="s">
        <v>141</v>
      </c>
      <c r="B348" s="1" t="s">
        <v>18</v>
      </c>
      <c r="C348">
        <v>13604</v>
      </c>
      <c r="D348">
        <v>82.3</v>
      </c>
      <c r="E348">
        <v>-0.436</v>
      </c>
      <c r="F348">
        <v>111</v>
      </c>
      <c r="G348">
        <v>3521</v>
      </c>
    </row>
    <row r="349" spans="1:7">
      <c r="A349" t="s">
        <v>141</v>
      </c>
      <c r="B349" s="1" t="s">
        <v>19</v>
      </c>
      <c r="C349">
        <v>13610</v>
      </c>
      <c r="D349">
        <v>82.2</v>
      </c>
      <c r="E349">
        <v>-0.441</v>
      </c>
      <c r="F349">
        <v>188</v>
      </c>
      <c r="G349">
        <v>3497</v>
      </c>
    </row>
    <row r="350" spans="1:7">
      <c r="A350" t="s">
        <v>141</v>
      </c>
      <c r="B350" s="1" t="s">
        <v>20</v>
      </c>
      <c r="C350">
        <v>13213</v>
      </c>
      <c r="D350">
        <v>78.7</v>
      </c>
      <c r="E350">
        <v>-0.499</v>
      </c>
      <c r="F350">
        <v>95</v>
      </c>
      <c r="G350">
        <v>3501</v>
      </c>
    </row>
    <row r="351" spans="1:7">
      <c r="A351" t="s">
        <v>141</v>
      </c>
      <c r="B351" s="1" t="s">
        <v>21</v>
      </c>
      <c r="C351">
        <v>13690</v>
      </c>
      <c r="D351">
        <v>78.8</v>
      </c>
      <c r="E351">
        <v>-0.49199999999999999</v>
      </c>
      <c r="F351">
        <v>19</v>
      </c>
      <c r="G351">
        <v>3491</v>
      </c>
    </row>
    <row r="352" spans="1:7">
      <c r="A352" t="s">
        <v>141</v>
      </c>
      <c r="B352" s="1" t="s">
        <v>22</v>
      </c>
      <c r="C352">
        <v>13708</v>
      </c>
      <c r="D352">
        <v>78.900000000000006</v>
      </c>
      <c r="E352">
        <v>-0.495</v>
      </c>
      <c r="F352">
        <v>88</v>
      </c>
      <c r="G352">
        <v>3494</v>
      </c>
    </row>
    <row r="353" spans="1:7">
      <c r="A353" t="s">
        <v>141</v>
      </c>
      <c r="B353" s="1" t="s">
        <v>23</v>
      </c>
      <c r="C353">
        <v>13630</v>
      </c>
      <c r="D353">
        <v>78.8</v>
      </c>
      <c r="E353">
        <v>-0.497</v>
      </c>
      <c r="F353">
        <v>62</v>
      </c>
      <c r="G353">
        <v>3509</v>
      </c>
    </row>
    <row r="354" spans="1:7">
      <c r="A354" t="s">
        <v>141</v>
      </c>
      <c r="B354" s="1" t="s">
        <v>24</v>
      </c>
      <c r="C354">
        <v>13990</v>
      </c>
      <c r="D354">
        <v>82</v>
      </c>
      <c r="E354">
        <v>-0.436</v>
      </c>
      <c r="F354">
        <v>87</v>
      </c>
      <c r="G354">
        <v>3491</v>
      </c>
    </row>
    <row r="355" spans="1:7">
      <c r="A355" t="s">
        <v>141</v>
      </c>
      <c r="B355" s="1" t="s">
        <v>25</v>
      </c>
      <c r="C355">
        <v>14100</v>
      </c>
      <c r="D355">
        <v>80.8</v>
      </c>
      <c r="E355">
        <v>-0.49399999999999999</v>
      </c>
      <c r="F355">
        <v>118</v>
      </c>
      <c r="G355">
        <v>3446</v>
      </c>
    </row>
    <row r="356" spans="1:7">
      <c r="A356" t="s">
        <v>141</v>
      </c>
      <c r="B356" s="1" t="s">
        <v>26</v>
      </c>
      <c r="C356">
        <v>13834</v>
      </c>
      <c r="D356">
        <v>80</v>
      </c>
      <c r="E356">
        <v>-0.48799999999999999</v>
      </c>
      <c r="F356">
        <v>22</v>
      </c>
      <c r="G356">
        <v>3499</v>
      </c>
    </row>
    <row r="357" spans="1:7">
      <c r="A357" t="s">
        <v>141</v>
      </c>
      <c r="B357" s="1" t="s">
        <v>27</v>
      </c>
      <c r="C357">
        <v>17061</v>
      </c>
      <c r="D357">
        <v>78.7</v>
      </c>
      <c r="E357">
        <v>-0.47299999999999998</v>
      </c>
      <c r="F357">
        <v>26</v>
      </c>
      <c r="G357">
        <v>3488</v>
      </c>
    </row>
    <row r="358" spans="1:7">
      <c r="A358" t="s">
        <v>141</v>
      </c>
      <c r="B358" s="1" t="s">
        <v>28</v>
      </c>
      <c r="C358">
        <v>18041</v>
      </c>
      <c r="D358">
        <v>80.599999999999994</v>
      </c>
      <c r="E358">
        <v>-0.438</v>
      </c>
      <c r="F358">
        <v>118</v>
      </c>
      <c r="G358">
        <v>3499</v>
      </c>
    </row>
    <row r="359" spans="1:7">
      <c r="A359" t="s">
        <v>141</v>
      </c>
      <c r="B359" s="1" t="s">
        <v>29</v>
      </c>
      <c r="C359">
        <v>14747</v>
      </c>
      <c r="D359">
        <v>79</v>
      </c>
      <c r="E359">
        <v>-0.47799999999999998</v>
      </c>
      <c r="F359">
        <v>141</v>
      </c>
      <c r="G359">
        <v>3499</v>
      </c>
    </row>
    <row r="360" spans="1:7">
      <c r="A360" t="s">
        <v>141</v>
      </c>
      <c r="B360" s="1" t="s">
        <v>30</v>
      </c>
      <c r="C360">
        <v>11597</v>
      </c>
      <c r="D360">
        <v>79.099999999999994</v>
      </c>
      <c r="E360">
        <v>-0.48299999999999998</v>
      </c>
      <c r="F360">
        <v>82</v>
      </c>
      <c r="G360">
        <v>3505</v>
      </c>
    </row>
    <row r="361" spans="1:7">
      <c r="A361" t="s">
        <v>141</v>
      </c>
      <c r="B361" s="1" t="s">
        <v>31</v>
      </c>
      <c r="C361">
        <v>6333</v>
      </c>
      <c r="D361">
        <v>80.400000000000006</v>
      </c>
      <c r="E361">
        <v>-0.48499999999999999</v>
      </c>
      <c r="F361">
        <v>122</v>
      </c>
      <c r="G361">
        <v>3516</v>
      </c>
    </row>
    <row r="362" spans="1:7">
      <c r="A362" t="s">
        <v>142</v>
      </c>
      <c r="B362" s="1" t="s">
        <v>8</v>
      </c>
      <c r="C362">
        <v>6664</v>
      </c>
      <c r="D362">
        <v>79.599999999999994</v>
      </c>
      <c r="E362">
        <v>-0.48199999999999998</v>
      </c>
      <c r="F362">
        <v>28</v>
      </c>
      <c r="G362">
        <v>3489</v>
      </c>
    </row>
    <row r="363" spans="1:7">
      <c r="A363" t="s">
        <v>142</v>
      </c>
      <c r="B363" s="1" t="s">
        <v>9</v>
      </c>
      <c r="C363">
        <v>6171</v>
      </c>
      <c r="D363">
        <v>80.099999999999994</v>
      </c>
      <c r="E363">
        <v>-0.47799999999999998</v>
      </c>
      <c r="F363">
        <v>31</v>
      </c>
      <c r="G363">
        <v>3500</v>
      </c>
    </row>
    <row r="364" spans="1:7">
      <c r="A364" t="s">
        <v>142</v>
      </c>
      <c r="B364" s="1" t="s">
        <v>10</v>
      </c>
      <c r="C364">
        <v>6818</v>
      </c>
      <c r="D364">
        <v>81.5</v>
      </c>
      <c r="E364">
        <v>-0.47099999999999997</v>
      </c>
      <c r="F364">
        <v>26</v>
      </c>
      <c r="G364">
        <v>3523</v>
      </c>
    </row>
    <row r="365" spans="1:7">
      <c r="A365" t="s">
        <v>142</v>
      </c>
      <c r="B365" s="1" t="s">
        <v>11</v>
      </c>
      <c r="C365">
        <v>8126</v>
      </c>
      <c r="D365">
        <v>80.8</v>
      </c>
      <c r="E365">
        <v>-0.46200000000000002</v>
      </c>
      <c r="F365">
        <v>114</v>
      </c>
      <c r="G365">
        <v>3483</v>
      </c>
    </row>
    <row r="366" spans="1:7">
      <c r="A366" t="s">
        <v>142</v>
      </c>
      <c r="B366" s="1" t="s">
        <v>12</v>
      </c>
      <c r="C366">
        <v>16898</v>
      </c>
      <c r="D366">
        <v>80</v>
      </c>
      <c r="E366">
        <v>-0.44700000000000001</v>
      </c>
      <c r="F366">
        <v>56</v>
      </c>
      <c r="G366">
        <v>4526</v>
      </c>
    </row>
    <row r="367" spans="1:7">
      <c r="A367" t="s">
        <v>142</v>
      </c>
      <c r="B367" s="1" t="s">
        <v>13</v>
      </c>
      <c r="C367">
        <v>18395</v>
      </c>
      <c r="D367">
        <v>81.3</v>
      </c>
      <c r="E367">
        <v>-0.437</v>
      </c>
      <c r="F367">
        <v>196</v>
      </c>
      <c r="G367">
        <v>5870</v>
      </c>
    </row>
    <row r="368" spans="1:7">
      <c r="A368" t="s">
        <v>142</v>
      </c>
      <c r="B368" s="1" t="s">
        <v>14</v>
      </c>
      <c r="C368">
        <v>18130</v>
      </c>
      <c r="D368">
        <v>79.400000000000006</v>
      </c>
      <c r="E368">
        <v>-0.443</v>
      </c>
      <c r="F368">
        <v>77</v>
      </c>
      <c r="G368">
        <v>5994</v>
      </c>
    </row>
    <row r="369" spans="1:7">
      <c r="A369" t="s">
        <v>142</v>
      </c>
      <c r="B369" s="1" t="s">
        <v>15</v>
      </c>
      <c r="C369">
        <v>13844</v>
      </c>
      <c r="D369">
        <v>79.099999999999994</v>
      </c>
      <c r="E369">
        <v>-0.437</v>
      </c>
      <c r="F369">
        <v>68</v>
      </c>
      <c r="G369">
        <v>5999</v>
      </c>
    </row>
    <row r="370" spans="1:7">
      <c r="A370" t="s">
        <v>142</v>
      </c>
      <c r="B370" s="1" t="s">
        <v>16</v>
      </c>
      <c r="C370">
        <v>14956</v>
      </c>
      <c r="D370">
        <v>79.5</v>
      </c>
      <c r="E370">
        <v>-0.42799999999999999</v>
      </c>
      <c r="F370">
        <v>31</v>
      </c>
      <c r="G370">
        <v>5985</v>
      </c>
    </row>
    <row r="371" spans="1:7">
      <c r="A371" t="s">
        <v>142</v>
      </c>
      <c r="B371" s="1" t="s">
        <v>17</v>
      </c>
      <c r="C371">
        <v>13240</v>
      </c>
      <c r="D371">
        <v>78</v>
      </c>
      <c r="E371">
        <v>-0.45800000000000002</v>
      </c>
      <c r="F371">
        <v>98</v>
      </c>
      <c r="G371">
        <v>5989</v>
      </c>
    </row>
    <row r="372" spans="1:7">
      <c r="A372" t="s">
        <v>142</v>
      </c>
      <c r="B372" s="1" t="s">
        <v>18</v>
      </c>
      <c r="C372">
        <v>14661</v>
      </c>
      <c r="D372">
        <v>79.5</v>
      </c>
      <c r="E372">
        <v>-0.432</v>
      </c>
      <c r="F372">
        <v>51</v>
      </c>
      <c r="G372">
        <v>5999</v>
      </c>
    </row>
    <row r="373" spans="1:7">
      <c r="A373" t="s">
        <v>142</v>
      </c>
      <c r="B373" s="1" t="s">
        <v>19</v>
      </c>
      <c r="C373">
        <v>14148</v>
      </c>
      <c r="D373">
        <v>79.099999999999994</v>
      </c>
      <c r="E373">
        <v>-0.43099999999999999</v>
      </c>
      <c r="F373">
        <v>31</v>
      </c>
      <c r="G373">
        <v>5996</v>
      </c>
    </row>
    <row r="374" spans="1:7">
      <c r="A374" t="s">
        <v>142</v>
      </c>
      <c r="B374" s="1" t="s">
        <v>20</v>
      </c>
      <c r="C374">
        <v>13809</v>
      </c>
      <c r="D374">
        <v>78.5</v>
      </c>
      <c r="E374">
        <v>-0.441</v>
      </c>
      <c r="F374">
        <v>33</v>
      </c>
      <c r="G374">
        <v>5995</v>
      </c>
    </row>
    <row r="375" spans="1:7">
      <c r="A375" t="s">
        <v>142</v>
      </c>
      <c r="B375" s="1" t="s">
        <v>21</v>
      </c>
      <c r="C375">
        <v>13072</v>
      </c>
      <c r="D375">
        <v>77.900000000000006</v>
      </c>
      <c r="E375">
        <v>-0.44800000000000001</v>
      </c>
      <c r="F375">
        <v>23</v>
      </c>
      <c r="G375">
        <v>6007</v>
      </c>
    </row>
    <row r="376" spans="1:7">
      <c r="A376" t="s">
        <v>142</v>
      </c>
      <c r="B376" s="1" t="s">
        <v>22</v>
      </c>
      <c r="C376">
        <v>14023</v>
      </c>
      <c r="D376">
        <v>78.599999999999994</v>
      </c>
      <c r="E376">
        <v>-0.44400000000000001</v>
      </c>
      <c r="F376">
        <v>151</v>
      </c>
      <c r="G376">
        <v>6006</v>
      </c>
    </row>
    <row r="377" spans="1:7">
      <c r="A377" t="s">
        <v>142</v>
      </c>
      <c r="B377" s="1" t="s">
        <v>23</v>
      </c>
      <c r="C377">
        <v>14001</v>
      </c>
      <c r="D377">
        <v>78.7</v>
      </c>
      <c r="E377">
        <v>-0.432</v>
      </c>
      <c r="F377">
        <v>153</v>
      </c>
      <c r="G377">
        <v>6001</v>
      </c>
    </row>
    <row r="378" spans="1:7">
      <c r="A378" t="s">
        <v>142</v>
      </c>
      <c r="B378" s="1" t="s">
        <v>24</v>
      </c>
      <c r="C378">
        <v>14361</v>
      </c>
      <c r="D378">
        <v>79.099999999999994</v>
      </c>
      <c r="E378">
        <v>-0.432</v>
      </c>
      <c r="F378">
        <v>87</v>
      </c>
      <c r="G378">
        <v>5995</v>
      </c>
    </row>
    <row r="379" spans="1:7">
      <c r="A379" t="s">
        <v>142</v>
      </c>
      <c r="B379" s="1" t="s">
        <v>25</v>
      </c>
      <c r="C379">
        <v>14031</v>
      </c>
      <c r="D379">
        <v>79.400000000000006</v>
      </c>
      <c r="E379">
        <v>-0.42299999999999999</v>
      </c>
      <c r="F379">
        <v>105</v>
      </c>
      <c r="G379">
        <v>5993</v>
      </c>
    </row>
    <row r="380" spans="1:7">
      <c r="A380" t="s">
        <v>142</v>
      </c>
      <c r="B380" s="1" t="s">
        <v>26</v>
      </c>
      <c r="C380">
        <v>14031</v>
      </c>
      <c r="D380">
        <v>79.3</v>
      </c>
      <c r="E380">
        <v>-0.435</v>
      </c>
      <c r="F380">
        <v>30</v>
      </c>
      <c r="G380">
        <v>6006</v>
      </c>
    </row>
    <row r="381" spans="1:7">
      <c r="A381" t="s">
        <v>142</v>
      </c>
      <c r="B381" s="1" t="s">
        <v>27</v>
      </c>
      <c r="C381">
        <v>14338</v>
      </c>
      <c r="D381">
        <v>79.3</v>
      </c>
      <c r="E381">
        <v>-0.42699999999999999</v>
      </c>
      <c r="F381">
        <v>24</v>
      </c>
      <c r="G381">
        <v>5993</v>
      </c>
    </row>
    <row r="382" spans="1:7">
      <c r="A382" t="s">
        <v>142</v>
      </c>
      <c r="B382" s="1" t="s">
        <v>28</v>
      </c>
      <c r="C382">
        <v>13840</v>
      </c>
      <c r="D382">
        <v>79</v>
      </c>
      <c r="E382">
        <v>-0.42499999999999999</v>
      </c>
      <c r="F382">
        <v>91</v>
      </c>
      <c r="G382">
        <v>5983</v>
      </c>
    </row>
    <row r="383" spans="1:7">
      <c r="A383" t="s">
        <v>142</v>
      </c>
      <c r="B383" s="1" t="s">
        <v>29</v>
      </c>
      <c r="C383">
        <v>13225</v>
      </c>
      <c r="D383">
        <v>78.3</v>
      </c>
      <c r="E383">
        <v>-0.43</v>
      </c>
      <c r="F383">
        <v>91</v>
      </c>
      <c r="G383">
        <v>5998</v>
      </c>
    </row>
    <row r="384" spans="1:7">
      <c r="A384" t="s">
        <v>142</v>
      </c>
      <c r="B384" s="1" t="s">
        <v>30</v>
      </c>
      <c r="C384">
        <v>12964</v>
      </c>
      <c r="D384">
        <v>79.599999999999994</v>
      </c>
      <c r="E384">
        <v>-0.42099999999999999</v>
      </c>
      <c r="F384">
        <v>85</v>
      </c>
      <c r="G384">
        <v>6007</v>
      </c>
    </row>
    <row r="385" spans="1:7">
      <c r="A385" t="s">
        <v>142</v>
      </c>
      <c r="B385" s="1" t="s">
        <v>31</v>
      </c>
      <c r="C385">
        <v>5286</v>
      </c>
      <c r="D385">
        <v>78.900000000000006</v>
      </c>
      <c r="E385">
        <v>-0.44600000000000001</v>
      </c>
      <c r="F385">
        <v>84</v>
      </c>
      <c r="G385">
        <v>5384</v>
      </c>
    </row>
    <row r="386" spans="1:7">
      <c r="A386" t="s">
        <v>143</v>
      </c>
      <c r="B386" s="1" t="s">
        <v>8</v>
      </c>
      <c r="C386">
        <v>5787</v>
      </c>
      <c r="D386">
        <v>79.599999999999994</v>
      </c>
      <c r="E386">
        <v>-0.47599999999999998</v>
      </c>
      <c r="F386">
        <v>22</v>
      </c>
      <c r="G386">
        <v>3998</v>
      </c>
    </row>
    <row r="387" spans="1:7">
      <c r="A387" t="s">
        <v>143</v>
      </c>
      <c r="B387" s="1" t="s">
        <v>9</v>
      </c>
      <c r="C387">
        <v>5407</v>
      </c>
      <c r="D387">
        <v>77.7</v>
      </c>
      <c r="E387">
        <v>-0.497</v>
      </c>
      <c r="F387">
        <v>69</v>
      </c>
      <c r="G387">
        <v>3998</v>
      </c>
    </row>
    <row r="388" spans="1:7">
      <c r="A388" t="s">
        <v>143</v>
      </c>
      <c r="B388" s="1" t="s">
        <v>10</v>
      </c>
      <c r="C388">
        <v>5130</v>
      </c>
      <c r="D388">
        <v>79.3</v>
      </c>
      <c r="E388">
        <v>-0.46100000000000002</v>
      </c>
      <c r="F388">
        <v>106</v>
      </c>
      <c r="G388">
        <v>3982</v>
      </c>
    </row>
    <row r="389" spans="1:7">
      <c r="A389" t="s">
        <v>143</v>
      </c>
      <c r="B389" s="1" t="s">
        <v>11</v>
      </c>
      <c r="C389">
        <v>7244</v>
      </c>
      <c r="D389">
        <v>79.7</v>
      </c>
      <c r="E389">
        <v>-0.44</v>
      </c>
      <c r="F389">
        <v>29</v>
      </c>
      <c r="G389">
        <v>3990</v>
      </c>
    </row>
    <row r="390" spans="1:7">
      <c r="A390" t="s">
        <v>143</v>
      </c>
      <c r="B390" s="1" t="s">
        <v>12</v>
      </c>
      <c r="C390">
        <v>15436</v>
      </c>
      <c r="D390">
        <v>79.599999999999994</v>
      </c>
      <c r="E390">
        <v>-0.46500000000000002</v>
      </c>
      <c r="F390">
        <v>28</v>
      </c>
      <c r="G390">
        <v>4703</v>
      </c>
    </row>
    <row r="391" spans="1:7">
      <c r="A391" t="s">
        <v>143</v>
      </c>
      <c r="B391" s="1" t="s">
        <v>13</v>
      </c>
      <c r="C391">
        <v>16684</v>
      </c>
      <c r="D391">
        <v>78.900000000000006</v>
      </c>
      <c r="E391">
        <v>-0.44800000000000001</v>
      </c>
      <c r="F391">
        <v>61</v>
      </c>
      <c r="G391">
        <v>5568</v>
      </c>
    </row>
    <row r="392" spans="1:7">
      <c r="A392" t="s">
        <v>143</v>
      </c>
      <c r="B392" s="1" t="s">
        <v>14</v>
      </c>
      <c r="C392">
        <v>16460</v>
      </c>
      <c r="D392">
        <v>78.599999999999994</v>
      </c>
      <c r="E392">
        <v>-0.42499999999999999</v>
      </c>
      <c r="F392">
        <v>78</v>
      </c>
      <c r="G392">
        <v>5988</v>
      </c>
    </row>
    <row r="393" spans="1:7">
      <c r="A393" t="s">
        <v>143</v>
      </c>
      <c r="B393" s="1" t="s">
        <v>15</v>
      </c>
      <c r="C393">
        <v>14269</v>
      </c>
      <c r="D393">
        <v>78.8</v>
      </c>
      <c r="E393">
        <v>-0.42699999999999999</v>
      </c>
      <c r="F393">
        <v>96</v>
      </c>
      <c r="G393">
        <v>6004</v>
      </c>
    </row>
    <row r="394" spans="1:7">
      <c r="A394" t="s">
        <v>143</v>
      </c>
      <c r="B394" s="1" t="s">
        <v>16</v>
      </c>
      <c r="C394">
        <v>13628</v>
      </c>
      <c r="D394">
        <v>78.400000000000006</v>
      </c>
      <c r="E394">
        <v>-0.42899999999999999</v>
      </c>
      <c r="F394">
        <v>50</v>
      </c>
      <c r="G394">
        <v>5990</v>
      </c>
    </row>
    <row r="395" spans="1:7">
      <c r="A395" t="s">
        <v>143</v>
      </c>
      <c r="B395" s="1" t="s">
        <v>17</v>
      </c>
      <c r="C395">
        <v>14060</v>
      </c>
      <c r="D395">
        <v>78.599999999999994</v>
      </c>
      <c r="E395">
        <v>-0.42899999999999999</v>
      </c>
      <c r="F395">
        <v>80</v>
      </c>
      <c r="G395">
        <v>6004</v>
      </c>
    </row>
    <row r="396" spans="1:7">
      <c r="A396" t="s">
        <v>143</v>
      </c>
      <c r="B396" s="1" t="s">
        <v>18</v>
      </c>
      <c r="C396">
        <v>14752</v>
      </c>
      <c r="D396">
        <v>78.900000000000006</v>
      </c>
      <c r="E396">
        <v>-0.42799999999999999</v>
      </c>
      <c r="F396">
        <v>77</v>
      </c>
      <c r="G396">
        <v>6001</v>
      </c>
    </row>
    <row r="397" spans="1:7">
      <c r="A397" t="s">
        <v>143</v>
      </c>
      <c r="B397" s="1" t="s">
        <v>19</v>
      </c>
      <c r="C397">
        <v>13582</v>
      </c>
      <c r="D397">
        <v>79.2</v>
      </c>
      <c r="E397">
        <v>-0.435</v>
      </c>
      <c r="F397">
        <v>95</v>
      </c>
      <c r="G397">
        <v>5982</v>
      </c>
    </row>
    <row r="398" spans="1:7">
      <c r="A398" t="s">
        <v>143</v>
      </c>
      <c r="B398" s="1" t="s">
        <v>20</v>
      </c>
      <c r="C398">
        <v>12825</v>
      </c>
      <c r="D398">
        <v>78</v>
      </c>
      <c r="E398">
        <v>-0.438</v>
      </c>
      <c r="F398">
        <v>68</v>
      </c>
      <c r="G398">
        <v>5995</v>
      </c>
    </row>
    <row r="399" spans="1:7">
      <c r="A399" t="s">
        <v>143</v>
      </c>
      <c r="B399" s="1" t="s">
        <v>21</v>
      </c>
      <c r="C399">
        <v>13888</v>
      </c>
      <c r="D399">
        <v>79</v>
      </c>
      <c r="E399">
        <v>-0.42899999999999999</v>
      </c>
      <c r="F399">
        <v>37</v>
      </c>
      <c r="G399">
        <v>5997</v>
      </c>
    </row>
    <row r="400" spans="1:7">
      <c r="A400" t="s">
        <v>143</v>
      </c>
      <c r="B400" s="1" t="s">
        <v>22</v>
      </c>
      <c r="C400">
        <v>15279</v>
      </c>
      <c r="D400">
        <v>78.7</v>
      </c>
      <c r="E400">
        <v>-0.436</v>
      </c>
      <c r="F400">
        <v>93</v>
      </c>
      <c r="G400">
        <v>6011</v>
      </c>
    </row>
    <row r="401" spans="1:7">
      <c r="A401" t="s">
        <v>143</v>
      </c>
      <c r="B401" s="1" t="s">
        <v>23</v>
      </c>
      <c r="C401">
        <v>15170</v>
      </c>
      <c r="D401">
        <v>79</v>
      </c>
      <c r="E401">
        <v>-0.42699999999999999</v>
      </c>
      <c r="F401">
        <v>171</v>
      </c>
      <c r="G401">
        <v>5987</v>
      </c>
    </row>
    <row r="402" spans="1:7">
      <c r="A402" t="s">
        <v>143</v>
      </c>
      <c r="B402" s="1" t="s">
        <v>24</v>
      </c>
      <c r="C402">
        <v>14356</v>
      </c>
      <c r="D402">
        <v>78.599999999999994</v>
      </c>
      <c r="E402">
        <v>-0.432</v>
      </c>
      <c r="F402">
        <v>122</v>
      </c>
      <c r="G402">
        <v>6011</v>
      </c>
    </row>
    <row r="403" spans="1:7">
      <c r="A403" t="s">
        <v>143</v>
      </c>
      <c r="B403" s="1" t="s">
        <v>25</v>
      </c>
      <c r="C403">
        <v>14616</v>
      </c>
      <c r="D403">
        <v>79</v>
      </c>
      <c r="E403">
        <v>-0.42499999999999999</v>
      </c>
      <c r="F403">
        <v>103</v>
      </c>
      <c r="G403">
        <v>6013</v>
      </c>
    </row>
    <row r="404" spans="1:7">
      <c r="A404" t="s">
        <v>143</v>
      </c>
      <c r="B404" s="1" t="s">
        <v>26</v>
      </c>
      <c r="C404">
        <v>13592</v>
      </c>
      <c r="D404">
        <v>78.599999999999994</v>
      </c>
      <c r="E404">
        <v>-0.435</v>
      </c>
      <c r="F404">
        <v>117</v>
      </c>
      <c r="G404">
        <v>6022</v>
      </c>
    </row>
    <row r="405" spans="1:7">
      <c r="A405" t="s">
        <v>143</v>
      </c>
      <c r="B405" s="1" t="s">
        <v>27</v>
      </c>
      <c r="C405">
        <v>13955</v>
      </c>
      <c r="D405">
        <v>78.599999999999994</v>
      </c>
      <c r="E405">
        <v>-0.434</v>
      </c>
      <c r="F405">
        <v>25</v>
      </c>
      <c r="G405">
        <v>5995</v>
      </c>
    </row>
    <row r="406" spans="1:7">
      <c r="A406" t="s">
        <v>143</v>
      </c>
      <c r="B406" s="1" t="s">
        <v>28</v>
      </c>
      <c r="C406">
        <v>13921</v>
      </c>
      <c r="D406">
        <v>78.7</v>
      </c>
      <c r="E406">
        <v>-0.43099999999999999</v>
      </c>
      <c r="F406">
        <v>79</v>
      </c>
      <c r="G406">
        <v>6006</v>
      </c>
    </row>
    <row r="407" spans="1:7">
      <c r="A407" t="s">
        <v>143</v>
      </c>
      <c r="B407" s="1" t="s">
        <v>29</v>
      </c>
      <c r="C407">
        <v>13398</v>
      </c>
      <c r="D407">
        <v>77.7</v>
      </c>
      <c r="E407">
        <v>-0.441</v>
      </c>
      <c r="F407">
        <v>33</v>
      </c>
      <c r="G407">
        <v>6007</v>
      </c>
    </row>
    <row r="408" spans="1:7">
      <c r="A408" t="s">
        <v>143</v>
      </c>
      <c r="B408" s="1" t="s">
        <v>30</v>
      </c>
      <c r="C408">
        <v>12222</v>
      </c>
      <c r="D408">
        <v>78.099999999999994</v>
      </c>
      <c r="E408">
        <v>-0.437</v>
      </c>
      <c r="F408">
        <v>70</v>
      </c>
      <c r="G408">
        <v>5988</v>
      </c>
    </row>
    <row r="409" spans="1:7">
      <c r="A409" t="s">
        <v>143</v>
      </c>
      <c r="B409" s="1" t="s">
        <v>31</v>
      </c>
      <c r="C409">
        <v>6793</v>
      </c>
      <c r="D409">
        <v>81.5</v>
      </c>
      <c r="E409">
        <v>-0.432</v>
      </c>
      <c r="F409">
        <v>69</v>
      </c>
      <c r="G409">
        <v>3996</v>
      </c>
    </row>
    <row r="410" spans="1:7">
      <c r="A410" t="s">
        <v>144</v>
      </c>
      <c r="B410" s="1" t="s">
        <v>8</v>
      </c>
      <c r="C410">
        <v>6499</v>
      </c>
      <c r="D410">
        <v>79.7</v>
      </c>
      <c r="E410">
        <v>-0.47499999999999998</v>
      </c>
      <c r="F410">
        <v>69</v>
      </c>
      <c r="G410">
        <v>4003</v>
      </c>
    </row>
    <row r="411" spans="1:7">
      <c r="A411" t="s">
        <v>144</v>
      </c>
      <c r="B411" s="1" t="s">
        <v>9</v>
      </c>
      <c r="C411">
        <v>5403</v>
      </c>
      <c r="D411">
        <v>79.3</v>
      </c>
      <c r="E411">
        <v>-0.46100000000000002</v>
      </c>
      <c r="F411">
        <v>69</v>
      </c>
      <c r="G411">
        <v>4004</v>
      </c>
    </row>
    <row r="412" spans="1:7">
      <c r="A412" t="s">
        <v>144</v>
      </c>
      <c r="B412" s="1" t="s">
        <v>10</v>
      </c>
      <c r="C412">
        <v>7446</v>
      </c>
      <c r="D412">
        <v>81.599999999999994</v>
      </c>
      <c r="E412">
        <v>-0.434</v>
      </c>
      <c r="F412">
        <v>65</v>
      </c>
      <c r="G412">
        <v>4009</v>
      </c>
    </row>
    <row r="413" spans="1:7">
      <c r="A413" t="s">
        <v>144</v>
      </c>
      <c r="B413" s="1" t="s">
        <v>11</v>
      </c>
      <c r="C413">
        <v>8599</v>
      </c>
      <c r="D413">
        <v>81</v>
      </c>
      <c r="E413">
        <v>-0.436</v>
      </c>
      <c r="F413">
        <v>23</v>
      </c>
      <c r="G413">
        <v>3995</v>
      </c>
    </row>
    <row r="414" spans="1:7">
      <c r="A414" t="s">
        <v>144</v>
      </c>
      <c r="B414" s="1" t="s">
        <v>12</v>
      </c>
      <c r="C414">
        <v>15366</v>
      </c>
      <c r="D414">
        <v>77.900000000000006</v>
      </c>
      <c r="E414">
        <v>-0.47099999999999997</v>
      </c>
      <c r="F414">
        <v>64</v>
      </c>
      <c r="G414">
        <v>4997</v>
      </c>
    </row>
    <row r="415" spans="1:7">
      <c r="A415" t="s">
        <v>144</v>
      </c>
      <c r="B415" s="1" t="s">
        <v>13</v>
      </c>
      <c r="C415">
        <v>17553</v>
      </c>
      <c r="D415">
        <v>78.099999999999994</v>
      </c>
      <c r="E415">
        <v>-0.45500000000000002</v>
      </c>
      <c r="F415">
        <v>84</v>
      </c>
      <c r="G415">
        <v>5999</v>
      </c>
    </row>
    <row r="416" spans="1:7">
      <c r="A416" t="s">
        <v>144</v>
      </c>
      <c r="B416" s="1" t="s">
        <v>14</v>
      </c>
      <c r="C416">
        <v>17589</v>
      </c>
      <c r="D416">
        <v>78.900000000000006</v>
      </c>
      <c r="E416">
        <v>-0.42</v>
      </c>
      <c r="F416">
        <v>82</v>
      </c>
      <c r="G416">
        <v>5992</v>
      </c>
    </row>
    <row r="417" spans="1:7">
      <c r="A417" t="s">
        <v>144</v>
      </c>
      <c r="B417" s="1" t="s">
        <v>15</v>
      </c>
      <c r="C417">
        <v>14456</v>
      </c>
      <c r="D417">
        <v>79</v>
      </c>
      <c r="E417">
        <v>-0.42</v>
      </c>
      <c r="F417">
        <v>97</v>
      </c>
      <c r="G417">
        <v>5986</v>
      </c>
    </row>
    <row r="418" spans="1:7">
      <c r="A418" t="s">
        <v>144</v>
      </c>
      <c r="B418" s="1" t="s">
        <v>16</v>
      </c>
      <c r="C418">
        <v>14375</v>
      </c>
      <c r="D418">
        <v>78</v>
      </c>
      <c r="E418">
        <v>-0.432</v>
      </c>
      <c r="F418">
        <v>82</v>
      </c>
      <c r="G418">
        <v>6011</v>
      </c>
    </row>
    <row r="419" spans="1:7">
      <c r="A419" t="s">
        <v>144</v>
      </c>
      <c r="B419" s="1" t="s">
        <v>17</v>
      </c>
      <c r="C419">
        <v>12941</v>
      </c>
      <c r="D419">
        <v>77.599999999999994</v>
      </c>
      <c r="E419">
        <v>-0.441</v>
      </c>
      <c r="F419">
        <v>137</v>
      </c>
      <c r="G419">
        <v>6001</v>
      </c>
    </row>
    <row r="420" spans="1:7">
      <c r="A420" t="s">
        <v>144</v>
      </c>
      <c r="B420" s="1" t="s">
        <v>18</v>
      </c>
      <c r="C420">
        <v>14002</v>
      </c>
      <c r="D420">
        <v>78.7</v>
      </c>
      <c r="E420">
        <v>-0.42899999999999999</v>
      </c>
      <c r="F420">
        <v>78</v>
      </c>
      <c r="G420">
        <v>6000</v>
      </c>
    </row>
    <row r="421" spans="1:7">
      <c r="A421" t="s">
        <v>144</v>
      </c>
      <c r="B421" s="1" t="s">
        <v>19</v>
      </c>
      <c r="C421">
        <v>13379</v>
      </c>
      <c r="D421">
        <v>78.400000000000006</v>
      </c>
      <c r="E421">
        <v>-0.432</v>
      </c>
      <c r="F421">
        <v>100</v>
      </c>
      <c r="G421">
        <v>5984</v>
      </c>
    </row>
    <row r="422" spans="1:7">
      <c r="A422" t="s">
        <v>144</v>
      </c>
      <c r="B422" s="1" t="s">
        <v>20</v>
      </c>
      <c r="C422">
        <v>12180</v>
      </c>
      <c r="D422">
        <v>77.5</v>
      </c>
      <c r="E422">
        <v>-0.443</v>
      </c>
      <c r="F422">
        <v>136</v>
      </c>
      <c r="G422">
        <v>6002</v>
      </c>
    </row>
    <row r="423" spans="1:7">
      <c r="A423" t="s">
        <v>144</v>
      </c>
      <c r="B423" s="1" t="s">
        <v>21</v>
      </c>
      <c r="C423">
        <v>12419</v>
      </c>
      <c r="D423">
        <v>77.8</v>
      </c>
      <c r="E423">
        <v>-0.436</v>
      </c>
      <c r="F423">
        <v>205</v>
      </c>
      <c r="G423">
        <v>5975</v>
      </c>
    </row>
    <row r="424" spans="1:7">
      <c r="A424" t="s">
        <v>144</v>
      </c>
      <c r="B424" s="1" t="s">
        <v>22</v>
      </c>
      <c r="C424">
        <v>11777</v>
      </c>
      <c r="D424">
        <v>77.2</v>
      </c>
      <c r="E424">
        <v>-0.44500000000000001</v>
      </c>
      <c r="F424">
        <v>86</v>
      </c>
      <c r="G424">
        <v>5999</v>
      </c>
    </row>
    <row r="425" spans="1:7">
      <c r="A425" t="s">
        <v>144</v>
      </c>
      <c r="B425" s="1" t="s">
        <v>23</v>
      </c>
      <c r="C425">
        <v>12514</v>
      </c>
      <c r="D425">
        <v>77.400000000000006</v>
      </c>
      <c r="E425">
        <v>-0.45300000000000001</v>
      </c>
      <c r="F425">
        <v>23</v>
      </c>
      <c r="G425">
        <v>5998</v>
      </c>
    </row>
    <row r="426" spans="1:7">
      <c r="A426" t="s">
        <v>144</v>
      </c>
      <c r="B426" s="1" t="s">
        <v>24</v>
      </c>
      <c r="C426">
        <v>12048</v>
      </c>
      <c r="D426">
        <v>77.400000000000006</v>
      </c>
      <c r="E426">
        <v>-0.45500000000000002</v>
      </c>
      <c r="F426">
        <v>57</v>
      </c>
      <c r="G426">
        <v>6000</v>
      </c>
    </row>
    <row r="427" spans="1:7">
      <c r="A427" t="s">
        <v>144</v>
      </c>
      <c r="B427" s="1" t="s">
        <v>25</v>
      </c>
      <c r="C427">
        <v>13675</v>
      </c>
      <c r="D427">
        <v>78.400000000000006</v>
      </c>
      <c r="E427">
        <v>-0.441</v>
      </c>
      <c r="F427">
        <v>72</v>
      </c>
      <c r="G427">
        <v>6001</v>
      </c>
    </row>
    <row r="428" spans="1:7">
      <c r="A428" t="s">
        <v>144</v>
      </c>
      <c r="B428" s="1" t="s">
        <v>26</v>
      </c>
      <c r="C428">
        <v>14355</v>
      </c>
      <c r="D428">
        <v>78.400000000000006</v>
      </c>
      <c r="E428">
        <v>-0.44</v>
      </c>
      <c r="F428">
        <v>75</v>
      </c>
      <c r="G428">
        <v>5987</v>
      </c>
    </row>
    <row r="429" spans="1:7">
      <c r="A429" t="s">
        <v>144</v>
      </c>
      <c r="B429" s="1" t="s">
        <v>27</v>
      </c>
      <c r="C429">
        <v>14155</v>
      </c>
      <c r="D429">
        <v>78.3</v>
      </c>
      <c r="E429">
        <v>-0.438</v>
      </c>
      <c r="F429">
        <v>77</v>
      </c>
      <c r="G429">
        <v>6005</v>
      </c>
    </row>
    <row r="430" spans="1:7">
      <c r="A430" t="s">
        <v>144</v>
      </c>
      <c r="B430" s="1" t="s">
        <v>28</v>
      </c>
      <c r="C430">
        <v>14432</v>
      </c>
      <c r="D430">
        <v>78.599999999999994</v>
      </c>
      <c r="E430">
        <v>-0.42899999999999999</v>
      </c>
      <c r="F430">
        <v>206</v>
      </c>
      <c r="G430">
        <v>5984</v>
      </c>
    </row>
    <row r="431" spans="1:7">
      <c r="A431" t="s">
        <v>144</v>
      </c>
      <c r="B431" s="1" t="s">
        <v>29</v>
      </c>
      <c r="C431">
        <v>14768</v>
      </c>
      <c r="D431">
        <v>78.599999999999994</v>
      </c>
      <c r="E431">
        <v>-0.437</v>
      </c>
      <c r="F431">
        <v>87</v>
      </c>
      <c r="G431">
        <v>6000</v>
      </c>
    </row>
    <row r="432" spans="1:7">
      <c r="A432" t="s">
        <v>144</v>
      </c>
      <c r="B432" s="1" t="s">
        <v>30</v>
      </c>
      <c r="C432">
        <v>12567</v>
      </c>
      <c r="D432">
        <v>78.3</v>
      </c>
      <c r="E432">
        <v>-0.45300000000000001</v>
      </c>
      <c r="F432">
        <v>84</v>
      </c>
      <c r="G432">
        <v>6065</v>
      </c>
    </row>
    <row r="433" spans="1:7">
      <c r="A433" t="s">
        <v>144</v>
      </c>
      <c r="B433" s="1" t="s">
        <v>31</v>
      </c>
      <c r="C433">
        <v>6041</v>
      </c>
      <c r="D433">
        <v>78.3</v>
      </c>
      <c r="E433">
        <v>-0.46</v>
      </c>
      <c r="F433">
        <v>104</v>
      </c>
      <c r="G433">
        <v>5997</v>
      </c>
    </row>
    <row r="434" spans="1:7">
      <c r="A434" t="s">
        <v>145</v>
      </c>
      <c r="B434" s="1" t="s">
        <v>8</v>
      </c>
      <c r="C434">
        <v>5839</v>
      </c>
      <c r="D434">
        <v>78.8</v>
      </c>
      <c r="E434">
        <v>-0.496</v>
      </c>
      <c r="F434">
        <v>92</v>
      </c>
      <c r="G434">
        <v>4005</v>
      </c>
    </row>
    <row r="435" spans="1:7">
      <c r="A435" t="s">
        <v>145</v>
      </c>
      <c r="B435" s="1" t="s">
        <v>9</v>
      </c>
      <c r="C435">
        <v>5682</v>
      </c>
      <c r="D435">
        <v>79.400000000000006</v>
      </c>
      <c r="E435">
        <v>-0.45900000000000002</v>
      </c>
      <c r="F435">
        <v>104</v>
      </c>
      <c r="G435">
        <v>3981</v>
      </c>
    </row>
    <row r="436" spans="1:7">
      <c r="A436" t="s">
        <v>145</v>
      </c>
      <c r="B436" s="1" t="s">
        <v>10</v>
      </c>
      <c r="C436">
        <v>6050</v>
      </c>
      <c r="D436">
        <v>80.900000000000006</v>
      </c>
      <c r="E436">
        <v>-0.44800000000000001</v>
      </c>
      <c r="F436">
        <v>25</v>
      </c>
      <c r="G436">
        <v>4000</v>
      </c>
    </row>
    <row r="437" spans="1:7">
      <c r="A437" t="s">
        <v>145</v>
      </c>
      <c r="B437" s="1" t="s">
        <v>11</v>
      </c>
      <c r="C437">
        <v>7827</v>
      </c>
      <c r="D437">
        <v>80.599999999999994</v>
      </c>
      <c r="E437">
        <v>-0.45200000000000001</v>
      </c>
      <c r="F437">
        <v>96</v>
      </c>
      <c r="G437">
        <v>4015</v>
      </c>
    </row>
    <row r="438" spans="1:7">
      <c r="A438" t="s">
        <v>145</v>
      </c>
      <c r="B438" s="1" t="s">
        <v>12</v>
      </c>
      <c r="C438">
        <v>12943</v>
      </c>
      <c r="D438">
        <v>79.5</v>
      </c>
      <c r="E438">
        <v>-0.46400000000000002</v>
      </c>
      <c r="F438">
        <v>213</v>
      </c>
      <c r="G438">
        <v>4279</v>
      </c>
    </row>
    <row r="439" spans="1:7">
      <c r="A439" t="s">
        <v>145</v>
      </c>
      <c r="B439" s="1" t="s">
        <v>13</v>
      </c>
      <c r="C439">
        <v>15770</v>
      </c>
      <c r="D439">
        <v>79.3</v>
      </c>
      <c r="E439">
        <v>-0.46600000000000003</v>
      </c>
      <c r="F439">
        <v>75</v>
      </c>
      <c r="G439">
        <v>5004</v>
      </c>
    </row>
    <row r="440" spans="1:7">
      <c r="A440" t="s">
        <v>145</v>
      </c>
      <c r="B440" s="1" t="s">
        <v>14</v>
      </c>
      <c r="C440">
        <v>18388</v>
      </c>
      <c r="D440">
        <v>79.8</v>
      </c>
      <c r="E440">
        <v>-0.42699999999999999</v>
      </c>
      <c r="F440">
        <v>99</v>
      </c>
      <c r="G440">
        <v>5990</v>
      </c>
    </row>
    <row r="441" spans="1:7">
      <c r="A441" t="s">
        <v>145</v>
      </c>
      <c r="B441" s="1" t="s">
        <v>15</v>
      </c>
      <c r="C441">
        <v>16335</v>
      </c>
      <c r="D441">
        <v>79.3</v>
      </c>
      <c r="E441">
        <v>-0.435</v>
      </c>
      <c r="F441">
        <v>94</v>
      </c>
      <c r="G441">
        <v>6012</v>
      </c>
    </row>
    <row r="442" spans="1:7">
      <c r="A442" t="s">
        <v>145</v>
      </c>
      <c r="B442" s="1" t="s">
        <v>16</v>
      </c>
      <c r="C442">
        <v>15374</v>
      </c>
      <c r="D442">
        <v>79</v>
      </c>
      <c r="E442">
        <v>-0.432</v>
      </c>
      <c r="F442">
        <v>22</v>
      </c>
      <c r="G442">
        <v>5992</v>
      </c>
    </row>
    <row r="443" spans="1:7">
      <c r="A443" t="s">
        <v>145</v>
      </c>
      <c r="B443" s="1" t="s">
        <v>17</v>
      </c>
      <c r="C443">
        <v>1346</v>
      </c>
      <c r="D443">
        <v>79.400000000000006</v>
      </c>
      <c r="E443">
        <v>-0.43099999999999999</v>
      </c>
      <c r="F443">
        <v>2544</v>
      </c>
      <c r="G443">
        <v>5998</v>
      </c>
    </row>
    <row r="444" spans="1:7">
      <c r="A444" t="s">
        <v>145</v>
      </c>
      <c r="B444" s="1" t="s">
        <v>18</v>
      </c>
      <c r="C444">
        <v>14910</v>
      </c>
      <c r="D444">
        <v>79.3</v>
      </c>
      <c r="E444">
        <v>-0.438</v>
      </c>
      <c r="F444">
        <v>2792</v>
      </c>
      <c r="G444">
        <v>6006</v>
      </c>
    </row>
    <row r="445" spans="1:7">
      <c r="A445" t="s">
        <v>145</v>
      </c>
      <c r="B445" s="1" t="s">
        <v>19</v>
      </c>
      <c r="C445">
        <v>14833</v>
      </c>
      <c r="D445">
        <v>79.099999999999994</v>
      </c>
      <c r="E445">
        <v>-0.434</v>
      </c>
      <c r="F445">
        <v>3646</v>
      </c>
      <c r="G445">
        <v>6002</v>
      </c>
    </row>
    <row r="446" spans="1:7">
      <c r="A446" t="s">
        <v>145</v>
      </c>
      <c r="B446" s="1" t="s">
        <v>20</v>
      </c>
      <c r="C446">
        <v>14487</v>
      </c>
      <c r="D446">
        <v>79.3</v>
      </c>
      <c r="E446">
        <v>-0.42499999999999999</v>
      </c>
      <c r="F446">
        <v>3255</v>
      </c>
      <c r="G446">
        <v>5981</v>
      </c>
    </row>
    <row r="447" spans="1:7">
      <c r="A447" t="s">
        <v>145</v>
      </c>
      <c r="B447" s="1" t="s">
        <v>21</v>
      </c>
      <c r="C447">
        <v>15273</v>
      </c>
      <c r="D447">
        <v>79.900000000000006</v>
      </c>
      <c r="E447">
        <v>-0.42699999999999999</v>
      </c>
      <c r="F447">
        <v>3166</v>
      </c>
      <c r="G447">
        <v>5998</v>
      </c>
    </row>
    <row r="448" spans="1:7">
      <c r="A448" t="s">
        <v>145</v>
      </c>
      <c r="B448" s="1" t="s">
        <v>22</v>
      </c>
      <c r="C448">
        <v>14963</v>
      </c>
      <c r="D448">
        <v>79.3</v>
      </c>
      <c r="E448">
        <v>-0.43</v>
      </c>
      <c r="F448">
        <v>3149</v>
      </c>
      <c r="G448">
        <v>5987</v>
      </c>
    </row>
    <row r="449" spans="1:7">
      <c r="A449" t="s">
        <v>145</v>
      </c>
      <c r="B449" s="1" t="s">
        <v>23</v>
      </c>
      <c r="C449">
        <v>14853</v>
      </c>
      <c r="D449">
        <v>79.400000000000006</v>
      </c>
      <c r="E449">
        <v>-0.432</v>
      </c>
      <c r="F449">
        <v>3201</v>
      </c>
      <c r="G449">
        <v>5995</v>
      </c>
    </row>
    <row r="450" spans="1:7">
      <c r="A450" t="s">
        <v>145</v>
      </c>
      <c r="B450" s="1" t="s">
        <v>24</v>
      </c>
      <c r="C450">
        <v>14726</v>
      </c>
      <c r="D450">
        <v>79.400000000000006</v>
      </c>
      <c r="E450">
        <v>-0.438</v>
      </c>
      <c r="F450">
        <v>3151</v>
      </c>
      <c r="G450">
        <v>5987</v>
      </c>
    </row>
    <row r="451" spans="1:7">
      <c r="A451" t="s">
        <v>145</v>
      </c>
      <c r="B451" s="1" t="s">
        <v>25</v>
      </c>
      <c r="C451">
        <v>14609</v>
      </c>
      <c r="D451">
        <v>79.3</v>
      </c>
      <c r="E451">
        <v>-0.435</v>
      </c>
      <c r="F451">
        <v>3369</v>
      </c>
      <c r="G451">
        <v>6000</v>
      </c>
    </row>
    <row r="452" spans="1:7">
      <c r="A452" t="s">
        <v>145</v>
      </c>
      <c r="B452" s="1" t="s">
        <v>26</v>
      </c>
      <c r="C452">
        <v>15124</v>
      </c>
      <c r="D452">
        <v>79.5</v>
      </c>
      <c r="E452">
        <v>-0.42799999999999999</v>
      </c>
      <c r="F452">
        <v>2908</v>
      </c>
      <c r="G452">
        <v>5997</v>
      </c>
    </row>
    <row r="453" spans="1:7">
      <c r="A453" t="s">
        <v>145</v>
      </c>
      <c r="B453" s="1" t="s">
        <v>27</v>
      </c>
      <c r="C453">
        <v>14678</v>
      </c>
      <c r="D453">
        <v>79</v>
      </c>
      <c r="E453">
        <v>-0.43099999999999999</v>
      </c>
      <c r="F453">
        <v>3312</v>
      </c>
      <c r="G453">
        <v>6004</v>
      </c>
    </row>
    <row r="454" spans="1:7">
      <c r="A454" t="s">
        <v>145</v>
      </c>
      <c r="B454" s="1" t="s">
        <v>28</v>
      </c>
      <c r="C454">
        <v>14892</v>
      </c>
      <c r="D454">
        <v>79.400000000000006</v>
      </c>
      <c r="E454">
        <v>-0.439</v>
      </c>
      <c r="F454">
        <v>3510</v>
      </c>
      <c r="G454">
        <v>5995</v>
      </c>
    </row>
    <row r="455" spans="1:7">
      <c r="A455" t="s">
        <v>145</v>
      </c>
      <c r="B455" s="1" t="s">
        <v>29</v>
      </c>
      <c r="C455">
        <v>15128</v>
      </c>
      <c r="D455">
        <v>79.599999999999994</v>
      </c>
      <c r="E455">
        <v>-0.443</v>
      </c>
      <c r="F455">
        <v>2620</v>
      </c>
      <c r="G455">
        <v>5990</v>
      </c>
    </row>
    <row r="456" spans="1:7">
      <c r="A456" t="s">
        <v>145</v>
      </c>
      <c r="B456" s="1" t="s">
        <v>30</v>
      </c>
      <c r="C456">
        <v>13330</v>
      </c>
      <c r="D456">
        <v>79.3</v>
      </c>
      <c r="E456">
        <v>-0.434</v>
      </c>
      <c r="F456">
        <v>5052</v>
      </c>
      <c r="G456">
        <v>5991</v>
      </c>
    </row>
    <row r="457" spans="1:7">
      <c r="A457" t="s">
        <v>145</v>
      </c>
      <c r="B457" s="1" t="s">
        <v>31</v>
      </c>
      <c r="C457">
        <v>7054</v>
      </c>
      <c r="D457">
        <v>79.400000000000006</v>
      </c>
      <c r="E457">
        <v>-0.44700000000000001</v>
      </c>
      <c r="F457">
        <v>11586</v>
      </c>
      <c r="G457">
        <v>5976</v>
      </c>
    </row>
    <row r="458" spans="1:7">
      <c r="A458" t="s">
        <v>146</v>
      </c>
      <c r="B458" s="1" t="s">
        <v>8</v>
      </c>
      <c r="C458">
        <v>6412</v>
      </c>
      <c r="D458">
        <v>79.2</v>
      </c>
      <c r="E458">
        <v>-0.48399999999999999</v>
      </c>
      <c r="F458">
        <v>5728</v>
      </c>
      <c r="G458">
        <v>3990</v>
      </c>
    </row>
    <row r="459" spans="1:7">
      <c r="A459" t="s">
        <v>146</v>
      </c>
      <c r="B459" s="1" t="s">
        <v>9</v>
      </c>
      <c r="C459">
        <v>5830</v>
      </c>
      <c r="D459">
        <v>78.3</v>
      </c>
      <c r="E459">
        <v>-0.51200000000000001</v>
      </c>
      <c r="F459">
        <v>8308</v>
      </c>
      <c r="G459">
        <v>4037</v>
      </c>
    </row>
    <row r="460" spans="1:7">
      <c r="A460" t="s">
        <v>146</v>
      </c>
      <c r="B460" s="1" t="s">
        <v>10</v>
      </c>
      <c r="C460">
        <v>7525</v>
      </c>
      <c r="D460">
        <v>81.3</v>
      </c>
      <c r="E460">
        <v>-0.45700000000000002</v>
      </c>
      <c r="F460">
        <v>5808</v>
      </c>
      <c r="G460">
        <v>4012</v>
      </c>
    </row>
    <row r="461" spans="1:7">
      <c r="A461" t="s">
        <v>146</v>
      </c>
      <c r="B461" s="1" t="s">
        <v>11</v>
      </c>
      <c r="C461">
        <v>9424</v>
      </c>
      <c r="D461">
        <v>81.3</v>
      </c>
      <c r="E461">
        <v>-0.46</v>
      </c>
      <c r="F461">
        <v>4111</v>
      </c>
      <c r="G461">
        <v>4007</v>
      </c>
    </row>
    <row r="462" spans="1:7">
      <c r="A462" t="s">
        <v>146</v>
      </c>
      <c r="B462" s="1" t="s">
        <v>12</v>
      </c>
      <c r="C462">
        <v>15843</v>
      </c>
      <c r="D462">
        <v>80.599999999999994</v>
      </c>
      <c r="E462">
        <v>-0.46200000000000002</v>
      </c>
      <c r="F462">
        <v>118</v>
      </c>
      <c r="G462">
        <v>5011</v>
      </c>
    </row>
    <row r="463" spans="1:7">
      <c r="A463" t="s">
        <v>146</v>
      </c>
      <c r="B463" s="1" t="s">
        <v>13</v>
      </c>
      <c r="C463">
        <v>15657</v>
      </c>
      <c r="D463">
        <v>79.400000000000006</v>
      </c>
      <c r="E463">
        <v>-0.44500000000000001</v>
      </c>
      <c r="F463">
        <v>67</v>
      </c>
      <c r="G463">
        <v>5847</v>
      </c>
    </row>
    <row r="464" spans="1:7">
      <c r="A464" t="s">
        <v>146</v>
      </c>
      <c r="B464" s="1" t="s">
        <v>14</v>
      </c>
      <c r="C464">
        <v>18359</v>
      </c>
      <c r="D464">
        <v>79.8</v>
      </c>
      <c r="E464">
        <v>-0.443</v>
      </c>
      <c r="F464">
        <v>72</v>
      </c>
      <c r="G464">
        <v>5991</v>
      </c>
    </row>
    <row r="465" spans="1:7">
      <c r="A465" t="s">
        <v>146</v>
      </c>
      <c r="B465" s="1" t="s">
        <v>15</v>
      </c>
      <c r="C465">
        <v>17257</v>
      </c>
      <c r="D465">
        <v>79.7</v>
      </c>
      <c r="E465">
        <v>-0.436</v>
      </c>
      <c r="F465">
        <v>1022</v>
      </c>
      <c r="G465">
        <v>6008</v>
      </c>
    </row>
    <row r="466" spans="1:7">
      <c r="A466" t="s">
        <v>146</v>
      </c>
      <c r="B466" s="1" t="s">
        <v>16</v>
      </c>
      <c r="C466">
        <v>16860</v>
      </c>
      <c r="D466">
        <v>79.7</v>
      </c>
      <c r="E466">
        <v>-0.437</v>
      </c>
      <c r="F466">
        <v>1323</v>
      </c>
      <c r="G466">
        <v>6003</v>
      </c>
    </row>
    <row r="467" spans="1:7">
      <c r="A467" t="s">
        <v>146</v>
      </c>
      <c r="B467" s="1" t="s">
        <v>17</v>
      </c>
      <c r="C467">
        <v>15062</v>
      </c>
      <c r="D467">
        <v>79.2</v>
      </c>
      <c r="E467">
        <v>-0.443</v>
      </c>
      <c r="F467">
        <v>2986</v>
      </c>
      <c r="G467">
        <v>5998</v>
      </c>
    </row>
    <row r="468" spans="1:7">
      <c r="A468" t="s">
        <v>146</v>
      </c>
      <c r="B468" s="1" t="s">
        <v>18</v>
      </c>
      <c r="C468">
        <v>15862</v>
      </c>
      <c r="D468">
        <v>79.5</v>
      </c>
      <c r="E468">
        <v>-0.44400000000000001</v>
      </c>
      <c r="F468">
        <v>2278</v>
      </c>
      <c r="G468">
        <v>6008</v>
      </c>
    </row>
    <row r="469" spans="1:7">
      <c r="A469" t="s">
        <v>146</v>
      </c>
      <c r="B469" s="1" t="s">
        <v>19</v>
      </c>
      <c r="C469">
        <v>15600</v>
      </c>
      <c r="D469">
        <v>79.5</v>
      </c>
      <c r="E469">
        <v>-0.441</v>
      </c>
      <c r="F469">
        <v>2465</v>
      </c>
      <c r="G469">
        <v>6004</v>
      </c>
    </row>
    <row r="470" spans="1:7">
      <c r="A470" t="s">
        <v>146</v>
      </c>
      <c r="B470" s="1" t="s">
        <v>20</v>
      </c>
      <c r="C470">
        <v>15522</v>
      </c>
      <c r="D470">
        <v>79.3</v>
      </c>
      <c r="E470">
        <v>-0.44</v>
      </c>
      <c r="F470">
        <v>2765</v>
      </c>
      <c r="G470">
        <v>5997</v>
      </c>
    </row>
    <row r="471" spans="1:7">
      <c r="A471" t="s">
        <v>146</v>
      </c>
      <c r="B471" s="1" t="s">
        <v>21</v>
      </c>
      <c r="C471">
        <v>15215</v>
      </c>
      <c r="D471">
        <v>79.400000000000006</v>
      </c>
      <c r="E471">
        <v>-0.436</v>
      </c>
      <c r="F471">
        <v>2471</v>
      </c>
      <c r="G471">
        <v>5996</v>
      </c>
    </row>
    <row r="472" spans="1:7">
      <c r="A472" t="s">
        <v>146</v>
      </c>
      <c r="B472" s="1" t="s">
        <v>22</v>
      </c>
      <c r="C472">
        <v>14740</v>
      </c>
      <c r="D472">
        <v>79.3</v>
      </c>
      <c r="E472">
        <v>-0.437</v>
      </c>
      <c r="F472">
        <v>3047</v>
      </c>
      <c r="G472">
        <v>6007</v>
      </c>
    </row>
    <row r="473" spans="1:7">
      <c r="A473" t="s">
        <v>146</v>
      </c>
      <c r="B473" s="1" t="s">
        <v>23</v>
      </c>
      <c r="C473">
        <v>15219</v>
      </c>
      <c r="D473">
        <v>79.400000000000006</v>
      </c>
      <c r="E473">
        <v>-0.438</v>
      </c>
      <c r="F473">
        <v>2868</v>
      </c>
      <c r="G473">
        <v>5999</v>
      </c>
    </row>
    <row r="474" spans="1:7">
      <c r="A474" t="s">
        <v>146</v>
      </c>
      <c r="B474" s="1" t="s">
        <v>24</v>
      </c>
      <c r="C474">
        <v>15617</v>
      </c>
      <c r="D474">
        <v>80.099999999999994</v>
      </c>
      <c r="E474">
        <v>-0.435</v>
      </c>
      <c r="F474">
        <v>2612</v>
      </c>
      <c r="G474">
        <v>5991</v>
      </c>
    </row>
    <row r="475" spans="1:7">
      <c r="A475" t="s">
        <v>146</v>
      </c>
      <c r="B475" s="1" t="s">
        <v>25</v>
      </c>
      <c r="C475">
        <v>15102</v>
      </c>
      <c r="D475">
        <v>79.5</v>
      </c>
      <c r="E475">
        <v>-0.42899999999999999</v>
      </c>
      <c r="F475">
        <v>2699</v>
      </c>
      <c r="G475">
        <v>6005</v>
      </c>
    </row>
    <row r="476" spans="1:7">
      <c r="A476" t="s">
        <v>146</v>
      </c>
      <c r="B476" s="1" t="s">
        <v>26</v>
      </c>
      <c r="C476">
        <v>15399</v>
      </c>
      <c r="D476">
        <v>79.8</v>
      </c>
      <c r="E476">
        <v>-0.43099999999999999</v>
      </c>
      <c r="F476">
        <v>2643</v>
      </c>
      <c r="G476">
        <v>5995</v>
      </c>
    </row>
    <row r="477" spans="1:7">
      <c r="A477" t="s">
        <v>146</v>
      </c>
      <c r="B477" s="1" t="s">
        <v>27</v>
      </c>
      <c r="C477">
        <v>14260</v>
      </c>
      <c r="D477">
        <v>77.099999999999994</v>
      </c>
      <c r="E477">
        <v>-0.47199999999999998</v>
      </c>
      <c r="F477">
        <v>3787</v>
      </c>
      <c r="G477">
        <v>6007</v>
      </c>
    </row>
    <row r="478" spans="1:7">
      <c r="A478" t="s">
        <v>146</v>
      </c>
      <c r="B478" s="1" t="s">
        <v>28</v>
      </c>
      <c r="C478">
        <v>15843</v>
      </c>
      <c r="D478">
        <v>79.7</v>
      </c>
      <c r="E478">
        <v>-0.42799999999999999</v>
      </c>
      <c r="F478">
        <v>2081</v>
      </c>
      <c r="G478">
        <v>6002</v>
      </c>
    </row>
    <row r="479" spans="1:7">
      <c r="A479" t="s">
        <v>146</v>
      </c>
      <c r="B479" s="1" t="s">
        <v>29</v>
      </c>
      <c r="C479">
        <v>16489</v>
      </c>
      <c r="D479">
        <v>79.7</v>
      </c>
      <c r="E479">
        <v>-0.43099999999999999</v>
      </c>
      <c r="F479">
        <v>1107</v>
      </c>
      <c r="G479">
        <v>5996</v>
      </c>
    </row>
    <row r="480" spans="1:7">
      <c r="A480" t="s">
        <v>146</v>
      </c>
      <c r="B480" s="1" t="s">
        <v>30</v>
      </c>
      <c r="C480">
        <v>14449</v>
      </c>
      <c r="D480">
        <v>79.7</v>
      </c>
      <c r="E480">
        <v>-0.42799999999999999</v>
      </c>
      <c r="F480">
        <v>3778</v>
      </c>
      <c r="G480">
        <v>6006</v>
      </c>
    </row>
    <row r="481" spans="1:7">
      <c r="A481" t="s">
        <v>146</v>
      </c>
      <c r="B481" s="1" t="s">
        <v>31</v>
      </c>
      <c r="C481">
        <v>7990</v>
      </c>
      <c r="D481">
        <v>80.400000000000006</v>
      </c>
      <c r="E481">
        <v>-0.44500000000000001</v>
      </c>
      <c r="F481">
        <v>7075</v>
      </c>
      <c r="G481">
        <v>4955</v>
      </c>
    </row>
    <row r="482" spans="1:7">
      <c r="A482" t="s">
        <v>147</v>
      </c>
      <c r="B482" s="1" t="s">
        <v>8</v>
      </c>
      <c r="C482">
        <v>7687</v>
      </c>
      <c r="D482">
        <v>80.099999999999994</v>
      </c>
      <c r="E482">
        <v>-0.47199999999999998</v>
      </c>
      <c r="F482">
        <v>5343</v>
      </c>
      <c r="G482">
        <v>4008</v>
      </c>
    </row>
    <row r="483" spans="1:7">
      <c r="A483" t="s">
        <v>147</v>
      </c>
      <c r="B483" s="1" t="s">
        <v>9</v>
      </c>
      <c r="C483">
        <v>7045</v>
      </c>
      <c r="D483">
        <v>79.400000000000006</v>
      </c>
      <c r="E483">
        <v>-0.47299999999999998</v>
      </c>
      <c r="F483">
        <v>5636</v>
      </c>
      <c r="G483">
        <v>4009</v>
      </c>
    </row>
    <row r="484" spans="1:7">
      <c r="A484" t="s">
        <v>147</v>
      </c>
      <c r="B484" s="1" t="s">
        <v>10</v>
      </c>
      <c r="C484">
        <v>9293</v>
      </c>
      <c r="D484">
        <v>82.9</v>
      </c>
      <c r="E484">
        <v>-0.41499999999999998</v>
      </c>
      <c r="F484">
        <v>4046</v>
      </c>
      <c r="G484">
        <v>3998</v>
      </c>
    </row>
    <row r="485" spans="1:7">
      <c r="A485" t="s">
        <v>147</v>
      </c>
      <c r="B485" s="1" t="s">
        <v>11</v>
      </c>
      <c r="C485">
        <v>8757</v>
      </c>
      <c r="D485">
        <v>82.2</v>
      </c>
      <c r="E485">
        <v>-0.39600000000000002</v>
      </c>
      <c r="F485">
        <v>1679</v>
      </c>
      <c r="G485">
        <v>3955</v>
      </c>
    </row>
    <row r="486" spans="1:7">
      <c r="A486" t="s">
        <v>147</v>
      </c>
      <c r="B486" s="1" t="s">
        <v>12</v>
      </c>
      <c r="C486">
        <v>14811</v>
      </c>
      <c r="D486">
        <v>82.1</v>
      </c>
      <c r="E486">
        <v>-0.42799999999999999</v>
      </c>
      <c r="F486">
        <v>26</v>
      </c>
      <c r="G486">
        <v>4700</v>
      </c>
    </row>
    <row r="487" spans="1:7">
      <c r="A487" t="s">
        <v>147</v>
      </c>
      <c r="B487" s="1" t="s">
        <v>13</v>
      </c>
      <c r="C487">
        <v>15556</v>
      </c>
      <c r="D487">
        <v>79.7</v>
      </c>
      <c r="E487">
        <v>-0.46100000000000002</v>
      </c>
      <c r="F487">
        <v>19</v>
      </c>
      <c r="G487">
        <v>4988</v>
      </c>
    </row>
    <row r="488" spans="1:7">
      <c r="A488" t="s">
        <v>147</v>
      </c>
      <c r="B488" s="1" t="s">
        <v>14</v>
      </c>
      <c r="C488">
        <v>15517</v>
      </c>
      <c r="D488">
        <v>79.900000000000006</v>
      </c>
      <c r="E488">
        <v>-0.45800000000000002</v>
      </c>
      <c r="F488">
        <v>73</v>
      </c>
      <c r="G488">
        <v>5002</v>
      </c>
    </row>
    <row r="489" spans="1:7">
      <c r="A489" t="s">
        <v>147</v>
      </c>
      <c r="B489" s="1" t="s">
        <v>15</v>
      </c>
      <c r="C489">
        <v>15450</v>
      </c>
      <c r="D489">
        <v>80</v>
      </c>
      <c r="E489">
        <v>-0.46100000000000002</v>
      </c>
      <c r="F489">
        <v>64</v>
      </c>
      <c r="G489">
        <v>5016</v>
      </c>
    </row>
    <row r="490" spans="1:7">
      <c r="A490" t="s">
        <v>147</v>
      </c>
      <c r="B490" s="1" t="s">
        <v>16</v>
      </c>
      <c r="C490">
        <v>17911</v>
      </c>
      <c r="D490">
        <v>79.8</v>
      </c>
      <c r="E490">
        <v>-0.435</v>
      </c>
      <c r="F490">
        <v>70</v>
      </c>
      <c r="G490">
        <v>5026</v>
      </c>
    </row>
    <row r="491" spans="1:7">
      <c r="A491" t="s">
        <v>147</v>
      </c>
      <c r="B491" s="1" t="s">
        <v>17</v>
      </c>
      <c r="C491">
        <v>15769</v>
      </c>
      <c r="D491">
        <v>80.599999999999994</v>
      </c>
      <c r="E491">
        <v>-0.42699999999999999</v>
      </c>
      <c r="F491">
        <v>61</v>
      </c>
      <c r="G491">
        <v>5004</v>
      </c>
    </row>
    <row r="492" spans="1:7">
      <c r="A492" t="s">
        <v>147</v>
      </c>
      <c r="B492" s="1" t="s">
        <v>18</v>
      </c>
      <c r="C492">
        <v>16714</v>
      </c>
      <c r="D492">
        <v>79.5</v>
      </c>
      <c r="E492">
        <v>-0.42699999999999999</v>
      </c>
      <c r="F492">
        <v>70</v>
      </c>
      <c r="G492">
        <v>0</v>
      </c>
    </row>
    <row r="493" spans="1:7">
      <c r="A493" t="s">
        <v>147</v>
      </c>
      <c r="B493" s="1" t="s">
        <v>19</v>
      </c>
      <c r="C493">
        <v>15802</v>
      </c>
      <c r="D493">
        <v>79.7</v>
      </c>
      <c r="E493">
        <v>-0.45100000000000001</v>
      </c>
      <c r="F493">
        <v>74</v>
      </c>
      <c r="G493">
        <v>3370</v>
      </c>
    </row>
    <row r="494" spans="1:7">
      <c r="A494" t="s">
        <v>147</v>
      </c>
      <c r="B494" s="1" t="s">
        <v>20</v>
      </c>
      <c r="C494">
        <v>14413</v>
      </c>
      <c r="D494">
        <v>80.3</v>
      </c>
      <c r="E494">
        <v>-0.44700000000000001</v>
      </c>
      <c r="F494">
        <v>1915</v>
      </c>
      <c r="G494">
        <v>5011</v>
      </c>
    </row>
    <row r="495" spans="1:7">
      <c r="A495" t="s">
        <v>147</v>
      </c>
      <c r="B495" s="1" t="s">
        <v>21</v>
      </c>
      <c r="C495">
        <v>13842</v>
      </c>
      <c r="D495">
        <v>79.2</v>
      </c>
      <c r="E495">
        <v>-0.46400000000000002</v>
      </c>
      <c r="F495">
        <v>1821</v>
      </c>
      <c r="G495">
        <v>4996</v>
      </c>
    </row>
    <row r="496" spans="1:7">
      <c r="A496" t="s">
        <v>147</v>
      </c>
      <c r="B496" s="1" t="s">
        <v>22</v>
      </c>
      <c r="C496">
        <v>11583</v>
      </c>
      <c r="D496">
        <v>77.099999999999994</v>
      </c>
      <c r="E496">
        <v>-0.49399999999999999</v>
      </c>
      <c r="F496">
        <v>2926</v>
      </c>
      <c r="G496">
        <v>4944</v>
      </c>
    </row>
    <row r="497" spans="1:7">
      <c r="A497" t="s">
        <v>147</v>
      </c>
      <c r="B497" s="1" t="s">
        <v>23</v>
      </c>
      <c r="C497">
        <v>14048</v>
      </c>
      <c r="D497">
        <v>79.099999999999994</v>
      </c>
      <c r="E497">
        <v>-0.46400000000000002</v>
      </c>
      <c r="F497">
        <v>956</v>
      </c>
      <c r="G497">
        <v>4992</v>
      </c>
    </row>
    <row r="498" spans="1:7">
      <c r="A498" t="s">
        <v>147</v>
      </c>
      <c r="B498" s="1" t="s">
        <v>24</v>
      </c>
      <c r="C498">
        <v>15212</v>
      </c>
      <c r="D498">
        <v>79.3</v>
      </c>
      <c r="E498">
        <v>-0.46899999999999997</v>
      </c>
      <c r="F498">
        <v>446</v>
      </c>
      <c r="G498">
        <v>5015</v>
      </c>
    </row>
    <row r="499" spans="1:7">
      <c r="A499" t="s">
        <v>147</v>
      </c>
      <c r="B499" s="1" t="s">
        <v>25</v>
      </c>
      <c r="C499">
        <v>15137</v>
      </c>
      <c r="D499">
        <v>79.2</v>
      </c>
      <c r="E499">
        <v>-0.46800000000000003</v>
      </c>
      <c r="F499">
        <v>259</v>
      </c>
      <c r="G499">
        <v>5012</v>
      </c>
    </row>
    <row r="500" spans="1:7">
      <c r="A500" t="s">
        <v>147</v>
      </c>
      <c r="B500" s="1" t="s">
        <v>26</v>
      </c>
      <c r="C500">
        <v>15314</v>
      </c>
      <c r="D500">
        <v>79.5</v>
      </c>
      <c r="E500">
        <v>-0.46600000000000003</v>
      </c>
      <c r="F500">
        <v>395</v>
      </c>
      <c r="G500">
        <v>4988</v>
      </c>
    </row>
    <row r="501" spans="1:7">
      <c r="A501" t="s">
        <v>147</v>
      </c>
      <c r="B501" s="1" t="s">
        <v>27</v>
      </c>
      <c r="C501">
        <v>15128</v>
      </c>
      <c r="D501">
        <v>79.599999999999994</v>
      </c>
      <c r="E501">
        <v>-0.46100000000000002</v>
      </c>
      <c r="F501">
        <v>298</v>
      </c>
      <c r="G501">
        <v>5004</v>
      </c>
    </row>
    <row r="502" spans="1:7">
      <c r="A502" t="s">
        <v>147</v>
      </c>
      <c r="B502" s="1" t="s">
        <v>28</v>
      </c>
      <c r="C502">
        <v>15217</v>
      </c>
      <c r="D502">
        <v>79.5</v>
      </c>
      <c r="E502">
        <v>-0.46600000000000003</v>
      </c>
      <c r="F502">
        <v>346</v>
      </c>
      <c r="G502">
        <v>5001</v>
      </c>
    </row>
    <row r="503" spans="1:7">
      <c r="A503" t="s">
        <v>147</v>
      </c>
      <c r="B503" s="1" t="s">
        <v>29</v>
      </c>
      <c r="C503">
        <v>15330</v>
      </c>
      <c r="D503">
        <v>79.7</v>
      </c>
      <c r="E503">
        <v>-0.46400000000000002</v>
      </c>
      <c r="F503">
        <v>452</v>
      </c>
      <c r="G503">
        <v>5012</v>
      </c>
    </row>
    <row r="504" spans="1:7">
      <c r="A504" t="s">
        <v>147</v>
      </c>
      <c r="B504" s="1" t="s">
        <v>30</v>
      </c>
      <c r="C504">
        <v>13449</v>
      </c>
      <c r="D504">
        <v>79.7</v>
      </c>
      <c r="E504">
        <v>-0.45900000000000002</v>
      </c>
      <c r="F504">
        <v>1487</v>
      </c>
      <c r="G504">
        <v>4982</v>
      </c>
    </row>
    <row r="505" spans="1:7">
      <c r="A505" t="s">
        <v>147</v>
      </c>
      <c r="B505" s="1" t="s">
        <v>31</v>
      </c>
      <c r="C505">
        <v>5848</v>
      </c>
      <c r="D505">
        <v>79.400000000000006</v>
      </c>
      <c r="E505">
        <v>-0.48</v>
      </c>
      <c r="F505">
        <v>8183</v>
      </c>
      <c r="G505">
        <v>4567</v>
      </c>
    </row>
    <row r="506" spans="1:7">
      <c r="A506" t="s">
        <v>148</v>
      </c>
      <c r="B506" s="1" t="s">
        <v>8</v>
      </c>
      <c r="C506">
        <v>6225</v>
      </c>
      <c r="D506">
        <v>78.7</v>
      </c>
      <c r="E506">
        <v>-0.50600000000000001</v>
      </c>
      <c r="F506">
        <v>7380</v>
      </c>
      <c r="G506">
        <v>4026</v>
      </c>
    </row>
    <row r="507" spans="1:7">
      <c r="A507" t="s">
        <v>148</v>
      </c>
      <c r="B507" s="1" t="s">
        <v>9</v>
      </c>
      <c r="C507">
        <v>6505</v>
      </c>
      <c r="D507">
        <v>79.599999999999994</v>
      </c>
      <c r="E507">
        <v>-0.48499999999999999</v>
      </c>
      <c r="F507">
        <v>6580</v>
      </c>
      <c r="G507">
        <v>3998</v>
      </c>
    </row>
    <row r="508" spans="1:7">
      <c r="A508" t="s">
        <v>148</v>
      </c>
      <c r="B508" s="1" t="s">
        <v>10</v>
      </c>
      <c r="C508">
        <v>8663</v>
      </c>
      <c r="D508">
        <v>82.7</v>
      </c>
      <c r="E508">
        <v>-0.434</v>
      </c>
      <c r="F508">
        <v>4490</v>
      </c>
      <c r="G508">
        <v>4001</v>
      </c>
    </row>
    <row r="509" spans="1:7">
      <c r="A509" t="s">
        <v>148</v>
      </c>
      <c r="B509" s="1" t="s">
        <v>11</v>
      </c>
      <c r="C509">
        <v>9587</v>
      </c>
      <c r="D509">
        <v>82.4</v>
      </c>
      <c r="E509">
        <v>-0.45900000000000002</v>
      </c>
      <c r="F509">
        <v>4020</v>
      </c>
      <c r="G509">
        <v>4003</v>
      </c>
    </row>
    <row r="510" spans="1:7">
      <c r="A510" t="s">
        <v>148</v>
      </c>
      <c r="B510" s="1" t="s">
        <v>12</v>
      </c>
      <c r="C510">
        <v>14553</v>
      </c>
      <c r="D510">
        <v>82.6</v>
      </c>
      <c r="E510">
        <v>-0.42899999999999999</v>
      </c>
      <c r="F510">
        <v>95</v>
      </c>
      <c r="G510">
        <v>4600</v>
      </c>
    </row>
    <row r="511" spans="1:7">
      <c r="A511" t="s">
        <v>148</v>
      </c>
      <c r="B511" s="1" t="s">
        <v>13</v>
      </c>
      <c r="C511">
        <v>15859</v>
      </c>
      <c r="D511">
        <v>79.5</v>
      </c>
      <c r="E511">
        <v>-0.48899999999999999</v>
      </c>
      <c r="F511">
        <v>236</v>
      </c>
      <c r="G511">
        <v>4968</v>
      </c>
    </row>
    <row r="512" spans="1:7">
      <c r="A512" t="s">
        <v>148</v>
      </c>
      <c r="B512" s="1" t="s">
        <v>14</v>
      </c>
      <c r="C512">
        <v>17954</v>
      </c>
      <c r="D512">
        <v>79.400000000000006</v>
      </c>
      <c r="E512">
        <v>-0.46</v>
      </c>
      <c r="F512">
        <v>87</v>
      </c>
      <c r="G512">
        <v>4980</v>
      </c>
    </row>
    <row r="513" spans="1:7">
      <c r="A513" t="s">
        <v>148</v>
      </c>
      <c r="B513" s="1" t="s">
        <v>15</v>
      </c>
      <c r="C513">
        <v>16526</v>
      </c>
      <c r="D513">
        <v>79.900000000000006</v>
      </c>
      <c r="E513">
        <v>-0.46600000000000003</v>
      </c>
      <c r="F513">
        <v>85</v>
      </c>
      <c r="G513">
        <v>4993</v>
      </c>
    </row>
    <row r="514" spans="1:7">
      <c r="A514" t="s">
        <v>148</v>
      </c>
      <c r="B514" s="1" t="s">
        <v>16</v>
      </c>
      <c r="C514">
        <v>15026</v>
      </c>
      <c r="D514">
        <v>79.599999999999994</v>
      </c>
      <c r="E514">
        <v>-0.46700000000000003</v>
      </c>
      <c r="F514">
        <v>393</v>
      </c>
      <c r="G514">
        <v>5007</v>
      </c>
    </row>
    <row r="515" spans="1:7">
      <c r="A515" t="s">
        <v>148</v>
      </c>
      <c r="B515" s="1" t="s">
        <v>17</v>
      </c>
      <c r="C515">
        <v>15479</v>
      </c>
      <c r="D515">
        <v>79.8</v>
      </c>
      <c r="E515">
        <v>-0.46100000000000002</v>
      </c>
      <c r="F515">
        <v>97</v>
      </c>
      <c r="G515">
        <v>4995</v>
      </c>
    </row>
    <row r="516" spans="1:7">
      <c r="A516" t="s">
        <v>148</v>
      </c>
      <c r="B516" s="1" t="s">
        <v>18</v>
      </c>
      <c r="C516">
        <v>15875</v>
      </c>
      <c r="D516">
        <v>79.900000000000006</v>
      </c>
      <c r="E516">
        <v>-0.46200000000000002</v>
      </c>
      <c r="F516">
        <v>72</v>
      </c>
      <c r="G516">
        <v>5006</v>
      </c>
    </row>
    <row r="517" spans="1:7">
      <c r="A517" t="s">
        <v>148</v>
      </c>
      <c r="B517" s="1" t="s">
        <v>19</v>
      </c>
      <c r="C517">
        <v>14570</v>
      </c>
      <c r="D517">
        <v>79.7</v>
      </c>
      <c r="E517">
        <v>-0.45500000000000002</v>
      </c>
      <c r="F517">
        <v>1552</v>
      </c>
      <c r="G517">
        <v>5012</v>
      </c>
    </row>
    <row r="518" spans="1:7">
      <c r="A518" t="s">
        <v>148</v>
      </c>
      <c r="B518" s="1" t="s">
        <v>20</v>
      </c>
      <c r="C518">
        <v>14690</v>
      </c>
      <c r="D518">
        <v>80.3</v>
      </c>
      <c r="E518">
        <v>-0.44700000000000001</v>
      </c>
      <c r="F518">
        <v>1158</v>
      </c>
      <c r="G518">
        <v>4996</v>
      </c>
    </row>
    <row r="519" spans="1:7">
      <c r="A519" t="s">
        <v>148</v>
      </c>
      <c r="B519" s="1" t="s">
        <v>21</v>
      </c>
      <c r="C519">
        <v>14110</v>
      </c>
      <c r="D519">
        <v>79.599999999999994</v>
      </c>
      <c r="E519">
        <v>-0.46200000000000002</v>
      </c>
      <c r="F519">
        <v>2123</v>
      </c>
      <c r="G519">
        <v>5015</v>
      </c>
    </row>
    <row r="520" spans="1:7">
      <c r="A520" t="s">
        <v>148</v>
      </c>
      <c r="B520" s="1" t="s">
        <v>22</v>
      </c>
      <c r="C520">
        <v>12646</v>
      </c>
      <c r="D520">
        <v>79.400000000000006</v>
      </c>
      <c r="E520">
        <v>-0.48299999999999998</v>
      </c>
      <c r="F520">
        <v>3644</v>
      </c>
      <c r="G520">
        <v>4955</v>
      </c>
    </row>
    <row r="521" spans="1:7">
      <c r="A521" t="s">
        <v>148</v>
      </c>
      <c r="B521" s="1" t="s">
        <v>23</v>
      </c>
      <c r="C521">
        <v>13040</v>
      </c>
      <c r="D521">
        <v>79.599999999999994</v>
      </c>
      <c r="E521">
        <v>-0.45900000000000002</v>
      </c>
      <c r="F521">
        <v>2391</v>
      </c>
      <c r="G521">
        <v>5003</v>
      </c>
    </row>
    <row r="522" spans="1:7">
      <c r="A522" t="s">
        <v>148</v>
      </c>
      <c r="B522" s="1" t="s">
        <v>24</v>
      </c>
      <c r="C522">
        <v>14058</v>
      </c>
      <c r="D522">
        <v>80.3</v>
      </c>
      <c r="E522">
        <v>-0.45700000000000002</v>
      </c>
      <c r="F522">
        <v>1504</v>
      </c>
      <c r="G522">
        <v>4986</v>
      </c>
    </row>
    <row r="523" spans="1:7">
      <c r="A523" t="s">
        <v>148</v>
      </c>
      <c r="B523" s="1" t="s">
        <v>25</v>
      </c>
      <c r="C523">
        <v>15372</v>
      </c>
      <c r="D523">
        <v>80.599999999999994</v>
      </c>
      <c r="E523">
        <v>-0.44800000000000001</v>
      </c>
      <c r="F523">
        <v>257</v>
      </c>
      <c r="G523">
        <v>5002</v>
      </c>
    </row>
    <row r="524" spans="1:7">
      <c r="A524" t="s">
        <v>148</v>
      </c>
      <c r="B524" s="1" t="s">
        <v>26</v>
      </c>
      <c r="C524">
        <v>15544</v>
      </c>
      <c r="D524">
        <v>81.099999999999994</v>
      </c>
      <c r="E524">
        <v>-0.44700000000000001</v>
      </c>
      <c r="F524">
        <v>23</v>
      </c>
      <c r="G524">
        <v>4994</v>
      </c>
    </row>
    <row r="525" spans="1:7">
      <c r="A525" t="s">
        <v>148</v>
      </c>
      <c r="B525" s="1" t="s">
        <v>27</v>
      </c>
      <c r="C525">
        <v>15549</v>
      </c>
      <c r="D525">
        <v>80.2</v>
      </c>
      <c r="E525">
        <v>-0.46800000000000003</v>
      </c>
      <c r="F525">
        <v>45</v>
      </c>
      <c r="G525">
        <v>5001</v>
      </c>
    </row>
    <row r="526" spans="1:7">
      <c r="A526" t="s">
        <v>148</v>
      </c>
      <c r="B526" s="1" t="s">
        <v>28</v>
      </c>
      <c r="C526">
        <v>15141</v>
      </c>
      <c r="D526">
        <v>79.599999999999994</v>
      </c>
      <c r="E526">
        <v>-0.47099999999999997</v>
      </c>
      <c r="F526">
        <v>64</v>
      </c>
      <c r="G526">
        <v>4986</v>
      </c>
    </row>
    <row r="527" spans="1:7">
      <c r="A527" t="s">
        <v>148</v>
      </c>
      <c r="B527" s="1" t="s">
        <v>29</v>
      </c>
      <c r="C527">
        <v>15331</v>
      </c>
      <c r="D527">
        <v>80.3</v>
      </c>
      <c r="E527">
        <v>-0.46200000000000002</v>
      </c>
      <c r="F527">
        <v>57</v>
      </c>
      <c r="G527">
        <v>4997</v>
      </c>
    </row>
    <row r="528" spans="1:7">
      <c r="A528" t="s">
        <v>148</v>
      </c>
      <c r="B528" s="1" t="s">
        <v>30</v>
      </c>
      <c r="C528">
        <v>15499</v>
      </c>
      <c r="D528">
        <v>80.400000000000006</v>
      </c>
      <c r="E528">
        <v>-0.45700000000000002</v>
      </c>
      <c r="F528">
        <v>25</v>
      </c>
      <c r="G528">
        <v>5012</v>
      </c>
    </row>
    <row r="529" spans="1:7">
      <c r="A529" t="s">
        <v>148</v>
      </c>
      <c r="B529" s="1" t="s">
        <v>31</v>
      </c>
      <c r="C529">
        <v>9730</v>
      </c>
      <c r="D529">
        <v>81.900000000000006</v>
      </c>
      <c r="E529">
        <v>-0.46200000000000002</v>
      </c>
      <c r="F529">
        <v>3228</v>
      </c>
      <c r="G529">
        <v>3982</v>
      </c>
    </row>
    <row r="530" spans="1:7">
      <c r="A530" t="s">
        <v>149</v>
      </c>
      <c r="B530" s="1" t="s">
        <v>8</v>
      </c>
      <c r="C530">
        <v>8270</v>
      </c>
      <c r="D530">
        <v>80.5</v>
      </c>
      <c r="E530">
        <v>-0.48299999999999998</v>
      </c>
      <c r="F530">
        <v>5154</v>
      </c>
      <c r="G530">
        <v>4021</v>
      </c>
    </row>
    <row r="531" spans="1:7">
      <c r="A531" t="s">
        <v>149</v>
      </c>
      <c r="B531" s="1" t="s">
        <v>9</v>
      </c>
      <c r="C531">
        <v>7637</v>
      </c>
      <c r="D531">
        <v>82.6</v>
      </c>
      <c r="E531">
        <v>-0.41499999999999998</v>
      </c>
      <c r="F531">
        <v>2483</v>
      </c>
      <c r="G531">
        <v>3950</v>
      </c>
    </row>
    <row r="532" spans="1:7">
      <c r="A532" t="s">
        <v>149</v>
      </c>
      <c r="B532" s="1" t="s">
        <v>10</v>
      </c>
      <c r="C532">
        <v>9292</v>
      </c>
      <c r="D532">
        <v>83.1</v>
      </c>
      <c r="E532">
        <v>-0.443</v>
      </c>
      <c r="F532">
        <v>4382</v>
      </c>
      <c r="G532">
        <v>4015</v>
      </c>
    </row>
    <row r="533" spans="1:7">
      <c r="A533" t="s">
        <v>149</v>
      </c>
      <c r="B533" s="1" t="s">
        <v>11</v>
      </c>
      <c r="C533">
        <v>9980</v>
      </c>
      <c r="D533">
        <v>83.1</v>
      </c>
      <c r="E533">
        <v>-0.45500000000000002</v>
      </c>
      <c r="F533">
        <v>3582</v>
      </c>
      <c r="G533">
        <v>4005</v>
      </c>
    </row>
    <row r="534" spans="1:7">
      <c r="A534" t="s">
        <v>149</v>
      </c>
      <c r="B534" s="1" t="s">
        <v>12</v>
      </c>
      <c r="C534">
        <v>16288</v>
      </c>
      <c r="D534">
        <v>82.1</v>
      </c>
      <c r="E534">
        <v>-0.45100000000000001</v>
      </c>
      <c r="F534">
        <v>28</v>
      </c>
      <c r="G534">
        <v>5021</v>
      </c>
    </row>
    <row r="535" spans="1:7">
      <c r="A535" t="s">
        <v>149</v>
      </c>
      <c r="B535" s="1" t="s">
        <v>13</v>
      </c>
      <c r="C535">
        <v>20247</v>
      </c>
      <c r="D535">
        <v>80</v>
      </c>
      <c r="E535">
        <v>-0.44800000000000001</v>
      </c>
      <c r="F535">
        <v>74</v>
      </c>
      <c r="G535">
        <v>5986</v>
      </c>
    </row>
    <row r="536" spans="1:7">
      <c r="A536" t="s">
        <v>149</v>
      </c>
      <c r="B536" s="1" t="s">
        <v>14</v>
      </c>
      <c r="C536">
        <v>18089</v>
      </c>
      <c r="D536">
        <v>79.7</v>
      </c>
      <c r="E536">
        <v>-0.45200000000000001</v>
      </c>
      <c r="F536">
        <v>75</v>
      </c>
      <c r="G536">
        <v>5991</v>
      </c>
    </row>
    <row r="537" spans="1:7">
      <c r="A537" t="s">
        <v>149</v>
      </c>
      <c r="B537" s="1" t="s">
        <v>15</v>
      </c>
      <c r="C537">
        <v>16792</v>
      </c>
      <c r="D537">
        <v>79.5</v>
      </c>
      <c r="E537">
        <v>-0.45500000000000002</v>
      </c>
      <c r="F537">
        <v>1660</v>
      </c>
      <c r="G537">
        <v>6007</v>
      </c>
    </row>
    <row r="538" spans="1:7">
      <c r="A538" t="s">
        <v>149</v>
      </c>
      <c r="B538" s="1" t="s">
        <v>16</v>
      </c>
      <c r="C538">
        <v>15596</v>
      </c>
      <c r="D538">
        <v>79.3</v>
      </c>
      <c r="E538">
        <v>-0.45</v>
      </c>
      <c r="F538">
        <v>2525</v>
      </c>
      <c r="G538">
        <v>5995</v>
      </c>
    </row>
    <row r="539" spans="1:7">
      <c r="A539" t="s">
        <v>149</v>
      </c>
      <c r="B539" s="1" t="s">
        <v>17</v>
      </c>
      <c r="C539">
        <v>15659</v>
      </c>
      <c r="D539">
        <v>79.099999999999994</v>
      </c>
      <c r="E539">
        <v>-0.46500000000000002</v>
      </c>
      <c r="F539">
        <v>2307</v>
      </c>
      <c r="G539">
        <v>5999</v>
      </c>
    </row>
    <row r="540" spans="1:7">
      <c r="A540" t="s">
        <v>149</v>
      </c>
      <c r="B540" s="1" t="s">
        <v>18</v>
      </c>
      <c r="C540">
        <v>15158</v>
      </c>
      <c r="D540">
        <v>78.900000000000006</v>
      </c>
      <c r="E540">
        <v>-0.46</v>
      </c>
      <c r="F540">
        <v>2975</v>
      </c>
      <c r="G540">
        <v>5977</v>
      </c>
    </row>
    <row r="541" spans="1:7">
      <c r="A541" t="s">
        <v>149</v>
      </c>
      <c r="B541" s="1" t="s">
        <v>19</v>
      </c>
      <c r="C541">
        <v>13739</v>
      </c>
      <c r="D541">
        <v>78.8</v>
      </c>
      <c r="E541">
        <v>-0.45900000000000002</v>
      </c>
      <c r="F541">
        <v>4528</v>
      </c>
      <c r="G541">
        <v>6018</v>
      </c>
    </row>
    <row r="542" spans="1:7">
      <c r="A542" t="s">
        <v>149</v>
      </c>
      <c r="B542" s="1" t="s">
        <v>20</v>
      </c>
      <c r="C542">
        <v>14019</v>
      </c>
      <c r="D542">
        <v>78.7</v>
      </c>
      <c r="E542">
        <v>-0.46600000000000003</v>
      </c>
      <c r="F542">
        <v>4469</v>
      </c>
      <c r="G542">
        <v>5998</v>
      </c>
    </row>
    <row r="543" spans="1:7">
      <c r="A543" t="s">
        <v>149</v>
      </c>
      <c r="B543" s="1" t="s">
        <v>21</v>
      </c>
      <c r="C543">
        <v>13620</v>
      </c>
      <c r="D543">
        <v>78.400000000000006</v>
      </c>
      <c r="E543">
        <v>-0.46700000000000003</v>
      </c>
      <c r="F543">
        <v>4522</v>
      </c>
      <c r="G543">
        <v>5987</v>
      </c>
    </row>
    <row r="544" spans="1:7">
      <c r="A544" t="s">
        <v>149</v>
      </c>
      <c r="B544" s="1" t="s">
        <v>22</v>
      </c>
      <c r="C544">
        <v>13615</v>
      </c>
      <c r="D544">
        <v>78.599999999999994</v>
      </c>
      <c r="E544">
        <v>-0.46200000000000002</v>
      </c>
      <c r="F544">
        <v>4228</v>
      </c>
      <c r="G544">
        <v>5999</v>
      </c>
    </row>
    <row r="545" spans="1:7">
      <c r="A545" t="s">
        <v>149</v>
      </c>
      <c r="B545" s="1" t="s">
        <v>23</v>
      </c>
      <c r="C545">
        <v>14436</v>
      </c>
      <c r="D545">
        <v>79</v>
      </c>
      <c r="E545">
        <v>-0.46200000000000002</v>
      </c>
      <c r="F545">
        <v>4001</v>
      </c>
      <c r="G545">
        <v>6004</v>
      </c>
    </row>
    <row r="546" spans="1:7">
      <c r="A546" t="s">
        <v>149</v>
      </c>
      <c r="B546" s="1" t="s">
        <v>24</v>
      </c>
      <c r="C546">
        <v>14341</v>
      </c>
      <c r="D546">
        <v>78.8</v>
      </c>
      <c r="E546">
        <v>-0.45800000000000002</v>
      </c>
      <c r="F546">
        <v>3817</v>
      </c>
      <c r="G546">
        <v>5999</v>
      </c>
    </row>
    <row r="547" spans="1:7">
      <c r="A547" t="s">
        <v>149</v>
      </c>
      <c r="B547" s="1" t="s">
        <v>25</v>
      </c>
      <c r="C547">
        <v>14694</v>
      </c>
      <c r="D547">
        <v>79.099999999999994</v>
      </c>
      <c r="E547">
        <v>-0.45800000000000002</v>
      </c>
      <c r="F547">
        <v>3294</v>
      </c>
      <c r="G547">
        <v>5987</v>
      </c>
    </row>
    <row r="548" spans="1:7">
      <c r="A548" t="s">
        <v>149</v>
      </c>
      <c r="B548" s="1" t="s">
        <v>26</v>
      </c>
      <c r="C548">
        <v>13656</v>
      </c>
      <c r="D548">
        <v>78.599999999999994</v>
      </c>
      <c r="E548">
        <v>-0.45400000000000001</v>
      </c>
      <c r="F548">
        <v>3447</v>
      </c>
      <c r="G548">
        <v>5983</v>
      </c>
    </row>
    <row r="549" spans="1:7">
      <c r="A549" t="s">
        <v>149</v>
      </c>
      <c r="B549" s="1" t="s">
        <v>27</v>
      </c>
      <c r="C549">
        <v>14247</v>
      </c>
      <c r="D549">
        <v>78.8</v>
      </c>
      <c r="E549">
        <v>-0.46600000000000003</v>
      </c>
      <c r="F549">
        <v>3566</v>
      </c>
      <c r="G549">
        <v>6005</v>
      </c>
    </row>
    <row r="550" spans="1:7">
      <c r="A550" t="s">
        <v>149</v>
      </c>
      <c r="B550" s="1" t="s">
        <v>28</v>
      </c>
      <c r="C550">
        <v>14796</v>
      </c>
      <c r="D550">
        <v>79.3</v>
      </c>
      <c r="E550">
        <v>-0.45800000000000002</v>
      </c>
      <c r="F550">
        <v>3581</v>
      </c>
      <c r="G550">
        <v>6005</v>
      </c>
    </row>
    <row r="551" spans="1:7">
      <c r="A551" t="s">
        <v>149</v>
      </c>
      <c r="B551" s="1" t="s">
        <v>29</v>
      </c>
      <c r="C551">
        <v>15543</v>
      </c>
      <c r="D551">
        <v>79.400000000000006</v>
      </c>
      <c r="E551">
        <v>-0.46</v>
      </c>
      <c r="F551">
        <v>2669</v>
      </c>
      <c r="G551">
        <v>5985</v>
      </c>
    </row>
    <row r="552" spans="1:7">
      <c r="A552" t="s">
        <v>149</v>
      </c>
      <c r="B552" s="1" t="s">
        <v>30</v>
      </c>
      <c r="C552">
        <v>14011</v>
      </c>
      <c r="D552">
        <v>79.2</v>
      </c>
      <c r="E552">
        <v>-0.46100000000000002</v>
      </c>
      <c r="F552">
        <v>4138</v>
      </c>
      <c r="G552">
        <v>6005</v>
      </c>
    </row>
    <row r="553" spans="1:7">
      <c r="A553" t="s">
        <v>149</v>
      </c>
      <c r="B553" s="1" t="s">
        <v>31</v>
      </c>
      <c r="C553">
        <v>7983</v>
      </c>
      <c r="D553">
        <v>79.5</v>
      </c>
      <c r="E553">
        <v>-0.46200000000000002</v>
      </c>
      <c r="F553">
        <v>10076</v>
      </c>
      <c r="G553">
        <v>5777</v>
      </c>
    </row>
    <row r="554" spans="1:7">
      <c r="A554" t="s">
        <v>150</v>
      </c>
      <c r="B554" s="1" t="s">
        <v>8</v>
      </c>
      <c r="C554">
        <v>6483</v>
      </c>
      <c r="D554">
        <v>79.099999999999994</v>
      </c>
      <c r="E554">
        <v>-0.51200000000000001</v>
      </c>
      <c r="F554">
        <v>6669</v>
      </c>
      <c r="G554">
        <v>4002</v>
      </c>
    </row>
    <row r="555" spans="1:7">
      <c r="A555" t="s">
        <v>150</v>
      </c>
      <c r="B555" s="1" t="s">
        <v>9</v>
      </c>
      <c r="C555">
        <v>7190</v>
      </c>
      <c r="D555">
        <v>84.2</v>
      </c>
      <c r="E555">
        <v>-0.40899999999999997</v>
      </c>
      <c r="F555">
        <v>5404</v>
      </c>
      <c r="G555">
        <v>3973</v>
      </c>
    </row>
    <row r="556" spans="1:7">
      <c r="A556" t="s">
        <v>150</v>
      </c>
      <c r="B556" s="1" t="s">
        <v>10</v>
      </c>
      <c r="C556">
        <v>8198</v>
      </c>
      <c r="D556">
        <v>84.6</v>
      </c>
      <c r="E556">
        <v>-0.42</v>
      </c>
      <c r="F556">
        <v>5217</v>
      </c>
      <c r="G556">
        <v>3996</v>
      </c>
    </row>
    <row r="557" spans="1:7">
      <c r="A557" t="s">
        <v>150</v>
      </c>
      <c r="B557" s="1" t="s">
        <v>11</v>
      </c>
      <c r="C557">
        <v>9437</v>
      </c>
      <c r="D557">
        <v>84</v>
      </c>
      <c r="E557">
        <v>-0.45200000000000001</v>
      </c>
      <c r="F557">
        <v>4395</v>
      </c>
      <c r="G557">
        <v>4005</v>
      </c>
    </row>
    <row r="558" spans="1:7">
      <c r="A558" t="s">
        <v>150</v>
      </c>
      <c r="B558" s="1" t="s">
        <v>12</v>
      </c>
      <c r="C558">
        <v>12937</v>
      </c>
      <c r="D558">
        <v>83.7</v>
      </c>
      <c r="E558">
        <v>-0.43099999999999999</v>
      </c>
      <c r="F558">
        <v>90</v>
      </c>
      <c r="G558">
        <v>4047</v>
      </c>
    </row>
    <row r="559" spans="1:7">
      <c r="A559" t="s">
        <v>150</v>
      </c>
      <c r="B559" s="1" t="s">
        <v>13</v>
      </c>
      <c r="C559">
        <v>15844</v>
      </c>
      <c r="D559">
        <v>81.3</v>
      </c>
      <c r="E559">
        <v>-0.46600000000000003</v>
      </c>
      <c r="F559">
        <v>87</v>
      </c>
      <c r="G559">
        <v>5126</v>
      </c>
    </row>
    <row r="560" spans="1:7">
      <c r="A560" t="s">
        <v>150</v>
      </c>
      <c r="B560" s="1" t="s">
        <v>14</v>
      </c>
      <c r="C560">
        <v>18193</v>
      </c>
      <c r="D560">
        <v>79.900000000000006</v>
      </c>
      <c r="E560">
        <v>-0.45300000000000001</v>
      </c>
      <c r="F560">
        <v>82</v>
      </c>
      <c r="G560">
        <v>6003</v>
      </c>
    </row>
    <row r="561" spans="1:7">
      <c r="A561" t="s">
        <v>150</v>
      </c>
      <c r="B561" s="1" t="s">
        <v>15</v>
      </c>
      <c r="C561">
        <v>14486</v>
      </c>
      <c r="D561">
        <v>80</v>
      </c>
      <c r="E561">
        <v>-0.434</v>
      </c>
      <c r="F561">
        <v>1681</v>
      </c>
      <c r="G561">
        <v>5985</v>
      </c>
    </row>
    <row r="562" spans="1:7">
      <c r="A562" t="s">
        <v>150</v>
      </c>
      <c r="B562" s="1" t="s">
        <v>16</v>
      </c>
      <c r="C562">
        <v>16182</v>
      </c>
      <c r="D562">
        <v>79.3</v>
      </c>
      <c r="E562">
        <v>-0.45200000000000001</v>
      </c>
      <c r="F562">
        <v>1881</v>
      </c>
      <c r="G562">
        <v>5999</v>
      </c>
    </row>
    <row r="563" spans="1:7">
      <c r="A563" t="s">
        <v>150</v>
      </c>
      <c r="B563" s="1" t="s">
        <v>17</v>
      </c>
      <c r="C563">
        <v>14819</v>
      </c>
      <c r="D563">
        <v>79.2</v>
      </c>
      <c r="E563">
        <v>-0.45900000000000002</v>
      </c>
      <c r="F563">
        <v>3330</v>
      </c>
      <c r="G563">
        <v>6000</v>
      </c>
    </row>
    <row r="564" spans="1:7">
      <c r="A564" t="s">
        <v>150</v>
      </c>
      <c r="B564" s="1" t="s">
        <v>18</v>
      </c>
      <c r="C564">
        <v>14437</v>
      </c>
      <c r="D564">
        <v>78.8</v>
      </c>
      <c r="E564">
        <v>-0.46200000000000002</v>
      </c>
      <c r="F564">
        <v>3974</v>
      </c>
      <c r="G564">
        <v>6016</v>
      </c>
    </row>
    <row r="565" spans="1:7">
      <c r="A565" t="s">
        <v>150</v>
      </c>
      <c r="B565" s="1" t="s">
        <v>19</v>
      </c>
      <c r="C565">
        <v>13163</v>
      </c>
      <c r="D565">
        <v>79.3</v>
      </c>
      <c r="E565">
        <v>-0.46500000000000002</v>
      </c>
      <c r="F565">
        <v>5258</v>
      </c>
      <c r="G565">
        <v>5998</v>
      </c>
    </row>
    <row r="566" spans="1:7">
      <c r="A566" t="s">
        <v>150</v>
      </c>
      <c r="B566" s="1" t="s">
        <v>20</v>
      </c>
      <c r="C566">
        <v>13498</v>
      </c>
      <c r="D566">
        <v>78.599999999999994</v>
      </c>
      <c r="E566">
        <v>-0.46700000000000003</v>
      </c>
      <c r="F566">
        <v>4709</v>
      </c>
      <c r="G566">
        <v>5998</v>
      </c>
    </row>
    <row r="567" spans="1:7">
      <c r="A567" t="s">
        <v>150</v>
      </c>
      <c r="B567" s="1" t="s">
        <v>21</v>
      </c>
      <c r="C567">
        <v>13638</v>
      </c>
      <c r="D567">
        <v>79.2</v>
      </c>
      <c r="E567">
        <v>-0.46100000000000002</v>
      </c>
      <c r="F567">
        <v>4843</v>
      </c>
      <c r="G567">
        <v>6004</v>
      </c>
    </row>
    <row r="568" spans="1:7">
      <c r="A568" t="s">
        <v>150</v>
      </c>
      <c r="B568" s="1" t="s">
        <v>22</v>
      </c>
      <c r="C568">
        <v>12805</v>
      </c>
      <c r="D568">
        <v>77.8</v>
      </c>
      <c r="E568">
        <v>-0.47799999999999998</v>
      </c>
      <c r="F568">
        <v>4909</v>
      </c>
      <c r="G568">
        <v>6008</v>
      </c>
    </row>
    <row r="569" spans="1:7">
      <c r="A569" t="s">
        <v>150</v>
      </c>
      <c r="B569" s="1" t="s">
        <v>23</v>
      </c>
      <c r="C569">
        <v>14570</v>
      </c>
      <c r="D569">
        <v>78.5</v>
      </c>
      <c r="E569">
        <v>-0.46800000000000003</v>
      </c>
      <c r="F569">
        <v>3260</v>
      </c>
      <c r="G569">
        <v>6004</v>
      </c>
    </row>
    <row r="570" spans="1:7">
      <c r="A570" t="s">
        <v>150</v>
      </c>
      <c r="B570" s="1" t="s">
        <v>24</v>
      </c>
      <c r="C570">
        <v>14131</v>
      </c>
      <c r="D570">
        <v>79.2</v>
      </c>
      <c r="E570">
        <v>-0.46600000000000003</v>
      </c>
      <c r="F570">
        <v>3935</v>
      </c>
      <c r="G570">
        <v>6007</v>
      </c>
    </row>
    <row r="571" spans="1:7">
      <c r="A571" t="s">
        <v>150</v>
      </c>
      <c r="B571" s="1" t="s">
        <v>25</v>
      </c>
      <c r="C571">
        <v>14168</v>
      </c>
      <c r="D571">
        <v>78.8</v>
      </c>
      <c r="E571">
        <v>-0.46400000000000002</v>
      </c>
      <c r="F571">
        <v>3545</v>
      </c>
      <c r="G571">
        <v>5990</v>
      </c>
    </row>
    <row r="572" spans="1:7">
      <c r="A572" t="s">
        <v>150</v>
      </c>
      <c r="B572" s="1" t="s">
        <v>26</v>
      </c>
      <c r="C572">
        <v>14502</v>
      </c>
      <c r="D572">
        <v>79.7</v>
      </c>
      <c r="E572">
        <v>-0.45100000000000001</v>
      </c>
      <c r="F572">
        <v>3186</v>
      </c>
      <c r="G572">
        <v>5985</v>
      </c>
    </row>
    <row r="573" spans="1:7">
      <c r="A573" t="s">
        <v>150</v>
      </c>
      <c r="B573" s="1" t="s">
        <v>27</v>
      </c>
      <c r="C573">
        <v>15291</v>
      </c>
      <c r="D573">
        <v>79.3</v>
      </c>
      <c r="E573">
        <v>-0.45200000000000001</v>
      </c>
      <c r="F573">
        <v>3222</v>
      </c>
      <c r="G573">
        <v>6015</v>
      </c>
    </row>
    <row r="574" spans="1:7">
      <c r="A574" t="s">
        <v>150</v>
      </c>
      <c r="B574" s="1" t="s">
        <v>28</v>
      </c>
      <c r="C574">
        <v>15035</v>
      </c>
      <c r="D574">
        <v>79.099999999999994</v>
      </c>
      <c r="E574">
        <v>-0.45400000000000001</v>
      </c>
      <c r="F574">
        <v>2758</v>
      </c>
      <c r="G574">
        <v>5992</v>
      </c>
    </row>
    <row r="575" spans="1:7">
      <c r="A575" t="s">
        <v>150</v>
      </c>
      <c r="B575" s="1" t="s">
        <v>29</v>
      </c>
      <c r="C575">
        <v>15288</v>
      </c>
      <c r="D575">
        <v>79.5</v>
      </c>
      <c r="E575">
        <v>-0.45500000000000002</v>
      </c>
      <c r="F575">
        <v>2989</v>
      </c>
      <c r="G575">
        <v>6003</v>
      </c>
    </row>
    <row r="576" spans="1:7">
      <c r="A576" t="s">
        <v>150</v>
      </c>
      <c r="B576" s="1" t="s">
        <v>30</v>
      </c>
      <c r="C576">
        <v>13880</v>
      </c>
      <c r="D576">
        <v>79.599999999999994</v>
      </c>
      <c r="E576">
        <v>-0.44800000000000001</v>
      </c>
      <c r="F576">
        <v>4088</v>
      </c>
      <c r="G576">
        <v>6006</v>
      </c>
    </row>
    <row r="577" spans="1:7">
      <c r="A577" t="s">
        <v>150</v>
      </c>
      <c r="B577" s="1" t="s">
        <v>31</v>
      </c>
      <c r="C577">
        <v>6047</v>
      </c>
      <c r="D577">
        <v>79.8</v>
      </c>
      <c r="E577">
        <v>-0.45</v>
      </c>
      <c r="F577">
        <v>5856</v>
      </c>
      <c r="G577">
        <v>4277</v>
      </c>
    </row>
    <row r="578" spans="1:7">
      <c r="A578" t="s">
        <v>151</v>
      </c>
      <c r="B578" s="1" t="s">
        <v>8</v>
      </c>
      <c r="C578">
        <v>6825</v>
      </c>
      <c r="D578">
        <v>79.5</v>
      </c>
      <c r="E578">
        <v>-0.496</v>
      </c>
      <c r="F578">
        <v>5467</v>
      </c>
      <c r="G578">
        <v>4002</v>
      </c>
    </row>
    <row r="579" spans="1:7">
      <c r="A579" t="s">
        <v>151</v>
      </c>
      <c r="B579" s="1" t="s">
        <v>9</v>
      </c>
      <c r="C579">
        <v>7672</v>
      </c>
      <c r="D579">
        <v>84.2</v>
      </c>
      <c r="E579">
        <v>-0.41599999999999998</v>
      </c>
      <c r="F579">
        <v>6207</v>
      </c>
      <c r="G579">
        <v>4007</v>
      </c>
    </row>
    <row r="580" spans="1:7">
      <c r="A580" t="s">
        <v>151</v>
      </c>
      <c r="B580" s="1" t="s">
        <v>10</v>
      </c>
      <c r="C580">
        <v>7576</v>
      </c>
      <c r="D580">
        <v>84.6</v>
      </c>
      <c r="E580">
        <v>-0.41799999999999998</v>
      </c>
      <c r="F580">
        <v>5949</v>
      </c>
      <c r="G580">
        <v>4013</v>
      </c>
    </row>
    <row r="581" spans="1:7">
      <c r="A581" t="s">
        <v>151</v>
      </c>
      <c r="B581" s="1" t="s">
        <v>11</v>
      </c>
      <c r="C581">
        <v>9505</v>
      </c>
      <c r="D581">
        <v>84.9</v>
      </c>
      <c r="E581">
        <v>-0.437</v>
      </c>
      <c r="F581">
        <v>5163</v>
      </c>
      <c r="G581">
        <v>4019</v>
      </c>
    </row>
    <row r="582" spans="1:7">
      <c r="A582" t="s">
        <v>151</v>
      </c>
      <c r="B582" s="1" t="s">
        <v>12</v>
      </c>
      <c r="C582">
        <v>16871</v>
      </c>
      <c r="D582">
        <v>83.6</v>
      </c>
      <c r="E582">
        <v>-0.45300000000000001</v>
      </c>
      <c r="F582">
        <v>26</v>
      </c>
      <c r="G582">
        <v>5057</v>
      </c>
    </row>
    <row r="583" spans="1:7">
      <c r="A583" t="s">
        <v>151</v>
      </c>
      <c r="B583" s="1" t="s">
        <v>13</v>
      </c>
      <c r="C583">
        <v>15877</v>
      </c>
      <c r="D583">
        <v>79.8</v>
      </c>
      <c r="E583">
        <v>-0.46400000000000002</v>
      </c>
      <c r="F583">
        <v>83</v>
      </c>
      <c r="G583">
        <v>5872</v>
      </c>
    </row>
    <row r="584" spans="1:7">
      <c r="A584" t="s">
        <v>151</v>
      </c>
      <c r="B584" s="1" t="s">
        <v>14</v>
      </c>
      <c r="C584">
        <v>18301</v>
      </c>
      <c r="D584">
        <v>80</v>
      </c>
      <c r="E584">
        <v>-0.45300000000000001</v>
      </c>
      <c r="F584">
        <v>80</v>
      </c>
      <c r="G584">
        <v>6008</v>
      </c>
    </row>
    <row r="585" spans="1:7">
      <c r="A585" t="s">
        <v>151</v>
      </c>
      <c r="B585" s="1" t="s">
        <v>15</v>
      </c>
      <c r="C585">
        <v>17969</v>
      </c>
      <c r="D585">
        <v>79.7</v>
      </c>
      <c r="E585">
        <v>-0.44800000000000001</v>
      </c>
      <c r="F585">
        <v>75</v>
      </c>
      <c r="G585">
        <v>6015</v>
      </c>
    </row>
    <row r="586" spans="1:7">
      <c r="A586" t="s">
        <v>151</v>
      </c>
      <c r="B586" s="1" t="s">
        <v>16</v>
      </c>
      <c r="C586">
        <v>16654</v>
      </c>
      <c r="D586">
        <v>79.8</v>
      </c>
      <c r="E586">
        <v>-0.439</v>
      </c>
      <c r="F586">
        <v>1609</v>
      </c>
      <c r="G586">
        <v>6000</v>
      </c>
    </row>
    <row r="587" spans="1:7">
      <c r="A587" t="s">
        <v>151</v>
      </c>
      <c r="B587" s="1" t="s">
        <v>17</v>
      </c>
      <c r="C587">
        <v>15274</v>
      </c>
      <c r="D587">
        <v>79.400000000000006</v>
      </c>
      <c r="E587">
        <v>-0.44800000000000001</v>
      </c>
      <c r="F587">
        <v>2773</v>
      </c>
      <c r="G587">
        <v>5993</v>
      </c>
    </row>
    <row r="588" spans="1:7">
      <c r="A588" t="s">
        <v>151</v>
      </c>
      <c r="B588" s="1" t="s">
        <v>18</v>
      </c>
      <c r="C588">
        <v>14495</v>
      </c>
      <c r="D588">
        <v>79.099999999999994</v>
      </c>
      <c r="E588">
        <v>-0.45100000000000001</v>
      </c>
      <c r="F588">
        <v>3511</v>
      </c>
      <c r="G588">
        <v>5989</v>
      </c>
    </row>
    <row r="589" spans="1:7">
      <c r="A589" t="s">
        <v>151</v>
      </c>
      <c r="B589" s="1" t="s">
        <v>19</v>
      </c>
      <c r="C589">
        <v>14030</v>
      </c>
      <c r="D589">
        <v>79.3</v>
      </c>
      <c r="E589">
        <v>-0.44500000000000001</v>
      </c>
      <c r="F589">
        <v>3821</v>
      </c>
      <c r="G589">
        <v>6000</v>
      </c>
    </row>
    <row r="590" spans="1:7">
      <c r="A590" t="s">
        <v>151</v>
      </c>
      <c r="B590" s="1" t="s">
        <v>20</v>
      </c>
      <c r="C590">
        <v>14493</v>
      </c>
      <c r="D590">
        <v>79.2</v>
      </c>
      <c r="E590">
        <v>-0.45100000000000001</v>
      </c>
      <c r="F590">
        <v>3518</v>
      </c>
      <c r="G590">
        <v>5998</v>
      </c>
    </row>
    <row r="591" spans="1:7">
      <c r="A591" t="s">
        <v>151</v>
      </c>
      <c r="B591" s="1" t="s">
        <v>21</v>
      </c>
      <c r="C591">
        <v>14689</v>
      </c>
      <c r="D591">
        <v>79.099999999999994</v>
      </c>
      <c r="E591">
        <v>-0.44700000000000001</v>
      </c>
      <c r="F591">
        <v>3272</v>
      </c>
      <c r="G591">
        <v>6005</v>
      </c>
    </row>
    <row r="592" spans="1:7">
      <c r="A592" t="s">
        <v>151</v>
      </c>
      <c r="B592" s="1" t="s">
        <v>22</v>
      </c>
      <c r="C592">
        <v>15045</v>
      </c>
      <c r="D592">
        <v>79.2</v>
      </c>
      <c r="E592">
        <v>-0.45</v>
      </c>
      <c r="F592">
        <v>3087</v>
      </c>
      <c r="G592">
        <v>6003</v>
      </c>
    </row>
    <row r="593" spans="1:7">
      <c r="A593" t="s">
        <v>151</v>
      </c>
      <c r="B593" s="1" t="s">
        <v>23</v>
      </c>
      <c r="C593">
        <v>15446</v>
      </c>
      <c r="D593">
        <v>79.400000000000006</v>
      </c>
      <c r="E593">
        <v>-0.44800000000000001</v>
      </c>
      <c r="F593">
        <v>2721</v>
      </c>
      <c r="G593">
        <v>6042</v>
      </c>
    </row>
    <row r="594" spans="1:7">
      <c r="A594" t="s">
        <v>151</v>
      </c>
      <c r="B594" s="1" t="s">
        <v>24</v>
      </c>
      <c r="C594">
        <v>14783</v>
      </c>
      <c r="D594">
        <v>79.2</v>
      </c>
      <c r="E594">
        <v>-0.44500000000000001</v>
      </c>
      <c r="F594">
        <v>3306</v>
      </c>
      <c r="G594">
        <v>6006</v>
      </c>
    </row>
    <row r="595" spans="1:7">
      <c r="A595" t="s">
        <v>151</v>
      </c>
      <c r="B595" s="1" t="s">
        <v>25</v>
      </c>
      <c r="C595">
        <v>15850</v>
      </c>
      <c r="D595">
        <v>79.400000000000006</v>
      </c>
      <c r="E595">
        <v>-0.443</v>
      </c>
      <c r="F595">
        <v>2302</v>
      </c>
      <c r="G595">
        <v>6009</v>
      </c>
    </row>
    <row r="596" spans="1:7">
      <c r="A596" t="s">
        <v>151</v>
      </c>
      <c r="B596" s="1" t="s">
        <v>26</v>
      </c>
      <c r="C596">
        <v>15549</v>
      </c>
      <c r="D596">
        <v>79.599999999999994</v>
      </c>
      <c r="E596">
        <v>-0.434</v>
      </c>
      <c r="F596">
        <v>2389</v>
      </c>
      <c r="G596">
        <v>5980</v>
      </c>
    </row>
    <row r="597" spans="1:7">
      <c r="A597" t="s">
        <v>151</v>
      </c>
      <c r="B597" s="1" t="s">
        <v>27</v>
      </c>
      <c r="C597">
        <v>15625</v>
      </c>
      <c r="D597">
        <v>79.7</v>
      </c>
      <c r="E597">
        <v>-0.436</v>
      </c>
      <c r="F597">
        <v>2085</v>
      </c>
      <c r="G597">
        <v>5997</v>
      </c>
    </row>
    <row r="598" spans="1:7">
      <c r="A598" t="s">
        <v>151</v>
      </c>
      <c r="B598" s="1" t="s">
        <v>28</v>
      </c>
      <c r="C598">
        <v>15044</v>
      </c>
      <c r="D598">
        <v>79.5</v>
      </c>
      <c r="E598">
        <v>-0.44</v>
      </c>
      <c r="F598">
        <v>2885</v>
      </c>
      <c r="G598">
        <v>5998</v>
      </c>
    </row>
    <row r="599" spans="1:7">
      <c r="A599" t="s">
        <v>151</v>
      </c>
      <c r="B599" s="1" t="s">
        <v>29</v>
      </c>
      <c r="C599">
        <v>15415</v>
      </c>
      <c r="D599">
        <v>79.7</v>
      </c>
      <c r="E599">
        <v>-0.436</v>
      </c>
      <c r="F599">
        <v>2607</v>
      </c>
      <c r="G599">
        <v>5996</v>
      </c>
    </row>
    <row r="600" spans="1:7">
      <c r="A600" t="s">
        <v>151</v>
      </c>
      <c r="B600" s="1" t="s">
        <v>30</v>
      </c>
      <c r="C600">
        <v>14135</v>
      </c>
      <c r="D600">
        <v>79.7</v>
      </c>
      <c r="E600">
        <v>-0.438</v>
      </c>
      <c r="F600">
        <v>3672</v>
      </c>
      <c r="G600">
        <v>6006</v>
      </c>
    </row>
    <row r="601" spans="1:7">
      <c r="A601" t="s">
        <v>151</v>
      </c>
      <c r="B601" s="1" t="s">
        <v>31</v>
      </c>
      <c r="C601">
        <v>7341</v>
      </c>
      <c r="D601">
        <v>81</v>
      </c>
      <c r="E601">
        <v>-0.439</v>
      </c>
      <c r="F601">
        <v>8118</v>
      </c>
      <c r="G601">
        <v>4960</v>
      </c>
    </row>
    <row r="602" spans="1:7">
      <c r="A602" t="s">
        <v>152</v>
      </c>
      <c r="B602" s="1" t="s">
        <v>8</v>
      </c>
      <c r="C602">
        <v>7119</v>
      </c>
      <c r="D602">
        <v>79.599999999999994</v>
      </c>
      <c r="E602">
        <v>-0.48699999999999999</v>
      </c>
      <c r="F602">
        <v>5271</v>
      </c>
      <c r="G602">
        <v>4007</v>
      </c>
    </row>
    <row r="603" spans="1:7">
      <c r="A603" t="s">
        <v>152</v>
      </c>
      <c r="B603" s="1" t="s">
        <v>9</v>
      </c>
      <c r="C603">
        <v>8165</v>
      </c>
      <c r="D603">
        <v>84.3</v>
      </c>
      <c r="E603">
        <v>-0.39900000000000002</v>
      </c>
      <c r="F603">
        <v>4919</v>
      </c>
      <c r="G603">
        <v>4001</v>
      </c>
    </row>
    <row r="604" spans="1:7">
      <c r="A604" t="s">
        <v>152</v>
      </c>
      <c r="B604" s="1" t="s">
        <v>10</v>
      </c>
      <c r="C604">
        <v>9905</v>
      </c>
      <c r="D604">
        <v>84.9</v>
      </c>
      <c r="E604">
        <v>-0.40600000000000003</v>
      </c>
      <c r="F604">
        <v>3192</v>
      </c>
      <c r="G604">
        <v>3992</v>
      </c>
    </row>
    <row r="605" spans="1:7">
      <c r="A605" t="s">
        <v>152</v>
      </c>
      <c r="B605" s="1" t="s">
        <v>11</v>
      </c>
      <c r="C605">
        <v>8525</v>
      </c>
      <c r="D605">
        <v>84.7</v>
      </c>
      <c r="E605">
        <v>-0.38100000000000001</v>
      </c>
      <c r="F605">
        <v>3006</v>
      </c>
      <c r="G605">
        <v>3942</v>
      </c>
    </row>
    <row r="606" spans="1:7">
      <c r="A606" t="s">
        <v>152</v>
      </c>
      <c r="B606" s="1" t="s">
        <v>12</v>
      </c>
      <c r="C606">
        <v>14907</v>
      </c>
      <c r="D606">
        <v>81.5</v>
      </c>
      <c r="E606">
        <v>-0.45500000000000002</v>
      </c>
      <c r="F606">
        <v>105</v>
      </c>
      <c r="G606">
        <v>4697</v>
      </c>
    </row>
    <row r="607" spans="1:7">
      <c r="A607" t="s">
        <v>152</v>
      </c>
      <c r="B607" s="1" t="s">
        <v>13</v>
      </c>
      <c r="C607">
        <v>17028</v>
      </c>
      <c r="D607">
        <v>80.3</v>
      </c>
      <c r="E607">
        <v>-0.45500000000000002</v>
      </c>
      <c r="F607">
        <v>32</v>
      </c>
      <c r="G607">
        <v>5925</v>
      </c>
    </row>
    <row r="608" spans="1:7">
      <c r="A608" t="s">
        <v>152</v>
      </c>
      <c r="B608" s="1" t="s">
        <v>14</v>
      </c>
      <c r="C608">
        <v>18290</v>
      </c>
      <c r="D608">
        <v>80.7</v>
      </c>
      <c r="E608">
        <v>-0.43099999999999999</v>
      </c>
      <c r="F608">
        <v>81</v>
      </c>
      <c r="G608">
        <v>5996</v>
      </c>
    </row>
    <row r="609" spans="1:7">
      <c r="A609" t="s">
        <v>152</v>
      </c>
      <c r="B609" s="1" t="s">
        <v>15</v>
      </c>
      <c r="C609">
        <v>18192</v>
      </c>
      <c r="D609">
        <v>81</v>
      </c>
      <c r="E609">
        <v>-0.42699999999999999</v>
      </c>
      <c r="F609">
        <v>103</v>
      </c>
      <c r="G609">
        <v>5999</v>
      </c>
    </row>
    <row r="610" spans="1:7">
      <c r="A610" t="s">
        <v>152</v>
      </c>
      <c r="B610" s="1" t="s">
        <v>16</v>
      </c>
      <c r="C610">
        <v>18115</v>
      </c>
      <c r="D610">
        <v>80.599999999999994</v>
      </c>
      <c r="E610">
        <v>-0.432</v>
      </c>
      <c r="F610">
        <v>22</v>
      </c>
      <c r="G610">
        <v>6002</v>
      </c>
    </row>
    <row r="611" spans="1:7">
      <c r="A611" t="s">
        <v>152</v>
      </c>
      <c r="B611" s="1" t="s">
        <v>17</v>
      </c>
      <c r="C611">
        <v>17293</v>
      </c>
      <c r="D611">
        <v>80.5</v>
      </c>
      <c r="E611">
        <v>-0.435</v>
      </c>
      <c r="F611">
        <v>1326</v>
      </c>
      <c r="G611">
        <v>6002</v>
      </c>
    </row>
    <row r="612" spans="1:7">
      <c r="A612" t="s">
        <v>152</v>
      </c>
      <c r="B612" s="1" t="s">
        <v>18</v>
      </c>
      <c r="C612">
        <v>14595</v>
      </c>
      <c r="D612">
        <v>78.5</v>
      </c>
      <c r="E612">
        <v>-0.47399999999999998</v>
      </c>
      <c r="F612">
        <v>4686</v>
      </c>
      <c r="G612">
        <v>6017</v>
      </c>
    </row>
    <row r="613" spans="1:7">
      <c r="A613" t="s">
        <v>152</v>
      </c>
      <c r="B613" s="1" t="s">
        <v>19</v>
      </c>
      <c r="C613">
        <v>14738</v>
      </c>
      <c r="D613">
        <v>79.5</v>
      </c>
      <c r="E613">
        <v>-0.44500000000000001</v>
      </c>
      <c r="F613">
        <v>3204</v>
      </c>
      <c r="G613">
        <v>6001</v>
      </c>
    </row>
    <row r="614" spans="1:7">
      <c r="A614" t="s">
        <v>152</v>
      </c>
      <c r="B614" s="1" t="s">
        <v>20</v>
      </c>
      <c r="C614">
        <v>14294</v>
      </c>
      <c r="D614">
        <v>79.599999999999994</v>
      </c>
      <c r="E614">
        <v>-0.441</v>
      </c>
      <c r="F614">
        <v>3577</v>
      </c>
      <c r="G614">
        <v>5989</v>
      </c>
    </row>
    <row r="615" spans="1:7">
      <c r="A615" t="s">
        <v>152</v>
      </c>
      <c r="B615" s="1" t="s">
        <v>21</v>
      </c>
      <c r="C615">
        <v>14653</v>
      </c>
      <c r="D615">
        <v>79.5</v>
      </c>
      <c r="E615">
        <v>-0.434</v>
      </c>
      <c r="F615">
        <v>3620</v>
      </c>
      <c r="G615">
        <v>6004</v>
      </c>
    </row>
    <row r="616" spans="1:7">
      <c r="A616" t="s">
        <v>152</v>
      </c>
      <c r="B616" s="1" t="s">
        <v>22</v>
      </c>
      <c r="C616">
        <v>15444</v>
      </c>
      <c r="D616">
        <v>79.8</v>
      </c>
      <c r="E616">
        <v>-0.437</v>
      </c>
      <c r="F616">
        <v>2917</v>
      </c>
      <c r="G616">
        <v>6014</v>
      </c>
    </row>
    <row r="617" spans="1:7">
      <c r="A617" t="s">
        <v>152</v>
      </c>
      <c r="B617" s="1" t="s">
        <v>23</v>
      </c>
      <c r="C617">
        <v>14835</v>
      </c>
      <c r="D617">
        <v>79.099999999999994</v>
      </c>
      <c r="E617">
        <v>-0.44400000000000001</v>
      </c>
      <c r="F617">
        <v>3540</v>
      </c>
      <c r="G617">
        <v>5996</v>
      </c>
    </row>
    <row r="618" spans="1:7">
      <c r="A618" t="s">
        <v>152</v>
      </c>
      <c r="B618" s="1" t="s">
        <v>24</v>
      </c>
      <c r="C618">
        <v>14501</v>
      </c>
      <c r="D618">
        <v>78.900000000000006</v>
      </c>
      <c r="E618">
        <v>-0.443</v>
      </c>
      <c r="F618">
        <v>3430</v>
      </c>
      <c r="G618">
        <v>5986</v>
      </c>
    </row>
    <row r="619" spans="1:7">
      <c r="A619" t="s">
        <v>152</v>
      </c>
      <c r="B619" s="1" t="s">
        <v>25</v>
      </c>
      <c r="C619">
        <v>16053</v>
      </c>
      <c r="D619">
        <v>79.599999999999994</v>
      </c>
      <c r="E619">
        <v>-0.42499999999999999</v>
      </c>
      <c r="F619">
        <v>1883</v>
      </c>
      <c r="G619">
        <v>5978</v>
      </c>
    </row>
    <row r="620" spans="1:7">
      <c r="A620" t="s">
        <v>152</v>
      </c>
      <c r="B620" s="1" t="s">
        <v>26</v>
      </c>
      <c r="C620">
        <v>16081</v>
      </c>
      <c r="D620">
        <v>80.099999999999994</v>
      </c>
      <c r="E620">
        <v>-0.42699999999999999</v>
      </c>
      <c r="F620">
        <v>1677</v>
      </c>
      <c r="G620">
        <v>6005</v>
      </c>
    </row>
    <row r="621" spans="1:7">
      <c r="A621" t="s">
        <v>152</v>
      </c>
      <c r="B621" s="1" t="s">
        <v>27</v>
      </c>
      <c r="C621">
        <v>15770</v>
      </c>
      <c r="D621">
        <v>79.7</v>
      </c>
      <c r="E621">
        <v>-0.43</v>
      </c>
      <c r="F621">
        <v>2399</v>
      </c>
      <c r="G621">
        <v>6006</v>
      </c>
    </row>
    <row r="622" spans="1:7">
      <c r="A622" t="s">
        <v>152</v>
      </c>
      <c r="B622" s="1" t="s">
        <v>28</v>
      </c>
      <c r="C622">
        <v>15481</v>
      </c>
      <c r="D622">
        <v>79.599999999999994</v>
      </c>
      <c r="E622">
        <v>-0.44</v>
      </c>
      <c r="F622">
        <v>2823</v>
      </c>
      <c r="G622">
        <v>5996</v>
      </c>
    </row>
    <row r="623" spans="1:7">
      <c r="A623" t="s">
        <v>152</v>
      </c>
      <c r="B623" s="1" t="s">
        <v>29</v>
      </c>
      <c r="C623">
        <v>16382</v>
      </c>
      <c r="D623">
        <v>79.8</v>
      </c>
      <c r="E623">
        <v>-0.43099999999999999</v>
      </c>
      <c r="F623">
        <v>1865</v>
      </c>
      <c r="G623">
        <v>5994</v>
      </c>
    </row>
    <row r="624" spans="1:7">
      <c r="A624" t="s">
        <v>152</v>
      </c>
      <c r="B624" s="1" t="s">
        <v>30</v>
      </c>
      <c r="C624">
        <v>14342</v>
      </c>
      <c r="D624">
        <v>80.5</v>
      </c>
      <c r="E624">
        <v>-0.42699999999999999</v>
      </c>
      <c r="F624">
        <v>3587</v>
      </c>
      <c r="G624">
        <v>5974</v>
      </c>
    </row>
    <row r="625" spans="1:7">
      <c r="A625" t="s">
        <v>152</v>
      </c>
      <c r="B625" s="1" t="s">
        <v>31</v>
      </c>
      <c r="C625">
        <v>6927</v>
      </c>
      <c r="D625">
        <v>80.400000000000006</v>
      </c>
      <c r="E625">
        <v>-0.45</v>
      </c>
      <c r="F625">
        <v>10108</v>
      </c>
      <c r="G625">
        <v>5442</v>
      </c>
    </row>
    <row r="626" spans="1:7">
      <c r="A626" t="s">
        <v>153</v>
      </c>
      <c r="B626" s="1" t="s">
        <v>8</v>
      </c>
      <c r="C626">
        <v>7505</v>
      </c>
      <c r="D626">
        <v>79.599999999999994</v>
      </c>
      <c r="E626">
        <v>-0.48699999999999999</v>
      </c>
      <c r="F626">
        <v>5191</v>
      </c>
      <c r="G626">
        <v>3995</v>
      </c>
    </row>
    <row r="627" spans="1:7">
      <c r="A627" t="s">
        <v>153</v>
      </c>
      <c r="B627" s="1" t="s">
        <v>9</v>
      </c>
      <c r="C627">
        <v>8849</v>
      </c>
      <c r="D627">
        <v>84.4</v>
      </c>
      <c r="E627">
        <v>-0.41299999999999998</v>
      </c>
      <c r="F627">
        <v>4776</v>
      </c>
      <c r="G627">
        <v>4005</v>
      </c>
    </row>
    <row r="628" spans="1:7">
      <c r="A628" t="s">
        <v>153</v>
      </c>
      <c r="B628" s="1" t="s">
        <v>10</v>
      </c>
      <c r="C628">
        <v>9402</v>
      </c>
      <c r="D628">
        <v>84.5</v>
      </c>
      <c r="E628">
        <v>-0.39300000000000002</v>
      </c>
      <c r="F628">
        <v>3382</v>
      </c>
      <c r="G628">
        <v>3969</v>
      </c>
    </row>
    <row r="629" spans="1:7">
      <c r="A629" t="s">
        <v>153</v>
      </c>
      <c r="B629" s="1" t="s">
        <v>11</v>
      </c>
      <c r="C629">
        <v>10821</v>
      </c>
      <c r="D629">
        <v>85.7</v>
      </c>
      <c r="E629">
        <v>-0.437</v>
      </c>
      <c r="F629">
        <v>4885</v>
      </c>
      <c r="G629">
        <v>4030</v>
      </c>
    </row>
    <row r="630" spans="1:7">
      <c r="A630" t="s">
        <v>153</v>
      </c>
      <c r="B630" s="1" t="s">
        <v>12</v>
      </c>
      <c r="C630">
        <v>15982</v>
      </c>
      <c r="D630">
        <v>82.1</v>
      </c>
      <c r="E630">
        <v>-0.45700000000000002</v>
      </c>
      <c r="F630">
        <v>146</v>
      </c>
      <c r="G630">
        <v>4945</v>
      </c>
    </row>
    <row r="631" spans="1:7">
      <c r="A631" t="s">
        <v>153</v>
      </c>
      <c r="B631" s="1" t="s">
        <v>13</v>
      </c>
      <c r="C631">
        <v>17431</v>
      </c>
      <c r="D631">
        <v>80</v>
      </c>
      <c r="E631">
        <v>-0.47199999999999998</v>
      </c>
      <c r="F631">
        <v>58</v>
      </c>
      <c r="G631">
        <v>5421</v>
      </c>
    </row>
    <row r="632" spans="1:7">
      <c r="A632" t="s">
        <v>153</v>
      </c>
      <c r="B632" s="1" t="s">
        <v>14</v>
      </c>
      <c r="C632">
        <v>18529</v>
      </c>
      <c r="D632">
        <v>80.400000000000006</v>
      </c>
      <c r="E632">
        <v>-0.437</v>
      </c>
      <c r="F632">
        <v>76</v>
      </c>
      <c r="G632">
        <v>6004</v>
      </c>
    </row>
    <row r="633" spans="1:7">
      <c r="A633" t="s">
        <v>153</v>
      </c>
      <c r="B633" s="1" t="s">
        <v>15</v>
      </c>
      <c r="C633">
        <v>18255</v>
      </c>
      <c r="D633">
        <v>80.5</v>
      </c>
      <c r="E633">
        <v>-0.42099999999999999</v>
      </c>
      <c r="F633">
        <v>23</v>
      </c>
      <c r="G633">
        <v>5930</v>
      </c>
    </row>
    <row r="634" spans="1:7">
      <c r="A634" t="s">
        <v>153</v>
      </c>
      <c r="B634" s="1" t="s">
        <v>16</v>
      </c>
      <c r="C634">
        <v>18348</v>
      </c>
      <c r="D634">
        <v>80.5</v>
      </c>
      <c r="E634">
        <v>-0.42299999999999999</v>
      </c>
      <c r="F634">
        <v>22</v>
      </c>
      <c r="G634">
        <v>5994</v>
      </c>
    </row>
    <row r="635" spans="1:7">
      <c r="A635" t="s">
        <v>153</v>
      </c>
      <c r="B635" s="1" t="s">
        <v>17</v>
      </c>
      <c r="C635">
        <v>17355</v>
      </c>
      <c r="D635">
        <v>80.099999999999994</v>
      </c>
      <c r="E635">
        <v>-0.42499999999999999</v>
      </c>
      <c r="F635">
        <v>1238</v>
      </c>
      <c r="G635">
        <v>5992</v>
      </c>
    </row>
    <row r="636" spans="1:7">
      <c r="A636" t="s">
        <v>153</v>
      </c>
      <c r="B636" s="1" t="s">
        <v>18</v>
      </c>
      <c r="C636">
        <v>15625</v>
      </c>
      <c r="D636">
        <v>79.2</v>
      </c>
      <c r="E636">
        <v>-0.44800000000000001</v>
      </c>
      <c r="F636">
        <v>5125</v>
      </c>
      <c r="G636">
        <v>6041</v>
      </c>
    </row>
    <row r="637" spans="1:7">
      <c r="A637" t="s">
        <v>153</v>
      </c>
      <c r="B637" s="1" t="s">
        <v>19</v>
      </c>
      <c r="C637">
        <v>14791</v>
      </c>
      <c r="D637">
        <v>79.7</v>
      </c>
      <c r="E637">
        <v>-0.436</v>
      </c>
      <c r="F637">
        <v>4197</v>
      </c>
      <c r="G637">
        <v>6010</v>
      </c>
    </row>
    <row r="638" spans="1:7">
      <c r="A638" t="s">
        <v>153</v>
      </c>
      <c r="B638" s="1" t="s">
        <v>20</v>
      </c>
      <c r="C638">
        <v>16009</v>
      </c>
      <c r="D638">
        <v>79.5</v>
      </c>
      <c r="E638">
        <v>-0.439</v>
      </c>
      <c r="F638">
        <v>2623</v>
      </c>
      <c r="G638">
        <v>5988</v>
      </c>
    </row>
    <row r="639" spans="1:7">
      <c r="A639" t="s">
        <v>153</v>
      </c>
      <c r="B639" s="1" t="s">
        <v>21</v>
      </c>
      <c r="C639">
        <v>16011</v>
      </c>
      <c r="D639">
        <v>79.599999999999994</v>
      </c>
      <c r="E639">
        <v>-0.439</v>
      </c>
      <c r="F639">
        <v>2154</v>
      </c>
      <c r="G639">
        <v>5997</v>
      </c>
    </row>
    <row r="640" spans="1:7">
      <c r="A640" t="s">
        <v>153</v>
      </c>
      <c r="B640" s="1" t="s">
        <v>22</v>
      </c>
      <c r="C640">
        <v>14691</v>
      </c>
      <c r="D640">
        <v>78.599999999999994</v>
      </c>
      <c r="E640">
        <v>-0.45500000000000002</v>
      </c>
      <c r="F640">
        <v>3578</v>
      </c>
      <c r="G640">
        <v>6002</v>
      </c>
    </row>
    <row r="641" spans="1:7">
      <c r="A641" t="s">
        <v>153</v>
      </c>
      <c r="B641" s="1" t="s">
        <v>23</v>
      </c>
      <c r="C641">
        <v>17495</v>
      </c>
      <c r="D641">
        <v>82.2</v>
      </c>
      <c r="E641">
        <v>-0.39600000000000002</v>
      </c>
      <c r="F641">
        <v>1246</v>
      </c>
      <c r="G641">
        <v>5989</v>
      </c>
    </row>
    <row r="642" spans="1:7">
      <c r="A642" t="s">
        <v>153</v>
      </c>
      <c r="B642" s="1" t="s">
        <v>24</v>
      </c>
      <c r="C642">
        <v>16195</v>
      </c>
      <c r="D642">
        <v>82</v>
      </c>
      <c r="E642">
        <v>-0.4</v>
      </c>
      <c r="F642">
        <v>3250</v>
      </c>
      <c r="G642">
        <v>6018</v>
      </c>
    </row>
    <row r="643" spans="1:7">
      <c r="A643" t="s">
        <v>153</v>
      </c>
      <c r="B643" s="1" t="s">
        <v>25</v>
      </c>
      <c r="C643">
        <v>14984</v>
      </c>
      <c r="D643">
        <v>82.9</v>
      </c>
      <c r="E643">
        <v>-0.39600000000000002</v>
      </c>
      <c r="F643">
        <v>3078</v>
      </c>
      <c r="G643">
        <v>6007</v>
      </c>
    </row>
    <row r="644" spans="1:7">
      <c r="A644" t="s">
        <v>153</v>
      </c>
      <c r="B644" s="1" t="s">
        <v>26</v>
      </c>
      <c r="C644">
        <v>16113</v>
      </c>
      <c r="D644">
        <v>82.2</v>
      </c>
      <c r="E644">
        <v>-0.39100000000000001</v>
      </c>
      <c r="F644">
        <v>2003</v>
      </c>
      <c r="G644">
        <v>5986</v>
      </c>
    </row>
    <row r="645" spans="1:7">
      <c r="A645" t="s">
        <v>153</v>
      </c>
      <c r="B645" s="1" t="s">
        <v>27</v>
      </c>
      <c r="C645">
        <v>15834</v>
      </c>
      <c r="D645">
        <v>82</v>
      </c>
      <c r="E645">
        <v>-0.40400000000000003</v>
      </c>
      <c r="F645">
        <v>3277</v>
      </c>
      <c r="G645">
        <v>6037</v>
      </c>
    </row>
    <row r="646" spans="1:7">
      <c r="A646" t="s">
        <v>153</v>
      </c>
      <c r="B646" s="1" t="s">
        <v>28</v>
      </c>
      <c r="C646">
        <v>14919</v>
      </c>
      <c r="D646">
        <v>81.400000000000006</v>
      </c>
      <c r="E646">
        <v>-0.42499999999999999</v>
      </c>
      <c r="F646">
        <v>2884</v>
      </c>
      <c r="G646">
        <v>5973</v>
      </c>
    </row>
    <row r="647" spans="1:7">
      <c r="A647" t="s">
        <v>153</v>
      </c>
      <c r="B647" s="1" t="s">
        <v>29</v>
      </c>
      <c r="C647">
        <v>15006</v>
      </c>
      <c r="D647">
        <v>79.599999999999994</v>
      </c>
      <c r="E647">
        <v>-0.439</v>
      </c>
      <c r="F647">
        <v>3241</v>
      </c>
      <c r="G647">
        <v>6003</v>
      </c>
    </row>
    <row r="648" spans="1:7">
      <c r="A648" t="s">
        <v>153</v>
      </c>
      <c r="B648" s="1" t="s">
        <v>30</v>
      </c>
      <c r="C648">
        <v>14855</v>
      </c>
      <c r="D648">
        <v>79.900000000000006</v>
      </c>
      <c r="E648">
        <v>-0.441</v>
      </c>
      <c r="F648">
        <v>3519</v>
      </c>
      <c r="G648">
        <v>5977</v>
      </c>
    </row>
    <row r="649" spans="1:7">
      <c r="A649" t="s">
        <v>153</v>
      </c>
      <c r="B649" s="1" t="s">
        <v>31</v>
      </c>
      <c r="C649">
        <v>6047</v>
      </c>
      <c r="D649">
        <v>78.7</v>
      </c>
      <c r="E649">
        <v>-0.48</v>
      </c>
      <c r="F649">
        <v>6102</v>
      </c>
      <c r="G649">
        <v>4117</v>
      </c>
    </row>
    <row r="650" spans="1:7">
      <c r="A650" t="s">
        <v>154</v>
      </c>
      <c r="B650" s="1" t="s">
        <v>8</v>
      </c>
      <c r="C650">
        <v>7328</v>
      </c>
      <c r="D650">
        <v>79.599999999999994</v>
      </c>
      <c r="E650">
        <v>-0.49399999999999999</v>
      </c>
      <c r="F650">
        <v>5271</v>
      </c>
      <c r="G650">
        <v>3987</v>
      </c>
    </row>
    <row r="651" spans="1:7">
      <c r="A651" t="s">
        <v>154</v>
      </c>
      <c r="B651" s="1" t="s">
        <v>9</v>
      </c>
      <c r="C651">
        <v>9673</v>
      </c>
      <c r="D651">
        <v>85.1</v>
      </c>
      <c r="E651">
        <v>-0.39900000000000002</v>
      </c>
      <c r="F651">
        <v>3789</v>
      </c>
      <c r="G651">
        <v>3996</v>
      </c>
    </row>
    <row r="652" spans="1:7">
      <c r="A652" t="s">
        <v>154</v>
      </c>
      <c r="B652" s="1" t="s">
        <v>10</v>
      </c>
      <c r="C652">
        <v>9556</v>
      </c>
      <c r="D652">
        <v>85.2</v>
      </c>
      <c r="E652">
        <v>-0.41799999999999998</v>
      </c>
      <c r="F652">
        <v>4748</v>
      </c>
      <c r="G652">
        <v>4019</v>
      </c>
    </row>
    <row r="653" spans="1:7">
      <c r="A653" t="s">
        <v>154</v>
      </c>
      <c r="B653" s="1" t="s">
        <v>11</v>
      </c>
      <c r="C653">
        <v>9365</v>
      </c>
      <c r="D653">
        <v>83.9</v>
      </c>
      <c r="E653">
        <v>-0.42399999999999999</v>
      </c>
      <c r="F653">
        <v>3964</v>
      </c>
      <c r="G653">
        <v>3999</v>
      </c>
    </row>
    <row r="654" spans="1:7">
      <c r="A654" t="s">
        <v>154</v>
      </c>
      <c r="B654" s="1" t="s">
        <v>12</v>
      </c>
      <c r="C654">
        <v>14792</v>
      </c>
      <c r="D654">
        <v>85.4</v>
      </c>
      <c r="E654">
        <v>-0.39100000000000001</v>
      </c>
      <c r="F654">
        <v>80</v>
      </c>
      <c r="G654">
        <v>5003</v>
      </c>
    </row>
    <row r="655" spans="1:7">
      <c r="A655" t="s">
        <v>154</v>
      </c>
      <c r="B655" s="1" t="s">
        <v>13</v>
      </c>
      <c r="C655">
        <v>17847</v>
      </c>
      <c r="D655">
        <v>79.5</v>
      </c>
      <c r="E655">
        <v>-0.47199999999999998</v>
      </c>
      <c r="F655">
        <v>54</v>
      </c>
      <c r="G655">
        <v>5030</v>
      </c>
    </row>
    <row r="656" spans="1:7">
      <c r="A656" t="s">
        <v>154</v>
      </c>
      <c r="B656" s="1" t="s">
        <v>14</v>
      </c>
      <c r="C656">
        <v>15759</v>
      </c>
      <c r="D656">
        <v>80.5</v>
      </c>
      <c r="E656">
        <v>-0.44</v>
      </c>
      <c r="F656">
        <v>75</v>
      </c>
      <c r="G656">
        <v>5011</v>
      </c>
    </row>
    <row r="657" spans="1:7">
      <c r="A657" t="s">
        <v>154</v>
      </c>
      <c r="B657" s="1" t="s">
        <v>15</v>
      </c>
      <c r="C657">
        <v>15834</v>
      </c>
      <c r="D657">
        <v>80.099999999999994</v>
      </c>
      <c r="E657">
        <v>-0.46100000000000002</v>
      </c>
      <c r="F657">
        <v>23</v>
      </c>
      <c r="G657">
        <v>5001</v>
      </c>
    </row>
    <row r="658" spans="1:7">
      <c r="A658" t="s">
        <v>154</v>
      </c>
      <c r="B658" s="1" t="s">
        <v>16</v>
      </c>
      <c r="C658">
        <v>15677</v>
      </c>
      <c r="D658">
        <v>80.2</v>
      </c>
      <c r="E658">
        <v>-0.46700000000000003</v>
      </c>
      <c r="F658">
        <v>20</v>
      </c>
      <c r="G658">
        <v>5009</v>
      </c>
    </row>
    <row r="659" spans="1:7">
      <c r="A659" t="s">
        <v>154</v>
      </c>
      <c r="B659" s="1" t="s">
        <v>17</v>
      </c>
      <c r="C659">
        <v>15811</v>
      </c>
      <c r="D659">
        <v>80.8</v>
      </c>
      <c r="E659">
        <v>-0.46</v>
      </c>
      <c r="F659">
        <v>89</v>
      </c>
      <c r="G659">
        <v>5005</v>
      </c>
    </row>
    <row r="660" spans="1:7">
      <c r="A660" t="s">
        <v>154</v>
      </c>
      <c r="B660" s="1" t="s">
        <v>18</v>
      </c>
      <c r="C660">
        <v>15488</v>
      </c>
      <c r="D660">
        <v>80.5</v>
      </c>
      <c r="E660">
        <v>-0.436</v>
      </c>
      <c r="F660">
        <v>43</v>
      </c>
      <c r="G660">
        <v>4997</v>
      </c>
    </row>
    <row r="661" spans="1:7">
      <c r="A661" t="s">
        <v>154</v>
      </c>
      <c r="B661" s="1" t="s">
        <v>19</v>
      </c>
      <c r="C661">
        <v>15852</v>
      </c>
      <c r="D661">
        <v>80.400000000000006</v>
      </c>
      <c r="E661">
        <v>-0.45300000000000001</v>
      </c>
      <c r="F661">
        <v>44</v>
      </c>
      <c r="G661">
        <v>5007</v>
      </c>
    </row>
    <row r="662" spans="1:7">
      <c r="A662" t="s">
        <v>154</v>
      </c>
      <c r="B662" s="1" t="s">
        <v>20</v>
      </c>
      <c r="C662">
        <v>15737</v>
      </c>
      <c r="D662">
        <v>80.599999999999994</v>
      </c>
      <c r="E662">
        <v>-0.45700000000000002</v>
      </c>
      <c r="F662">
        <v>62</v>
      </c>
      <c r="G662">
        <v>4996</v>
      </c>
    </row>
    <row r="663" spans="1:7">
      <c r="A663" t="s">
        <v>154</v>
      </c>
      <c r="B663" s="1" t="s">
        <v>21</v>
      </c>
      <c r="C663">
        <v>15500</v>
      </c>
      <c r="D663">
        <v>80.2</v>
      </c>
      <c r="E663">
        <v>-0.46700000000000003</v>
      </c>
      <c r="F663">
        <v>91</v>
      </c>
      <c r="G663">
        <v>4992</v>
      </c>
    </row>
    <row r="664" spans="1:7">
      <c r="A664" t="s">
        <v>154</v>
      </c>
      <c r="B664" s="1" t="s">
        <v>22</v>
      </c>
      <c r="C664">
        <v>15753</v>
      </c>
      <c r="D664">
        <v>81</v>
      </c>
      <c r="E664">
        <v>-0.44800000000000001</v>
      </c>
      <c r="F664">
        <v>101</v>
      </c>
      <c r="G664">
        <v>4996</v>
      </c>
    </row>
    <row r="665" spans="1:7">
      <c r="A665" t="s">
        <v>154</v>
      </c>
      <c r="B665" s="1" t="s">
        <v>23</v>
      </c>
      <c r="C665">
        <v>15868</v>
      </c>
      <c r="D665">
        <v>83.2</v>
      </c>
      <c r="E665">
        <v>-0.41099999999999998</v>
      </c>
      <c r="F665">
        <v>22</v>
      </c>
      <c r="G665">
        <v>5005</v>
      </c>
    </row>
    <row r="666" spans="1:7">
      <c r="A666" t="s">
        <v>154</v>
      </c>
      <c r="B666" s="1" t="s">
        <v>24</v>
      </c>
      <c r="C666">
        <v>15860</v>
      </c>
      <c r="D666">
        <v>83.6</v>
      </c>
      <c r="E666">
        <v>-0.41699999999999998</v>
      </c>
      <c r="F666">
        <v>121</v>
      </c>
      <c r="G666">
        <v>4990</v>
      </c>
    </row>
    <row r="667" spans="1:7">
      <c r="A667" t="s">
        <v>154</v>
      </c>
      <c r="B667" s="1" t="s">
        <v>25</v>
      </c>
      <c r="C667">
        <v>15716</v>
      </c>
      <c r="D667">
        <v>83.4</v>
      </c>
      <c r="E667">
        <v>-0.41099999999999998</v>
      </c>
      <c r="F667">
        <v>24</v>
      </c>
      <c r="G667">
        <v>4987</v>
      </c>
    </row>
    <row r="668" spans="1:7">
      <c r="A668" t="s">
        <v>154</v>
      </c>
      <c r="B668" s="1" t="s">
        <v>26</v>
      </c>
      <c r="C668">
        <v>18310</v>
      </c>
      <c r="D668">
        <v>83.9</v>
      </c>
      <c r="E668">
        <v>-0.39</v>
      </c>
      <c r="F668">
        <v>74</v>
      </c>
      <c r="G668">
        <v>5002</v>
      </c>
    </row>
    <row r="669" spans="1:7">
      <c r="A669" t="s">
        <v>154</v>
      </c>
      <c r="B669" s="1" t="s">
        <v>27</v>
      </c>
      <c r="C669">
        <v>18303</v>
      </c>
      <c r="D669">
        <v>83.5</v>
      </c>
      <c r="E669">
        <v>-0.373</v>
      </c>
      <c r="F669">
        <v>107</v>
      </c>
      <c r="G669">
        <v>4994</v>
      </c>
    </row>
    <row r="670" spans="1:7">
      <c r="A670" t="s">
        <v>154</v>
      </c>
      <c r="B670" s="1" t="s">
        <v>28</v>
      </c>
      <c r="C670">
        <v>13846</v>
      </c>
      <c r="D670">
        <v>82</v>
      </c>
      <c r="E670">
        <v>-0.432</v>
      </c>
      <c r="F670">
        <v>1681</v>
      </c>
      <c r="G670">
        <v>4991</v>
      </c>
    </row>
    <row r="671" spans="1:7">
      <c r="A671" t="s">
        <v>154</v>
      </c>
      <c r="B671" s="1" t="s">
        <v>29</v>
      </c>
      <c r="C671">
        <v>14984</v>
      </c>
      <c r="D671">
        <v>80</v>
      </c>
      <c r="E671">
        <v>-0.45700000000000002</v>
      </c>
      <c r="F671">
        <v>705</v>
      </c>
      <c r="G671">
        <v>5008</v>
      </c>
    </row>
    <row r="672" spans="1:7">
      <c r="A672" t="s">
        <v>154</v>
      </c>
      <c r="B672" s="1" t="s">
        <v>30</v>
      </c>
      <c r="C672">
        <v>15791</v>
      </c>
      <c r="D672">
        <v>80.5</v>
      </c>
      <c r="E672">
        <v>-0.45900000000000002</v>
      </c>
      <c r="F672">
        <v>66</v>
      </c>
      <c r="G672">
        <v>5006</v>
      </c>
    </row>
    <row r="673" spans="1:7">
      <c r="A673" t="s">
        <v>154</v>
      </c>
      <c r="B673" s="1" t="s">
        <v>31</v>
      </c>
      <c r="C673">
        <v>6848</v>
      </c>
      <c r="D673">
        <v>80.400000000000006</v>
      </c>
      <c r="E673">
        <v>-0.46</v>
      </c>
      <c r="F673">
        <v>9289</v>
      </c>
      <c r="G673">
        <v>5000</v>
      </c>
    </row>
    <row r="674" spans="1:7">
      <c r="A674" t="s">
        <v>155</v>
      </c>
      <c r="B674" s="1" t="s">
        <v>8</v>
      </c>
      <c r="C674">
        <v>6901</v>
      </c>
      <c r="D674">
        <v>79.900000000000006</v>
      </c>
      <c r="E674">
        <v>-0.48199999999999998</v>
      </c>
      <c r="F674">
        <v>6230</v>
      </c>
      <c r="G674">
        <v>4003</v>
      </c>
    </row>
    <row r="675" spans="1:7">
      <c r="A675" t="s">
        <v>155</v>
      </c>
      <c r="B675" s="1" t="s">
        <v>9</v>
      </c>
      <c r="C675">
        <v>10967</v>
      </c>
      <c r="D675">
        <v>84.8</v>
      </c>
      <c r="E675">
        <v>-0.38300000000000001</v>
      </c>
      <c r="F675">
        <v>2501</v>
      </c>
      <c r="G675">
        <v>3997</v>
      </c>
    </row>
    <row r="676" spans="1:7">
      <c r="A676" t="s">
        <v>155</v>
      </c>
      <c r="B676" s="1" t="s">
        <v>10</v>
      </c>
      <c r="C676">
        <v>12661</v>
      </c>
      <c r="D676">
        <v>84.2</v>
      </c>
      <c r="E676">
        <v>-0.39500000000000002</v>
      </c>
      <c r="F676">
        <v>86</v>
      </c>
      <c r="G676">
        <v>3972</v>
      </c>
    </row>
    <row r="677" spans="1:7">
      <c r="A677" t="s">
        <v>155</v>
      </c>
      <c r="B677" s="1" t="s">
        <v>11</v>
      </c>
      <c r="C677">
        <v>11903</v>
      </c>
      <c r="D677">
        <v>84</v>
      </c>
      <c r="E677">
        <v>-0.41</v>
      </c>
      <c r="F677">
        <v>1195</v>
      </c>
      <c r="G677">
        <v>3999</v>
      </c>
    </row>
    <row r="678" spans="1:7">
      <c r="A678" t="s">
        <v>155</v>
      </c>
      <c r="B678" s="1" t="s">
        <v>12</v>
      </c>
      <c r="C678">
        <v>12898</v>
      </c>
      <c r="D678">
        <v>83.9</v>
      </c>
      <c r="E678">
        <v>-0.40100000000000002</v>
      </c>
      <c r="F678">
        <v>97</v>
      </c>
      <c r="G678">
        <v>4123</v>
      </c>
    </row>
    <row r="679" spans="1:7">
      <c r="A679" t="s">
        <v>155</v>
      </c>
      <c r="B679" s="1" t="s">
        <v>13</v>
      </c>
      <c r="C679">
        <v>16488</v>
      </c>
      <c r="D679">
        <v>85.1</v>
      </c>
      <c r="E679">
        <v>-0.38400000000000001</v>
      </c>
      <c r="F679">
        <v>67</v>
      </c>
      <c r="G679">
        <v>4996</v>
      </c>
    </row>
    <row r="680" spans="1:7">
      <c r="A680" t="s">
        <v>155</v>
      </c>
      <c r="B680" s="1" t="s">
        <v>14</v>
      </c>
      <c r="C680">
        <v>16869</v>
      </c>
      <c r="D680">
        <v>81.3</v>
      </c>
      <c r="E680">
        <v>-0.45700000000000002</v>
      </c>
      <c r="F680">
        <v>83</v>
      </c>
      <c r="G680">
        <v>5048</v>
      </c>
    </row>
    <row r="681" spans="1:7">
      <c r="A681" t="s">
        <v>155</v>
      </c>
      <c r="B681" s="1" t="s">
        <v>15</v>
      </c>
      <c r="C681">
        <v>14243</v>
      </c>
      <c r="D681">
        <v>80.5</v>
      </c>
      <c r="E681">
        <v>-0.45400000000000001</v>
      </c>
      <c r="F681">
        <v>1204</v>
      </c>
      <c r="G681">
        <v>5013</v>
      </c>
    </row>
    <row r="682" spans="1:7">
      <c r="A682" t="s">
        <v>155</v>
      </c>
      <c r="B682" s="1" t="s">
        <v>16</v>
      </c>
      <c r="C682">
        <v>14315</v>
      </c>
      <c r="D682">
        <v>79.900000000000006</v>
      </c>
      <c r="E682">
        <v>-0.45500000000000002</v>
      </c>
      <c r="F682">
        <v>778</v>
      </c>
      <c r="G682">
        <v>5007</v>
      </c>
    </row>
    <row r="683" spans="1:7">
      <c r="A683" t="s">
        <v>155</v>
      </c>
      <c r="B683" s="1" t="s">
        <v>17</v>
      </c>
      <c r="C683">
        <v>15674</v>
      </c>
      <c r="D683">
        <v>80.2</v>
      </c>
      <c r="E683">
        <v>-0.45800000000000002</v>
      </c>
      <c r="F683">
        <v>141</v>
      </c>
      <c r="G683">
        <v>5001</v>
      </c>
    </row>
    <row r="684" spans="1:7">
      <c r="A684" t="s">
        <v>155</v>
      </c>
      <c r="B684" s="1" t="s">
        <v>18</v>
      </c>
      <c r="C684">
        <v>15409</v>
      </c>
      <c r="D684">
        <v>80.099999999999994</v>
      </c>
      <c r="E684">
        <v>-0.46200000000000002</v>
      </c>
      <c r="F684">
        <v>99</v>
      </c>
      <c r="G684">
        <v>5000</v>
      </c>
    </row>
    <row r="685" spans="1:7">
      <c r="A685" t="s">
        <v>155</v>
      </c>
      <c r="B685" s="1" t="s">
        <v>19</v>
      </c>
      <c r="C685">
        <v>17384</v>
      </c>
      <c r="D685">
        <v>80.900000000000006</v>
      </c>
      <c r="E685">
        <v>-0.438</v>
      </c>
      <c r="F685">
        <v>57</v>
      </c>
      <c r="G685">
        <v>4992</v>
      </c>
    </row>
    <row r="686" spans="1:7">
      <c r="A686" t="s">
        <v>155</v>
      </c>
      <c r="B686" s="1" t="s">
        <v>20</v>
      </c>
      <c r="C686">
        <v>18242</v>
      </c>
      <c r="D686">
        <v>81</v>
      </c>
      <c r="E686">
        <v>-0.42099999999999999</v>
      </c>
      <c r="F686">
        <v>88</v>
      </c>
      <c r="G686">
        <v>5013</v>
      </c>
    </row>
    <row r="687" spans="1:7">
      <c r="A687" t="s">
        <v>155</v>
      </c>
      <c r="B687" s="1" t="s">
        <v>21</v>
      </c>
      <c r="C687">
        <v>18533</v>
      </c>
      <c r="D687">
        <v>83.7</v>
      </c>
      <c r="E687">
        <v>-0.38</v>
      </c>
      <c r="F687">
        <v>117</v>
      </c>
      <c r="G687">
        <v>5012</v>
      </c>
    </row>
    <row r="688" spans="1:7">
      <c r="A688" t="s">
        <v>155</v>
      </c>
      <c r="B688" s="1" t="s">
        <v>22</v>
      </c>
      <c r="C688">
        <v>18553</v>
      </c>
      <c r="D688">
        <v>84.1</v>
      </c>
      <c r="E688">
        <v>-0.38500000000000001</v>
      </c>
      <c r="F688">
        <v>100</v>
      </c>
      <c r="G688">
        <v>5000</v>
      </c>
    </row>
    <row r="689" spans="1:7">
      <c r="A689" t="s">
        <v>155</v>
      </c>
      <c r="B689" s="1" t="s">
        <v>23</v>
      </c>
      <c r="C689">
        <v>16062</v>
      </c>
      <c r="D689">
        <v>83.6</v>
      </c>
      <c r="E689">
        <v>-0.40699999999999997</v>
      </c>
      <c r="F689">
        <v>65</v>
      </c>
      <c r="G689">
        <v>5003</v>
      </c>
    </row>
    <row r="690" spans="1:7">
      <c r="A690" t="s">
        <v>155</v>
      </c>
      <c r="B690" s="1" t="s">
        <v>24</v>
      </c>
      <c r="C690">
        <v>16117</v>
      </c>
      <c r="D690">
        <v>84.1</v>
      </c>
      <c r="E690">
        <v>-0.39200000000000002</v>
      </c>
      <c r="F690">
        <v>147</v>
      </c>
      <c r="G690">
        <v>4998</v>
      </c>
    </row>
    <row r="691" spans="1:7">
      <c r="A691" t="s">
        <v>155</v>
      </c>
      <c r="B691" s="1" t="s">
        <v>25</v>
      </c>
      <c r="C691">
        <v>15957</v>
      </c>
      <c r="D691">
        <v>84.1</v>
      </c>
      <c r="E691">
        <v>-0.39400000000000002</v>
      </c>
      <c r="F691">
        <v>56</v>
      </c>
      <c r="G691">
        <v>5000</v>
      </c>
    </row>
    <row r="692" spans="1:7">
      <c r="A692" t="s">
        <v>155</v>
      </c>
      <c r="B692" s="1" t="s">
        <v>26</v>
      </c>
      <c r="C692">
        <v>18675</v>
      </c>
      <c r="D692">
        <v>84.9</v>
      </c>
      <c r="E692">
        <v>-0.36199999999999999</v>
      </c>
      <c r="F692">
        <v>25</v>
      </c>
      <c r="G692">
        <v>5018</v>
      </c>
    </row>
    <row r="693" spans="1:7">
      <c r="A693" t="s">
        <v>155</v>
      </c>
      <c r="B693" s="1" t="s">
        <v>27</v>
      </c>
      <c r="C693">
        <v>15787</v>
      </c>
      <c r="D693">
        <v>82.3</v>
      </c>
      <c r="E693">
        <v>-0.40600000000000003</v>
      </c>
      <c r="F693">
        <v>81</v>
      </c>
      <c r="G693">
        <v>4998</v>
      </c>
    </row>
    <row r="694" spans="1:7">
      <c r="A694" t="s">
        <v>155</v>
      </c>
      <c r="B694" s="1" t="s">
        <v>28</v>
      </c>
      <c r="C694">
        <v>18186</v>
      </c>
      <c r="D694">
        <v>82.3</v>
      </c>
      <c r="E694">
        <v>-0.40600000000000003</v>
      </c>
      <c r="F694">
        <v>66</v>
      </c>
      <c r="G694">
        <v>5004</v>
      </c>
    </row>
    <row r="695" spans="1:7">
      <c r="A695" t="s">
        <v>155</v>
      </c>
      <c r="B695" s="1" t="s">
        <v>29</v>
      </c>
      <c r="C695">
        <v>18034</v>
      </c>
      <c r="D695">
        <v>82.4</v>
      </c>
      <c r="E695">
        <v>-0.42699999999999999</v>
      </c>
      <c r="F695">
        <v>23</v>
      </c>
      <c r="G695">
        <v>5003</v>
      </c>
    </row>
    <row r="696" spans="1:7">
      <c r="A696" t="s">
        <v>155</v>
      </c>
      <c r="B696" s="1" t="s">
        <v>30</v>
      </c>
      <c r="C696">
        <v>15915</v>
      </c>
      <c r="D696">
        <v>82.2</v>
      </c>
      <c r="E696">
        <v>-0.42399999999999999</v>
      </c>
      <c r="F696">
        <v>183</v>
      </c>
      <c r="G696">
        <v>5002</v>
      </c>
    </row>
    <row r="697" spans="1:7">
      <c r="A697" t="s">
        <v>155</v>
      </c>
      <c r="B697" s="1" t="s">
        <v>31</v>
      </c>
      <c r="C697">
        <v>6843</v>
      </c>
      <c r="D697">
        <v>82.2</v>
      </c>
      <c r="E697">
        <v>-0.45100000000000001</v>
      </c>
      <c r="F697">
        <v>8857</v>
      </c>
      <c r="G697">
        <v>4642</v>
      </c>
    </row>
    <row r="698" spans="1:7">
      <c r="A698" t="s">
        <v>156</v>
      </c>
      <c r="B698" s="1" t="s">
        <v>8</v>
      </c>
      <c r="C698">
        <v>9220</v>
      </c>
      <c r="D698">
        <v>81.400000000000006</v>
      </c>
      <c r="E698">
        <v>-0.46600000000000003</v>
      </c>
      <c r="F698">
        <v>3647</v>
      </c>
      <c r="G698">
        <v>3999</v>
      </c>
    </row>
    <row r="699" spans="1:7">
      <c r="A699" t="s">
        <v>156</v>
      </c>
      <c r="B699" s="1" t="s">
        <v>9</v>
      </c>
      <c r="C699">
        <v>10646</v>
      </c>
      <c r="D699">
        <v>86.2</v>
      </c>
      <c r="E699">
        <v>-0.35299999999999998</v>
      </c>
      <c r="F699">
        <v>1996</v>
      </c>
      <c r="G699">
        <v>3977</v>
      </c>
    </row>
    <row r="700" spans="1:7">
      <c r="A700" t="s">
        <v>156</v>
      </c>
      <c r="B700" s="1" t="s">
        <v>10</v>
      </c>
      <c r="C700">
        <v>11089</v>
      </c>
      <c r="D700">
        <v>85.4</v>
      </c>
      <c r="E700">
        <v>-0.38700000000000001</v>
      </c>
      <c r="F700">
        <v>3067</v>
      </c>
      <c r="G700">
        <v>4017</v>
      </c>
    </row>
    <row r="701" spans="1:7">
      <c r="A701" t="s">
        <v>156</v>
      </c>
      <c r="B701" s="1" t="s">
        <v>11</v>
      </c>
      <c r="C701">
        <v>10054</v>
      </c>
      <c r="D701">
        <v>85</v>
      </c>
      <c r="E701">
        <v>-0.34799999999999998</v>
      </c>
      <c r="F701">
        <v>415</v>
      </c>
      <c r="G701">
        <v>3906</v>
      </c>
    </row>
    <row r="702" spans="1:7">
      <c r="A702" t="s">
        <v>156</v>
      </c>
      <c r="B702" s="1" t="s">
        <v>12</v>
      </c>
      <c r="C702">
        <v>13638</v>
      </c>
      <c r="D702">
        <v>84.1</v>
      </c>
      <c r="E702">
        <v>-0.38</v>
      </c>
      <c r="F702">
        <v>61</v>
      </c>
      <c r="G702">
        <v>4956</v>
      </c>
    </row>
    <row r="703" spans="1:7">
      <c r="A703" t="s">
        <v>156</v>
      </c>
      <c r="B703" s="1" t="s">
        <v>13</v>
      </c>
      <c r="C703">
        <v>21634</v>
      </c>
      <c r="D703">
        <v>83.5</v>
      </c>
      <c r="E703">
        <v>-0.38800000000000001</v>
      </c>
      <c r="F703">
        <v>78</v>
      </c>
      <c r="G703">
        <v>5946</v>
      </c>
    </row>
    <row r="704" spans="1:7">
      <c r="A704" t="s">
        <v>156</v>
      </c>
      <c r="B704" s="1" t="s">
        <v>14</v>
      </c>
      <c r="C704">
        <v>20840</v>
      </c>
      <c r="D704">
        <v>81.7</v>
      </c>
      <c r="E704">
        <v>-0.39500000000000002</v>
      </c>
      <c r="F704">
        <v>49</v>
      </c>
      <c r="G704">
        <v>5978</v>
      </c>
    </row>
    <row r="705" spans="1:7">
      <c r="A705" t="s">
        <v>156</v>
      </c>
      <c r="B705" s="1" t="s">
        <v>15</v>
      </c>
      <c r="C705">
        <v>18136</v>
      </c>
      <c r="D705">
        <v>81.8</v>
      </c>
      <c r="E705">
        <v>-0.39</v>
      </c>
      <c r="F705">
        <v>61</v>
      </c>
      <c r="G705">
        <v>5988</v>
      </c>
    </row>
    <row r="706" spans="1:7">
      <c r="A706" t="s">
        <v>156</v>
      </c>
      <c r="B706" s="1" t="s">
        <v>16</v>
      </c>
      <c r="C706">
        <v>18400</v>
      </c>
      <c r="D706">
        <v>82</v>
      </c>
      <c r="E706">
        <v>-0.39200000000000002</v>
      </c>
      <c r="F706">
        <v>98</v>
      </c>
      <c r="G706">
        <v>6000</v>
      </c>
    </row>
    <row r="707" spans="1:7">
      <c r="A707" t="s">
        <v>156</v>
      </c>
      <c r="B707" s="1" t="s">
        <v>17</v>
      </c>
      <c r="C707">
        <v>16615</v>
      </c>
      <c r="D707">
        <v>81</v>
      </c>
      <c r="E707">
        <v>-0.40100000000000002</v>
      </c>
      <c r="F707">
        <v>1583</v>
      </c>
      <c r="G707">
        <v>6008</v>
      </c>
    </row>
    <row r="708" spans="1:7">
      <c r="A708" t="s">
        <v>156</v>
      </c>
      <c r="B708" s="1" t="s">
        <v>18</v>
      </c>
      <c r="C708">
        <v>15968</v>
      </c>
      <c r="D708">
        <v>79.900000000000006</v>
      </c>
      <c r="E708">
        <v>-0.42</v>
      </c>
      <c r="F708">
        <v>2230</v>
      </c>
      <c r="G708">
        <v>5999</v>
      </c>
    </row>
    <row r="709" spans="1:7">
      <c r="A709" t="s">
        <v>156</v>
      </c>
      <c r="B709" s="1" t="s">
        <v>19</v>
      </c>
      <c r="C709">
        <v>15187</v>
      </c>
      <c r="D709">
        <v>79.8</v>
      </c>
      <c r="E709">
        <v>-0.42</v>
      </c>
      <c r="F709">
        <v>2644</v>
      </c>
      <c r="G709">
        <v>6000</v>
      </c>
    </row>
    <row r="710" spans="1:7">
      <c r="A710" t="s">
        <v>156</v>
      </c>
      <c r="B710" s="1" t="s">
        <v>20</v>
      </c>
      <c r="C710">
        <v>15990</v>
      </c>
      <c r="D710">
        <v>79.599999999999994</v>
      </c>
      <c r="E710">
        <v>-0.42899999999999999</v>
      </c>
      <c r="F710">
        <v>1992</v>
      </c>
      <c r="G710">
        <v>5997</v>
      </c>
    </row>
    <row r="711" spans="1:7">
      <c r="A711" t="s">
        <v>156</v>
      </c>
      <c r="B711" s="1" t="s">
        <v>21</v>
      </c>
      <c r="C711">
        <v>15875</v>
      </c>
      <c r="D711">
        <v>79.8</v>
      </c>
      <c r="E711">
        <v>-0.42199999999999999</v>
      </c>
      <c r="F711">
        <v>1846</v>
      </c>
      <c r="G711">
        <v>6003</v>
      </c>
    </row>
    <row r="712" spans="1:7">
      <c r="A712" t="s">
        <v>156</v>
      </c>
      <c r="B712" s="1" t="s">
        <v>22</v>
      </c>
      <c r="C712">
        <v>16829</v>
      </c>
      <c r="D712">
        <v>80.3</v>
      </c>
      <c r="E712">
        <v>-0.42</v>
      </c>
      <c r="F712">
        <v>1490</v>
      </c>
      <c r="G712">
        <v>5999</v>
      </c>
    </row>
    <row r="713" spans="1:7">
      <c r="A713" t="s">
        <v>156</v>
      </c>
      <c r="B713" s="1" t="s">
        <v>23</v>
      </c>
      <c r="C713">
        <v>18081</v>
      </c>
      <c r="D713">
        <v>80.7</v>
      </c>
      <c r="E713">
        <v>-0.41399999999999998</v>
      </c>
      <c r="F713">
        <v>31</v>
      </c>
      <c r="G713">
        <v>6010</v>
      </c>
    </row>
    <row r="714" spans="1:7">
      <c r="A714" t="s">
        <v>156</v>
      </c>
      <c r="B714" s="1" t="s">
        <v>24</v>
      </c>
      <c r="C714">
        <v>17732</v>
      </c>
      <c r="D714">
        <v>81.3</v>
      </c>
      <c r="E714">
        <v>-0.39900000000000002</v>
      </c>
      <c r="F714">
        <v>739</v>
      </c>
      <c r="G714">
        <v>6000</v>
      </c>
    </row>
    <row r="715" spans="1:7">
      <c r="A715" t="s">
        <v>156</v>
      </c>
      <c r="B715" s="1" t="s">
        <v>25</v>
      </c>
      <c r="C715">
        <v>17070</v>
      </c>
      <c r="D715">
        <v>81.099999999999994</v>
      </c>
      <c r="E715">
        <v>-0.39200000000000002</v>
      </c>
      <c r="F715">
        <v>997</v>
      </c>
      <c r="G715">
        <v>5981</v>
      </c>
    </row>
    <row r="716" spans="1:7">
      <c r="A716" t="s">
        <v>156</v>
      </c>
      <c r="B716" s="1" t="s">
        <v>26</v>
      </c>
      <c r="C716">
        <v>16767</v>
      </c>
      <c r="D716">
        <v>81</v>
      </c>
      <c r="E716">
        <v>-0.39300000000000002</v>
      </c>
      <c r="F716">
        <v>1330</v>
      </c>
      <c r="G716">
        <v>6010</v>
      </c>
    </row>
    <row r="717" spans="1:7">
      <c r="A717" t="s">
        <v>156</v>
      </c>
      <c r="B717" s="1" t="s">
        <v>27</v>
      </c>
      <c r="C717">
        <v>17263</v>
      </c>
      <c r="D717">
        <v>81.2</v>
      </c>
      <c r="E717">
        <v>-0.40200000000000002</v>
      </c>
      <c r="F717">
        <v>557</v>
      </c>
      <c r="G717">
        <v>5988</v>
      </c>
    </row>
    <row r="718" spans="1:7">
      <c r="A718" t="s">
        <v>156</v>
      </c>
      <c r="B718" s="1" t="s">
        <v>28</v>
      </c>
      <c r="C718">
        <v>17010</v>
      </c>
      <c r="D718">
        <v>81.099999999999994</v>
      </c>
      <c r="E718">
        <v>-0.39900000000000002</v>
      </c>
      <c r="F718">
        <v>1348</v>
      </c>
      <c r="G718">
        <v>5993</v>
      </c>
    </row>
    <row r="719" spans="1:7">
      <c r="A719" t="s">
        <v>156</v>
      </c>
      <c r="B719" s="1" t="s">
        <v>29</v>
      </c>
      <c r="C719">
        <v>17545</v>
      </c>
      <c r="D719">
        <v>81.599999999999994</v>
      </c>
      <c r="E719">
        <v>-0.38800000000000001</v>
      </c>
      <c r="F719">
        <v>1113</v>
      </c>
      <c r="G719">
        <v>6005</v>
      </c>
    </row>
    <row r="720" spans="1:7">
      <c r="A720" t="s">
        <v>156</v>
      </c>
      <c r="B720" s="1" t="s">
        <v>30</v>
      </c>
      <c r="C720">
        <v>15957</v>
      </c>
      <c r="D720">
        <v>81.8</v>
      </c>
      <c r="E720">
        <v>-0.38300000000000001</v>
      </c>
      <c r="F720">
        <v>2685</v>
      </c>
      <c r="G720">
        <v>6013</v>
      </c>
    </row>
    <row r="721" spans="1:7">
      <c r="A721" t="s">
        <v>156</v>
      </c>
      <c r="B721" s="1" t="s">
        <v>31</v>
      </c>
      <c r="C721">
        <v>7751</v>
      </c>
      <c r="D721">
        <v>83</v>
      </c>
      <c r="E721">
        <v>-0.4</v>
      </c>
      <c r="F721">
        <v>7525</v>
      </c>
      <c r="G721">
        <v>4716</v>
      </c>
    </row>
    <row r="722" spans="1:7">
      <c r="A722" t="s">
        <v>157</v>
      </c>
      <c r="B722" s="1" t="s">
        <v>8</v>
      </c>
      <c r="C722">
        <v>7721</v>
      </c>
      <c r="D722">
        <v>81.8</v>
      </c>
      <c r="E722">
        <v>-0.432</v>
      </c>
      <c r="F722">
        <v>3784</v>
      </c>
      <c r="G722">
        <v>3985</v>
      </c>
    </row>
    <row r="723" spans="1:7">
      <c r="A723" t="s">
        <v>157</v>
      </c>
      <c r="B723" s="1" t="s">
        <v>9</v>
      </c>
      <c r="C723">
        <v>7506</v>
      </c>
      <c r="D723">
        <v>82</v>
      </c>
      <c r="E723">
        <v>-0.41399999999999998</v>
      </c>
      <c r="F723">
        <v>3653</v>
      </c>
      <c r="G723">
        <v>3993</v>
      </c>
    </row>
    <row r="724" spans="1:7">
      <c r="A724" t="s">
        <v>157</v>
      </c>
      <c r="B724" s="1" t="s">
        <v>10</v>
      </c>
      <c r="C724">
        <v>12281</v>
      </c>
      <c r="D724">
        <v>85.7</v>
      </c>
      <c r="E724">
        <v>-0.36199999999999999</v>
      </c>
      <c r="F724">
        <v>1106</v>
      </c>
      <c r="G724">
        <v>3993</v>
      </c>
    </row>
    <row r="725" spans="1:7">
      <c r="A725" t="s">
        <v>157</v>
      </c>
      <c r="B725" s="1" t="s">
        <v>11</v>
      </c>
      <c r="C725">
        <v>12256</v>
      </c>
      <c r="D725">
        <v>85.7</v>
      </c>
      <c r="E725">
        <v>-0.38700000000000001</v>
      </c>
      <c r="F725">
        <v>1626</v>
      </c>
      <c r="G725">
        <v>3994</v>
      </c>
    </row>
    <row r="726" spans="1:7">
      <c r="A726" t="s">
        <v>157</v>
      </c>
      <c r="B726" s="1" t="s">
        <v>12</v>
      </c>
      <c r="C726">
        <v>16049</v>
      </c>
      <c r="D726">
        <v>86.3</v>
      </c>
      <c r="E726">
        <v>-0.376</v>
      </c>
      <c r="F726">
        <v>81</v>
      </c>
      <c r="G726">
        <v>4959</v>
      </c>
    </row>
    <row r="727" spans="1:7">
      <c r="A727" t="s">
        <v>157</v>
      </c>
      <c r="B727" s="1" t="s">
        <v>13</v>
      </c>
      <c r="C727">
        <v>21344</v>
      </c>
      <c r="D727">
        <v>85.7</v>
      </c>
      <c r="E727">
        <v>-0.33600000000000002</v>
      </c>
      <c r="F727">
        <v>201</v>
      </c>
      <c r="G727">
        <v>5875</v>
      </c>
    </row>
    <row r="728" spans="1:7">
      <c r="A728" t="s">
        <v>157</v>
      </c>
      <c r="B728" s="1" t="s">
        <v>14</v>
      </c>
      <c r="C728">
        <v>21287</v>
      </c>
      <c r="D728">
        <v>82.3</v>
      </c>
      <c r="E728">
        <v>-0.36599999999999999</v>
      </c>
      <c r="F728">
        <v>77</v>
      </c>
      <c r="G728">
        <v>5997</v>
      </c>
    </row>
    <row r="729" spans="1:7">
      <c r="A729" t="s">
        <v>157</v>
      </c>
      <c r="B729" s="1" t="s">
        <v>15</v>
      </c>
      <c r="C729">
        <v>18532</v>
      </c>
      <c r="D729">
        <v>82.6</v>
      </c>
      <c r="E729">
        <v>-0.38500000000000001</v>
      </c>
      <c r="F729">
        <v>843</v>
      </c>
      <c r="G729">
        <v>6013</v>
      </c>
    </row>
    <row r="730" spans="1:7">
      <c r="A730" t="s">
        <v>157</v>
      </c>
      <c r="B730" s="1" t="s">
        <v>16</v>
      </c>
      <c r="C730">
        <v>18362</v>
      </c>
      <c r="D730">
        <v>83</v>
      </c>
      <c r="E730">
        <v>-0.37</v>
      </c>
      <c r="F730">
        <v>21</v>
      </c>
      <c r="G730">
        <v>5997</v>
      </c>
    </row>
    <row r="731" spans="1:7">
      <c r="A731" t="s">
        <v>157</v>
      </c>
      <c r="B731" s="1" t="s">
        <v>17</v>
      </c>
      <c r="C731">
        <v>17324</v>
      </c>
      <c r="D731">
        <v>81</v>
      </c>
      <c r="E731">
        <v>-0.41699999999999998</v>
      </c>
      <c r="F731">
        <v>1062</v>
      </c>
      <c r="G731">
        <v>5996</v>
      </c>
    </row>
    <row r="732" spans="1:7">
      <c r="A732" t="s">
        <v>157</v>
      </c>
      <c r="B732" s="1" t="s">
        <v>18</v>
      </c>
      <c r="C732">
        <v>12160</v>
      </c>
      <c r="D732">
        <v>79.099999999999994</v>
      </c>
      <c r="E732">
        <v>-0.443</v>
      </c>
      <c r="F732">
        <v>5560</v>
      </c>
      <c r="G732">
        <v>6000</v>
      </c>
    </row>
    <row r="733" spans="1:7">
      <c r="A733" t="s">
        <v>157</v>
      </c>
      <c r="B733" s="1" t="s">
        <v>19</v>
      </c>
      <c r="C733">
        <v>13157</v>
      </c>
      <c r="D733">
        <v>78.599999999999994</v>
      </c>
      <c r="E733">
        <v>-0.44400000000000001</v>
      </c>
      <c r="F733">
        <v>4696</v>
      </c>
      <c r="G733">
        <v>6004</v>
      </c>
    </row>
    <row r="734" spans="1:7">
      <c r="A734" t="s">
        <v>157</v>
      </c>
      <c r="B734" s="1" t="s">
        <v>20</v>
      </c>
      <c r="C734">
        <v>14061</v>
      </c>
      <c r="D734">
        <v>79.099999999999994</v>
      </c>
      <c r="E734">
        <v>-0.439</v>
      </c>
      <c r="F734">
        <v>3585</v>
      </c>
      <c r="G734">
        <v>6004</v>
      </c>
    </row>
    <row r="735" spans="1:7">
      <c r="A735" t="s">
        <v>157</v>
      </c>
      <c r="B735" s="1" t="s">
        <v>21</v>
      </c>
      <c r="C735">
        <v>14501</v>
      </c>
      <c r="D735">
        <v>77.3</v>
      </c>
      <c r="E735">
        <v>-0.46700000000000003</v>
      </c>
      <c r="F735">
        <v>4669</v>
      </c>
      <c r="G735">
        <v>6055</v>
      </c>
    </row>
    <row r="736" spans="1:7">
      <c r="A736" t="s">
        <v>157</v>
      </c>
      <c r="B736" s="1" t="s">
        <v>22</v>
      </c>
      <c r="C736">
        <v>14951</v>
      </c>
      <c r="D736">
        <v>79.2</v>
      </c>
      <c r="E736">
        <v>-0.439</v>
      </c>
      <c r="F736">
        <v>3441</v>
      </c>
      <c r="G736">
        <v>6019</v>
      </c>
    </row>
    <row r="737" spans="1:7">
      <c r="A737" t="s">
        <v>157</v>
      </c>
      <c r="B737" s="1" t="s">
        <v>23</v>
      </c>
      <c r="C737">
        <v>12527</v>
      </c>
      <c r="D737">
        <v>77.599999999999994</v>
      </c>
      <c r="E737">
        <v>-0.45400000000000001</v>
      </c>
      <c r="F737">
        <v>4377</v>
      </c>
      <c r="G737">
        <v>5992</v>
      </c>
    </row>
    <row r="738" spans="1:7">
      <c r="A738" t="s">
        <v>157</v>
      </c>
      <c r="B738" s="1" t="s">
        <v>24</v>
      </c>
      <c r="C738">
        <v>14203</v>
      </c>
      <c r="D738">
        <v>78.400000000000006</v>
      </c>
      <c r="E738">
        <v>-0.45100000000000001</v>
      </c>
      <c r="F738">
        <v>4177</v>
      </c>
      <c r="G738">
        <v>6004</v>
      </c>
    </row>
    <row r="739" spans="1:7">
      <c r="A739" t="s">
        <v>157</v>
      </c>
      <c r="B739" s="1" t="s">
        <v>25</v>
      </c>
      <c r="C739">
        <v>15976</v>
      </c>
      <c r="D739">
        <v>79.900000000000006</v>
      </c>
      <c r="E739">
        <v>-0.42399999999999999</v>
      </c>
      <c r="F739">
        <v>2085</v>
      </c>
      <c r="G739">
        <v>5996</v>
      </c>
    </row>
    <row r="740" spans="1:7">
      <c r="A740" t="s">
        <v>157</v>
      </c>
      <c r="B740" s="1" t="s">
        <v>26</v>
      </c>
      <c r="C740">
        <v>16352</v>
      </c>
      <c r="D740">
        <v>79.599999999999994</v>
      </c>
      <c r="E740">
        <v>-0.42</v>
      </c>
      <c r="F740">
        <v>1879</v>
      </c>
      <c r="G740">
        <v>5988</v>
      </c>
    </row>
    <row r="741" spans="1:7">
      <c r="A741" t="s">
        <v>157</v>
      </c>
      <c r="B741" s="1" t="s">
        <v>27</v>
      </c>
      <c r="C741">
        <v>15981</v>
      </c>
      <c r="D741">
        <v>79.599999999999994</v>
      </c>
      <c r="E741">
        <v>-0.438</v>
      </c>
      <c r="F741">
        <v>2183</v>
      </c>
      <c r="G741">
        <v>5996</v>
      </c>
    </row>
    <row r="742" spans="1:7">
      <c r="A742" t="s">
        <v>157</v>
      </c>
      <c r="B742" s="1" t="s">
        <v>28</v>
      </c>
      <c r="C742">
        <v>16095</v>
      </c>
      <c r="D742">
        <v>79.7</v>
      </c>
      <c r="E742">
        <v>-0.42499999999999999</v>
      </c>
      <c r="F742">
        <v>2152</v>
      </c>
      <c r="G742">
        <v>6000</v>
      </c>
    </row>
    <row r="743" spans="1:7">
      <c r="A743" t="s">
        <v>157</v>
      </c>
      <c r="B743" s="1" t="s">
        <v>29</v>
      </c>
      <c r="C743">
        <v>16018</v>
      </c>
      <c r="D743">
        <v>79.8</v>
      </c>
      <c r="E743">
        <v>-0.42</v>
      </c>
      <c r="F743">
        <v>2212</v>
      </c>
      <c r="G743">
        <v>5995</v>
      </c>
    </row>
    <row r="744" spans="1:7">
      <c r="A744" t="s">
        <v>157</v>
      </c>
      <c r="B744" s="1" t="s">
        <v>30</v>
      </c>
      <c r="C744">
        <v>14808</v>
      </c>
      <c r="D744">
        <v>79.900000000000006</v>
      </c>
      <c r="E744">
        <v>-0.42799999999999999</v>
      </c>
      <c r="F744">
        <v>3503</v>
      </c>
      <c r="G744">
        <v>5967</v>
      </c>
    </row>
    <row r="745" spans="1:7">
      <c r="A745" t="s">
        <v>157</v>
      </c>
      <c r="B745" s="1" t="s">
        <v>31</v>
      </c>
      <c r="C745">
        <v>7973</v>
      </c>
      <c r="D745">
        <v>80</v>
      </c>
      <c r="E745">
        <v>-0.45</v>
      </c>
      <c r="F745">
        <v>8947</v>
      </c>
      <c r="G745">
        <v>5451</v>
      </c>
    </row>
    <row r="746" spans="1:7">
      <c r="A746" t="s">
        <v>158</v>
      </c>
      <c r="B746" s="1" t="s">
        <v>8</v>
      </c>
      <c r="C746">
        <v>6187</v>
      </c>
      <c r="D746">
        <v>79.7</v>
      </c>
      <c r="E746">
        <v>-0.48</v>
      </c>
      <c r="F746">
        <v>6109</v>
      </c>
      <c r="G746">
        <v>3989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46"/>
  <sheetViews>
    <sheetView workbookViewId="0">
      <selection activeCell="M21" sqref="M21"/>
    </sheetView>
  </sheetViews>
  <sheetFormatPr defaultRowHeight="12.75"/>
  <cols>
    <col min="3" max="3" width="18.5703125" bestFit="1" customWidth="1"/>
    <col min="4" max="4" width="21.7109375" bestFit="1" customWidth="1"/>
    <col min="5" max="5" width="37.7109375" bestFit="1" customWidth="1"/>
    <col min="6" max="6" width="32.42578125" bestFit="1" customWidth="1"/>
    <col min="7" max="7" width="29.42578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95</v>
      </c>
      <c r="B2" s="1" t="s">
        <v>8</v>
      </c>
      <c r="C2">
        <v>3668</v>
      </c>
      <c r="D2">
        <v>79.5</v>
      </c>
      <c r="E2">
        <v>2.5000000000000001E-2</v>
      </c>
      <c r="F2">
        <v>87</v>
      </c>
      <c r="G2">
        <v>0</v>
      </c>
    </row>
    <row r="3" spans="1:7">
      <c r="A3" t="s">
        <v>95</v>
      </c>
      <c r="B3" s="1" t="s">
        <v>9</v>
      </c>
      <c r="C3">
        <v>4046</v>
      </c>
      <c r="D3">
        <v>81.3</v>
      </c>
      <c r="E3">
        <v>1.7999999999999999E-2</v>
      </c>
      <c r="F3">
        <v>23</v>
      </c>
      <c r="G3">
        <v>0</v>
      </c>
    </row>
    <row r="4" spans="1:7">
      <c r="A4" t="s">
        <v>95</v>
      </c>
      <c r="B4" s="1" t="s">
        <v>10</v>
      </c>
      <c r="C4">
        <v>4026</v>
      </c>
      <c r="D4">
        <v>79.900000000000006</v>
      </c>
      <c r="E4">
        <v>1.6E-2</v>
      </c>
      <c r="F4">
        <v>31</v>
      </c>
      <c r="G4">
        <v>0</v>
      </c>
    </row>
    <row r="5" spans="1:7">
      <c r="A5" t="s">
        <v>95</v>
      </c>
      <c r="B5" s="1" t="s">
        <v>11</v>
      </c>
      <c r="C5">
        <v>6507</v>
      </c>
      <c r="D5">
        <v>80.400000000000006</v>
      </c>
      <c r="E5">
        <v>3.7999999999999999E-2</v>
      </c>
      <c r="F5">
        <v>80</v>
      </c>
      <c r="G5">
        <v>0</v>
      </c>
    </row>
    <row r="6" spans="1:7">
      <c r="A6" t="s">
        <v>95</v>
      </c>
      <c r="B6" s="1" t="s">
        <v>12</v>
      </c>
      <c r="C6">
        <v>9266</v>
      </c>
      <c r="D6">
        <v>79.2</v>
      </c>
      <c r="E6">
        <v>0.04</v>
      </c>
      <c r="F6">
        <v>57</v>
      </c>
      <c r="G6">
        <v>0</v>
      </c>
    </row>
    <row r="7" spans="1:7">
      <c r="A7" t="s">
        <v>95</v>
      </c>
      <c r="B7" s="1" t="s">
        <v>13</v>
      </c>
      <c r="C7">
        <v>16002</v>
      </c>
      <c r="D7">
        <v>80.7</v>
      </c>
      <c r="E7">
        <v>6.9000000000000006E-2</v>
      </c>
      <c r="F7">
        <v>46</v>
      </c>
      <c r="G7">
        <v>0</v>
      </c>
    </row>
    <row r="8" spans="1:7">
      <c r="A8" t="s">
        <v>95</v>
      </c>
      <c r="B8" s="1" t="s">
        <v>14</v>
      </c>
      <c r="C8">
        <v>14947</v>
      </c>
      <c r="D8">
        <v>79.7</v>
      </c>
      <c r="E8">
        <v>4.2999999999999997E-2</v>
      </c>
      <c r="F8">
        <v>145</v>
      </c>
      <c r="G8">
        <v>0</v>
      </c>
    </row>
    <row r="9" spans="1:7">
      <c r="A9" t="s">
        <v>95</v>
      </c>
      <c r="B9" s="1" t="s">
        <v>15</v>
      </c>
      <c r="C9">
        <v>11794</v>
      </c>
      <c r="D9">
        <v>81.3</v>
      </c>
      <c r="E9">
        <v>1.0999999999999999E-2</v>
      </c>
      <c r="F9">
        <v>111</v>
      </c>
      <c r="G9">
        <v>0</v>
      </c>
    </row>
    <row r="10" spans="1:7">
      <c r="A10" t="s">
        <v>95</v>
      </c>
      <c r="B10" s="1" t="s">
        <v>16</v>
      </c>
      <c r="C10">
        <v>9948</v>
      </c>
      <c r="D10">
        <v>79.599999999999994</v>
      </c>
      <c r="E10">
        <v>-5.0000000000000001E-3</v>
      </c>
      <c r="F10">
        <v>151</v>
      </c>
      <c r="G10">
        <v>0</v>
      </c>
    </row>
    <row r="11" spans="1:7">
      <c r="A11" t="s">
        <v>95</v>
      </c>
      <c r="B11" s="1" t="s">
        <v>17</v>
      </c>
      <c r="C11">
        <v>12527</v>
      </c>
      <c r="D11">
        <v>80.099999999999994</v>
      </c>
      <c r="E11">
        <v>4.7E-2</v>
      </c>
      <c r="F11">
        <v>132</v>
      </c>
      <c r="G11">
        <v>0</v>
      </c>
    </row>
    <row r="12" spans="1:7">
      <c r="A12" t="s">
        <v>95</v>
      </c>
      <c r="B12" s="1" t="s">
        <v>18</v>
      </c>
      <c r="C12">
        <v>12019</v>
      </c>
      <c r="D12">
        <v>77</v>
      </c>
      <c r="E12">
        <v>7.0000000000000001E-3</v>
      </c>
      <c r="F12">
        <v>170</v>
      </c>
      <c r="G12">
        <v>0</v>
      </c>
    </row>
    <row r="13" spans="1:7">
      <c r="A13" t="s">
        <v>95</v>
      </c>
      <c r="B13" s="1" t="s">
        <v>19</v>
      </c>
      <c r="C13">
        <v>14144</v>
      </c>
      <c r="D13">
        <v>80</v>
      </c>
      <c r="E13">
        <v>7.2999999999999995E-2</v>
      </c>
      <c r="F13">
        <v>214</v>
      </c>
      <c r="G13">
        <v>0</v>
      </c>
    </row>
    <row r="14" spans="1:7">
      <c r="A14" t="s">
        <v>95</v>
      </c>
      <c r="B14" s="1" t="s">
        <v>20</v>
      </c>
      <c r="C14">
        <v>14230</v>
      </c>
      <c r="D14">
        <v>80.8</v>
      </c>
      <c r="E14">
        <v>4.8000000000000001E-2</v>
      </c>
      <c r="F14">
        <v>96</v>
      </c>
      <c r="G14">
        <v>0</v>
      </c>
    </row>
    <row r="15" spans="1:7">
      <c r="A15" t="s">
        <v>95</v>
      </c>
      <c r="B15" s="1" t="s">
        <v>21</v>
      </c>
      <c r="C15">
        <v>13460</v>
      </c>
      <c r="D15">
        <v>80.099999999999994</v>
      </c>
      <c r="E15">
        <v>3.6999999999999998E-2</v>
      </c>
      <c r="F15">
        <v>24</v>
      </c>
      <c r="G15">
        <v>0</v>
      </c>
    </row>
    <row r="16" spans="1:7">
      <c r="A16" t="s">
        <v>95</v>
      </c>
      <c r="B16" s="1" t="s">
        <v>22</v>
      </c>
      <c r="C16">
        <v>13450</v>
      </c>
      <c r="D16">
        <v>80.099999999999994</v>
      </c>
      <c r="E16">
        <v>4.2999999999999997E-2</v>
      </c>
      <c r="F16">
        <v>157</v>
      </c>
      <c r="G16">
        <v>0</v>
      </c>
    </row>
    <row r="17" spans="1:7">
      <c r="A17" t="s">
        <v>95</v>
      </c>
      <c r="B17" s="1" t="s">
        <v>23</v>
      </c>
      <c r="C17">
        <v>14406</v>
      </c>
      <c r="D17">
        <v>80.2</v>
      </c>
      <c r="E17">
        <v>4.4999999999999998E-2</v>
      </c>
      <c r="F17">
        <v>99</v>
      </c>
      <c r="G17">
        <v>0</v>
      </c>
    </row>
    <row r="18" spans="1:7">
      <c r="A18" t="s">
        <v>95</v>
      </c>
      <c r="B18" s="1" t="s">
        <v>24</v>
      </c>
      <c r="C18">
        <v>13504</v>
      </c>
      <c r="D18">
        <v>80.2</v>
      </c>
      <c r="E18">
        <v>3.7999999999999999E-2</v>
      </c>
      <c r="F18">
        <v>86</v>
      </c>
      <c r="G18">
        <v>0</v>
      </c>
    </row>
    <row r="19" spans="1:7">
      <c r="A19" t="s">
        <v>95</v>
      </c>
      <c r="B19" s="1" t="s">
        <v>25</v>
      </c>
      <c r="C19">
        <v>12671</v>
      </c>
      <c r="D19">
        <v>78.7</v>
      </c>
      <c r="E19">
        <v>3.1E-2</v>
      </c>
      <c r="F19">
        <v>20</v>
      </c>
      <c r="G19">
        <v>0</v>
      </c>
    </row>
    <row r="20" spans="1:7">
      <c r="A20" t="s">
        <v>95</v>
      </c>
      <c r="B20" s="1" t="s">
        <v>26</v>
      </c>
      <c r="C20">
        <v>14250</v>
      </c>
      <c r="D20">
        <v>81.400000000000006</v>
      </c>
      <c r="E20">
        <v>6.9000000000000006E-2</v>
      </c>
      <c r="F20">
        <v>34</v>
      </c>
      <c r="G20">
        <v>0</v>
      </c>
    </row>
    <row r="21" spans="1:7">
      <c r="A21" t="s">
        <v>95</v>
      </c>
      <c r="B21" s="1" t="s">
        <v>27</v>
      </c>
      <c r="C21">
        <v>13394</v>
      </c>
      <c r="D21">
        <v>79.8</v>
      </c>
      <c r="E21">
        <v>3.1E-2</v>
      </c>
      <c r="F21">
        <v>162</v>
      </c>
      <c r="G21">
        <v>0</v>
      </c>
    </row>
    <row r="22" spans="1:7">
      <c r="A22" t="s">
        <v>95</v>
      </c>
      <c r="B22" s="1" t="s">
        <v>28</v>
      </c>
      <c r="C22">
        <v>13410</v>
      </c>
      <c r="D22">
        <v>79.900000000000006</v>
      </c>
      <c r="E22">
        <v>4.4999999999999998E-2</v>
      </c>
      <c r="F22">
        <v>65</v>
      </c>
      <c r="G22">
        <v>0</v>
      </c>
    </row>
    <row r="23" spans="1:7">
      <c r="A23" t="s">
        <v>95</v>
      </c>
      <c r="B23" s="1" t="s">
        <v>29</v>
      </c>
      <c r="C23">
        <v>13221</v>
      </c>
      <c r="D23">
        <v>80</v>
      </c>
      <c r="E23">
        <v>4.7E-2</v>
      </c>
      <c r="F23">
        <v>20</v>
      </c>
      <c r="G23">
        <v>0</v>
      </c>
    </row>
    <row r="24" spans="1:7">
      <c r="A24" t="s">
        <v>95</v>
      </c>
      <c r="B24" s="1" t="s">
        <v>30</v>
      </c>
      <c r="C24">
        <v>11697</v>
      </c>
      <c r="D24">
        <v>80.599999999999994</v>
      </c>
      <c r="E24">
        <v>1.7000000000000001E-2</v>
      </c>
      <c r="F24">
        <v>75</v>
      </c>
      <c r="G24">
        <v>0</v>
      </c>
    </row>
    <row r="25" spans="1:7">
      <c r="A25" t="s">
        <v>95</v>
      </c>
      <c r="B25" s="1" t="s">
        <v>31</v>
      </c>
      <c r="C25">
        <v>8419</v>
      </c>
      <c r="D25">
        <v>79.599999999999994</v>
      </c>
      <c r="E25">
        <v>8.0000000000000002E-3</v>
      </c>
      <c r="F25">
        <v>190</v>
      </c>
      <c r="G25">
        <v>0</v>
      </c>
    </row>
    <row r="26" spans="1:7">
      <c r="A26" t="s">
        <v>96</v>
      </c>
      <c r="B26" s="1" t="s">
        <v>8</v>
      </c>
      <c r="C26">
        <v>8359</v>
      </c>
      <c r="D26">
        <v>80.099999999999994</v>
      </c>
      <c r="E26">
        <v>2.3E-2</v>
      </c>
      <c r="F26">
        <v>89</v>
      </c>
      <c r="G26">
        <v>0</v>
      </c>
    </row>
    <row r="27" spans="1:7">
      <c r="A27" t="s">
        <v>96</v>
      </c>
      <c r="B27" s="1" t="s">
        <v>9</v>
      </c>
      <c r="C27">
        <v>10100</v>
      </c>
      <c r="D27">
        <v>80.400000000000006</v>
      </c>
      <c r="E27">
        <v>4.2000000000000003E-2</v>
      </c>
      <c r="F27">
        <v>135</v>
      </c>
      <c r="G27">
        <v>0</v>
      </c>
    </row>
    <row r="28" spans="1:7">
      <c r="A28" t="s">
        <v>96</v>
      </c>
      <c r="B28" s="1" t="s">
        <v>10</v>
      </c>
      <c r="C28">
        <v>8276</v>
      </c>
      <c r="D28">
        <v>79.8</v>
      </c>
      <c r="E28">
        <v>0.03</v>
      </c>
      <c r="F28">
        <v>24</v>
      </c>
      <c r="G28">
        <v>0</v>
      </c>
    </row>
    <row r="29" spans="1:7">
      <c r="A29" t="s">
        <v>96</v>
      </c>
      <c r="B29" s="1" t="s">
        <v>11</v>
      </c>
      <c r="C29">
        <v>10815</v>
      </c>
      <c r="D29">
        <v>80.3</v>
      </c>
      <c r="E29">
        <v>3.9E-2</v>
      </c>
      <c r="F29">
        <v>22</v>
      </c>
      <c r="G29">
        <v>0</v>
      </c>
    </row>
    <row r="30" spans="1:7">
      <c r="A30" t="s">
        <v>96</v>
      </c>
      <c r="B30" s="1" t="s">
        <v>12</v>
      </c>
      <c r="C30">
        <v>10996</v>
      </c>
      <c r="D30">
        <v>80.7</v>
      </c>
      <c r="E30">
        <v>4.1000000000000002E-2</v>
      </c>
      <c r="F30">
        <v>167</v>
      </c>
      <c r="G30">
        <v>0</v>
      </c>
    </row>
    <row r="31" spans="1:7">
      <c r="A31" t="s">
        <v>96</v>
      </c>
      <c r="B31" s="1" t="s">
        <v>13</v>
      </c>
      <c r="C31">
        <v>12878</v>
      </c>
      <c r="D31">
        <v>79.8</v>
      </c>
      <c r="E31">
        <v>4.7E-2</v>
      </c>
      <c r="F31">
        <v>81</v>
      </c>
      <c r="G31">
        <v>0</v>
      </c>
    </row>
    <row r="32" spans="1:7">
      <c r="A32" t="s">
        <v>96</v>
      </c>
      <c r="B32" s="1" t="s">
        <v>14</v>
      </c>
      <c r="C32">
        <v>15164</v>
      </c>
      <c r="D32">
        <v>80.5</v>
      </c>
      <c r="E32">
        <v>6.4000000000000001E-2</v>
      </c>
      <c r="F32">
        <v>103</v>
      </c>
      <c r="G32">
        <v>0</v>
      </c>
    </row>
    <row r="33" spans="1:7">
      <c r="A33" t="s">
        <v>96</v>
      </c>
      <c r="B33" s="1" t="s">
        <v>15</v>
      </c>
      <c r="C33">
        <v>14754</v>
      </c>
      <c r="D33">
        <v>80.3</v>
      </c>
      <c r="E33">
        <v>3.9E-2</v>
      </c>
      <c r="F33">
        <v>98</v>
      </c>
      <c r="G33">
        <v>0</v>
      </c>
    </row>
    <row r="34" spans="1:7">
      <c r="A34" t="s">
        <v>96</v>
      </c>
      <c r="B34" s="1" t="s">
        <v>16</v>
      </c>
      <c r="C34">
        <v>13415</v>
      </c>
      <c r="D34">
        <v>79.7</v>
      </c>
      <c r="E34">
        <v>3.9E-2</v>
      </c>
      <c r="F34">
        <v>81</v>
      </c>
      <c r="G34">
        <v>0</v>
      </c>
    </row>
    <row r="35" spans="1:7">
      <c r="A35" t="s">
        <v>96</v>
      </c>
      <c r="B35" s="1" t="s">
        <v>17</v>
      </c>
      <c r="C35">
        <v>14614</v>
      </c>
      <c r="D35">
        <v>79.599999999999994</v>
      </c>
      <c r="E35">
        <v>4.2999999999999997E-2</v>
      </c>
      <c r="F35">
        <v>88</v>
      </c>
      <c r="G35">
        <v>0</v>
      </c>
    </row>
    <row r="36" spans="1:7">
      <c r="A36" t="s">
        <v>96</v>
      </c>
      <c r="B36" s="1" t="s">
        <v>18</v>
      </c>
      <c r="C36">
        <v>13911</v>
      </c>
      <c r="D36">
        <v>78.7</v>
      </c>
      <c r="E36">
        <v>2.8000000000000001E-2</v>
      </c>
      <c r="F36">
        <v>23</v>
      </c>
      <c r="G36">
        <v>0</v>
      </c>
    </row>
    <row r="37" spans="1:7">
      <c r="A37" t="s">
        <v>96</v>
      </c>
      <c r="B37" s="1" t="s">
        <v>19</v>
      </c>
      <c r="C37">
        <v>14390</v>
      </c>
      <c r="D37">
        <v>79.2</v>
      </c>
      <c r="E37">
        <v>4.2000000000000003E-2</v>
      </c>
      <c r="F37">
        <v>207</v>
      </c>
      <c r="G37">
        <v>0</v>
      </c>
    </row>
    <row r="38" spans="1:7">
      <c r="A38" t="s">
        <v>96</v>
      </c>
      <c r="B38" s="1" t="s">
        <v>20</v>
      </c>
      <c r="C38">
        <v>14327</v>
      </c>
      <c r="D38">
        <v>78.900000000000006</v>
      </c>
      <c r="E38">
        <v>4.3999999999999997E-2</v>
      </c>
      <c r="F38">
        <v>164</v>
      </c>
      <c r="G38">
        <v>0</v>
      </c>
    </row>
    <row r="39" spans="1:7">
      <c r="A39" t="s">
        <v>96</v>
      </c>
      <c r="B39" s="1" t="s">
        <v>21</v>
      </c>
      <c r="C39">
        <v>14855</v>
      </c>
      <c r="D39">
        <v>80.7</v>
      </c>
      <c r="E39">
        <v>5.0999999999999997E-2</v>
      </c>
      <c r="F39">
        <v>23</v>
      </c>
      <c r="G39">
        <v>0</v>
      </c>
    </row>
    <row r="40" spans="1:7">
      <c r="A40" t="s">
        <v>96</v>
      </c>
      <c r="B40" s="1" t="s">
        <v>22</v>
      </c>
      <c r="C40">
        <v>14708</v>
      </c>
      <c r="D40">
        <v>80.2</v>
      </c>
      <c r="E40">
        <v>3.1E-2</v>
      </c>
      <c r="F40">
        <v>125</v>
      </c>
      <c r="G40">
        <v>0</v>
      </c>
    </row>
    <row r="41" spans="1:7">
      <c r="A41" t="s">
        <v>96</v>
      </c>
      <c r="B41" s="1" t="s">
        <v>23</v>
      </c>
      <c r="C41">
        <v>13402</v>
      </c>
      <c r="D41">
        <v>80</v>
      </c>
      <c r="E41">
        <v>3.4000000000000002E-2</v>
      </c>
      <c r="F41">
        <v>23</v>
      </c>
      <c r="G41">
        <v>0</v>
      </c>
    </row>
    <row r="42" spans="1:7">
      <c r="A42" t="s">
        <v>96</v>
      </c>
      <c r="B42" s="1" t="s">
        <v>24</v>
      </c>
      <c r="C42">
        <v>13444</v>
      </c>
      <c r="D42">
        <v>79.900000000000006</v>
      </c>
      <c r="E42">
        <v>0.05</v>
      </c>
      <c r="F42">
        <v>45</v>
      </c>
      <c r="G42">
        <v>0</v>
      </c>
    </row>
    <row r="43" spans="1:7">
      <c r="A43" t="s">
        <v>96</v>
      </c>
      <c r="B43" s="1" t="s">
        <v>25</v>
      </c>
      <c r="C43">
        <v>13532</v>
      </c>
      <c r="D43">
        <v>79.8</v>
      </c>
      <c r="E43">
        <v>3.6999999999999998E-2</v>
      </c>
      <c r="F43">
        <v>58</v>
      </c>
      <c r="G43">
        <v>0</v>
      </c>
    </row>
    <row r="44" spans="1:7">
      <c r="A44" t="s">
        <v>96</v>
      </c>
      <c r="B44" s="1" t="s">
        <v>26</v>
      </c>
      <c r="C44">
        <v>14534</v>
      </c>
      <c r="D44">
        <v>80.099999999999994</v>
      </c>
      <c r="E44">
        <v>5.2999999999999999E-2</v>
      </c>
      <c r="F44">
        <v>231</v>
      </c>
      <c r="G44">
        <v>0</v>
      </c>
    </row>
    <row r="45" spans="1:7">
      <c r="A45" t="s">
        <v>96</v>
      </c>
      <c r="B45" s="1" t="s">
        <v>27</v>
      </c>
      <c r="C45">
        <v>14664</v>
      </c>
      <c r="D45">
        <v>80.3</v>
      </c>
      <c r="E45">
        <v>5.1999999999999998E-2</v>
      </c>
      <c r="F45">
        <v>21</v>
      </c>
      <c r="G45">
        <v>0</v>
      </c>
    </row>
    <row r="46" spans="1:7">
      <c r="A46" t="s">
        <v>96</v>
      </c>
      <c r="B46" s="1" t="s">
        <v>28</v>
      </c>
      <c r="C46">
        <v>13581</v>
      </c>
      <c r="D46">
        <v>80</v>
      </c>
      <c r="E46">
        <v>3.5999999999999997E-2</v>
      </c>
      <c r="F46">
        <v>73</v>
      </c>
      <c r="G46">
        <v>0</v>
      </c>
    </row>
    <row r="47" spans="1:7">
      <c r="A47" t="s">
        <v>96</v>
      </c>
      <c r="B47" s="1" t="s">
        <v>29</v>
      </c>
      <c r="C47">
        <v>13573</v>
      </c>
      <c r="D47">
        <v>79.8</v>
      </c>
      <c r="E47">
        <v>0.05</v>
      </c>
      <c r="F47">
        <v>100</v>
      </c>
      <c r="G47">
        <v>0</v>
      </c>
    </row>
    <row r="48" spans="1:7">
      <c r="A48" t="s">
        <v>96</v>
      </c>
      <c r="B48" s="1" t="s">
        <v>30</v>
      </c>
      <c r="C48">
        <v>11584</v>
      </c>
      <c r="D48">
        <v>80.599999999999994</v>
      </c>
      <c r="E48">
        <v>1.7000000000000001E-2</v>
      </c>
      <c r="F48">
        <v>79</v>
      </c>
      <c r="G48">
        <v>0</v>
      </c>
    </row>
    <row r="49" spans="1:7">
      <c r="A49" t="s">
        <v>96</v>
      </c>
      <c r="B49" s="1" t="s">
        <v>31</v>
      </c>
      <c r="C49">
        <v>6369</v>
      </c>
      <c r="D49">
        <v>79.099999999999994</v>
      </c>
      <c r="E49">
        <v>8.9999999999999993E-3</v>
      </c>
      <c r="F49">
        <v>68</v>
      </c>
      <c r="G49">
        <v>0</v>
      </c>
    </row>
    <row r="50" spans="1:7">
      <c r="A50" t="s">
        <v>97</v>
      </c>
      <c r="B50" s="1" t="s">
        <v>8</v>
      </c>
      <c r="C50">
        <v>5887</v>
      </c>
      <c r="D50">
        <v>79.8</v>
      </c>
      <c r="E50">
        <v>1.0999999999999999E-2</v>
      </c>
      <c r="F50">
        <v>147</v>
      </c>
      <c r="G50">
        <v>0</v>
      </c>
    </row>
    <row r="51" spans="1:7">
      <c r="A51" t="s">
        <v>97</v>
      </c>
      <c r="B51" s="1" t="s">
        <v>9</v>
      </c>
      <c r="C51">
        <v>5849</v>
      </c>
      <c r="D51">
        <v>80.099999999999994</v>
      </c>
      <c r="E51">
        <v>1.6E-2</v>
      </c>
      <c r="F51">
        <v>26</v>
      </c>
      <c r="G51">
        <v>0</v>
      </c>
    </row>
    <row r="52" spans="1:7">
      <c r="A52" t="s">
        <v>97</v>
      </c>
      <c r="B52" s="1" t="s">
        <v>10</v>
      </c>
      <c r="C52">
        <v>6815</v>
      </c>
      <c r="D52">
        <v>79.5</v>
      </c>
      <c r="E52">
        <v>1.7000000000000001E-2</v>
      </c>
      <c r="F52">
        <v>82</v>
      </c>
      <c r="G52">
        <v>0</v>
      </c>
    </row>
    <row r="53" spans="1:7">
      <c r="A53" t="s">
        <v>97</v>
      </c>
      <c r="B53" s="1" t="s">
        <v>11</v>
      </c>
      <c r="C53">
        <v>8639</v>
      </c>
      <c r="D53">
        <v>80.099999999999994</v>
      </c>
      <c r="E53">
        <v>4.2000000000000003E-2</v>
      </c>
      <c r="F53">
        <v>74</v>
      </c>
      <c r="G53">
        <v>0</v>
      </c>
    </row>
    <row r="54" spans="1:7">
      <c r="A54" t="s">
        <v>97</v>
      </c>
      <c r="B54" s="1" t="s">
        <v>12</v>
      </c>
      <c r="C54">
        <v>14162</v>
      </c>
      <c r="D54">
        <v>79</v>
      </c>
      <c r="E54">
        <v>8.5999999999999993E-2</v>
      </c>
      <c r="F54">
        <v>97</v>
      </c>
      <c r="G54">
        <v>0</v>
      </c>
    </row>
    <row r="55" spans="1:7">
      <c r="A55" t="s">
        <v>97</v>
      </c>
      <c r="B55" s="1" t="s">
        <v>13</v>
      </c>
      <c r="C55">
        <v>13847</v>
      </c>
      <c r="D55">
        <v>76.5</v>
      </c>
      <c r="E55">
        <v>2.1000000000000001E-2</v>
      </c>
      <c r="F55">
        <v>23</v>
      </c>
      <c r="G55">
        <v>0</v>
      </c>
    </row>
    <row r="56" spans="1:7">
      <c r="A56" t="s">
        <v>97</v>
      </c>
      <c r="B56" s="1" t="s">
        <v>14</v>
      </c>
      <c r="C56">
        <v>14585</v>
      </c>
      <c r="D56">
        <v>78.900000000000006</v>
      </c>
      <c r="E56">
        <v>6.0999999999999999E-2</v>
      </c>
      <c r="F56">
        <v>159</v>
      </c>
      <c r="G56">
        <v>0</v>
      </c>
    </row>
    <row r="57" spans="1:7">
      <c r="A57" t="s">
        <v>97</v>
      </c>
      <c r="B57" s="1" t="s">
        <v>15</v>
      </c>
      <c r="C57">
        <v>13737</v>
      </c>
      <c r="D57">
        <v>79</v>
      </c>
      <c r="E57">
        <v>4.2999999999999997E-2</v>
      </c>
      <c r="F57">
        <v>81</v>
      </c>
      <c r="G57">
        <v>0</v>
      </c>
    </row>
    <row r="58" spans="1:7">
      <c r="A58" t="s">
        <v>97</v>
      </c>
      <c r="B58" s="1" t="s">
        <v>16</v>
      </c>
      <c r="C58">
        <v>13147</v>
      </c>
      <c r="D58">
        <v>80.3</v>
      </c>
      <c r="E58">
        <v>1.9E-2</v>
      </c>
      <c r="F58">
        <v>87</v>
      </c>
      <c r="G58">
        <v>0</v>
      </c>
    </row>
    <row r="59" spans="1:7">
      <c r="A59" t="s">
        <v>97</v>
      </c>
      <c r="B59" s="1" t="s">
        <v>17</v>
      </c>
      <c r="C59">
        <v>13584</v>
      </c>
      <c r="D59">
        <v>80.099999999999994</v>
      </c>
      <c r="E59">
        <v>4.3999999999999997E-2</v>
      </c>
      <c r="F59">
        <v>24</v>
      </c>
      <c r="G59">
        <v>0</v>
      </c>
    </row>
    <row r="60" spans="1:7">
      <c r="A60" t="s">
        <v>97</v>
      </c>
      <c r="B60" s="1" t="s">
        <v>18</v>
      </c>
      <c r="C60">
        <v>12159</v>
      </c>
      <c r="D60">
        <v>80.2</v>
      </c>
      <c r="E60">
        <v>3.1E-2</v>
      </c>
      <c r="F60">
        <v>23</v>
      </c>
      <c r="G60">
        <v>0</v>
      </c>
    </row>
    <row r="61" spans="1:7">
      <c r="A61" t="s">
        <v>97</v>
      </c>
      <c r="B61" s="1" t="s">
        <v>19</v>
      </c>
      <c r="C61">
        <v>11606</v>
      </c>
      <c r="D61">
        <v>80.099999999999994</v>
      </c>
      <c r="E61">
        <v>3.3000000000000002E-2</v>
      </c>
      <c r="F61">
        <v>105</v>
      </c>
      <c r="G61">
        <v>0</v>
      </c>
    </row>
    <row r="62" spans="1:7">
      <c r="A62" t="s">
        <v>97</v>
      </c>
      <c r="B62" s="1" t="s">
        <v>20</v>
      </c>
      <c r="C62">
        <v>11389</v>
      </c>
      <c r="D62">
        <v>80</v>
      </c>
      <c r="E62">
        <v>3.6999999999999998E-2</v>
      </c>
      <c r="F62">
        <v>68</v>
      </c>
      <c r="G62">
        <v>0</v>
      </c>
    </row>
    <row r="63" spans="1:7">
      <c r="A63" t="s">
        <v>97</v>
      </c>
      <c r="B63" s="1" t="s">
        <v>21</v>
      </c>
      <c r="C63">
        <v>11054</v>
      </c>
      <c r="D63">
        <v>80.099999999999994</v>
      </c>
      <c r="E63">
        <v>3.6999999999999998E-2</v>
      </c>
      <c r="F63">
        <v>143</v>
      </c>
      <c r="G63">
        <v>0</v>
      </c>
    </row>
    <row r="64" spans="1:7">
      <c r="A64" t="s">
        <v>97</v>
      </c>
      <c r="B64" s="1" t="s">
        <v>22</v>
      </c>
      <c r="C64">
        <v>11592</v>
      </c>
      <c r="D64">
        <v>80.400000000000006</v>
      </c>
      <c r="E64">
        <v>4.4999999999999998E-2</v>
      </c>
      <c r="F64">
        <v>33</v>
      </c>
      <c r="G64">
        <v>0</v>
      </c>
    </row>
    <row r="65" spans="1:7">
      <c r="A65" t="s">
        <v>97</v>
      </c>
      <c r="B65" s="1" t="s">
        <v>23</v>
      </c>
      <c r="C65">
        <v>11946</v>
      </c>
      <c r="D65">
        <v>80</v>
      </c>
      <c r="E65">
        <v>0.05</v>
      </c>
      <c r="F65">
        <v>62</v>
      </c>
      <c r="G65">
        <v>0</v>
      </c>
    </row>
    <row r="66" spans="1:7">
      <c r="A66" t="s">
        <v>97</v>
      </c>
      <c r="B66" s="1" t="s">
        <v>24</v>
      </c>
      <c r="C66">
        <v>11742</v>
      </c>
      <c r="D66">
        <v>80</v>
      </c>
      <c r="E66">
        <v>3.4000000000000002E-2</v>
      </c>
      <c r="F66">
        <v>109</v>
      </c>
      <c r="G66">
        <v>0</v>
      </c>
    </row>
    <row r="67" spans="1:7">
      <c r="A67" t="s">
        <v>97</v>
      </c>
      <c r="B67" s="1" t="s">
        <v>25</v>
      </c>
      <c r="C67">
        <v>11517</v>
      </c>
      <c r="D67">
        <v>79.7</v>
      </c>
      <c r="E67">
        <v>4.2999999999999997E-2</v>
      </c>
      <c r="F67">
        <v>93</v>
      </c>
      <c r="G67">
        <v>0</v>
      </c>
    </row>
    <row r="68" spans="1:7">
      <c r="A68" t="s">
        <v>97</v>
      </c>
      <c r="B68" s="1" t="s">
        <v>26</v>
      </c>
      <c r="C68">
        <v>12038</v>
      </c>
      <c r="D68">
        <v>80</v>
      </c>
      <c r="E68">
        <v>4.9000000000000002E-2</v>
      </c>
      <c r="F68">
        <v>144</v>
      </c>
      <c r="G68">
        <v>0</v>
      </c>
    </row>
    <row r="69" spans="1:7">
      <c r="A69" t="s">
        <v>97</v>
      </c>
      <c r="B69" s="1" t="s">
        <v>27</v>
      </c>
      <c r="C69">
        <v>12977</v>
      </c>
      <c r="D69">
        <v>80</v>
      </c>
      <c r="E69">
        <v>5.3999999999999999E-2</v>
      </c>
      <c r="F69">
        <v>188</v>
      </c>
      <c r="G69">
        <v>0</v>
      </c>
    </row>
    <row r="70" spans="1:7">
      <c r="A70" t="s">
        <v>97</v>
      </c>
      <c r="B70" s="1" t="s">
        <v>28</v>
      </c>
      <c r="C70">
        <v>12640</v>
      </c>
      <c r="D70">
        <v>80.099999999999994</v>
      </c>
      <c r="E70">
        <v>4.7E-2</v>
      </c>
      <c r="F70">
        <v>111</v>
      </c>
      <c r="G70">
        <v>0</v>
      </c>
    </row>
    <row r="71" spans="1:7">
      <c r="A71" t="s">
        <v>97</v>
      </c>
      <c r="B71" s="1" t="s">
        <v>29</v>
      </c>
      <c r="C71">
        <v>12540</v>
      </c>
      <c r="D71">
        <v>79.8</v>
      </c>
      <c r="E71">
        <v>4.7E-2</v>
      </c>
      <c r="F71">
        <v>25</v>
      </c>
      <c r="G71">
        <v>0</v>
      </c>
    </row>
    <row r="72" spans="1:7">
      <c r="A72" t="s">
        <v>97</v>
      </c>
      <c r="B72" s="1" t="s">
        <v>30</v>
      </c>
      <c r="C72">
        <v>10789</v>
      </c>
      <c r="D72">
        <v>80.5</v>
      </c>
      <c r="E72">
        <v>2.1000000000000001E-2</v>
      </c>
      <c r="F72">
        <v>233</v>
      </c>
      <c r="G72">
        <v>0</v>
      </c>
    </row>
    <row r="73" spans="1:7">
      <c r="A73" t="s">
        <v>97</v>
      </c>
      <c r="B73" s="1" t="s">
        <v>31</v>
      </c>
      <c r="C73">
        <v>6746</v>
      </c>
      <c r="D73">
        <v>81.099999999999994</v>
      </c>
      <c r="E73">
        <v>-1E-3</v>
      </c>
      <c r="F73">
        <v>222</v>
      </c>
      <c r="G73">
        <v>0</v>
      </c>
    </row>
    <row r="74" spans="1:7">
      <c r="A74" t="s">
        <v>98</v>
      </c>
      <c r="B74" s="1" t="s">
        <v>8</v>
      </c>
      <c r="C74">
        <v>5552</v>
      </c>
      <c r="D74">
        <v>80.900000000000006</v>
      </c>
      <c r="E74">
        <v>3.1E-2</v>
      </c>
      <c r="F74">
        <v>33</v>
      </c>
      <c r="G74">
        <v>0</v>
      </c>
    </row>
    <row r="75" spans="1:7">
      <c r="A75" t="s">
        <v>98</v>
      </c>
      <c r="B75" s="1" t="s">
        <v>9</v>
      </c>
      <c r="C75">
        <v>4227</v>
      </c>
      <c r="D75">
        <v>79.599999999999994</v>
      </c>
      <c r="E75">
        <v>2.3E-2</v>
      </c>
      <c r="F75">
        <v>143</v>
      </c>
      <c r="G75">
        <v>0</v>
      </c>
    </row>
    <row r="76" spans="1:7">
      <c r="A76" t="s">
        <v>98</v>
      </c>
      <c r="B76" s="1" t="s">
        <v>10</v>
      </c>
      <c r="C76">
        <v>6654</v>
      </c>
      <c r="D76">
        <v>80.2</v>
      </c>
      <c r="E76">
        <v>1.7999999999999999E-2</v>
      </c>
      <c r="F76">
        <v>200</v>
      </c>
      <c r="G76">
        <v>0</v>
      </c>
    </row>
    <row r="77" spans="1:7">
      <c r="A77" t="s">
        <v>98</v>
      </c>
      <c r="B77" s="1" t="s">
        <v>11</v>
      </c>
      <c r="C77">
        <v>9561</v>
      </c>
      <c r="D77">
        <v>80.3</v>
      </c>
      <c r="E77">
        <v>4.7E-2</v>
      </c>
      <c r="F77">
        <v>110</v>
      </c>
      <c r="G77">
        <v>0</v>
      </c>
    </row>
    <row r="78" spans="1:7">
      <c r="A78" t="s">
        <v>98</v>
      </c>
      <c r="B78" s="1" t="s">
        <v>12</v>
      </c>
      <c r="C78">
        <v>14036</v>
      </c>
      <c r="D78">
        <v>79.599999999999994</v>
      </c>
      <c r="E78">
        <v>8.6999999999999994E-2</v>
      </c>
      <c r="F78">
        <v>49</v>
      </c>
      <c r="G78">
        <v>0</v>
      </c>
    </row>
    <row r="79" spans="1:7">
      <c r="A79" t="s">
        <v>98</v>
      </c>
      <c r="B79" s="1" t="s">
        <v>13</v>
      </c>
      <c r="C79">
        <v>14895</v>
      </c>
      <c r="D79">
        <v>76.7</v>
      </c>
      <c r="E79">
        <v>0.03</v>
      </c>
      <c r="F79">
        <v>46</v>
      </c>
      <c r="G79">
        <v>0</v>
      </c>
    </row>
    <row r="80" spans="1:7">
      <c r="A80" t="s">
        <v>98</v>
      </c>
      <c r="B80" s="1" t="s">
        <v>14</v>
      </c>
      <c r="C80">
        <v>15013</v>
      </c>
      <c r="D80">
        <v>77.7</v>
      </c>
      <c r="E80">
        <v>4.3999999999999997E-2</v>
      </c>
      <c r="F80">
        <v>81</v>
      </c>
      <c r="G80">
        <v>0</v>
      </c>
    </row>
    <row r="81" spans="1:7">
      <c r="A81" t="s">
        <v>98</v>
      </c>
      <c r="B81" s="1" t="s">
        <v>15</v>
      </c>
      <c r="C81">
        <v>15618</v>
      </c>
      <c r="D81">
        <v>79.7</v>
      </c>
      <c r="E81">
        <v>5.8999999999999997E-2</v>
      </c>
      <c r="F81">
        <v>80</v>
      </c>
      <c r="G81">
        <v>0</v>
      </c>
    </row>
    <row r="82" spans="1:7">
      <c r="A82" t="s">
        <v>98</v>
      </c>
      <c r="B82" s="1" t="s">
        <v>16</v>
      </c>
      <c r="C82">
        <v>13956</v>
      </c>
      <c r="D82">
        <v>80</v>
      </c>
      <c r="E82">
        <v>1.4999999999999999E-2</v>
      </c>
      <c r="F82">
        <v>75</v>
      </c>
      <c r="G82">
        <v>0</v>
      </c>
    </row>
    <row r="83" spans="1:7">
      <c r="A83" t="s">
        <v>98</v>
      </c>
      <c r="B83" s="1" t="s">
        <v>17</v>
      </c>
      <c r="C83">
        <v>13526</v>
      </c>
      <c r="D83">
        <v>78.5</v>
      </c>
      <c r="E83">
        <v>2.5000000000000001E-2</v>
      </c>
      <c r="F83">
        <v>24</v>
      </c>
      <c r="G83">
        <v>0</v>
      </c>
    </row>
    <row r="84" spans="1:7">
      <c r="A84" t="s">
        <v>98</v>
      </c>
      <c r="B84" s="1" t="s">
        <v>18</v>
      </c>
      <c r="C84">
        <v>13528</v>
      </c>
      <c r="D84">
        <v>79.599999999999994</v>
      </c>
      <c r="E84">
        <v>4.7E-2</v>
      </c>
      <c r="F84">
        <v>23</v>
      </c>
      <c r="G84">
        <v>0</v>
      </c>
    </row>
    <row r="85" spans="1:7">
      <c r="A85" t="s">
        <v>98</v>
      </c>
      <c r="B85" s="1" t="s">
        <v>19</v>
      </c>
      <c r="C85">
        <v>13756</v>
      </c>
      <c r="D85">
        <v>80</v>
      </c>
      <c r="E85">
        <v>4.7E-2</v>
      </c>
      <c r="F85">
        <v>69</v>
      </c>
      <c r="G85">
        <v>0</v>
      </c>
    </row>
    <row r="86" spans="1:7">
      <c r="A86" t="s">
        <v>98</v>
      </c>
      <c r="B86" s="1" t="s">
        <v>20</v>
      </c>
      <c r="C86">
        <v>13527</v>
      </c>
      <c r="D86">
        <v>80.3</v>
      </c>
      <c r="E86">
        <v>3.7999999999999999E-2</v>
      </c>
      <c r="F86">
        <v>123</v>
      </c>
      <c r="G86">
        <v>0</v>
      </c>
    </row>
    <row r="87" spans="1:7">
      <c r="A87" t="s">
        <v>98</v>
      </c>
      <c r="B87" s="1" t="s">
        <v>21</v>
      </c>
      <c r="C87">
        <v>11631</v>
      </c>
      <c r="D87">
        <v>79.900000000000006</v>
      </c>
      <c r="E87">
        <v>2.7E-2</v>
      </c>
      <c r="F87">
        <v>57</v>
      </c>
      <c r="G87">
        <v>0</v>
      </c>
    </row>
    <row r="88" spans="1:7">
      <c r="A88" t="s">
        <v>98</v>
      </c>
      <c r="B88" s="1" t="s">
        <v>22</v>
      </c>
      <c r="C88">
        <v>10568</v>
      </c>
      <c r="D88">
        <v>79.8</v>
      </c>
      <c r="E88">
        <v>2.3E-2</v>
      </c>
      <c r="F88">
        <v>73</v>
      </c>
      <c r="G88">
        <v>0</v>
      </c>
    </row>
    <row r="89" spans="1:7">
      <c r="A89" t="s">
        <v>98</v>
      </c>
      <c r="B89" s="1" t="s">
        <v>23</v>
      </c>
      <c r="C89">
        <v>11704</v>
      </c>
      <c r="D89">
        <v>80</v>
      </c>
      <c r="E89">
        <v>0.04</v>
      </c>
      <c r="F89">
        <v>89</v>
      </c>
      <c r="G89">
        <v>0</v>
      </c>
    </row>
    <row r="90" spans="1:7">
      <c r="A90" t="s">
        <v>98</v>
      </c>
      <c r="B90" s="1" t="s">
        <v>24</v>
      </c>
      <c r="C90">
        <v>11531</v>
      </c>
      <c r="D90">
        <v>80.099999999999994</v>
      </c>
      <c r="E90">
        <v>4.1000000000000002E-2</v>
      </c>
      <c r="F90">
        <v>85</v>
      </c>
      <c r="G90">
        <v>0</v>
      </c>
    </row>
    <row r="91" spans="1:7">
      <c r="A91" t="s">
        <v>98</v>
      </c>
      <c r="B91" s="1" t="s">
        <v>25</v>
      </c>
      <c r="C91">
        <v>11680</v>
      </c>
      <c r="D91">
        <v>80.099999999999994</v>
      </c>
      <c r="E91">
        <v>0.04</v>
      </c>
      <c r="F91">
        <v>115</v>
      </c>
      <c r="G91">
        <v>0</v>
      </c>
    </row>
    <row r="92" spans="1:7">
      <c r="A92" t="s">
        <v>98</v>
      </c>
      <c r="B92" s="1" t="s">
        <v>26</v>
      </c>
      <c r="C92">
        <v>13094</v>
      </c>
      <c r="D92">
        <v>80.3</v>
      </c>
      <c r="E92">
        <v>5.6000000000000001E-2</v>
      </c>
      <c r="F92">
        <v>173</v>
      </c>
      <c r="G92">
        <v>0</v>
      </c>
    </row>
    <row r="93" spans="1:7">
      <c r="A93" t="s">
        <v>98</v>
      </c>
      <c r="B93" s="1" t="s">
        <v>27</v>
      </c>
      <c r="C93">
        <v>13501</v>
      </c>
      <c r="D93">
        <v>80.400000000000006</v>
      </c>
      <c r="E93">
        <v>5.6000000000000001E-2</v>
      </c>
      <c r="F93">
        <v>27</v>
      </c>
      <c r="G93">
        <v>0</v>
      </c>
    </row>
    <row r="94" spans="1:7">
      <c r="A94" t="s">
        <v>98</v>
      </c>
      <c r="B94" s="1" t="s">
        <v>28</v>
      </c>
      <c r="C94">
        <v>12851</v>
      </c>
      <c r="D94">
        <v>79.8</v>
      </c>
      <c r="E94">
        <v>0.04</v>
      </c>
      <c r="F94">
        <v>22</v>
      </c>
      <c r="G94">
        <v>0</v>
      </c>
    </row>
    <row r="95" spans="1:7">
      <c r="A95" t="s">
        <v>98</v>
      </c>
      <c r="B95" s="1" t="s">
        <v>29</v>
      </c>
      <c r="C95">
        <v>13667</v>
      </c>
      <c r="D95">
        <v>79.900000000000006</v>
      </c>
      <c r="E95">
        <v>7.1999999999999995E-2</v>
      </c>
      <c r="F95">
        <v>211</v>
      </c>
      <c r="G95">
        <v>0</v>
      </c>
    </row>
    <row r="96" spans="1:7">
      <c r="A96" t="s">
        <v>98</v>
      </c>
      <c r="B96" s="1" t="s">
        <v>30</v>
      </c>
      <c r="C96">
        <v>11845</v>
      </c>
      <c r="D96">
        <v>82</v>
      </c>
      <c r="E96">
        <v>2.3E-2</v>
      </c>
      <c r="F96">
        <v>167</v>
      </c>
      <c r="G96">
        <v>0</v>
      </c>
    </row>
    <row r="97" spans="1:7">
      <c r="A97" t="s">
        <v>98</v>
      </c>
      <c r="B97" s="1" t="s">
        <v>31</v>
      </c>
      <c r="C97">
        <v>6076</v>
      </c>
      <c r="D97">
        <v>80.599999999999994</v>
      </c>
      <c r="E97">
        <v>-7.0000000000000001E-3</v>
      </c>
      <c r="F97">
        <v>26</v>
      </c>
      <c r="G97">
        <v>0</v>
      </c>
    </row>
    <row r="98" spans="1:7">
      <c r="A98" t="s">
        <v>99</v>
      </c>
      <c r="B98" s="1" t="s">
        <v>8</v>
      </c>
      <c r="C98">
        <v>8097</v>
      </c>
      <c r="D98">
        <v>80.3</v>
      </c>
      <c r="E98">
        <v>3.4000000000000002E-2</v>
      </c>
      <c r="F98">
        <v>47</v>
      </c>
      <c r="G98">
        <v>0</v>
      </c>
    </row>
    <row r="99" spans="1:7">
      <c r="A99" t="s">
        <v>99</v>
      </c>
      <c r="B99" s="1" t="s">
        <v>9</v>
      </c>
      <c r="C99">
        <v>7414</v>
      </c>
      <c r="D99">
        <v>80.400000000000006</v>
      </c>
      <c r="E99">
        <v>3.1E-2</v>
      </c>
      <c r="F99">
        <v>170</v>
      </c>
      <c r="G99">
        <v>0</v>
      </c>
    </row>
    <row r="100" spans="1:7">
      <c r="A100" t="s">
        <v>99</v>
      </c>
      <c r="B100" s="1" t="s">
        <v>10</v>
      </c>
      <c r="C100">
        <v>7427</v>
      </c>
      <c r="D100">
        <v>80.3</v>
      </c>
      <c r="E100">
        <v>2.9000000000000001E-2</v>
      </c>
      <c r="F100">
        <v>23</v>
      </c>
      <c r="G100">
        <v>0</v>
      </c>
    </row>
    <row r="101" spans="1:7">
      <c r="A101" t="s">
        <v>99</v>
      </c>
      <c r="B101" s="1" t="s">
        <v>11</v>
      </c>
      <c r="C101">
        <v>9960</v>
      </c>
      <c r="D101">
        <v>81.3</v>
      </c>
      <c r="E101">
        <v>5.6000000000000001E-2</v>
      </c>
      <c r="F101">
        <v>56</v>
      </c>
      <c r="G101">
        <v>0</v>
      </c>
    </row>
    <row r="102" spans="1:7">
      <c r="A102" t="s">
        <v>99</v>
      </c>
      <c r="B102" s="1" t="s">
        <v>12</v>
      </c>
      <c r="C102">
        <v>11819</v>
      </c>
      <c r="D102">
        <v>79.900000000000006</v>
      </c>
      <c r="E102">
        <v>5.6000000000000001E-2</v>
      </c>
      <c r="F102">
        <v>26</v>
      </c>
      <c r="G102">
        <v>0</v>
      </c>
    </row>
    <row r="103" spans="1:7">
      <c r="A103" t="s">
        <v>99</v>
      </c>
      <c r="B103" s="1" t="s">
        <v>13</v>
      </c>
      <c r="C103">
        <v>12331</v>
      </c>
      <c r="D103">
        <v>80.099999999999994</v>
      </c>
      <c r="E103">
        <v>4.4999999999999998E-2</v>
      </c>
      <c r="F103">
        <v>24</v>
      </c>
      <c r="G103">
        <v>0</v>
      </c>
    </row>
    <row r="104" spans="1:7">
      <c r="A104" t="s">
        <v>99</v>
      </c>
      <c r="B104" s="1" t="s">
        <v>14</v>
      </c>
      <c r="C104">
        <v>14056</v>
      </c>
      <c r="D104">
        <v>81.3</v>
      </c>
      <c r="E104">
        <v>6.2E-2</v>
      </c>
      <c r="F104">
        <v>99</v>
      </c>
      <c r="G104">
        <v>0</v>
      </c>
    </row>
    <row r="105" spans="1:7">
      <c r="A105" t="s">
        <v>99</v>
      </c>
      <c r="B105" s="1" t="s">
        <v>15</v>
      </c>
      <c r="C105">
        <v>13210</v>
      </c>
      <c r="D105">
        <v>79.8</v>
      </c>
      <c r="E105">
        <v>0.03</v>
      </c>
      <c r="F105">
        <v>76</v>
      </c>
      <c r="G105">
        <v>0</v>
      </c>
    </row>
    <row r="106" spans="1:7">
      <c r="A106" t="s">
        <v>99</v>
      </c>
      <c r="B106" s="1" t="s">
        <v>16</v>
      </c>
      <c r="C106">
        <v>12902</v>
      </c>
      <c r="D106">
        <v>79.599999999999994</v>
      </c>
      <c r="E106">
        <v>3.4000000000000002E-2</v>
      </c>
      <c r="F106">
        <v>66</v>
      </c>
      <c r="G106">
        <v>0</v>
      </c>
    </row>
    <row r="107" spans="1:7">
      <c r="A107" t="s">
        <v>99</v>
      </c>
      <c r="B107" s="1" t="s">
        <v>17</v>
      </c>
      <c r="C107">
        <v>14679</v>
      </c>
      <c r="D107">
        <v>79.900000000000006</v>
      </c>
      <c r="E107">
        <v>5.8000000000000003E-2</v>
      </c>
      <c r="F107">
        <v>64</v>
      </c>
      <c r="G107">
        <v>0</v>
      </c>
    </row>
    <row r="108" spans="1:7">
      <c r="A108" t="s">
        <v>99</v>
      </c>
      <c r="B108" s="1" t="s">
        <v>18</v>
      </c>
      <c r="C108">
        <v>14046</v>
      </c>
      <c r="D108">
        <v>79.900000000000006</v>
      </c>
      <c r="E108">
        <v>3.3000000000000002E-2</v>
      </c>
      <c r="F108">
        <v>24</v>
      </c>
      <c r="G108">
        <v>0</v>
      </c>
    </row>
    <row r="109" spans="1:7">
      <c r="A109" t="s">
        <v>99</v>
      </c>
      <c r="B109" s="1" t="s">
        <v>19</v>
      </c>
      <c r="C109">
        <v>13130</v>
      </c>
      <c r="D109">
        <v>79.7</v>
      </c>
      <c r="E109">
        <v>4.4999999999999998E-2</v>
      </c>
      <c r="F109">
        <v>24</v>
      </c>
      <c r="G109">
        <v>0</v>
      </c>
    </row>
    <row r="110" spans="1:7">
      <c r="A110" t="s">
        <v>99</v>
      </c>
      <c r="B110" s="1" t="s">
        <v>20</v>
      </c>
      <c r="C110">
        <v>13526</v>
      </c>
      <c r="D110">
        <v>80.3</v>
      </c>
      <c r="E110">
        <v>5.1999999999999998E-2</v>
      </c>
      <c r="F110">
        <v>85</v>
      </c>
      <c r="G110">
        <v>0</v>
      </c>
    </row>
    <row r="111" spans="1:7">
      <c r="A111" t="s">
        <v>99</v>
      </c>
      <c r="B111" s="1" t="s">
        <v>21</v>
      </c>
      <c r="C111">
        <v>12709</v>
      </c>
      <c r="D111">
        <v>80.2</v>
      </c>
      <c r="E111">
        <v>3.2000000000000001E-2</v>
      </c>
      <c r="F111">
        <v>152</v>
      </c>
      <c r="G111">
        <v>0</v>
      </c>
    </row>
    <row r="112" spans="1:7">
      <c r="A112" t="s">
        <v>99</v>
      </c>
      <c r="B112" s="1" t="s">
        <v>22</v>
      </c>
      <c r="C112">
        <v>10976</v>
      </c>
      <c r="D112">
        <v>80</v>
      </c>
      <c r="E112">
        <v>2.8000000000000001E-2</v>
      </c>
      <c r="F112">
        <v>74</v>
      </c>
      <c r="G112">
        <v>0</v>
      </c>
    </row>
    <row r="113" spans="1:7">
      <c r="A113" t="s">
        <v>99</v>
      </c>
      <c r="B113" s="1" t="s">
        <v>23</v>
      </c>
      <c r="C113">
        <v>12336</v>
      </c>
      <c r="D113">
        <v>79.900000000000006</v>
      </c>
      <c r="E113">
        <v>4.1000000000000002E-2</v>
      </c>
      <c r="F113">
        <v>97</v>
      </c>
      <c r="G113">
        <v>0</v>
      </c>
    </row>
    <row r="114" spans="1:7">
      <c r="A114" t="s">
        <v>99</v>
      </c>
      <c r="B114" s="1" t="s">
        <v>24</v>
      </c>
      <c r="C114">
        <v>12579</v>
      </c>
      <c r="D114">
        <v>79.8</v>
      </c>
      <c r="E114">
        <v>0.05</v>
      </c>
      <c r="F114">
        <v>25</v>
      </c>
      <c r="G114">
        <v>0</v>
      </c>
    </row>
    <row r="115" spans="1:7">
      <c r="A115" t="s">
        <v>99</v>
      </c>
      <c r="B115" s="1" t="s">
        <v>25</v>
      </c>
      <c r="C115">
        <v>13581</v>
      </c>
      <c r="D115">
        <v>80</v>
      </c>
      <c r="E115">
        <v>4.7E-2</v>
      </c>
      <c r="F115">
        <v>80</v>
      </c>
      <c r="G115">
        <v>0</v>
      </c>
    </row>
    <row r="116" spans="1:7">
      <c r="A116" t="s">
        <v>99</v>
      </c>
      <c r="B116" s="1" t="s">
        <v>26</v>
      </c>
      <c r="C116">
        <v>12655</v>
      </c>
      <c r="D116">
        <v>78.599999999999994</v>
      </c>
      <c r="E116">
        <v>4.3999999999999997E-2</v>
      </c>
      <c r="F116">
        <v>104</v>
      </c>
      <c r="G116">
        <v>0</v>
      </c>
    </row>
    <row r="117" spans="1:7">
      <c r="A117" t="s">
        <v>99</v>
      </c>
      <c r="B117" s="1" t="s">
        <v>27</v>
      </c>
      <c r="C117">
        <v>13768</v>
      </c>
      <c r="D117">
        <v>78.400000000000006</v>
      </c>
      <c r="E117">
        <v>5.8999999999999997E-2</v>
      </c>
      <c r="F117">
        <v>52</v>
      </c>
      <c r="G117">
        <v>0</v>
      </c>
    </row>
    <row r="118" spans="1:7">
      <c r="A118" t="s">
        <v>99</v>
      </c>
      <c r="B118" s="1" t="s">
        <v>28</v>
      </c>
      <c r="C118">
        <v>15206</v>
      </c>
      <c r="D118">
        <v>81.099999999999994</v>
      </c>
      <c r="E118">
        <v>5.8999999999999997E-2</v>
      </c>
      <c r="F118">
        <v>71</v>
      </c>
      <c r="G118">
        <v>0</v>
      </c>
    </row>
    <row r="119" spans="1:7">
      <c r="A119" t="s">
        <v>99</v>
      </c>
      <c r="B119" s="1" t="s">
        <v>29</v>
      </c>
      <c r="C119">
        <v>12993</v>
      </c>
      <c r="D119">
        <v>79.7</v>
      </c>
      <c r="E119">
        <v>1.0999999999999999E-2</v>
      </c>
      <c r="F119">
        <v>24</v>
      </c>
      <c r="G119">
        <v>0</v>
      </c>
    </row>
    <row r="120" spans="1:7">
      <c r="A120" t="s">
        <v>99</v>
      </c>
      <c r="B120" s="1" t="s">
        <v>30</v>
      </c>
      <c r="C120">
        <v>9954</v>
      </c>
      <c r="D120">
        <v>80.099999999999994</v>
      </c>
      <c r="E120">
        <v>5.0000000000000001E-3</v>
      </c>
      <c r="F120">
        <v>73</v>
      </c>
      <c r="G120">
        <v>0</v>
      </c>
    </row>
    <row r="121" spans="1:7">
      <c r="A121" t="s">
        <v>99</v>
      </c>
      <c r="B121" s="1" t="s">
        <v>31</v>
      </c>
      <c r="C121">
        <v>6356</v>
      </c>
      <c r="D121">
        <v>77.7</v>
      </c>
      <c r="E121">
        <v>1.9E-2</v>
      </c>
      <c r="F121">
        <v>50</v>
      </c>
      <c r="G121">
        <v>0</v>
      </c>
    </row>
    <row r="122" spans="1:7">
      <c r="A122" t="s">
        <v>100</v>
      </c>
      <c r="B122" s="1" t="s">
        <v>8</v>
      </c>
      <c r="C122">
        <v>8128</v>
      </c>
      <c r="D122">
        <v>80.400000000000006</v>
      </c>
      <c r="E122">
        <v>3.5999999999999997E-2</v>
      </c>
      <c r="F122">
        <v>73</v>
      </c>
      <c r="G122">
        <v>0</v>
      </c>
    </row>
    <row r="123" spans="1:7">
      <c r="A123" t="s">
        <v>100</v>
      </c>
      <c r="B123" s="1" t="s">
        <v>9</v>
      </c>
      <c r="C123">
        <v>8167</v>
      </c>
      <c r="D123">
        <v>79.7</v>
      </c>
      <c r="E123">
        <v>2.4E-2</v>
      </c>
      <c r="F123">
        <v>24</v>
      </c>
      <c r="G123">
        <v>0</v>
      </c>
    </row>
    <row r="124" spans="1:7">
      <c r="A124" t="s">
        <v>100</v>
      </c>
      <c r="B124" s="1" t="s">
        <v>10</v>
      </c>
      <c r="C124">
        <v>7630</v>
      </c>
      <c r="D124">
        <v>80.3</v>
      </c>
      <c r="E124">
        <v>3.3000000000000002E-2</v>
      </c>
      <c r="F124">
        <v>27</v>
      </c>
      <c r="G124">
        <v>0</v>
      </c>
    </row>
    <row r="125" spans="1:7">
      <c r="A125" t="s">
        <v>100</v>
      </c>
      <c r="B125" s="1" t="s">
        <v>11</v>
      </c>
      <c r="C125">
        <v>9336</v>
      </c>
      <c r="D125">
        <v>80</v>
      </c>
      <c r="E125">
        <v>4.1000000000000002E-2</v>
      </c>
      <c r="F125">
        <v>29</v>
      </c>
      <c r="G125">
        <v>0</v>
      </c>
    </row>
    <row r="126" spans="1:7">
      <c r="A126" t="s">
        <v>100</v>
      </c>
      <c r="B126" s="1" t="s">
        <v>12</v>
      </c>
      <c r="C126">
        <v>11378</v>
      </c>
      <c r="D126">
        <v>80.099999999999994</v>
      </c>
      <c r="E126">
        <v>5.8000000000000003E-2</v>
      </c>
      <c r="F126">
        <v>89</v>
      </c>
      <c r="G126">
        <v>0</v>
      </c>
    </row>
    <row r="127" spans="1:7">
      <c r="A127" t="s">
        <v>100</v>
      </c>
      <c r="B127" s="1" t="s">
        <v>13</v>
      </c>
      <c r="C127">
        <v>10720</v>
      </c>
      <c r="D127">
        <v>80</v>
      </c>
      <c r="E127">
        <v>0.03</v>
      </c>
      <c r="F127">
        <v>78</v>
      </c>
      <c r="G127">
        <v>0</v>
      </c>
    </row>
    <row r="128" spans="1:7">
      <c r="A128" t="s">
        <v>100</v>
      </c>
      <c r="B128" s="1" t="s">
        <v>14</v>
      </c>
      <c r="C128">
        <v>12180</v>
      </c>
      <c r="D128">
        <v>80.5</v>
      </c>
      <c r="E128">
        <v>3.4000000000000002E-2</v>
      </c>
      <c r="F128">
        <v>63</v>
      </c>
      <c r="G128">
        <v>0</v>
      </c>
    </row>
    <row r="129" spans="1:7">
      <c r="A129" t="s">
        <v>100</v>
      </c>
      <c r="B129" s="1" t="s">
        <v>15</v>
      </c>
      <c r="C129">
        <v>10837</v>
      </c>
      <c r="D129">
        <v>79.900000000000006</v>
      </c>
      <c r="E129">
        <v>0.03</v>
      </c>
      <c r="F129">
        <v>25</v>
      </c>
      <c r="G129">
        <v>0</v>
      </c>
    </row>
    <row r="130" spans="1:7">
      <c r="A130" t="s">
        <v>100</v>
      </c>
      <c r="B130" s="1" t="s">
        <v>16</v>
      </c>
      <c r="C130">
        <v>12534</v>
      </c>
      <c r="D130">
        <v>80.2</v>
      </c>
      <c r="E130">
        <v>4.3999999999999997E-2</v>
      </c>
      <c r="F130">
        <v>99</v>
      </c>
      <c r="G130">
        <v>0</v>
      </c>
    </row>
    <row r="131" spans="1:7">
      <c r="A131" t="s">
        <v>100</v>
      </c>
      <c r="B131" s="1" t="s">
        <v>17</v>
      </c>
      <c r="C131">
        <v>13799</v>
      </c>
      <c r="D131">
        <v>79.7</v>
      </c>
      <c r="E131">
        <v>0.05</v>
      </c>
      <c r="F131">
        <v>28</v>
      </c>
      <c r="G131">
        <v>0</v>
      </c>
    </row>
    <row r="132" spans="1:7">
      <c r="A132" t="s">
        <v>100</v>
      </c>
      <c r="B132" s="1" t="s">
        <v>18</v>
      </c>
      <c r="C132">
        <v>13357</v>
      </c>
      <c r="D132">
        <v>79.3</v>
      </c>
      <c r="E132">
        <v>4.7E-2</v>
      </c>
      <c r="F132">
        <v>97</v>
      </c>
      <c r="G132">
        <v>0</v>
      </c>
    </row>
    <row r="133" spans="1:7">
      <c r="A133" t="s">
        <v>100</v>
      </c>
      <c r="B133" s="1" t="s">
        <v>19</v>
      </c>
      <c r="C133">
        <v>14041</v>
      </c>
      <c r="D133">
        <v>80.400000000000006</v>
      </c>
      <c r="E133">
        <v>5.3999999999999999E-2</v>
      </c>
      <c r="F133">
        <v>230</v>
      </c>
      <c r="G133">
        <v>0</v>
      </c>
    </row>
    <row r="134" spans="1:7">
      <c r="A134" t="s">
        <v>100</v>
      </c>
      <c r="B134" s="1" t="s">
        <v>20</v>
      </c>
      <c r="C134">
        <v>12481</v>
      </c>
      <c r="D134">
        <v>80.099999999999994</v>
      </c>
      <c r="E134">
        <v>1.2E-2</v>
      </c>
      <c r="F134">
        <v>94</v>
      </c>
      <c r="G134">
        <v>0</v>
      </c>
    </row>
    <row r="135" spans="1:7">
      <c r="A135" t="s">
        <v>100</v>
      </c>
      <c r="B135" s="1" t="s">
        <v>21</v>
      </c>
      <c r="C135">
        <v>10754</v>
      </c>
      <c r="D135">
        <v>79.900000000000006</v>
      </c>
      <c r="E135">
        <v>1.6E-2</v>
      </c>
      <c r="F135">
        <v>33</v>
      </c>
      <c r="G135">
        <v>0</v>
      </c>
    </row>
    <row r="136" spans="1:7">
      <c r="A136" t="s">
        <v>100</v>
      </c>
      <c r="B136" s="1" t="s">
        <v>22</v>
      </c>
      <c r="C136">
        <v>12694</v>
      </c>
      <c r="D136">
        <v>80</v>
      </c>
      <c r="E136">
        <v>3.4000000000000002E-2</v>
      </c>
      <c r="F136">
        <v>24</v>
      </c>
      <c r="G136">
        <v>0</v>
      </c>
    </row>
    <row r="137" spans="1:7">
      <c r="A137" t="s">
        <v>100</v>
      </c>
      <c r="B137" s="1" t="s">
        <v>23</v>
      </c>
      <c r="C137">
        <v>12679</v>
      </c>
      <c r="D137">
        <v>80</v>
      </c>
      <c r="E137">
        <v>3.7999999999999999E-2</v>
      </c>
      <c r="F137">
        <v>55</v>
      </c>
      <c r="G137">
        <v>0</v>
      </c>
    </row>
    <row r="138" spans="1:7">
      <c r="A138" t="s">
        <v>100</v>
      </c>
      <c r="B138" s="1" t="s">
        <v>24</v>
      </c>
      <c r="C138">
        <v>11474</v>
      </c>
      <c r="D138">
        <v>79.400000000000006</v>
      </c>
      <c r="E138">
        <v>1.7999999999999999E-2</v>
      </c>
      <c r="F138">
        <v>91</v>
      </c>
      <c r="G138">
        <v>0</v>
      </c>
    </row>
    <row r="139" spans="1:7">
      <c r="A139" t="s">
        <v>100</v>
      </c>
      <c r="B139" s="1" t="s">
        <v>25</v>
      </c>
      <c r="C139">
        <v>13006</v>
      </c>
      <c r="D139">
        <v>80.5</v>
      </c>
      <c r="E139">
        <v>6.6000000000000003E-2</v>
      </c>
      <c r="F139">
        <v>159</v>
      </c>
      <c r="G139">
        <v>0</v>
      </c>
    </row>
    <row r="140" spans="1:7">
      <c r="A140" t="s">
        <v>100</v>
      </c>
      <c r="B140" s="1" t="s">
        <v>26</v>
      </c>
      <c r="C140">
        <v>13099</v>
      </c>
      <c r="D140">
        <v>80.3</v>
      </c>
      <c r="E140">
        <v>4.2999999999999997E-2</v>
      </c>
      <c r="F140">
        <v>43</v>
      </c>
      <c r="G140">
        <v>0</v>
      </c>
    </row>
    <row r="141" spans="1:7">
      <c r="A141" t="s">
        <v>100</v>
      </c>
      <c r="B141" s="1" t="s">
        <v>27</v>
      </c>
      <c r="C141">
        <v>11814</v>
      </c>
      <c r="D141">
        <v>79.7</v>
      </c>
      <c r="E141">
        <v>3.2000000000000001E-2</v>
      </c>
      <c r="F141">
        <v>103</v>
      </c>
      <c r="G141">
        <v>0</v>
      </c>
    </row>
    <row r="142" spans="1:7">
      <c r="A142" t="s">
        <v>100</v>
      </c>
      <c r="B142" s="1" t="s">
        <v>28</v>
      </c>
      <c r="C142">
        <v>12926</v>
      </c>
      <c r="D142">
        <v>80.099999999999994</v>
      </c>
      <c r="E142">
        <v>5.3999999999999999E-2</v>
      </c>
      <c r="F142">
        <v>147</v>
      </c>
      <c r="G142">
        <v>0</v>
      </c>
    </row>
    <row r="143" spans="1:7">
      <c r="A143" t="s">
        <v>100</v>
      </c>
      <c r="B143" s="1" t="s">
        <v>29</v>
      </c>
      <c r="C143">
        <v>13038</v>
      </c>
      <c r="D143">
        <v>80.099999999999994</v>
      </c>
      <c r="E143">
        <v>4.2000000000000003E-2</v>
      </c>
      <c r="F143">
        <v>36</v>
      </c>
      <c r="G143">
        <v>0</v>
      </c>
    </row>
    <row r="144" spans="1:7">
      <c r="A144" t="s">
        <v>100</v>
      </c>
      <c r="B144" s="1" t="s">
        <v>30</v>
      </c>
      <c r="C144">
        <v>10569</v>
      </c>
      <c r="D144">
        <v>80.5</v>
      </c>
      <c r="E144">
        <v>1.4999999999999999E-2</v>
      </c>
      <c r="F144">
        <v>104</v>
      </c>
      <c r="G144">
        <v>0</v>
      </c>
    </row>
    <row r="145" spans="1:7">
      <c r="A145" t="s">
        <v>100</v>
      </c>
      <c r="B145" s="1" t="s">
        <v>31</v>
      </c>
      <c r="C145">
        <v>6887</v>
      </c>
      <c r="D145">
        <v>81.3</v>
      </c>
      <c r="E145">
        <v>1.2E-2</v>
      </c>
      <c r="F145">
        <v>73</v>
      </c>
      <c r="G145">
        <v>0</v>
      </c>
    </row>
    <row r="146" spans="1:7">
      <c r="A146" t="s">
        <v>101</v>
      </c>
      <c r="B146" s="1" t="s">
        <v>8</v>
      </c>
      <c r="C146">
        <v>7311</v>
      </c>
      <c r="D146">
        <v>79.8</v>
      </c>
      <c r="E146">
        <v>3.2000000000000001E-2</v>
      </c>
      <c r="F146">
        <v>27</v>
      </c>
      <c r="G146">
        <v>0</v>
      </c>
    </row>
    <row r="147" spans="1:7">
      <c r="A147" t="s">
        <v>101</v>
      </c>
      <c r="B147" s="1" t="s">
        <v>9</v>
      </c>
      <c r="C147">
        <v>10524</v>
      </c>
      <c r="D147">
        <v>80.3</v>
      </c>
      <c r="E147">
        <v>3.5999999999999997E-2</v>
      </c>
      <c r="F147">
        <v>157</v>
      </c>
      <c r="G147">
        <v>0</v>
      </c>
    </row>
    <row r="148" spans="1:7">
      <c r="A148" t="s">
        <v>101</v>
      </c>
      <c r="B148" s="1" t="s">
        <v>10</v>
      </c>
      <c r="C148">
        <v>7189</v>
      </c>
      <c r="D148">
        <v>79.599999999999994</v>
      </c>
      <c r="E148">
        <v>3.7999999999999999E-2</v>
      </c>
      <c r="F148">
        <v>44</v>
      </c>
      <c r="G148">
        <v>0</v>
      </c>
    </row>
    <row r="149" spans="1:7">
      <c r="A149" t="s">
        <v>101</v>
      </c>
      <c r="B149" s="1" t="s">
        <v>11</v>
      </c>
      <c r="C149">
        <v>10328</v>
      </c>
      <c r="D149">
        <v>79.8</v>
      </c>
      <c r="E149">
        <v>3.4000000000000002E-2</v>
      </c>
      <c r="F149">
        <v>24</v>
      </c>
      <c r="G149">
        <v>0</v>
      </c>
    </row>
    <row r="150" spans="1:7">
      <c r="A150" t="s">
        <v>101</v>
      </c>
      <c r="B150" s="1" t="s">
        <v>12</v>
      </c>
      <c r="C150">
        <v>11985</v>
      </c>
      <c r="D150">
        <v>80</v>
      </c>
      <c r="E150">
        <v>5.0999999999999997E-2</v>
      </c>
      <c r="F150">
        <v>207</v>
      </c>
      <c r="G150">
        <v>0</v>
      </c>
    </row>
    <row r="151" spans="1:7">
      <c r="A151" t="s">
        <v>101</v>
      </c>
      <c r="B151" s="1" t="s">
        <v>13</v>
      </c>
      <c r="C151">
        <v>11951</v>
      </c>
      <c r="D151">
        <v>79.400000000000006</v>
      </c>
      <c r="E151">
        <v>3.4000000000000002E-2</v>
      </c>
      <c r="F151">
        <v>41</v>
      </c>
      <c r="G151">
        <v>0</v>
      </c>
    </row>
    <row r="152" spans="1:7">
      <c r="A152" t="s">
        <v>101</v>
      </c>
      <c r="B152" s="1" t="s">
        <v>14</v>
      </c>
      <c r="C152">
        <v>14940</v>
      </c>
      <c r="D152">
        <v>80.3</v>
      </c>
      <c r="E152">
        <v>8.4000000000000005E-2</v>
      </c>
      <c r="F152">
        <v>209</v>
      </c>
      <c r="G152">
        <v>0</v>
      </c>
    </row>
    <row r="153" spans="1:7">
      <c r="A153" t="s">
        <v>101</v>
      </c>
      <c r="B153" s="1" t="s">
        <v>15</v>
      </c>
      <c r="C153">
        <v>14882</v>
      </c>
      <c r="D153">
        <v>80.099999999999994</v>
      </c>
      <c r="E153">
        <v>5.2999999999999999E-2</v>
      </c>
      <c r="F153">
        <v>58</v>
      </c>
      <c r="G153">
        <v>0</v>
      </c>
    </row>
    <row r="154" spans="1:7">
      <c r="A154" t="s">
        <v>101</v>
      </c>
      <c r="B154" s="1" t="s">
        <v>16</v>
      </c>
      <c r="C154">
        <v>14947</v>
      </c>
      <c r="D154">
        <v>80.7</v>
      </c>
      <c r="E154">
        <v>4.2000000000000003E-2</v>
      </c>
      <c r="F154">
        <v>121</v>
      </c>
      <c r="G154">
        <v>0</v>
      </c>
    </row>
    <row r="155" spans="1:7">
      <c r="A155" t="s">
        <v>101</v>
      </c>
      <c r="B155" s="1" t="s">
        <v>17</v>
      </c>
      <c r="C155">
        <v>15036</v>
      </c>
      <c r="D155">
        <v>80.5</v>
      </c>
      <c r="E155">
        <v>4.8000000000000001E-2</v>
      </c>
      <c r="F155">
        <v>59</v>
      </c>
      <c r="G155">
        <v>0</v>
      </c>
    </row>
    <row r="156" spans="1:7">
      <c r="A156" t="s">
        <v>101</v>
      </c>
      <c r="B156" s="1" t="s">
        <v>18</v>
      </c>
      <c r="C156">
        <v>15529</v>
      </c>
      <c r="D156">
        <v>79.3</v>
      </c>
      <c r="E156">
        <v>3.7999999999999999E-2</v>
      </c>
      <c r="F156">
        <v>81</v>
      </c>
      <c r="G156">
        <v>0</v>
      </c>
    </row>
    <row r="157" spans="1:7">
      <c r="A157" t="s">
        <v>101</v>
      </c>
      <c r="B157" s="1" t="s">
        <v>19</v>
      </c>
      <c r="C157">
        <v>16551</v>
      </c>
      <c r="D157">
        <v>80</v>
      </c>
      <c r="E157">
        <v>5.5E-2</v>
      </c>
      <c r="F157">
        <v>98</v>
      </c>
      <c r="G157">
        <v>0</v>
      </c>
    </row>
    <row r="158" spans="1:7">
      <c r="A158" t="s">
        <v>101</v>
      </c>
      <c r="B158" s="1" t="s">
        <v>20</v>
      </c>
      <c r="C158">
        <v>16936</v>
      </c>
      <c r="D158">
        <v>79.900000000000006</v>
      </c>
      <c r="E158">
        <v>4.4999999999999998E-2</v>
      </c>
      <c r="F158">
        <v>23</v>
      </c>
      <c r="G158">
        <v>0</v>
      </c>
    </row>
    <row r="159" spans="1:7">
      <c r="A159" t="s">
        <v>101</v>
      </c>
      <c r="B159" s="1" t="s">
        <v>21</v>
      </c>
      <c r="C159">
        <v>17883</v>
      </c>
      <c r="D159">
        <v>81.8</v>
      </c>
      <c r="E159">
        <v>7.6999999999999999E-2</v>
      </c>
      <c r="F159">
        <v>99</v>
      </c>
      <c r="G159">
        <v>0</v>
      </c>
    </row>
    <row r="160" spans="1:7">
      <c r="A160" t="s">
        <v>101</v>
      </c>
      <c r="B160" s="1" t="s">
        <v>22</v>
      </c>
      <c r="C160">
        <v>18453</v>
      </c>
      <c r="D160">
        <v>81.900000000000006</v>
      </c>
      <c r="E160">
        <v>5.8000000000000003E-2</v>
      </c>
      <c r="F160">
        <v>88</v>
      </c>
      <c r="G160">
        <v>0</v>
      </c>
    </row>
    <row r="161" spans="1:7">
      <c r="A161" t="s">
        <v>101</v>
      </c>
      <c r="B161" s="1" t="s">
        <v>23</v>
      </c>
      <c r="C161">
        <v>18900</v>
      </c>
      <c r="D161">
        <v>83.4</v>
      </c>
      <c r="E161">
        <v>7.5999999999999998E-2</v>
      </c>
      <c r="F161">
        <v>90</v>
      </c>
      <c r="G161">
        <v>0</v>
      </c>
    </row>
    <row r="162" spans="1:7">
      <c r="A162" t="s">
        <v>101</v>
      </c>
      <c r="B162" s="1" t="s">
        <v>24</v>
      </c>
      <c r="C162">
        <v>17902</v>
      </c>
      <c r="D162">
        <v>84.4</v>
      </c>
      <c r="E162">
        <v>5.8000000000000003E-2</v>
      </c>
      <c r="F162">
        <v>100</v>
      </c>
      <c r="G162">
        <v>0</v>
      </c>
    </row>
    <row r="163" spans="1:7">
      <c r="A163" t="s">
        <v>101</v>
      </c>
      <c r="B163" s="1" t="s">
        <v>25</v>
      </c>
      <c r="C163">
        <v>15930</v>
      </c>
      <c r="D163">
        <v>82.7</v>
      </c>
      <c r="E163">
        <v>3.1E-2</v>
      </c>
      <c r="F163">
        <v>86</v>
      </c>
      <c r="G163">
        <v>0</v>
      </c>
    </row>
    <row r="164" spans="1:7">
      <c r="A164" t="s">
        <v>101</v>
      </c>
      <c r="B164" s="1" t="s">
        <v>26</v>
      </c>
      <c r="C164">
        <v>17648</v>
      </c>
      <c r="D164">
        <v>83.5</v>
      </c>
      <c r="E164">
        <v>7.1999999999999995E-2</v>
      </c>
      <c r="F164">
        <v>26</v>
      </c>
      <c r="G164">
        <v>0</v>
      </c>
    </row>
    <row r="165" spans="1:7">
      <c r="A165" t="s">
        <v>101</v>
      </c>
      <c r="B165" s="1" t="s">
        <v>27</v>
      </c>
      <c r="C165">
        <v>18268</v>
      </c>
      <c r="D165">
        <v>83.3</v>
      </c>
      <c r="E165">
        <v>0.06</v>
      </c>
      <c r="F165">
        <v>116</v>
      </c>
      <c r="G165">
        <v>0</v>
      </c>
    </row>
    <row r="166" spans="1:7">
      <c r="A166" t="s">
        <v>101</v>
      </c>
      <c r="B166" s="1" t="s">
        <v>28</v>
      </c>
      <c r="C166">
        <v>19028</v>
      </c>
      <c r="D166">
        <v>83.4</v>
      </c>
      <c r="E166">
        <v>7.3999999999999996E-2</v>
      </c>
      <c r="F166">
        <v>186</v>
      </c>
      <c r="G166">
        <v>0</v>
      </c>
    </row>
    <row r="167" spans="1:7">
      <c r="A167" t="s">
        <v>101</v>
      </c>
      <c r="B167" s="1" t="s">
        <v>29</v>
      </c>
      <c r="C167">
        <v>19766</v>
      </c>
      <c r="D167">
        <v>84.6</v>
      </c>
      <c r="E167">
        <v>8.5000000000000006E-2</v>
      </c>
      <c r="F167">
        <v>44</v>
      </c>
      <c r="G167">
        <v>0</v>
      </c>
    </row>
    <row r="168" spans="1:7">
      <c r="A168" t="s">
        <v>101</v>
      </c>
      <c r="B168" s="1" t="s">
        <v>30</v>
      </c>
      <c r="C168">
        <v>16584</v>
      </c>
      <c r="D168">
        <v>84.6</v>
      </c>
      <c r="E168">
        <v>0.04</v>
      </c>
      <c r="F168">
        <v>22</v>
      </c>
      <c r="G168">
        <v>0</v>
      </c>
    </row>
    <row r="169" spans="1:7">
      <c r="A169" t="s">
        <v>101</v>
      </c>
      <c r="B169" s="1" t="s">
        <v>31</v>
      </c>
      <c r="C169">
        <v>11059</v>
      </c>
      <c r="D169">
        <v>86.3</v>
      </c>
      <c r="E169">
        <v>-1.4999999999999999E-2</v>
      </c>
      <c r="F169">
        <v>87</v>
      </c>
      <c r="G169">
        <v>0</v>
      </c>
    </row>
    <row r="170" spans="1:7">
      <c r="A170" t="s">
        <v>102</v>
      </c>
      <c r="B170" s="1" t="s">
        <v>8</v>
      </c>
      <c r="C170">
        <v>10235</v>
      </c>
      <c r="D170">
        <v>82.2</v>
      </c>
      <c r="E170">
        <v>3.0000000000000001E-3</v>
      </c>
      <c r="F170">
        <v>77</v>
      </c>
      <c r="G170">
        <v>0</v>
      </c>
    </row>
    <row r="171" spans="1:7">
      <c r="A171" t="s">
        <v>102</v>
      </c>
      <c r="B171" s="1" t="s">
        <v>9</v>
      </c>
      <c r="C171">
        <v>14350</v>
      </c>
      <c r="D171">
        <v>83.3</v>
      </c>
      <c r="E171">
        <v>7.8E-2</v>
      </c>
      <c r="F171">
        <v>178</v>
      </c>
      <c r="G171">
        <v>0</v>
      </c>
    </row>
    <row r="172" spans="1:7">
      <c r="A172" t="s">
        <v>102</v>
      </c>
      <c r="B172" s="1" t="s">
        <v>10</v>
      </c>
      <c r="C172">
        <v>13768</v>
      </c>
      <c r="D172">
        <v>85</v>
      </c>
      <c r="E172">
        <v>5.8000000000000003E-2</v>
      </c>
      <c r="F172">
        <v>48</v>
      </c>
      <c r="G172">
        <v>0</v>
      </c>
    </row>
    <row r="173" spans="1:7">
      <c r="A173" t="s">
        <v>102</v>
      </c>
      <c r="B173" s="1" t="s">
        <v>11</v>
      </c>
      <c r="C173">
        <v>15288</v>
      </c>
      <c r="D173">
        <v>83.9</v>
      </c>
      <c r="E173">
        <v>5.8999999999999997E-2</v>
      </c>
      <c r="F173">
        <v>18</v>
      </c>
      <c r="G173">
        <v>0</v>
      </c>
    </row>
    <row r="174" spans="1:7">
      <c r="A174" t="s">
        <v>102</v>
      </c>
      <c r="B174" s="1" t="s">
        <v>12</v>
      </c>
      <c r="C174">
        <v>16333</v>
      </c>
      <c r="D174">
        <v>84.2</v>
      </c>
      <c r="E174">
        <v>7.6999999999999999E-2</v>
      </c>
      <c r="F174">
        <v>19</v>
      </c>
      <c r="G174">
        <v>0</v>
      </c>
    </row>
    <row r="175" spans="1:7">
      <c r="A175" t="s">
        <v>102</v>
      </c>
      <c r="B175" s="1" t="s">
        <v>13</v>
      </c>
      <c r="C175">
        <v>20589</v>
      </c>
      <c r="D175">
        <v>84</v>
      </c>
      <c r="E175">
        <v>8.5999999999999993E-2</v>
      </c>
      <c r="F175">
        <v>61</v>
      </c>
      <c r="G175">
        <v>0</v>
      </c>
    </row>
    <row r="176" spans="1:7">
      <c r="A176" t="s">
        <v>102</v>
      </c>
      <c r="B176" s="1" t="s">
        <v>14</v>
      </c>
      <c r="C176">
        <v>21789</v>
      </c>
      <c r="D176">
        <v>82.9</v>
      </c>
      <c r="E176">
        <v>5.8000000000000003E-2</v>
      </c>
      <c r="F176">
        <v>95</v>
      </c>
      <c r="G176">
        <v>0</v>
      </c>
    </row>
    <row r="177" spans="1:7">
      <c r="A177" t="s">
        <v>102</v>
      </c>
      <c r="B177" s="1" t="s">
        <v>15</v>
      </c>
      <c r="C177">
        <v>21039</v>
      </c>
      <c r="D177">
        <v>84.5</v>
      </c>
      <c r="E177">
        <v>8.8999999999999996E-2</v>
      </c>
      <c r="F177">
        <v>246</v>
      </c>
      <c r="G177">
        <v>0</v>
      </c>
    </row>
    <row r="178" spans="1:7">
      <c r="A178" t="s">
        <v>102</v>
      </c>
      <c r="B178" s="1" t="s">
        <v>16</v>
      </c>
      <c r="C178">
        <v>19923</v>
      </c>
      <c r="D178">
        <v>83.1</v>
      </c>
      <c r="E178">
        <v>6.5000000000000002E-2</v>
      </c>
      <c r="F178">
        <v>110</v>
      </c>
      <c r="G178">
        <v>0</v>
      </c>
    </row>
    <row r="179" spans="1:7">
      <c r="A179" t="s">
        <v>102</v>
      </c>
      <c r="B179" s="1" t="s">
        <v>17</v>
      </c>
      <c r="C179">
        <v>22243</v>
      </c>
      <c r="D179">
        <v>84</v>
      </c>
      <c r="E179">
        <v>0.08</v>
      </c>
      <c r="F179">
        <v>85</v>
      </c>
      <c r="G179">
        <v>0</v>
      </c>
    </row>
    <row r="180" spans="1:7">
      <c r="A180" t="s">
        <v>102</v>
      </c>
      <c r="B180" s="1" t="s">
        <v>18</v>
      </c>
      <c r="C180">
        <v>21006</v>
      </c>
      <c r="D180">
        <v>85.6</v>
      </c>
      <c r="E180">
        <v>8.5999999999999993E-2</v>
      </c>
      <c r="F180">
        <v>67</v>
      </c>
      <c r="G180">
        <v>0</v>
      </c>
    </row>
    <row r="181" spans="1:7">
      <c r="A181" t="s">
        <v>102</v>
      </c>
      <c r="B181" s="1" t="s">
        <v>19</v>
      </c>
      <c r="C181">
        <v>20112</v>
      </c>
      <c r="D181">
        <v>85.2</v>
      </c>
      <c r="E181">
        <v>8.3000000000000004E-2</v>
      </c>
      <c r="F181">
        <v>111</v>
      </c>
      <c r="G181">
        <v>0</v>
      </c>
    </row>
    <row r="182" spans="1:7">
      <c r="A182" t="s">
        <v>102</v>
      </c>
      <c r="B182" s="1" t="s">
        <v>20</v>
      </c>
      <c r="C182">
        <v>19306</v>
      </c>
      <c r="D182">
        <v>85.4</v>
      </c>
      <c r="E182">
        <v>8.1000000000000003E-2</v>
      </c>
      <c r="F182">
        <v>114</v>
      </c>
      <c r="G182">
        <v>0</v>
      </c>
    </row>
    <row r="183" spans="1:7">
      <c r="A183" t="s">
        <v>102</v>
      </c>
      <c r="B183" s="1" t="s">
        <v>21</v>
      </c>
      <c r="C183">
        <v>20446</v>
      </c>
      <c r="D183">
        <v>84.7</v>
      </c>
      <c r="E183">
        <v>8.4000000000000005E-2</v>
      </c>
      <c r="F183">
        <v>44</v>
      </c>
      <c r="G183">
        <v>0</v>
      </c>
    </row>
    <row r="184" spans="1:7">
      <c r="A184" t="s">
        <v>102</v>
      </c>
      <c r="B184" s="1" t="s">
        <v>22</v>
      </c>
      <c r="C184">
        <v>22148</v>
      </c>
      <c r="D184">
        <v>86.5</v>
      </c>
      <c r="E184">
        <v>0.121</v>
      </c>
      <c r="F184">
        <v>72</v>
      </c>
      <c r="G184">
        <v>0</v>
      </c>
    </row>
    <row r="185" spans="1:7">
      <c r="A185" t="s">
        <v>102</v>
      </c>
      <c r="B185" s="1" t="s">
        <v>23</v>
      </c>
      <c r="C185">
        <v>19539</v>
      </c>
      <c r="D185">
        <v>87.8</v>
      </c>
      <c r="E185">
        <v>8.7999999999999995E-2</v>
      </c>
      <c r="F185">
        <v>105</v>
      </c>
      <c r="G185">
        <v>0</v>
      </c>
    </row>
    <row r="186" spans="1:7">
      <c r="A186" t="s">
        <v>102</v>
      </c>
      <c r="B186" s="1" t="s">
        <v>24</v>
      </c>
      <c r="C186">
        <v>19347</v>
      </c>
      <c r="D186">
        <v>87</v>
      </c>
      <c r="E186">
        <v>7.0000000000000007E-2</v>
      </c>
      <c r="F186">
        <v>58</v>
      </c>
      <c r="G186">
        <v>0</v>
      </c>
    </row>
    <row r="187" spans="1:7">
      <c r="A187" t="s">
        <v>102</v>
      </c>
      <c r="B187" s="1" t="s">
        <v>25</v>
      </c>
      <c r="C187">
        <v>19749</v>
      </c>
      <c r="D187">
        <v>87.2</v>
      </c>
      <c r="E187">
        <v>0.115</v>
      </c>
      <c r="F187">
        <v>161</v>
      </c>
      <c r="G187">
        <v>0</v>
      </c>
    </row>
    <row r="188" spans="1:7">
      <c r="A188" t="s">
        <v>102</v>
      </c>
      <c r="B188" s="1" t="s">
        <v>26</v>
      </c>
      <c r="C188">
        <v>21344</v>
      </c>
      <c r="D188">
        <v>86.7</v>
      </c>
      <c r="E188">
        <v>0.10199999999999999</v>
      </c>
      <c r="F188">
        <v>550</v>
      </c>
      <c r="G188">
        <v>0</v>
      </c>
    </row>
    <row r="189" spans="1:7">
      <c r="A189" t="s">
        <v>102</v>
      </c>
      <c r="B189" s="1" t="s">
        <v>27</v>
      </c>
      <c r="C189">
        <v>22600</v>
      </c>
      <c r="D189">
        <v>87.4</v>
      </c>
      <c r="E189">
        <v>0.122</v>
      </c>
      <c r="F189">
        <v>237</v>
      </c>
      <c r="G189">
        <v>0</v>
      </c>
    </row>
    <row r="190" spans="1:7">
      <c r="A190" t="s">
        <v>102</v>
      </c>
      <c r="B190" s="1" t="s">
        <v>28</v>
      </c>
      <c r="C190">
        <v>21346</v>
      </c>
      <c r="D190">
        <v>86.8</v>
      </c>
      <c r="E190">
        <v>0.107</v>
      </c>
      <c r="F190">
        <v>588</v>
      </c>
      <c r="G190">
        <v>0</v>
      </c>
    </row>
    <row r="191" spans="1:7">
      <c r="A191" t="s">
        <v>102</v>
      </c>
      <c r="B191" s="1" t="s">
        <v>29</v>
      </c>
      <c r="C191">
        <v>22383</v>
      </c>
      <c r="D191">
        <v>86</v>
      </c>
      <c r="E191">
        <v>9.7000000000000003E-2</v>
      </c>
      <c r="F191">
        <v>675</v>
      </c>
      <c r="G191">
        <v>0</v>
      </c>
    </row>
    <row r="192" spans="1:7">
      <c r="A192" t="s">
        <v>102</v>
      </c>
      <c r="B192" s="1" t="s">
        <v>30</v>
      </c>
      <c r="C192">
        <v>21359</v>
      </c>
      <c r="D192">
        <v>87.7</v>
      </c>
      <c r="E192">
        <v>9.1999999999999998E-2</v>
      </c>
      <c r="F192">
        <v>690</v>
      </c>
      <c r="G192">
        <v>0</v>
      </c>
    </row>
    <row r="193" spans="1:7">
      <c r="A193" t="s">
        <v>102</v>
      </c>
      <c r="B193" s="1" t="s">
        <v>31</v>
      </c>
      <c r="C193">
        <v>14719</v>
      </c>
      <c r="D193">
        <v>89.1</v>
      </c>
      <c r="E193">
        <v>1.0999999999999999E-2</v>
      </c>
      <c r="F193">
        <v>533</v>
      </c>
      <c r="G193">
        <v>0</v>
      </c>
    </row>
    <row r="194" spans="1:7">
      <c r="A194" t="s">
        <v>103</v>
      </c>
      <c r="B194" s="1" t="s">
        <v>8</v>
      </c>
      <c r="C194">
        <v>11181</v>
      </c>
      <c r="D194">
        <v>86.8</v>
      </c>
      <c r="E194">
        <v>-2.1000000000000001E-2</v>
      </c>
      <c r="F194">
        <v>204</v>
      </c>
      <c r="G194">
        <v>0</v>
      </c>
    </row>
    <row r="195" spans="1:7">
      <c r="A195" t="s">
        <v>103</v>
      </c>
      <c r="B195" s="1" t="s">
        <v>9</v>
      </c>
      <c r="C195">
        <v>13636</v>
      </c>
      <c r="D195">
        <v>85.4</v>
      </c>
      <c r="E195">
        <v>5.5E-2</v>
      </c>
      <c r="F195">
        <v>403</v>
      </c>
      <c r="G195">
        <v>0</v>
      </c>
    </row>
    <row r="196" spans="1:7">
      <c r="A196" t="s">
        <v>103</v>
      </c>
      <c r="B196" s="1" t="s">
        <v>10</v>
      </c>
      <c r="C196">
        <v>17169</v>
      </c>
      <c r="D196">
        <v>86.8</v>
      </c>
      <c r="E196">
        <v>9.6000000000000002E-2</v>
      </c>
      <c r="F196">
        <v>588</v>
      </c>
      <c r="G196">
        <v>0</v>
      </c>
    </row>
    <row r="197" spans="1:7">
      <c r="A197" t="s">
        <v>103</v>
      </c>
      <c r="B197" s="1" t="s">
        <v>11</v>
      </c>
      <c r="C197">
        <v>16196</v>
      </c>
      <c r="D197">
        <v>86.6</v>
      </c>
      <c r="E197">
        <v>0.13100000000000001</v>
      </c>
      <c r="F197">
        <v>2450</v>
      </c>
      <c r="G197">
        <v>0</v>
      </c>
    </row>
    <row r="198" spans="1:7">
      <c r="A198" t="s">
        <v>103</v>
      </c>
      <c r="B198" s="1" t="s">
        <v>12</v>
      </c>
      <c r="C198">
        <v>20686</v>
      </c>
      <c r="D198">
        <v>84.8</v>
      </c>
      <c r="E198">
        <v>0.106</v>
      </c>
      <c r="F198">
        <v>2527</v>
      </c>
      <c r="G198">
        <v>0</v>
      </c>
    </row>
    <row r="199" spans="1:7">
      <c r="A199" t="s">
        <v>103</v>
      </c>
      <c r="B199" s="1" t="s">
        <v>13</v>
      </c>
      <c r="C199">
        <v>22402</v>
      </c>
      <c r="D199">
        <v>83.1</v>
      </c>
      <c r="E199">
        <v>0.14199999999999999</v>
      </c>
      <c r="F199">
        <v>2176</v>
      </c>
      <c r="G199">
        <v>0</v>
      </c>
    </row>
    <row r="200" spans="1:7">
      <c r="A200" t="s">
        <v>103</v>
      </c>
      <c r="B200" s="1" t="s">
        <v>14</v>
      </c>
      <c r="C200">
        <v>24212</v>
      </c>
      <c r="D200">
        <v>83.9</v>
      </c>
      <c r="E200">
        <v>0.16200000000000001</v>
      </c>
      <c r="F200">
        <v>2125</v>
      </c>
      <c r="G200">
        <v>0</v>
      </c>
    </row>
    <row r="201" spans="1:7">
      <c r="A201" t="s">
        <v>103</v>
      </c>
      <c r="B201" s="1" t="s">
        <v>15</v>
      </c>
      <c r="C201">
        <v>23163</v>
      </c>
      <c r="D201">
        <v>85</v>
      </c>
      <c r="E201">
        <v>0.159</v>
      </c>
      <c r="F201">
        <v>2142</v>
      </c>
      <c r="G201">
        <v>0</v>
      </c>
    </row>
    <row r="202" spans="1:7">
      <c r="A202" t="s">
        <v>103</v>
      </c>
      <c r="B202" s="1" t="s">
        <v>16</v>
      </c>
      <c r="C202">
        <v>22199</v>
      </c>
      <c r="D202">
        <v>85.2</v>
      </c>
      <c r="E202">
        <v>0.161</v>
      </c>
      <c r="F202">
        <v>2119</v>
      </c>
      <c r="G202">
        <v>0</v>
      </c>
    </row>
    <row r="203" spans="1:7">
      <c r="A203" t="s">
        <v>103</v>
      </c>
      <c r="B203" s="1" t="s">
        <v>17</v>
      </c>
      <c r="C203">
        <v>23454</v>
      </c>
      <c r="D203">
        <v>84.2</v>
      </c>
      <c r="E203">
        <v>0.127</v>
      </c>
      <c r="F203">
        <v>2128</v>
      </c>
      <c r="G203">
        <v>0</v>
      </c>
    </row>
    <row r="204" spans="1:7">
      <c r="A204" t="s">
        <v>103</v>
      </c>
      <c r="B204" s="1" t="s">
        <v>18</v>
      </c>
      <c r="C204">
        <v>23209</v>
      </c>
      <c r="D204">
        <v>86.6</v>
      </c>
      <c r="E204">
        <v>0.17699999999999999</v>
      </c>
      <c r="F204">
        <v>2062</v>
      </c>
      <c r="G204">
        <v>0</v>
      </c>
    </row>
    <row r="205" spans="1:7">
      <c r="A205" t="s">
        <v>103</v>
      </c>
      <c r="B205" s="1" t="s">
        <v>19</v>
      </c>
      <c r="C205">
        <v>23409</v>
      </c>
      <c r="D205">
        <v>87.8</v>
      </c>
      <c r="E205">
        <v>0.159</v>
      </c>
      <c r="F205">
        <v>2115</v>
      </c>
      <c r="G205">
        <v>0</v>
      </c>
    </row>
    <row r="206" spans="1:7">
      <c r="A206" t="s">
        <v>103</v>
      </c>
      <c r="B206" s="1" t="s">
        <v>20</v>
      </c>
      <c r="C206">
        <v>19874</v>
      </c>
      <c r="D206">
        <v>87.6</v>
      </c>
      <c r="E206">
        <v>0.108</v>
      </c>
      <c r="F206">
        <v>1998</v>
      </c>
      <c r="G206">
        <v>0</v>
      </c>
    </row>
    <row r="207" spans="1:7">
      <c r="A207" t="s">
        <v>103</v>
      </c>
      <c r="B207" s="1" t="s">
        <v>21</v>
      </c>
      <c r="C207">
        <v>17046</v>
      </c>
      <c r="D207">
        <v>87</v>
      </c>
      <c r="E207">
        <v>5.6000000000000001E-2</v>
      </c>
      <c r="F207">
        <v>1931</v>
      </c>
      <c r="G207">
        <v>0</v>
      </c>
    </row>
    <row r="208" spans="1:7">
      <c r="A208" t="s">
        <v>103</v>
      </c>
      <c r="B208" s="1" t="s">
        <v>22</v>
      </c>
      <c r="C208">
        <v>16643</v>
      </c>
      <c r="D208">
        <v>87.3</v>
      </c>
      <c r="E208">
        <v>7.0999999999999994E-2</v>
      </c>
      <c r="F208">
        <v>1974</v>
      </c>
      <c r="G208">
        <v>0</v>
      </c>
    </row>
    <row r="209" spans="1:7">
      <c r="A209" t="s">
        <v>103</v>
      </c>
      <c r="B209" s="1" t="s">
        <v>23</v>
      </c>
      <c r="C209">
        <v>18034</v>
      </c>
      <c r="D209">
        <v>87</v>
      </c>
      <c r="E209">
        <v>0.10299999999999999</v>
      </c>
      <c r="F209">
        <v>1923</v>
      </c>
      <c r="G209">
        <v>0</v>
      </c>
    </row>
    <row r="210" spans="1:7">
      <c r="A210" t="s">
        <v>103</v>
      </c>
      <c r="B210" s="1" t="s">
        <v>24</v>
      </c>
      <c r="C210">
        <v>16872</v>
      </c>
      <c r="D210">
        <v>82.2</v>
      </c>
      <c r="E210">
        <v>1.6E-2</v>
      </c>
      <c r="F210">
        <v>1880</v>
      </c>
      <c r="G210">
        <v>0</v>
      </c>
    </row>
    <row r="211" spans="1:7">
      <c r="A211" t="s">
        <v>103</v>
      </c>
      <c r="B211" s="1" t="s">
        <v>25</v>
      </c>
      <c r="C211">
        <v>18799</v>
      </c>
      <c r="D211">
        <v>81.5</v>
      </c>
      <c r="E211">
        <v>8.4000000000000005E-2</v>
      </c>
      <c r="F211">
        <v>2054</v>
      </c>
      <c r="G211">
        <v>0</v>
      </c>
    </row>
    <row r="212" spans="1:7">
      <c r="A212" t="s">
        <v>103</v>
      </c>
      <c r="B212" s="1" t="s">
        <v>26</v>
      </c>
      <c r="C212">
        <v>21045</v>
      </c>
      <c r="D212">
        <v>83</v>
      </c>
      <c r="E212">
        <v>0.13100000000000001</v>
      </c>
      <c r="F212">
        <v>2003</v>
      </c>
      <c r="G212">
        <v>0</v>
      </c>
    </row>
    <row r="213" spans="1:7">
      <c r="A213" t="s">
        <v>103</v>
      </c>
      <c r="B213" s="1" t="s">
        <v>27</v>
      </c>
      <c r="C213">
        <v>20653</v>
      </c>
      <c r="D213">
        <v>82.6</v>
      </c>
      <c r="E213">
        <v>0.121</v>
      </c>
      <c r="F213">
        <v>2084</v>
      </c>
      <c r="G213">
        <v>0</v>
      </c>
    </row>
    <row r="214" spans="1:7">
      <c r="A214" t="s">
        <v>103</v>
      </c>
      <c r="B214" s="1" t="s">
        <v>28</v>
      </c>
      <c r="C214">
        <v>22747</v>
      </c>
      <c r="D214">
        <v>84.9</v>
      </c>
      <c r="E214">
        <v>0.156</v>
      </c>
      <c r="F214">
        <v>2047</v>
      </c>
      <c r="G214">
        <v>0</v>
      </c>
    </row>
    <row r="215" spans="1:7">
      <c r="A215" t="s">
        <v>103</v>
      </c>
      <c r="B215" s="1" t="s">
        <v>29</v>
      </c>
      <c r="C215">
        <v>21683</v>
      </c>
      <c r="D215">
        <v>84.3</v>
      </c>
      <c r="E215">
        <v>0.127</v>
      </c>
      <c r="F215">
        <v>1984</v>
      </c>
      <c r="G215">
        <v>0</v>
      </c>
    </row>
    <row r="216" spans="1:7">
      <c r="A216" t="s">
        <v>103</v>
      </c>
      <c r="B216" s="1" t="s">
        <v>30</v>
      </c>
      <c r="C216">
        <v>21865</v>
      </c>
      <c r="D216">
        <v>86.9</v>
      </c>
      <c r="E216">
        <v>0.154</v>
      </c>
      <c r="F216">
        <v>1919</v>
      </c>
      <c r="G216">
        <v>0</v>
      </c>
    </row>
    <row r="217" spans="1:7">
      <c r="A217" t="s">
        <v>103</v>
      </c>
      <c r="B217" s="1" t="s">
        <v>31</v>
      </c>
      <c r="C217">
        <v>20107</v>
      </c>
      <c r="D217">
        <v>89.5</v>
      </c>
      <c r="E217">
        <v>0.13200000000000001</v>
      </c>
      <c r="F217">
        <v>1975</v>
      </c>
      <c r="G217">
        <v>0</v>
      </c>
    </row>
    <row r="218" spans="1:7">
      <c r="A218" t="s">
        <v>104</v>
      </c>
      <c r="B218" s="1" t="s">
        <v>8</v>
      </c>
      <c r="C218">
        <v>17358</v>
      </c>
      <c r="D218">
        <v>89</v>
      </c>
      <c r="E218">
        <v>7.2999999999999995E-2</v>
      </c>
      <c r="F218">
        <v>1943</v>
      </c>
      <c r="G218">
        <v>0</v>
      </c>
    </row>
    <row r="219" spans="1:7">
      <c r="A219" t="s">
        <v>104</v>
      </c>
      <c r="B219" s="1" t="s">
        <v>9</v>
      </c>
      <c r="C219">
        <v>16605</v>
      </c>
      <c r="D219">
        <v>88.9</v>
      </c>
      <c r="E219">
        <v>5.8000000000000003E-2</v>
      </c>
      <c r="F219">
        <v>2073</v>
      </c>
      <c r="G219">
        <v>0</v>
      </c>
    </row>
    <row r="220" spans="1:7">
      <c r="A220" t="s">
        <v>104</v>
      </c>
      <c r="B220" s="1" t="s">
        <v>10</v>
      </c>
      <c r="C220">
        <v>15394</v>
      </c>
      <c r="D220">
        <v>88.7</v>
      </c>
      <c r="E220">
        <v>6.0999999999999999E-2</v>
      </c>
      <c r="F220">
        <v>2049</v>
      </c>
      <c r="G220">
        <v>0</v>
      </c>
    </row>
    <row r="221" spans="1:7">
      <c r="A221" t="s">
        <v>104</v>
      </c>
      <c r="B221" s="1" t="s">
        <v>11</v>
      </c>
      <c r="C221">
        <v>18363</v>
      </c>
      <c r="D221">
        <v>89</v>
      </c>
      <c r="E221">
        <v>9.6000000000000002E-2</v>
      </c>
      <c r="F221">
        <v>2271</v>
      </c>
      <c r="G221">
        <v>0</v>
      </c>
    </row>
    <row r="222" spans="1:7">
      <c r="A222" t="s">
        <v>104</v>
      </c>
      <c r="B222" s="1" t="s">
        <v>12</v>
      </c>
      <c r="C222">
        <v>19124</v>
      </c>
      <c r="D222">
        <v>88.8</v>
      </c>
      <c r="E222">
        <v>0.11</v>
      </c>
      <c r="F222">
        <v>2316</v>
      </c>
      <c r="G222">
        <v>0</v>
      </c>
    </row>
    <row r="223" spans="1:7">
      <c r="A223" t="s">
        <v>104</v>
      </c>
      <c r="B223" s="1" t="s">
        <v>13</v>
      </c>
      <c r="C223">
        <v>21288</v>
      </c>
      <c r="D223">
        <v>89</v>
      </c>
      <c r="E223">
        <v>0.13900000000000001</v>
      </c>
      <c r="F223">
        <v>2316</v>
      </c>
      <c r="G223">
        <v>0</v>
      </c>
    </row>
    <row r="224" spans="1:7">
      <c r="A224" t="s">
        <v>104</v>
      </c>
      <c r="B224" s="1" t="s">
        <v>14</v>
      </c>
      <c r="C224">
        <v>21671</v>
      </c>
      <c r="D224">
        <v>87.5</v>
      </c>
      <c r="E224">
        <v>0.14799999999999999</v>
      </c>
      <c r="F224">
        <v>2407</v>
      </c>
      <c r="G224">
        <v>0</v>
      </c>
    </row>
    <row r="225" spans="1:7">
      <c r="A225" t="s">
        <v>104</v>
      </c>
      <c r="B225" s="1" t="s">
        <v>15</v>
      </c>
      <c r="C225">
        <v>22437</v>
      </c>
      <c r="D225">
        <v>86</v>
      </c>
      <c r="E225">
        <v>0.14000000000000001</v>
      </c>
      <c r="F225">
        <v>2359</v>
      </c>
      <c r="G225">
        <v>0</v>
      </c>
    </row>
    <row r="226" spans="1:7">
      <c r="A226" t="s">
        <v>104</v>
      </c>
      <c r="B226" s="1" t="s">
        <v>16</v>
      </c>
      <c r="C226">
        <v>23144</v>
      </c>
      <c r="D226">
        <v>86.5</v>
      </c>
      <c r="E226">
        <v>0.16200000000000001</v>
      </c>
      <c r="F226">
        <v>2260</v>
      </c>
      <c r="G226">
        <v>0</v>
      </c>
    </row>
    <row r="227" spans="1:7">
      <c r="A227" t="s">
        <v>104</v>
      </c>
      <c r="B227" s="1" t="s">
        <v>17</v>
      </c>
      <c r="C227">
        <v>23245</v>
      </c>
      <c r="D227">
        <v>87.2</v>
      </c>
      <c r="E227">
        <v>0.17199999999999999</v>
      </c>
      <c r="F227">
        <v>2266</v>
      </c>
      <c r="G227">
        <v>0</v>
      </c>
    </row>
    <row r="228" spans="1:7">
      <c r="A228" t="s">
        <v>104</v>
      </c>
      <c r="B228" s="1" t="s">
        <v>18</v>
      </c>
      <c r="C228">
        <v>22212</v>
      </c>
      <c r="D228">
        <v>87.7</v>
      </c>
      <c r="E228">
        <v>0.16300000000000001</v>
      </c>
      <c r="F228">
        <v>2386</v>
      </c>
      <c r="G228">
        <v>0</v>
      </c>
    </row>
    <row r="229" spans="1:7">
      <c r="A229" t="s">
        <v>104</v>
      </c>
      <c r="B229" s="1" t="s">
        <v>19</v>
      </c>
      <c r="C229">
        <v>21226</v>
      </c>
      <c r="D229">
        <v>91.3</v>
      </c>
      <c r="E229">
        <v>0.16400000000000001</v>
      </c>
      <c r="F229">
        <v>203</v>
      </c>
      <c r="G229">
        <v>0</v>
      </c>
    </row>
    <row r="230" spans="1:7">
      <c r="A230" t="s">
        <v>104</v>
      </c>
      <c r="B230" s="1" t="s">
        <v>20</v>
      </c>
      <c r="C230">
        <v>17381</v>
      </c>
      <c r="D230">
        <v>87.9</v>
      </c>
      <c r="E230">
        <v>3.1E-2</v>
      </c>
      <c r="F230">
        <v>488</v>
      </c>
      <c r="G230">
        <v>0</v>
      </c>
    </row>
    <row r="231" spans="1:7">
      <c r="A231" t="s">
        <v>104</v>
      </c>
      <c r="B231" s="1" t="s">
        <v>21</v>
      </c>
      <c r="C231">
        <v>16646</v>
      </c>
      <c r="D231">
        <v>87.4</v>
      </c>
      <c r="E231">
        <v>3.9E-2</v>
      </c>
      <c r="F231">
        <v>782</v>
      </c>
      <c r="G231">
        <v>0</v>
      </c>
    </row>
    <row r="232" spans="1:7">
      <c r="A232" t="s">
        <v>104</v>
      </c>
      <c r="B232" s="1" t="s">
        <v>22</v>
      </c>
      <c r="C232">
        <v>17140</v>
      </c>
      <c r="D232">
        <v>87.9</v>
      </c>
      <c r="E232">
        <v>6.3E-2</v>
      </c>
      <c r="F232">
        <v>205</v>
      </c>
      <c r="G232">
        <v>0</v>
      </c>
    </row>
    <row r="233" spans="1:7">
      <c r="A233" t="s">
        <v>104</v>
      </c>
      <c r="B233" s="1" t="s">
        <v>23</v>
      </c>
      <c r="C233">
        <v>18916</v>
      </c>
      <c r="D233">
        <v>87.4</v>
      </c>
      <c r="E233">
        <v>5.8999999999999997E-2</v>
      </c>
      <c r="F233">
        <v>485</v>
      </c>
      <c r="G233">
        <v>0</v>
      </c>
    </row>
    <row r="234" spans="1:7">
      <c r="A234" t="s">
        <v>104</v>
      </c>
      <c r="B234" s="1" t="s">
        <v>24</v>
      </c>
      <c r="C234">
        <v>19062</v>
      </c>
      <c r="D234">
        <v>87.8</v>
      </c>
      <c r="E234">
        <v>7.0000000000000007E-2</v>
      </c>
      <c r="F234">
        <v>87</v>
      </c>
      <c r="G234">
        <v>0</v>
      </c>
    </row>
    <row r="235" spans="1:7">
      <c r="A235" t="s">
        <v>104</v>
      </c>
      <c r="B235" s="1" t="s">
        <v>25</v>
      </c>
      <c r="C235">
        <v>17983</v>
      </c>
      <c r="D235">
        <v>86.7</v>
      </c>
      <c r="E235">
        <v>7.3999999999999996E-2</v>
      </c>
      <c r="F235">
        <v>1824</v>
      </c>
      <c r="G235">
        <v>0</v>
      </c>
    </row>
    <row r="236" spans="1:7">
      <c r="A236" t="s">
        <v>104</v>
      </c>
      <c r="B236" s="1" t="s">
        <v>26</v>
      </c>
      <c r="C236">
        <v>21081</v>
      </c>
      <c r="D236">
        <v>87.2</v>
      </c>
      <c r="E236">
        <v>0.13900000000000001</v>
      </c>
      <c r="F236">
        <v>2046</v>
      </c>
      <c r="G236">
        <v>0</v>
      </c>
    </row>
    <row r="237" spans="1:7">
      <c r="A237" t="s">
        <v>104</v>
      </c>
      <c r="B237" s="1" t="s">
        <v>27</v>
      </c>
      <c r="C237">
        <v>20844</v>
      </c>
      <c r="D237">
        <v>87</v>
      </c>
      <c r="E237">
        <v>0.127</v>
      </c>
      <c r="F237">
        <v>2025</v>
      </c>
      <c r="G237">
        <v>0</v>
      </c>
    </row>
    <row r="238" spans="1:7">
      <c r="A238" t="s">
        <v>104</v>
      </c>
      <c r="B238" s="1" t="s">
        <v>28</v>
      </c>
      <c r="C238">
        <v>21191</v>
      </c>
      <c r="D238">
        <v>87.3</v>
      </c>
      <c r="E238">
        <v>0.13600000000000001</v>
      </c>
      <c r="F238">
        <v>2038</v>
      </c>
      <c r="G238">
        <v>0</v>
      </c>
    </row>
    <row r="239" spans="1:7">
      <c r="A239" t="s">
        <v>104</v>
      </c>
      <c r="B239" s="1" t="s">
        <v>29</v>
      </c>
      <c r="C239">
        <v>20994</v>
      </c>
      <c r="D239">
        <v>87.8</v>
      </c>
      <c r="E239">
        <v>0.14699999999999999</v>
      </c>
      <c r="F239">
        <v>2025</v>
      </c>
      <c r="G239">
        <v>0</v>
      </c>
    </row>
    <row r="240" spans="1:7">
      <c r="A240" t="s">
        <v>104</v>
      </c>
      <c r="B240" s="1" t="s">
        <v>30</v>
      </c>
      <c r="C240">
        <v>20055</v>
      </c>
      <c r="D240">
        <v>89.7</v>
      </c>
      <c r="E240">
        <v>0.129</v>
      </c>
      <c r="F240">
        <v>1869</v>
      </c>
      <c r="G240">
        <v>0</v>
      </c>
    </row>
    <row r="241" spans="1:7">
      <c r="A241" t="s">
        <v>104</v>
      </c>
      <c r="B241" s="1" t="s">
        <v>31</v>
      </c>
      <c r="C241">
        <v>13841</v>
      </c>
      <c r="D241">
        <v>89</v>
      </c>
      <c r="E241">
        <v>1.6E-2</v>
      </c>
      <c r="F241">
        <v>1747</v>
      </c>
      <c r="G241">
        <v>0</v>
      </c>
    </row>
    <row r="242" spans="1:7">
      <c r="A242" t="s">
        <v>105</v>
      </c>
      <c r="B242" s="1" t="s">
        <v>8</v>
      </c>
      <c r="C242">
        <v>13832</v>
      </c>
      <c r="D242">
        <v>87</v>
      </c>
      <c r="E242">
        <v>3.1E-2</v>
      </c>
      <c r="F242">
        <v>1850</v>
      </c>
      <c r="G242">
        <v>0</v>
      </c>
    </row>
    <row r="243" spans="1:7">
      <c r="A243" t="s">
        <v>105</v>
      </c>
      <c r="B243" s="1" t="s">
        <v>9</v>
      </c>
      <c r="C243">
        <v>14423</v>
      </c>
      <c r="D243">
        <v>86.7</v>
      </c>
      <c r="E243">
        <v>7.6999999999999999E-2</v>
      </c>
      <c r="F243">
        <v>1710</v>
      </c>
      <c r="G243">
        <v>0</v>
      </c>
    </row>
    <row r="244" spans="1:7">
      <c r="A244" t="s">
        <v>105</v>
      </c>
      <c r="B244" s="1" t="s">
        <v>10</v>
      </c>
      <c r="C244">
        <v>14587</v>
      </c>
      <c r="D244">
        <v>88.3</v>
      </c>
      <c r="E244">
        <v>7.0000000000000007E-2</v>
      </c>
      <c r="F244">
        <v>1804</v>
      </c>
      <c r="G244">
        <v>0</v>
      </c>
    </row>
    <row r="245" spans="1:7">
      <c r="A245" t="s">
        <v>105</v>
      </c>
      <c r="B245" s="1" t="s">
        <v>11</v>
      </c>
      <c r="C245">
        <v>19746</v>
      </c>
      <c r="D245">
        <v>84.4</v>
      </c>
      <c r="E245">
        <v>8.4000000000000005E-2</v>
      </c>
      <c r="F245">
        <v>1935</v>
      </c>
      <c r="G245">
        <v>0</v>
      </c>
    </row>
    <row r="246" spans="1:7">
      <c r="A246" t="s">
        <v>105</v>
      </c>
      <c r="B246" s="1" t="s">
        <v>12</v>
      </c>
      <c r="C246">
        <v>18662</v>
      </c>
      <c r="D246">
        <v>84.4</v>
      </c>
      <c r="E246">
        <v>9.9000000000000005E-2</v>
      </c>
      <c r="F246">
        <v>2259</v>
      </c>
      <c r="G246">
        <v>0</v>
      </c>
    </row>
    <row r="247" spans="1:7">
      <c r="A247" t="s">
        <v>105</v>
      </c>
      <c r="B247" s="1" t="s">
        <v>13</v>
      </c>
      <c r="C247">
        <v>21285</v>
      </c>
      <c r="D247">
        <v>85.3</v>
      </c>
      <c r="E247">
        <v>0.13</v>
      </c>
      <c r="F247">
        <v>2268</v>
      </c>
      <c r="G247">
        <v>0</v>
      </c>
    </row>
    <row r="248" spans="1:7">
      <c r="A248" t="s">
        <v>105</v>
      </c>
      <c r="B248" s="1" t="s">
        <v>14</v>
      </c>
      <c r="C248">
        <v>22095</v>
      </c>
      <c r="D248">
        <v>83.6</v>
      </c>
      <c r="E248">
        <v>0.124</v>
      </c>
      <c r="F248">
        <v>2210</v>
      </c>
      <c r="G248">
        <v>0</v>
      </c>
    </row>
    <row r="249" spans="1:7">
      <c r="A249" t="s">
        <v>105</v>
      </c>
      <c r="B249" s="1" t="s">
        <v>15</v>
      </c>
      <c r="C249">
        <v>24022</v>
      </c>
      <c r="D249">
        <v>85.4</v>
      </c>
      <c r="E249">
        <v>0.19700000000000001</v>
      </c>
      <c r="F249">
        <v>2447</v>
      </c>
      <c r="G249">
        <v>0</v>
      </c>
    </row>
    <row r="250" spans="1:7">
      <c r="A250" t="s">
        <v>105</v>
      </c>
      <c r="B250" s="1" t="s">
        <v>16</v>
      </c>
      <c r="C250">
        <v>24310</v>
      </c>
      <c r="D250">
        <v>86.3</v>
      </c>
      <c r="E250">
        <v>0.192</v>
      </c>
      <c r="F250">
        <v>2422</v>
      </c>
      <c r="G250">
        <v>0</v>
      </c>
    </row>
    <row r="251" spans="1:7">
      <c r="A251" t="s">
        <v>105</v>
      </c>
      <c r="B251" s="1" t="s">
        <v>17</v>
      </c>
      <c r="C251">
        <v>22350</v>
      </c>
      <c r="D251">
        <v>87.5</v>
      </c>
      <c r="E251">
        <v>0.17299999999999999</v>
      </c>
      <c r="F251">
        <v>2406</v>
      </c>
      <c r="G251">
        <v>0</v>
      </c>
    </row>
    <row r="252" spans="1:7">
      <c r="A252" t="s">
        <v>105</v>
      </c>
      <c r="B252" s="1" t="s">
        <v>18</v>
      </c>
      <c r="C252">
        <v>20694</v>
      </c>
      <c r="D252">
        <v>86.9</v>
      </c>
      <c r="E252">
        <v>0.121</v>
      </c>
      <c r="F252">
        <v>2430</v>
      </c>
      <c r="G252">
        <v>0</v>
      </c>
    </row>
    <row r="253" spans="1:7">
      <c r="A253" t="s">
        <v>105</v>
      </c>
      <c r="B253" s="1" t="s">
        <v>19</v>
      </c>
      <c r="C253">
        <v>14300</v>
      </c>
      <c r="D253">
        <v>85.4</v>
      </c>
      <c r="E253">
        <v>1.2E-2</v>
      </c>
      <c r="F253">
        <v>1786</v>
      </c>
      <c r="G253">
        <v>0</v>
      </c>
    </row>
    <row r="254" spans="1:7">
      <c r="A254" t="s">
        <v>105</v>
      </c>
      <c r="B254" s="1" t="s">
        <v>20</v>
      </c>
      <c r="C254">
        <v>17086</v>
      </c>
      <c r="D254">
        <v>86.2</v>
      </c>
      <c r="E254">
        <v>6.7000000000000004E-2</v>
      </c>
      <c r="F254">
        <v>1957</v>
      </c>
      <c r="G254">
        <v>0</v>
      </c>
    </row>
    <row r="255" spans="1:7">
      <c r="A255" t="s">
        <v>105</v>
      </c>
      <c r="B255" s="1" t="s">
        <v>21</v>
      </c>
      <c r="C255">
        <v>18553</v>
      </c>
      <c r="D255">
        <v>85.9</v>
      </c>
      <c r="E255">
        <v>0.08</v>
      </c>
      <c r="F255">
        <v>1921</v>
      </c>
      <c r="G255">
        <v>0</v>
      </c>
    </row>
    <row r="256" spans="1:7">
      <c r="A256" t="s">
        <v>105</v>
      </c>
      <c r="B256" s="1" t="s">
        <v>22</v>
      </c>
      <c r="C256">
        <v>18471</v>
      </c>
      <c r="D256">
        <v>85.6</v>
      </c>
      <c r="E256">
        <v>7.0000000000000007E-2</v>
      </c>
      <c r="F256">
        <v>1970</v>
      </c>
      <c r="G256">
        <v>0</v>
      </c>
    </row>
    <row r="257" spans="1:7">
      <c r="A257" t="s">
        <v>105</v>
      </c>
      <c r="B257" s="1" t="s">
        <v>23</v>
      </c>
      <c r="C257">
        <v>19240</v>
      </c>
      <c r="D257">
        <v>86.9</v>
      </c>
      <c r="E257">
        <v>9.5000000000000001E-2</v>
      </c>
      <c r="F257">
        <v>1967</v>
      </c>
      <c r="G257">
        <v>0</v>
      </c>
    </row>
    <row r="258" spans="1:7">
      <c r="A258" t="s">
        <v>105</v>
      </c>
      <c r="B258" s="1" t="s">
        <v>24</v>
      </c>
      <c r="C258">
        <v>20124</v>
      </c>
      <c r="D258">
        <v>89.2</v>
      </c>
      <c r="E258">
        <v>0.14399999999999999</v>
      </c>
      <c r="F258">
        <v>69</v>
      </c>
      <c r="G258">
        <v>0</v>
      </c>
    </row>
    <row r="259" spans="1:7">
      <c r="A259" t="s">
        <v>105</v>
      </c>
      <c r="B259" s="1" t="s">
        <v>25</v>
      </c>
      <c r="C259">
        <v>18006</v>
      </c>
      <c r="D259">
        <v>87.2</v>
      </c>
      <c r="E259">
        <v>3.6999999999999998E-2</v>
      </c>
      <c r="F259">
        <v>70</v>
      </c>
      <c r="G259">
        <v>0</v>
      </c>
    </row>
    <row r="260" spans="1:7">
      <c r="A260" t="s">
        <v>105</v>
      </c>
      <c r="B260" s="1" t="s">
        <v>26</v>
      </c>
      <c r="C260">
        <v>17635</v>
      </c>
      <c r="D260">
        <v>87.1</v>
      </c>
      <c r="E260">
        <v>0.06</v>
      </c>
      <c r="F260">
        <v>88</v>
      </c>
      <c r="G260">
        <v>0</v>
      </c>
    </row>
    <row r="261" spans="1:7">
      <c r="A261" t="s">
        <v>105</v>
      </c>
      <c r="B261" s="1" t="s">
        <v>27</v>
      </c>
      <c r="C261">
        <v>19593</v>
      </c>
      <c r="D261">
        <v>86.9</v>
      </c>
      <c r="E261">
        <v>8.4000000000000005E-2</v>
      </c>
      <c r="F261">
        <v>66</v>
      </c>
      <c r="G261">
        <v>0</v>
      </c>
    </row>
    <row r="262" spans="1:7">
      <c r="A262" t="s">
        <v>105</v>
      </c>
      <c r="B262" s="1" t="s">
        <v>28</v>
      </c>
      <c r="C262">
        <v>19012</v>
      </c>
      <c r="D262">
        <v>87</v>
      </c>
      <c r="E262">
        <v>6.7000000000000004E-2</v>
      </c>
      <c r="F262">
        <v>73</v>
      </c>
      <c r="G262">
        <v>0</v>
      </c>
    </row>
    <row r="263" spans="1:7">
      <c r="A263" t="s">
        <v>105</v>
      </c>
      <c r="B263" s="1" t="s">
        <v>29</v>
      </c>
      <c r="C263">
        <v>18390</v>
      </c>
      <c r="D263">
        <v>86.8</v>
      </c>
      <c r="E263">
        <v>5.8999999999999997E-2</v>
      </c>
      <c r="F263">
        <v>32</v>
      </c>
      <c r="G263">
        <v>0</v>
      </c>
    </row>
    <row r="264" spans="1:7">
      <c r="A264" t="s">
        <v>105</v>
      </c>
      <c r="B264" s="1" t="s">
        <v>30</v>
      </c>
      <c r="C264">
        <v>15670</v>
      </c>
      <c r="D264">
        <v>87.7</v>
      </c>
      <c r="E264">
        <v>0.03</v>
      </c>
      <c r="F264">
        <v>61</v>
      </c>
      <c r="G264">
        <v>0</v>
      </c>
    </row>
    <row r="265" spans="1:7">
      <c r="A265" t="s">
        <v>105</v>
      </c>
      <c r="B265" s="1" t="s">
        <v>31</v>
      </c>
      <c r="C265">
        <v>14649</v>
      </c>
      <c r="D265">
        <v>86.5</v>
      </c>
      <c r="E265">
        <v>2.4E-2</v>
      </c>
      <c r="F265">
        <v>41</v>
      </c>
      <c r="G265">
        <v>0</v>
      </c>
    </row>
    <row r="266" spans="1:7">
      <c r="A266" t="s">
        <v>106</v>
      </c>
      <c r="B266" s="1" t="s">
        <v>8</v>
      </c>
      <c r="C266">
        <v>13005</v>
      </c>
      <c r="D266">
        <v>86.8</v>
      </c>
      <c r="E266">
        <v>0.05</v>
      </c>
      <c r="F266">
        <v>71</v>
      </c>
      <c r="G266">
        <v>0</v>
      </c>
    </row>
    <row r="267" spans="1:7">
      <c r="A267" t="s">
        <v>106</v>
      </c>
      <c r="B267" s="1" t="s">
        <v>9</v>
      </c>
      <c r="C267">
        <v>11558</v>
      </c>
      <c r="D267">
        <v>86.9</v>
      </c>
      <c r="E267">
        <v>3.6999999999999998E-2</v>
      </c>
      <c r="F267">
        <v>47</v>
      </c>
      <c r="G267">
        <v>0</v>
      </c>
    </row>
    <row r="268" spans="1:7">
      <c r="A268" t="s">
        <v>106</v>
      </c>
      <c r="B268" s="1" t="s">
        <v>10</v>
      </c>
      <c r="C268">
        <v>11939</v>
      </c>
      <c r="D268">
        <v>87.1</v>
      </c>
      <c r="E268">
        <v>3.9E-2</v>
      </c>
      <c r="F268">
        <v>181</v>
      </c>
      <c r="G268">
        <v>0</v>
      </c>
    </row>
    <row r="269" spans="1:7">
      <c r="A269" t="s">
        <v>106</v>
      </c>
      <c r="B269" s="1" t="s">
        <v>11</v>
      </c>
      <c r="C269">
        <v>13172</v>
      </c>
      <c r="D269">
        <v>87.5</v>
      </c>
      <c r="E269">
        <v>8.7999999999999995E-2</v>
      </c>
      <c r="F269">
        <v>82</v>
      </c>
      <c r="G269">
        <v>0</v>
      </c>
    </row>
    <row r="270" spans="1:7">
      <c r="A270" t="s">
        <v>106</v>
      </c>
      <c r="B270" s="1" t="s">
        <v>12</v>
      </c>
      <c r="C270">
        <v>13519</v>
      </c>
      <c r="D270">
        <v>87.1</v>
      </c>
      <c r="E270">
        <v>6.9000000000000006E-2</v>
      </c>
      <c r="F270">
        <v>19</v>
      </c>
      <c r="G270">
        <v>0</v>
      </c>
    </row>
    <row r="271" spans="1:7">
      <c r="A271" t="s">
        <v>106</v>
      </c>
      <c r="B271" s="1" t="s">
        <v>13</v>
      </c>
      <c r="C271">
        <v>15487</v>
      </c>
      <c r="D271">
        <v>87.4</v>
      </c>
      <c r="E271">
        <v>7.6999999999999999E-2</v>
      </c>
      <c r="F271">
        <v>61</v>
      </c>
      <c r="G271">
        <v>0</v>
      </c>
    </row>
    <row r="272" spans="1:7">
      <c r="A272" t="s">
        <v>106</v>
      </c>
      <c r="B272" s="1" t="s">
        <v>14</v>
      </c>
      <c r="C272">
        <v>18682</v>
      </c>
      <c r="D272">
        <v>87.9</v>
      </c>
      <c r="E272">
        <v>0.11</v>
      </c>
      <c r="F272">
        <v>68</v>
      </c>
      <c r="G272">
        <v>0</v>
      </c>
    </row>
    <row r="273" spans="1:7">
      <c r="A273" t="s">
        <v>106</v>
      </c>
      <c r="B273" s="1" t="s">
        <v>15</v>
      </c>
      <c r="C273">
        <v>19790</v>
      </c>
      <c r="D273">
        <v>87.5</v>
      </c>
      <c r="E273">
        <v>0.10199999999999999</v>
      </c>
      <c r="F273">
        <v>187</v>
      </c>
      <c r="G273">
        <v>0</v>
      </c>
    </row>
    <row r="274" spans="1:7">
      <c r="A274" t="s">
        <v>106</v>
      </c>
      <c r="B274" s="1" t="s">
        <v>16</v>
      </c>
      <c r="C274">
        <v>19180</v>
      </c>
      <c r="D274">
        <v>87.3</v>
      </c>
      <c r="E274">
        <v>7.0000000000000007E-2</v>
      </c>
      <c r="F274">
        <v>56</v>
      </c>
      <c r="G274">
        <v>0</v>
      </c>
    </row>
    <row r="275" spans="1:7">
      <c r="A275" t="s">
        <v>106</v>
      </c>
      <c r="B275" s="1" t="s">
        <v>17</v>
      </c>
      <c r="C275">
        <v>19280</v>
      </c>
      <c r="D275">
        <v>86.7</v>
      </c>
      <c r="E275">
        <v>0.06</v>
      </c>
      <c r="F275">
        <v>73</v>
      </c>
      <c r="G275">
        <v>0</v>
      </c>
    </row>
    <row r="276" spans="1:7">
      <c r="A276" t="s">
        <v>106</v>
      </c>
      <c r="B276" s="1" t="s">
        <v>18</v>
      </c>
      <c r="C276">
        <v>18216</v>
      </c>
      <c r="D276">
        <v>87</v>
      </c>
      <c r="E276">
        <v>5.8999999999999997E-2</v>
      </c>
      <c r="F276">
        <v>121</v>
      </c>
      <c r="G276">
        <v>0</v>
      </c>
    </row>
    <row r="277" spans="1:7">
      <c r="A277" t="s">
        <v>106</v>
      </c>
      <c r="B277" s="1" t="s">
        <v>19</v>
      </c>
      <c r="C277">
        <v>17799</v>
      </c>
      <c r="D277">
        <v>86.9</v>
      </c>
      <c r="E277">
        <v>4.7E-2</v>
      </c>
      <c r="F277">
        <v>86</v>
      </c>
      <c r="G277">
        <v>0</v>
      </c>
    </row>
    <row r="278" spans="1:7">
      <c r="A278" t="s">
        <v>106</v>
      </c>
      <c r="B278" s="1" t="s">
        <v>20</v>
      </c>
      <c r="C278">
        <v>18232</v>
      </c>
      <c r="D278">
        <v>86.3</v>
      </c>
      <c r="E278">
        <v>5.6000000000000001E-2</v>
      </c>
      <c r="F278">
        <v>154</v>
      </c>
      <c r="G278">
        <v>0</v>
      </c>
    </row>
    <row r="279" spans="1:7">
      <c r="A279" t="s">
        <v>106</v>
      </c>
      <c r="B279" s="1" t="s">
        <v>21</v>
      </c>
      <c r="C279">
        <v>16603</v>
      </c>
      <c r="D279">
        <v>87.4</v>
      </c>
      <c r="E279">
        <v>5.6000000000000001E-2</v>
      </c>
      <c r="F279">
        <v>75</v>
      </c>
      <c r="G279">
        <v>0</v>
      </c>
    </row>
    <row r="280" spans="1:7">
      <c r="A280" t="s">
        <v>106</v>
      </c>
      <c r="B280" s="1" t="s">
        <v>22</v>
      </c>
      <c r="C280">
        <v>16739</v>
      </c>
      <c r="D280">
        <v>86.9</v>
      </c>
      <c r="E280">
        <v>6.2E-2</v>
      </c>
      <c r="F280">
        <v>105</v>
      </c>
      <c r="G280">
        <v>0</v>
      </c>
    </row>
    <row r="281" spans="1:7">
      <c r="A281" t="s">
        <v>106</v>
      </c>
      <c r="B281" s="1" t="s">
        <v>23</v>
      </c>
      <c r="C281">
        <v>18066</v>
      </c>
      <c r="D281">
        <v>87.1</v>
      </c>
      <c r="E281">
        <v>6.9000000000000006E-2</v>
      </c>
      <c r="F281">
        <v>88</v>
      </c>
      <c r="G281">
        <v>0</v>
      </c>
    </row>
    <row r="282" spans="1:7">
      <c r="A282" t="s">
        <v>106</v>
      </c>
      <c r="B282" s="1" t="s">
        <v>24</v>
      </c>
      <c r="C282">
        <v>17786</v>
      </c>
      <c r="D282">
        <v>87.2</v>
      </c>
      <c r="E282">
        <v>8.2000000000000003E-2</v>
      </c>
      <c r="F282">
        <v>90</v>
      </c>
      <c r="G282">
        <v>0</v>
      </c>
    </row>
    <row r="283" spans="1:7">
      <c r="A283" t="s">
        <v>106</v>
      </c>
      <c r="B283" s="1" t="s">
        <v>25</v>
      </c>
      <c r="C283">
        <v>17774</v>
      </c>
      <c r="D283">
        <v>87</v>
      </c>
      <c r="E283">
        <v>7.2999999999999995E-2</v>
      </c>
      <c r="F283">
        <v>21</v>
      </c>
      <c r="G283">
        <v>0</v>
      </c>
    </row>
    <row r="284" spans="1:7">
      <c r="A284" t="s">
        <v>106</v>
      </c>
      <c r="B284" s="1" t="s">
        <v>26</v>
      </c>
      <c r="C284">
        <v>19846</v>
      </c>
      <c r="D284">
        <v>86.7</v>
      </c>
      <c r="E284">
        <v>7.2999999999999995E-2</v>
      </c>
      <c r="F284">
        <v>83</v>
      </c>
      <c r="G284">
        <v>0</v>
      </c>
    </row>
    <row r="285" spans="1:7">
      <c r="A285" t="s">
        <v>106</v>
      </c>
      <c r="B285" s="1" t="s">
        <v>27</v>
      </c>
      <c r="C285">
        <v>18862</v>
      </c>
      <c r="D285">
        <v>86.8</v>
      </c>
      <c r="E285">
        <v>7.6999999999999999E-2</v>
      </c>
      <c r="F285">
        <v>81</v>
      </c>
      <c r="G285">
        <v>0</v>
      </c>
    </row>
    <row r="286" spans="1:7">
      <c r="A286" t="s">
        <v>106</v>
      </c>
      <c r="B286" s="1" t="s">
        <v>28</v>
      </c>
      <c r="C286">
        <v>19302</v>
      </c>
      <c r="D286">
        <v>87.2</v>
      </c>
      <c r="E286">
        <v>8.1000000000000003E-2</v>
      </c>
      <c r="F286">
        <v>19</v>
      </c>
      <c r="G286">
        <v>0</v>
      </c>
    </row>
    <row r="287" spans="1:7">
      <c r="A287" t="s">
        <v>106</v>
      </c>
      <c r="B287" s="1" t="s">
        <v>29</v>
      </c>
      <c r="C287">
        <v>19181</v>
      </c>
      <c r="D287">
        <v>86.9</v>
      </c>
      <c r="E287">
        <v>5.6000000000000001E-2</v>
      </c>
      <c r="F287">
        <v>49</v>
      </c>
      <c r="G287">
        <v>0</v>
      </c>
    </row>
    <row r="288" spans="1:7">
      <c r="A288" t="s">
        <v>106</v>
      </c>
      <c r="B288" s="1" t="s">
        <v>30</v>
      </c>
      <c r="C288">
        <v>15203</v>
      </c>
      <c r="D288">
        <v>87.6</v>
      </c>
      <c r="E288">
        <v>4.8000000000000001E-2</v>
      </c>
      <c r="F288">
        <v>86</v>
      </c>
      <c r="G288">
        <v>0</v>
      </c>
    </row>
    <row r="289" spans="1:7">
      <c r="A289" t="s">
        <v>106</v>
      </c>
      <c r="B289" s="1" t="s">
        <v>31</v>
      </c>
      <c r="C289">
        <v>9860</v>
      </c>
      <c r="D289">
        <v>88.6</v>
      </c>
      <c r="E289">
        <v>-2.9000000000000001E-2</v>
      </c>
      <c r="F289">
        <v>57</v>
      </c>
      <c r="G289">
        <v>0</v>
      </c>
    </row>
    <row r="290" spans="1:7">
      <c r="A290" t="s">
        <v>107</v>
      </c>
      <c r="B290" s="1" t="s">
        <v>8</v>
      </c>
      <c r="C290">
        <v>10963</v>
      </c>
      <c r="D290">
        <v>84.9</v>
      </c>
      <c r="E290">
        <v>2.7E-2</v>
      </c>
      <c r="F290">
        <v>180</v>
      </c>
      <c r="G290">
        <v>0</v>
      </c>
    </row>
    <row r="291" spans="1:7">
      <c r="A291" t="s">
        <v>107</v>
      </c>
      <c r="B291" s="1" t="s">
        <v>9</v>
      </c>
      <c r="C291">
        <v>12594</v>
      </c>
      <c r="D291">
        <v>86.8</v>
      </c>
      <c r="E291">
        <v>8.1000000000000003E-2</v>
      </c>
      <c r="F291">
        <v>48</v>
      </c>
      <c r="G291">
        <v>0</v>
      </c>
    </row>
    <row r="292" spans="1:7">
      <c r="A292" t="s">
        <v>107</v>
      </c>
      <c r="B292" s="1" t="s">
        <v>10</v>
      </c>
      <c r="C292">
        <v>11712</v>
      </c>
      <c r="D292">
        <v>87.2</v>
      </c>
      <c r="E292">
        <v>4.9000000000000002E-2</v>
      </c>
      <c r="F292">
        <v>117</v>
      </c>
      <c r="G292">
        <v>0</v>
      </c>
    </row>
    <row r="293" spans="1:7">
      <c r="A293" t="s">
        <v>107</v>
      </c>
      <c r="B293" s="1" t="s">
        <v>11</v>
      </c>
      <c r="C293">
        <v>14342</v>
      </c>
      <c r="D293">
        <v>85.9</v>
      </c>
      <c r="E293">
        <v>6.7000000000000004E-2</v>
      </c>
      <c r="F293">
        <v>115</v>
      </c>
      <c r="G293">
        <v>0</v>
      </c>
    </row>
    <row r="294" spans="1:7">
      <c r="A294" t="s">
        <v>107</v>
      </c>
      <c r="B294" s="1" t="s">
        <v>12</v>
      </c>
      <c r="C294">
        <v>15097</v>
      </c>
      <c r="D294">
        <v>86.8</v>
      </c>
      <c r="E294">
        <v>0.11</v>
      </c>
      <c r="F294">
        <v>19</v>
      </c>
      <c r="G294">
        <v>0</v>
      </c>
    </row>
    <row r="295" spans="1:7">
      <c r="A295" t="s">
        <v>107</v>
      </c>
      <c r="B295" s="1" t="s">
        <v>13</v>
      </c>
      <c r="C295">
        <v>16186</v>
      </c>
      <c r="D295">
        <v>87.4</v>
      </c>
      <c r="E295">
        <v>7.3999999999999996E-2</v>
      </c>
      <c r="F295">
        <v>189</v>
      </c>
      <c r="G295">
        <v>0</v>
      </c>
    </row>
    <row r="296" spans="1:7">
      <c r="A296" t="s">
        <v>107</v>
      </c>
      <c r="B296" s="1" t="s">
        <v>14</v>
      </c>
      <c r="C296">
        <v>17517</v>
      </c>
      <c r="D296">
        <v>85.9</v>
      </c>
      <c r="E296">
        <v>4.4999999999999998E-2</v>
      </c>
      <c r="F296">
        <v>96</v>
      </c>
      <c r="G296">
        <v>0</v>
      </c>
    </row>
    <row r="297" spans="1:7">
      <c r="A297" t="s">
        <v>107</v>
      </c>
      <c r="B297" s="1" t="s">
        <v>15</v>
      </c>
      <c r="C297">
        <v>17842</v>
      </c>
      <c r="D297">
        <v>86.6</v>
      </c>
      <c r="E297">
        <v>5.1999999999999998E-2</v>
      </c>
      <c r="F297">
        <v>74</v>
      </c>
      <c r="G297">
        <v>0</v>
      </c>
    </row>
    <row r="298" spans="1:7">
      <c r="A298" t="s">
        <v>107</v>
      </c>
      <c r="B298" s="1" t="s">
        <v>16</v>
      </c>
      <c r="C298">
        <v>16774</v>
      </c>
      <c r="D298">
        <v>86.7</v>
      </c>
      <c r="E298">
        <v>6.7000000000000004E-2</v>
      </c>
      <c r="F298">
        <v>58</v>
      </c>
      <c r="G298">
        <v>0</v>
      </c>
    </row>
    <row r="299" spans="1:7">
      <c r="A299" t="s">
        <v>107</v>
      </c>
      <c r="B299" s="1" t="s">
        <v>17</v>
      </c>
      <c r="C299">
        <v>17723</v>
      </c>
      <c r="D299">
        <v>87.2</v>
      </c>
      <c r="E299">
        <v>8.1000000000000003E-2</v>
      </c>
      <c r="F299">
        <v>91</v>
      </c>
      <c r="G299">
        <v>0</v>
      </c>
    </row>
    <row r="300" spans="1:7">
      <c r="A300" t="s">
        <v>107</v>
      </c>
      <c r="B300" s="1" t="s">
        <v>18</v>
      </c>
      <c r="C300">
        <v>17231</v>
      </c>
      <c r="D300">
        <v>87.5</v>
      </c>
      <c r="E300">
        <v>6.3E-2</v>
      </c>
      <c r="F300">
        <v>82</v>
      </c>
      <c r="G300">
        <v>0</v>
      </c>
    </row>
    <row r="301" spans="1:7">
      <c r="A301" t="s">
        <v>107</v>
      </c>
      <c r="B301" s="1" t="s">
        <v>19</v>
      </c>
      <c r="C301">
        <v>16323</v>
      </c>
      <c r="D301">
        <v>87</v>
      </c>
      <c r="E301">
        <v>0.05</v>
      </c>
      <c r="F301">
        <v>86</v>
      </c>
      <c r="G301">
        <v>0</v>
      </c>
    </row>
    <row r="302" spans="1:7">
      <c r="A302" t="s">
        <v>107</v>
      </c>
      <c r="B302" s="1" t="s">
        <v>20</v>
      </c>
      <c r="C302">
        <v>15331</v>
      </c>
      <c r="D302">
        <v>87.3</v>
      </c>
      <c r="E302">
        <v>0.05</v>
      </c>
      <c r="F302">
        <v>101</v>
      </c>
      <c r="G302">
        <v>0</v>
      </c>
    </row>
    <row r="303" spans="1:7">
      <c r="A303" t="s">
        <v>107</v>
      </c>
      <c r="B303" s="1" t="s">
        <v>21</v>
      </c>
      <c r="C303">
        <v>15416</v>
      </c>
      <c r="D303">
        <v>87</v>
      </c>
      <c r="E303">
        <v>5.0999999999999997E-2</v>
      </c>
      <c r="F303">
        <v>116</v>
      </c>
      <c r="G303">
        <v>0</v>
      </c>
    </row>
    <row r="304" spans="1:7">
      <c r="A304" t="s">
        <v>107</v>
      </c>
      <c r="B304" s="1" t="s">
        <v>22</v>
      </c>
      <c r="C304">
        <v>15597</v>
      </c>
      <c r="D304">
        <v>87.5</v>
      </c>
      <c r="E304">
        <v>6.0999999999999999E-2</v>
      </c>
      <c r="F304">
        <v>103</v>
      </c>
      <c r="G304">
        <v>0</v>
      </c>
    </row>
    <row r="305" spans="1:7">
      <c r="A305" t="s">
        <v>107</v>
      </c>
      <c r="B305" s="1" t="s">
        <v>23</v>
      </c>
      <c r="C305">
        <v>15000</v>
      </c>
      <c r="D305">
        <v>87.4</v>
      </c>
      <c r="E305">
        <v>6.9000000000000006E-2</v>
      </c>
      <c r="F305">
        <v>111</v>
      </c>
      <c r="G305">
        <v>0</v>
      </c>
    </row>
    <row r="306" spans="1:7">
      <c r="A306" t="s">
        <v>107</v>
      </c>
      <c r="B306" s="1" t="s">
        <v>24</v>
      </c>
      <c r="C306">
        <v>16329</v>
      </c>
      <c r="D306">
        <v>87.1</v>
      </c>
      <c r="E306">
        <v>6.7000000000000004E-2</v>
      </c>
      <c r="F306">
        <v>87</v>
      </c>
      <c r="G306">
        <v>0</v>
      </c>
    </row>
    <row r="307" spans="1:7">
      <c r="A307" t="s">
        <v>107</v>
      </c>
      <c r="B307" s="1" t="s">
        <v>25</v>
      </c>
      <c r="C307">
        <v>18177</v>
      </c>
      <c r="D307">
        <v>86.4</v>
      </c>
      <c r="E307">
        <v>9.6000000000000002E-2</v>
      </c>
      <c r="F307">
        <v>23</v>
      </c>
      <c r="G307">
        <v>0</v>
      </c>
    </row>
    <row r="308" spans="1:7">
      <c r="A308" t="s">
        <v>107</v>
      </c>
      <c r="B308" s="1" t="s">
        <v>26</v>
      </c>
      <c r="C308">
        <v>18044</v>
      </c>
      <c r="D308">
        <v>87.5</v>
      </c>
      <c r="E308">
        <v>6.2E-2</v>
      </c>
      <c r="F308">
        <v>114</v>
      </c>
      <c r="G308">
        <v>0</v>
      </c>
    </row>
    <row r="309" spans="1:7">
      <c r="A309" t="s">
        <v>107</v>
      </c>
      <c r="B309" s="1" t="s">
        <v>27</v>
      </c>
      <c r="C309">
        <v>17096</v>
      </c>
      <c r="D309">
        <v>86.5</v>
      </c>
      <c r="E309">
        <v>6.5000000000000002E-2</v>
      </c>
      <c r="F309">
        <v>23</v>
      </c>
      <c r="G309">
        <v>0</v>
      </c>
    </row>
    <row r="310" spans="1:7">
      <c r="A310" t="s">
        <v>107</v>
      </c>
      <c r="B310" s="1" t="s">
        <v>28</v>
      </c>
      <c r="C310">
        <v>17612</v>
      </c>
      <c r="D310">
        <v>87</v>
      </c>
      <c r="E310">
        <v>8.1000000000000003E-2</v>
      </c>
      <c r="F310">
        <v>22</v>
      </c>
      <c r="G310">
        <v>0</v>
      </c>
    </row>
    <row r="311" spans="1:7">
      <c r="A311" t="s">
        <v>107</v>
      </c>
      <c r="B311" s="1" t="s">
        <v>29</v>
      </c>
      <c r="C311">
        <v>18267</v>
      </c>
      <c r="D311">
        <v>87</v>
      </c>
      <c r="E311">
        <v>7.2999999999999995E-2</v>
      </c>
      <c r="F311">
        <v>90</v>
      </c>
      <c r="G311">
        <v>0</v>
      </c>
    </row>
    <row r="312" spans="1:7">
      <c r="A312" t="s">
        <v>107</v>
      </c>
      <c r="B312" s="1" t="s">
        <v>30</v>
      </c>
      <c r="C312">
        <v>16399</v>
      </c>
      <c r="D312">
        <v>87.1</v>
      </c>
      <c r="E312">
        <v>2.7E-2</v>
      </c>
      <c r="F312">
        <v>86</v>
      </c>
      <c r="G312">
        <v>0</v>
      </c>
    </row>
    <row r="313" spans="1:7">
      <c r="A313" t="s">
        <v>107</v>
      </c>
      <c r="B313" s="1" t="s">
        <v>31</v>
      </c>
      <c r="C313">
        <v>10025</v>
      </c>
      <c r="D313">
        <v>91.3</v>
      </c>
      <c r="E313">
        <v>-5.3999999999999999E-2</v>
      </c>
      <c r="F313">
        <v>107</v>
      </c>
      <c r="G313">
        <v>0</v>
      </c>
    </row>
    <row r="314" spans="1:7">
      <c r="A314" t="s">
        <v>108</v>
      </c>
      <c r="B314" s="1" t="s">
        <v>8</v>
      </c>
      <c r="C314">
        <v>11630</v>
      </c>
      <c r="D314">
        <v>87.5</v>
      </c>
      <c r="E314">
        <v>4.9000000000000002E-2</v>
      </c>
      <c r="F314">
        <v>60</v>
      </c>
      <c r="G314">
        <v>0</v>
      </c>
    </row>
    <row r="315" spans="1:7">
      <c r="A315" t="s">
        <v>108</v>
      </c>
      <c r="B315" s="1" t="s">
        <v>9</v>
      </c>
      <c r="C315">
        <v>12553</v>
      </c>
      <c r="D315">
        <v>86.8</v>
      </c>
      <c r="E315">
        <v>7.5999999999999998E-2</v>
      </c>
      <c r="F315">
        <v>90</v>
      </c>
      <c r="G315">
        <v>0</v>
      </c>
    </row>
    <row r="316" spans="1:7">
      <c r="A316" t="s">
        <v>108</v>
      </c>
      <c r="B316" s="1" t="s">
        <v>10</v>
      </c>
      <c r="C316">
        <v>10943</v>
      </c>
      <c r="D316">
        <v>87.3</v>
      </c>
      <c r="E316">
        <v>3.7999999999999999E-2</v>
      </c>
      <c r="F316">
        <v>181</v>
      </c>
      <c r="G316">
        <v>0</v>
      </c>
    </row>
    <row r="317" spans="1:7">
      <c r="A317" t="s">
        <v>108</v>
      </c>
      <c r="B317" s="1" t="s">
        <v>11</v>
      </c>
      <c r="C317">
        <v>13507</v>
      </c>
      <c r="D317">
        <v>86.7</v>
      </c>
      <c r="E317">
        <v>8.4000000000000005E-2</v>
      </c>
      <c r="F317">
        <v>62</v>
      </c>
      <c r="G317">
        <v>0</v>
      </c>
    </row>
    <row r="318" spans="1:7">
      <c r="A318" t="s">
        <v>108</v>
      </c>
      <c r="B318" s="1" t="s">
        <v>12</v>
      </c>
      <c r="C318">
        <v>15288</v>
      </c>
      <c r="D318">
        <v>86.9</v>
      </c>
      <c r="E318">
        <v>0.109</v>
      </c>
      <c r="F318">
        <v>21</v>
      </c>
      <c r="G318">
        <v>0</v>
      </c>
    </row>
    <row r="319" spans="1:7">
      <c r="A319" t="s">
        <v>108</v>
      </c>
      <c r="B319" s="1" t="s">
        <v>13</v>
      </c>
      <c r="C319">
        <v>15418</v>
      </c>
      <c r="D319">
        <v>87.9</v>
      </c>
      <c r="E319">
        <v>7.3999999999999996E-2</v>
      </c>
      <c r="F319">
        <v>108</v>
      </c>
      <c r="G319">
        <v>0</v>
      </c>
    </row>
    <row r="320" spans="1:7">
      <c r="A320" t="s">
        <v>108</v>
      </c>
      <c r="B320" s="1" t="s">
        <v>14</v>
      </c>
      <c r="C320">
        <v>15742</v>
      </c>
      <c r="D320">
        <v>87.1</v>
      </c>
      <c r="E320">
        <v>4.7E-2</v>
      </c>
      <c r="F320">
        <v>77</v>
      </c>
      <c r="G320">
        <v>0</v>
      </c>
    </row>
    <row r="321" spans="1:7">
      <c r="A321" t="s">
        <v>108</v>
      </c>
      <c r="B321" s="1" t="s">
        <v>15</v>
      </c>
      <c r="C321">
        <v>14924</v>
      </c>
      <c r="D321">
        <v>87.1</v>
      </c>
      <c r="E321">
        <v>6.2E-2</v>
      </c>
      <c r="F321">
        <v>22</v>
      </c>
      <c r="G321">
        <v>0</v>
      </c>
    </row>
    <row r="322" spans="1:7">
      <c r="A322" t="s">
        <v>108</v>
      </c>
      <c r="B322" s="1" t="s">
        <v>16</v>
      </c>
      <c r="C322">
        <v>16972</v>
      </c>
      <c r="D322">
        <v>86.9</v>
      </c>
      <c r="E322">
        <v>8.4000000000000005E-2</v>
      </c>
      <c r="F322">
        <v>113</v>
      </c>
      <c r="G322">
        <v>0</v>
      </c>
    </row>
    <row r="323" spans="1:7">
      <c r="A323" t="s">
        <v>108</v>
      </c>
      <c r="B323" s="1" t="s">
        <v>17</v>
      </c>
      <c r="C323">
        <v>17359</v>
      </c>
      <c r="D323">
        <v>87.3</v>
      </c>
      <c r="E323">
        <v>8.1000000000000003E-2</v>
      </c>
      <c r="F323">
        <v>19</v>
      </c>
      <c r="G323">
        <v>0</v>
      </c>
    </row>
    <row r="324" spans="1:7">
      <c r="A324" t="s">
        <v>108</v>
      </c>
      <c r="B324" s="1" t="s">
        <v>18</v>
      </c>
      <c r="C324">
        <v>17760</v>
      </c>
      <c r="D324">
        <v>86.5</v>
      </c>
      <c r="E324">
        <v>6.4000000000000001E-2</v>
      </c>
      <c r="F324">
        <v>155</v>
      </c>
      <c r="G324">
        <v>0</v>
      </c>
    </row>
    <row r="325" spans="1:7">
      <c r="A325" t="s">
        <v>108</v>
      </c>
      <c r="B325" s="1" t="s">
        <v>19</v>
      </c>
      <c r="C325">
        <v>18757</v>
      </c>
      <c r="D325">
        <v>88.1</v>
      </c>
      <c r="E325">
        <v>6.7000000000000004E-2</v>
      </c>
      <c r="F325">
        <v>100</v>
      </c>
      <c r="G325">
        <v>0</v>
      </c>
    </row>
    <row r="326" spans="1:7">
      <c r="A326" t="s">
        <v>108</v>
      </c>
      <c r="B326" s="1" t="s">
        <v>20</v>
      </c>
      <c r="C326">
        <v>15749</v>
      </c>
      <c r="D326">
        <v>86.4</v>
      </c>
      <c r="E326">
        <v>2.8000000000000001E-2</v>
      </c>
      <c r="F326">
        <v>93</v>
      </c>
      <c r="G326">
        <v>0</v>
      </c>
    </row>
    <row r="327" spans="1:7">
      <c r="A327" t="s">
        <v>108</v>
      </c>
      <c r="B327" s="1" t="s">
        <v>21</v>
      </c>
      <c r="C327">
        <v>15184</v>
      </c>
      <c r="D327">
        <v>86.7</v>
      </c>
      <c r="E327">
        <v>4.9000000000000002E-2</v>
      </c>
      <c r="F327">
        <v>77</v>
      </c>
      <c r="G327">
        <v>0</v>
      </c>
    </row>
    <row r="328" spans="1:7">
      <c r="A328" t="s">
        <v>108</v>
      </c>
      <c r="B328" s="1" t="s">
        <v>22</v>
      </c>
      <c r="C328">
        <v>15857</v>
      </c>
      <c r="D328">
        <v>86.8</v>
      </c>
      <c r="E328">
        <v>7.2999999999999995E-2</v>
      </c>
      <c r="F328">
        <v>99</v>
      </c>
      <c r="G328">
        <v>0</v>
      </c>
    </row>
    <row r="329" spans="1:7">
      <c r="A329" t="s">
        <v>108</v>
      </c>
      <c r="B329" s="1" t="s">
        <v>23</v>
      </c>
      <c r="C329">
        <v>16782</v>
      </c>
      <c r="D329">
        <v>87.5</v>
      </c>
      <c r="E329">
        <v>6.2E-2</v>
      </c>
      <c r="F329">
        <v>205</v>
      </c>
      <c r="G329">
        <v>0</v>
      </c>
    </row>
    <row r="330" spans="1:7">
      <c r="A330" t="s">
        <v>108</v>
      </c>
      <c r="B330" s="1" t="s">
        <v>24</v>
      </c>
      <c r="C330">
        <v>17280</v>
      </c>
      <c r="D330">
        <v>86.6</v>
      </c>
      <c r="E330">
        <v>6.3E-2</v>
      </c>
      <c r="F330">
        <v>99</v>
      </c>
      <c r="G330">
        <v>0</v>
      </c>
    </row>
    <row r="331" spans="1:7">
      <c r="A331" t="s">
        <v>108</v>
      </c>
      <c r="B331" s="1" t="s">
        <v>25</v>
      </c>
      <c r="C331">
        <v>16072</v>
      </c>
      <c r="D331">
        <v>87</v>
      </c>
      <c r="E331">
        <v>6.0999999999999999E-2</v>
      </c>
      <c r="F331">
        <v>39</v>
      </c>
      <c r="G331">
        <v>0</v>
      </c>
    </row>
    <row r="332" spans="1:7">
      <c r="A332" t="s">
        <v>108</v>
      </c>
      <c r="B332" s="1" t="s">
        <v>26</v>
      </c>
      <c r="C332">
        <v>18779</v>
      </c>
      <c r="D332">
        <v>86.9</v>
      </c>
      <c r="E332">
        <v>8.5000000000000006E-2</v>
      </c>
      <c r="F332">
        <v>27</v>
      </c>
      <c r="G332">
        <v>0</v>
      </c>
    </row>
    <row r="333" spans="1:7">
      <c r="A333" t="s">
        <v>108</v>
      </c>
      <c r="B333" s="1" t="s">
        <v>27</v>
      </c>
      <c r="C333">
        <v>17592</v>
      </c>
      <c r="D333">
        <v>87.9</v>
      </c>
      <c r="E333">
        <v>0.06</v>
      </c>
      <c r="F333">
        <v>240</v>
      </c>
      <c r="G333">
        <v>0</v>
      </c>
    </row>
    <row r="334" spans="1:7">
      <c r="A334" t="s">
        <v>108</v>
      </c>
      <c r="B334" s="1" t="s">
        <v>28</v>
      </c>
      <c r="C334">
        <v>17976</v>
      </c>
      <c r="D334">
        <v>87.3</v>
      </c>
      <c r="E334">
        <v>5.8000000000000003E-2</v>
      </c>
      <c r="F334">
        <v>143</v>
      </c>
      <c r="G334">
        <v>0</v>
      </c>
    </row>
    <row r="335" spans="1:7">
      <c r="A335" t="s">
        <v>108</v>
      </c>
      <c r="B335" s="1" t="s">
        <v>29</v>
      </c>
      <c r="C335">
        <v>18363</v>
      </c>
      <c r="D335">
        <v>87</v>
      </c>
      <c r="E335">
        <v>7.3999999999999996E-2</v>
      </c>
      <c r="F335">
        <v>89</v>
      </c>
      <c r="G335">
        <v>0</v>
      </c>
    </row>
    <row r="336" spans="1:7">
      <c r="A336" t="s">
        <v>108</v>
      </c>
      <c r="B336" s="1" t="s">
        <v>30</v>
      </c>
      <c r="C336">
        <v>16272</v>
      </c>
      <c r="D336">
        <v>87.4</v>
      </c>
      <c r="E336">
        <v>4.1000000000000002E-2</v>
      </c>
      <c r="F336">
        <v>77</v>
      </c>
      <c r="G336">
        <v>0</v>
      </c>
    </row>
    <row r="337" spans="1:7">
      <c r="A337" t="s">
        <v>108</v>
      </c>
      <c r="B337" s="1" t="s">
        <v>31</v>
      </c>
      <c r="C337">
        <v>10096</v>
      </c>
      <c r="D337">
        <v>87.8</v>
      </c>
      <c r="E337">
        <v>-5.2999999999999999E-2</v>
      </c>
      <c r="F337">
        <v>87</v>
      </c>
      <c r="G337">
        <v>0</v>
      </c>
    </row>
    <row r="338" spans="1:7">
      <c r="A338" t="s">
        <v>109</v>
      </c>
      <c r="B338" s="1" t="s">
        <v>8</v>
      </c>
      <c r="C338">
        <v>9551</v>
      </c>
      <c r="D338">
        <v>85.6</v>
      </c>
      <c r="E338">
        <v>1.9E-2</v>
      </c>
      <c r="F338">
        <v>80</v>
      </c>
      <c r="G338">
        <v>0</v>
      </c>
    </row>
    <row r="339" spans="1:7">
      <c r="A339" t="s">
        <v>109</v>
      </c>
      <c r="B339" s="1" t="s">
        <v>9</v>
      </c>
      <c r="C339">
        <v>11365</v>
      </c>
      <c r="D339">
        <v>86.8</v>
      </c>
      <c r="E339">
        <v>7.0000000000000007E-2</v>
      </c>
      <c r="F339">
        <v>82</v>
      </c>
      <c r="G339">
        <v>0</v>
      </c>
    </row>
    <row r="340" spans="1:7">
      <c r="A340" t="s">
        <v>109</v>
      </c>
      <c r="B340" s="1" t="s">
        <v>10</v>
      </c>
      <c r="C340">
        <v>13664</v>
      </c>
      <c r="D340">
        <v>86.7</v>
      </c>
      <c r="E340">
        <v>7.3999999999999996E-2</v>
      </c>
      <c r="F340">
        <v>75</v>
      </c>
      <c r="G340">
        <v>0</v>
      </c>
    </row>
    <row r="341" spans="1:7">
      <c r="A341" t="s">
        <v>109</v>
      </c>
      <c r="B341" s="1" t="s">
        <v>11</v>
      </c>
      <c r="C341">
        <v>13325</v>
      </c>
      <c r="D341">
        <v>87</v>
      </c>
      <c r="E341">
        <v>5.0999999999999997E-2</v>
      </c>
      <c r="F341">
        <v>41</v>
      </c>
      <c r="G341">
        <v>0</v>
      </c>
    </row>
    <row r="342" spans="1:7">
      <c r="A342" t="s">
        <v>109</v>
      </c>
      <c r="B342" s="1" t="s">
        <v>12</v>
      </c>
      <c r="C342">
        <v>17021</v>
      </c>
      <c r="D342">
        <v>85.9</v>
      </c>
      <c r="E342">
        <v>0.11700000000000001</v>
      </c>
      <c r="F342">
        <v>154</v>
      </c>
      <c r="G342">
        <v>0</v>
      </c>
    </row>
    <row r="343" spans="1:7">
      <c r="A343" t="s">
        <v>109</v>
      </c>
      <c r="B343" s="1" t="s">
        <v>13</v>
      </c>
      <c r="C343">
        <v>18568</v>
      </c>
      <c r="D343">
        <v>86.3</v>
      </c>
      <c r="E343">
        <v>8.1000000000000003E-2</v>
      </c>
      <c r="F343">
        <v>87</v>
      </c>
      <c r="G343">
        <v>0</v>
      </c>
    </row>
    <row r="344" spans="1:7">
      <c r="A344" t="s">
        <v>109</v>
      </c>
      <c r="B344" s="1" t="s">
        <v>14</v>
      </c>
      <c r="C344">
        <v>17438</v>
      </c>
      <c r="D344">
        <v>85.8</v>
      </c>
      <c r="E344">
        <v>4.8000000000000001E-2</v>
      </c>
      <c r="F344">
        <v>88</v>
      </c>
      <c r="G344">
        <v>0</v>
      </c>
    </row>
    <row r="345" spans="1:7">
      <c r="A345" t="s">
        <v>109</v>
      </c>
      <c r="B345" s="1" t="s">
        <v>15</v>
      </c>
      <c r="C345">
        <v>18975</v>
      </c>
      <c r="D345">
        <v>83.7</v>
      </c>
      <c r="E345">
        <v>7.8E-2</v>
      </c>
      <c r="F345">
        <v>75</v>
      </c>
      <c r="G345">
        <v>0</v>
      </c>
    </row>
    <row r="346" spans="1:7">
      <c r="A346" t="s">
        <v>109</v>
      </c>
      <c r="B346" s="1" t="s">
        <v>16</v>
      </c>
      <c r="C346">
        <v>20677</v>
      </c>
      <c r="D346">
        <v>84.3</v>
      </c>
      <c r="E346">
        <v>9.0999999999999998E-2</v>
      </c>
      <c r="F346">
        <v>73</v>
      </c>
      <c r="G346">
        <v>0</v>
      </c>
    </row>
    <row r="347" spans="1:7">
      <c r="A347" t="s">
        <v>109</v>
      </c>
      <c r="B347" s="1" t="s">
        <v>17</v>
      </c>
      <c r="C347">
        <v>20337</v>
      </c>
      <c r="D347">
        <v>87.6</v>
      </c>
      <c r="E347">
        <v>0.10299999999999999</v>
      </c>
      <c r="F347">
        <v>143</v>
      </c>
      <c r="G347">
        <v>0</v>
      </c>
    </row>
    <row r="348" spans="1:7">
      <c r="A348" t="s">
        <v>109</v>
      </c>
      <c r="B348" s="1" t="s">
        <v>18</v>
      </c>
      <c r="C348">
        <v>17644</v>
      </c>
      <c r="D348">
        <v>88.7</v>
      </c>
      <c r="E348">
        <v>6.2E-2</v>
      </c>
      <c r="F348">
        <v>214</v>
      </c>
      <c r="G348">
        <v>0</v>
      </c>
    </row>
    <row r="349" spans="1:7">
      <c r="A349" t="s">
        <v>109</v>
      </c>
      <c r="B349" s="1" t="s">
        <v>19</v>
      </c>
      <c r="C349">
        <v>13047</v>
      </c>
      <c r="D349">
        <v>86.9</v>
      </c>
      <c r="E349">
        <v>-5.0000000000000001E-3</v>
      </c>
      <c r="F349">
        <v>23</v>
      </c>
      <c r="G349">
        <v>0</v>
      </c>
    </row>
    <row r="350" spans="1:7">
      <c r="A350" t="s">
        <v>109</v>
      </c>
      <c r="B350" s="1" t="s">
        <v>20</v>
      </c>
      <c r="C350">
        <v>14154</v>
      </c>
      <c r="D350">
        <v>86</v>
      </c>
      <c r="E350">
        <v>4.1000000000000002E-2</v>
      </c>
      <c r="F350">
        <v>22</v>
      </c>
      <c r="G350">
        <v>0</v>
      </c>
    </row>
    <row r="351" spans="1:7">
      <c r="A351" t="s">
        <v>109</v>
      </c>
      <c r="B351" s="1" t="s">
        <v>21</v>
      </c>
      <c r="C351">
        <v>14560</v>
      </c>
      <c r="D351">
        <v>86.7</v>
      </c>
      <c r="E351">
        <v>4.4999999999999998E-2</v>
      </c>
      <c r="F351">
        <v>90</v>
      </c>
      <c r="G351">
        <v>0</v>
      </c>
    </row>
    <row r="352" spans="1:7">
      <c r="A352" t="s">
        <v>109</v>
      </c>
      <c r="B352" s="1" t="s">
        <v>22</v>
      </c>
      <c r="C352">
        <v>14787</v>
      </c>
      <c r="D352">
        <v>85.9</v>
      </c>
      <c r="E352">
        <v>4.2000000000000003E-2</v>
      </c>
      <c r="F352">
        <v>85</v>
      </c>
      <c r="G352">
        <v>0</v>
      </c>
    </row>
    <row r="353" spans="1:7">
      <c r="A353" t="s">
        <v>109</v>
      </c>
      <c r="B353" s="1" t="s">
        <v>23</v>
      </c>
      <c r="C353">
        <v>15998</v>
      </c>
      <c r="D353">
        <v>85.8</v>
      </c>
      <c r="E353">
        <v>6.7000000000000004E-2</v>
      </c>
      <c r="F353">
        <v>87</v>
      </c>
      <c r="G353">
        <v>0</v>
      </c>
    </row>
    <row r="354" spans="1:7">
      <c r="A354" t="s">
        <v>109</v>
      </c>
      <c r="B354" s="1" t="s">
        <v>24</v>
      </c>
      <c r="C354">
        <v>15982</v>
      </c>
      <c r="D354">
        <v>88.2</v>
      </c>
      <c r="E354">
        <v>8.7999999999999995E-2</v>
      </c>
      <c r="F354">
        <v>24</v>
      </c>
      <c r="G354">
        <v>0</v>
      </c>
    </row>
    <row r="355" spans="1:7">
      <c r="A355" t="s">
        <v>109</v>
      </c>
      <c r="B355" s="1" t="s">
        <v>25</v>
      </c>
      <c r="C355">
        <v>16017</v>
      </c>
      <c r="D355">
        <v>86.6</v>
      </c>
      <c r="E355">
        <v>4.8000000000000001E-2</v>
      </c>
      <c r="F355">
        <v>70</v>
      </c>
      <c r="G355">
        <v>0</v>
      </c>
    </row>
    <row r="356" spans="1:7">
      <c r="A356" t="s">
        <v>109</v>
      </c>
      <c r="B356" s="1" t="s">
        <v>26</v>
      </c>
      <c r="C356">
        <v>17198</v>
      </c>
      <c r="D356">
        <v>85.8</v>
      </c>
      <c r="E356">
        <v>6.0999999999999999E-2</v>
      </c>
      <c r="F356">
        <v>122</v>
      </c>
      <c r="G356">
        <v>0</v>
      </c>
    </row>
    <row r="357" spans="1:7">
      <c r="A357" t="s">
        <v>109</v>
      </c>
      <c r="B357" s="1" t="s">
        <v>27</v>
      </c>
      <c r="C357">
        <v>18077</v>
      </c>
      <c r="D357">
        <v>86.9</v>
      </c>
      <c r="E357">
        <v>5.8999999999999997E-2</v>
      </c>
      <c r="F357">
        <v>22</v>
      </c>
      <c r="G357">
        <v>0</v>
      </c>
    </row>
    <row r="358" spans="1:7">
      <c r="A358" t="s">
        <v>109</v>
      </c>
      <c r="B358" s="1" t="s">
        <v>28</v>
      </c>
      <c r="C358">
        <v>16481</v>
      </c>
      <c r="D358">
        <v>87</v>
      </c>
      <c r="E358">
        <v>6.5000000000000002E-2</v>
      </c>
      <c r="F358">
        <v>77</v>
      </c>
      <c r="G358">
        <v>0</v>
      </c>
    </row>
    <row r="359" spans="1:7">
      <c r="A359" t="s">
        <v>109</v>
      </c>
      <c r="B359" s="1" t="s">
        <v>29</v>
      </c>
      <c r="C359">
        <v>16599</v>
      </c>
      <c r="D359">
        <v>87</v>
      </c>
      <c r="E359">
        <v>5.8000000000000003E-2</v>
      </c>
      <c r="F359">
        <v>24</v>
      </c>
      <c r="G359">
        <v>0</v>
      </c>
    </row>
    <row r="360" spans="1:7">
      <c r="A360" t="s">
        <v>109</v>
      </c>
      <c r="B360" s="1" t="s">
        <v>30</v>
      </c>
      <c r="C360">
        <v>14973</v>
      </c>
      <c r="D360">
        <v>87.2</v>
      </c>
      <c r="E360">
        <v>3.3000000000000002E-2</v>
      </c>
      <c r="F360">
        <v>91</v>
      </c>
      <c r="G360">
        <v>0</v>
      </c>
    </row>
    <row r="361" spans="1:7">
      <c r="A361" t="s">
        <v>109</v>
      </c>
      <c r="B361" s="1" t="s">
        <v>31</v>
      </c>
      <c r="C361">
        <v>9504</v>
      </c>
      <c r="D361">
        <v>89.4</v>
      </c>
      <c r="E361">
        <v>-0.04</v>
      </c>
      <c r="F361">
        <v>96</v>
      </c>
      <c r="G361">
        <v>0</v>
      </c>
    </row>
    <row r="362" spans="1:7">
      <c r="A362" t="s">
        <v>110</v>
      </c>
      <c r="B362" s="1" t="s">
        <v>8</v>
      </c>
      <c r="C362">
        <v>9528</v>
      </c>
      <c r="D362">
        <v>86.4</v>
      </c>
      <c r="E362">
        <v>1.7999999999999999E-2</v>
      </c>
      <c r="F362">
        <v>79</v>
      </c>
      <c r="G362">
        <v>0</v>
      </c>
    </row>
    <row r="363" spans="1:7">
      <c r="A363" t="s">
        <v>110</v>
      </c>
      <c r="B363" s="1" t="s">
        <v>9</v>
      </c>
      <c r="C363">
        <v>12819</v>
      </c>
      <c r="D363">
        <v>86.5</v>
      </c>
      <c r="E363">
        <v>8.5999999999999993E-2</v>
      </c>
      <c r="F363">
        <v>19</v>
      </c>
      <c r="G363">
        <v>0</v>
      </c>
    </row>
    <row r="364" spans="1:7">
      <c r="A364" t="s">
        <v>110</v>
      </c>
      <c r="B364" s="1" t="s">
        <v>10</v>
      </c>
      <c r="C364">
        <v>13812</v>
      </c>
      <c r="D364">
        <v>86.9</v>
      </c>
      <c r="E364">
        <v>8.8999999999999996E-2</v>
      </c>
      <c r="F364">
        <v>17</v>
      </c>
      <c r="G364">
        <v>0</v>
      </c>
    </row>
    <row r="365" spans="1:7">
      <c r="A365" t="s">
        <v>110</v>
      </c>
      <c r="B365" s="1" t="s">
        <v>11</v>
      </c>
      <c r="C365">
        <v>14328</v>
      </c>
      <c r="D365">
        <v>87.3</v>
      </c>
      <c r="E365">
        <v>0.06</v>
      </c>
      <c r="F365">
        <v>72</v>
      </c>
      <c r="G365">
        <v>0</v>
      </c>
    </row>
    <row r="366" spans="1:7">
      <c r="A366" t="s">
        <v>110</v>
      </c>
      <c r="B366" s="1" t="s">
        <v>12</v>
      </c>
      <c r="C366">
        <v>17732</v>
      </c>
      <c r="D366">
        <v>86.7</v>
      </c>
      <c r="E366">
        <v>0.111</v>
      </c>
      <c r="F366">
        <v>112</v>
      </c>
      <c r="G366">
        <v>0</v>
      </c>
    </row>
    <row r="367" spans="1:7">
      <c r="A367" t="s">
        <v>110</v>
      </c>
      <c r="B367" s="1" t="s">
        <v>13</v>
      </c>
      <c r="C367">
        <v>20491</v>
      </c>
      <c r="D367">
        <v>87.6</v>
      </c>
      <c r="E367">
        <v>0.14000000000000001</v>
      </c>
      <c r="F367">
        <v>60</v>
      </c>
      <c r="G367">
        <v>0</v>
      </c>
    </row>
    <row r="368" spans="1:7">
      <c r="A368" t="s">
        <v>110</v>
      </c>
      <c r="B368" s="1" t="s">
        <v>14</v>
      </c>
      <c r="C368">
        <v>21103</v>
      </c>
      <c r="D368">
        <v>87.9</v>
      </c>
      <c r="E368">
        <v>0.113</v>
      </c>
      <c r="F368">
        <v>100</v>
      </c>
      <c r="G368">
        <v>0</v>
      </c>
    </row>
    <row r="369" spans="1:7">
      <c r="A369" t="s">
        <v>110</v>
      </c>
      <c r="B369" s="1" t="s">
        <v>15</v>
      </c>
      <c r="C369">
        <v>19755</v>
      </c>
      <c r="D369">
        <v>87</v>
      </c>
      <c r="E369">
        <v>7.3999999999999996E-2</v>
      </c>
      <c r="F369">
        <v>60</v>
      </c>
      <c r="G369">
        <v>0</v>
      </c>
    </row>
    <row r="370" spans="1:7">
      <c r="A370" t="s">
        <v>110</v>
      </c>
      <c r="B370" s="1" t="s">
        <v>16</v>
      </c>
      <c r="C370">
        <v>20386</v>
      </c>
      <c r="D370">
        <v>86.8</v>
      </c>
      <c r="E370">
        <v>9.1999999999999998E-2</v>
      </c>
      <c r="F370">
        <v>216</v>
      </c>
      <c r="G370">
        <v>0</v>
      </c>
    </row>
    <row r="371" spans="1:7">
      <c r="A371" t="s">
        <v>110</v>
      </c>
      <c r="B371" s="1" t="s">
        <v>17</v>
      </c>
      <c r="C371">
        <v>19455</v>
      </c>
      <c r="D371">
        <v>87</v>
      </c>
      <c r="E371">
        <v>7.3999999999999996E-2</v>
      </c>
      <c r="F371">
        <v>110</v>
      </c>
      <c r="G371">
        <v>0</v>
      </c>
    </row>
    <row r="372" spans="1:7">
      <c r="A372" t="s">
        <v>110</v>
      </c>
      <c r="B372" s="1" t="s">
        <v>18</v>
      </c>
      <c r="C372">
        <v>17967</v>
      </c>
      <c r="D372">
        <v>87.2</v>
      </c>
      <c r="E372">
        <v>5.5E-2</v>
      </c>
      <c r="F372">
        <v>122</v>
      </c>
      <c r="G372">
        <v>0</v>
      </c>
    </row>
    <row r="373" spans="1:7">
      <c r="A373" t="s">
        <v>110</v>
      </c>
      <c r="B373" s="1" t="s">
        <v>19</v>
      </c>
      <c r="C373">
        <v>14062</v>
      </c>
      <c r="D373">
        <v>86.8</v>
      </c>
      <c r="E373">
        <v>0.01</v>
      </c>
      <c r="F373">
        <v>120</v>
      </c>
      <c r="G373">
        <v>0</v>
      </c>
    </row>
    <row r="374" spans="1:7">
      <c r="A374" t="s">
        <v>110</v>
      </c>
      <c r="B374" s="1" t="s">
        <v>20</v>
      </c>
      <c r="C374">
        <v>14415</v>
      </c>
      <c r="D374">
        <v>86.7</v>
      </c>
      <c r="E374">
        <v>4.4999999999999998E-2</v>
      </c>
      <c r="F374">
        <v>90</v>
      </c>
      <c r="G374">
        <v>0</v>
      </c>
    </row>
    <row r="375" spans="1:7">
      <c r="A375" t="s">
        <v>110</v>
      </c>
      <c r="B375" s="1" t="s">
        <v>21</v>
      </c>
      <c r="C375">
        <v>14402</v>
      </c>
      <c r="D375">
        <v>86.9</v>
      </c>
      <c r="E375">
        <v>6.0999999999999999E-2</v>
      </c>
      <c r="F375">
        <v>28</v>
      </c>
      <c r="G375">
        <v>0</v>
      </c>
    </row>
    <row r="376" spans="1:7">
      <c r="A376" t="s">
        <v>110</v>
      </c>
      <c r="B376" s="1" t="s">
        <v>22</v>
      </c>
      <c r="C376">
        <v>16090</v>
      </c>
      <c r="D376">
        <v>85.9</v>
      </c>
      <c r="E376">
        <v>6.3E-2</v>
      </c>
      <c r="F376">
        <v>109</v>
      </c>
      <c r="G376">
        <v>0</v>
      </c>
    </row>
    <row r="377" spans="1:7">
      <c r="A377" t="s">
        <v>110</v>
      </c>
      <c r="B377" s="1" t="s">
        <v>23</v>
      </c>
      <c r="C377">
        <v>15770</v>
      </c>
      <c r="D377">
        <v>87.9</v>
      </c>
      <c r="E377">
        <v>5.5E-2</v>
      </c>
      <c r="F377">
        <v>78</v>
      </c>
      <c r="G377">
        <v>0</v>
      </c>
    </row>
    <row r="378" spans="1:7">
      <c r="A378" t="s">
        <v>110</v>
      </c>
      <c r="B378" s="1" t="s">
        <v>24</v>
      </c>
      <c r="C378">
        <v>15195</v>
      </c>
      <c r="D378">
        <v>87.5</v>
      </c>
      <c r="E378">
        <v>4.2999999999999997E-2</v>
      </c>
      <c r="F378">
        <v>23</v>
      </c>
      <c r="G378">
        <v>0</v>
      </c>
    </row>
    <row r="379" spans="1:7">
      <c r="A379" t="s">
        <v>110</v>
      </c>
      <c r="B379" s="1" t="s">
        <v>25</v>
      </c>
      <c r="C379">
        <v>15651</v>
      </c>
      <c r="D379">
        <v>86.7</v>
      </c>
      <c r="E379">
        <v>5.5E-2</v>
      </c>
      <c r="F379">
        <v>79</v>
      </c>
      <c r="G379">
        <v>0</v>
      </c>
    </row>
    <row r="380" spans="1:7">
      <c r="A380" t="s">
        <v>110</v>
      </c>
      <c r="B380" s="1" t="s">
        <v>26</v>
      </c>
      <c r="C380">
        <v>16760</v>
      </c>
      <c r="D380">
        <v>87</v>
      </c>
      <c r="E380">
        <v>9.8000000000000004E-2</v>
      </c>
      <c r="F380">
        <v>29</v>
      </c>
      <c r="G380">
        <v>0</v>
      </c>
    </row>
    <row r="381" spans="1:7">
      <c r="A381" t="s">
        <v>110</v>
      </c>
      <c r="B381" s="1" t="s">
        <v>27</v>
      </c>
      <c r="C381">
        <v>17206</v>
      </c>
      <c r="D381">
        <v>87.3</v>
      </c>
      <c r="E381">
        <v>6.9000000000000006E-2</v>
      </c>
      <c r="F381">
        <v>41</v>
      </c>
      <c r="G381">
        <v>0</v>
      </c>
    </row>
    <row r="382" spans="1:7">
      <c r="A382" t="s">
        <v>110</v>
      </c>
      <c r="B382" s="1" t="s">
        <v>28</v>
      </c>
      <c r="C382">
        <v>16244</v>
      </c>
      <c r="D382">
        <v>87</v>
      </c>
      <c r="E382">
        <v>5.8000000000000003E-2</v>
      </c>
      <c r="F382">
        <v>86</v>
      </c>
      <c r="G382">
        <v>0</v>
      </c>
    </row>
    <row r="383" spans="1:7">
      <c r="A383" t="s">
        <v>110</v>
      </c>
      <c r="B383" s="1" t="s">
        <v>29</v>
      </c>
      <c r="C383">
        <v>18439</v>
      </c>
      <c r="D383">
        <v>87.1</v>
      </c>
      <c r="E383">
        <v>7.2999999999999995E-2</v>
      </c>
      <c r="F383">
        <v>105</v>
      </c>
      <c r="G383">
        <v>0</v>
      </c>
    </row>
    <row r="384" spans="1:7">
      <c r="A384" t="s">
        <v>110</v>
      </c>
      <c r="B384" s="1" t="s">
        <v>30</v>
      </c>
      <c r="C384">
        <v>16142</v>
      </c>
      <c r="D384">
        <v>87.7</v>
      </c>
      <c r="E384">
        <v>3.7999999999999999E-2</v>
      </c>
      <c r="F384">
        <v>206</v>
      </c>
      <c r="G384">
        <v>0</v>
      </c>
    </row>
    <row r="385" spans="1:7">
      <c r="A385" t="s">
        <v>110</v>
      </c>
      <c r="B385" s="1" t="s">
        <v>31</v>
      </c>
      <c r="C385">
        <v>10985</v>
      </c>
      <c r="D385">
        <v>90.6</v>
      </c>
      <c r="E385">
        <v>-0.05</v>
      </c>
      <c r="F385">
        <v>93</v>
      </c>
      <c r="G385">
        <v>0</v>
      </c>
    </row>
    <row r="386" spans="1:7">
      <c r="A386" t="s">
        <v>111</v>
      </c>
      <c r="B386" s="1" t="s">
        <v>8</v>
      </c>
      <c r="C386">
        <v>11318</v>
      </c>
      <c r="D386">
        <v>84.9</v>
      </c>
      <c r="E386">
        <v>4.2999999999999997E-2</v>
      </c>
      <c r="F386">
        <v>104</v>
      </c>
      <c r="G386">
        <v>0</v>
      </c>
    </row>
    <row r="387" spans="1:7">
      <c r="A387" t="s">
        <v>111</v>
      </c>
      <c r="B387" s="1" t="s">
        <v>9</v>
      </c>
      <c r="C387">
        <v>14652</v>
      </c>
      <c r="D387">
        <v>86.5</v>
      </c>
      <c r="E387">
        <v>0.113</v>
      </c>
      <c r="F387">
        <v>23</v>
      </c>
      <c r="G387">
        <v>0</v>
      </c>
    </row>
    <row r="388" spans="1:7">
      <c r="A388" t="s">
        <v>111</v>
      </c>
      <c r="B388" s="1" t="s">
        <v>10</v>
      </c>
      <c r="C388">
        <v>12934</v>
      </c>
      <c r="D388">
        <v>88.2</v>
      </c>
      <c r="E388">
        <v>8.1000000000000003E-2</v>
      </c>
      <c r="F388">
        <v>22</v>
      </c>
      <c r="G388">
        <v>0</v>
      </c>
    </row>
    <row r="389" spans="1:7">
      <c r="A389" t="s">
        <v>111</v>
      </c>
      <c r="B389" s="1" t="s">
        <v>11</v>
      </c>
      <c r="C389">
        <v>14426</v>
      </c>
      <c r="D389">
        <v>86.5</v>
      </c>
      <c r="E389">
        <v>3.1E-2</v>
      </c>
      <c r="F389">
        <v>70</v>
      </c>
      <c r="G389">
        <v>0</v>
      </c>
    </row>
    <row r="390" spans="1:7">
      <c r="A390" t="s">
        <v>111</v>
      </c>
      <c r="B390" s="1" t="s">
        <v>12</v>
      </c>
      <c r="C390">
        <v>16799</v>
      </c>
      <c r="D390">
        <v>86.6</v>
      </c>
      <c r="E390">
        <v>0.108</v>
      </c>
      <c r="F390">
        <v>15</v>
      </c>
      <c r="G390">
        <v>0</v>
      </c>
    </row>
    <row r="391" spans="1:7">
      <c r="A391" t="s">
        <v>111</v>
      </c>
      <c r="B391" s="1" t="s">
        <v>13</v>
      </c>
      <c r="C391">
        <v>19432</v>
      </c>
      <c r="D391">
        <v>87.8</v>
      </c>
      <c r="E391">
        <v>0.14699999999999999</v>
      </c>
      <c r="F391">
        <v>86</v>
      </c>
      <c r="G391">
        <v>0</v>
      </c>
    </row>
    <row r="392" spans="1:7">
      <c r="A392" t="s">
        <v>111</v>
      </c>
      <c r="B392" s="1" t="s">
        <v>14</v>
      </c>
      <c r="C392">
        <v>21713</v>
      </c>
      <c r="D392">
        <v>87.6</v>
      </c>
      <c r="E392">
        <v>0.13400000000000001</v>
      </c>
      <c r="F392">
        <v>52</v>
      </c>
      <c r="G392">
        <v>0</v>
      </c>
    </row>
    <row r="393" spans="1:7">
      <c r="A393" t="s">
        <v>111</v>
      </c>
      <c r="B393" s="1" t="s">
        <v>15</v>
      </c>
      <c r="C393">
        <v>21508</v>
      </c>
      <c r="D393">
        <v>87.2</v>
      </c>
      <c r="E393">
        <v>0.114</v>
      </c>
      <c r="F393">
        <v>89</v>
      </c>
      <c r="G393">
        <v>0</v>
      </c>
    </row>
    <row r="394" spans="1:7">
      <c r="A394" t="s">
        <v>111</v>
      </c>
      <c r="B394" s="1" t="s">
        <v>16</v>
      </c>
      <c r="C394">
        <v>21866</v>
      </c>
      <c r="D394">
        <v>86.8</v>
      </c>
      <c r="E394">
        <v>0.157</v>
      </c>
      <c r="F394">
        <v>2241</v>
      </c>
      <c r="G394">
        <v>0</v>
      </c>
    </row>
    <row r="395" spans="1:7">
      <c r="A395" t="s">
        <v>111</v>
      </c>
      <c r="B395" s="1" t="s">
        <v>17</v>
      </c>
      <c r="C395">
        <v>22574</v>
      </c>
      <c r="D395">
        <v>88.6</v>
      </c>
      <c r="E395">
        <v>0.157</v>
      </c>
      <c r="F395">
        <v>66</v>
      </c>
      <c r="G395">
        <v>0</v>
      </c>
    </row>
    <row r="396" spans="1:7">
      <c r="A396" t="s">
        <v>111</v>
      </c>
      <c r="B396" s="1" t="s">
        <v>18</v>
      </c>
      <c r="C396">
        <v>18167</v>
      </c>
      <c r="D396">
        <v>88.5</v>
      </c>
      <c r="E396">
        <v>5.3999999999999999E-2</v>
      </c>
      <c r="F396">
        <v>66</v>
      </c>
      <c r="G396">
        <v>0</v>
      </c>
    </row>
    <row r="397" spans="1:7">
      <c r="A397" t="s">
        <v>111</v>
      </c>
      <c r="B397" s="1" t="s">
        <v>19</v>
      </c>
      <c r="C397">
        <v>14634</v>
      </c>
      <c r="D397">
        <v>87.5</v>
      </c>
      <c r="E397">
        <v>1.0999999999999999E-2</v>
      </c>
      <c r="F397">
        <v>144</v>
      </c>
      <c r="G397">
        <v>0</v>
      </c>
    </row>
    <row r="398" spans="1:7">
      <c r="A398" t="s">
        <v>111</v>
      </c>
      <c r="B398" s="1" t="s">
        <v>20</v>
      </c>
      <c r="C398">
        <v>15115</v>
      </c>
      <c r="D398">
        <v>86.6</v>
      </c>
      <c r="E398">
        <v>4.4999999999999998E-2</v>
      </c>
      <c r="F398">
        <v>72</v>
      </c>
      <c r="G398">
        <v>0</v>
      </c>
    </row>
    <row r="399" spans="1:7">
      <c r="A399" t="s">
        <v>111</v>
      </c>
      <c r="B399" s="1" t="s">
        <v>21</v>
      </c>
      <c r="C399">
        <v>16491</v>
      </c>
      <c r="D399">
        <v>86.4</v>
      </c>
      <c r="E399">
        <v>6.0999999999999999E-2</v>
      </c>
      <c r="F399">
        <v>96</v>
      </c>
      <c r="G399">
        <v>0</v>
      </c>
    </row>
    <row r="400" spans="1:7">
      <c r="A400" t="s">
        <v>111</v>
      </c>
      <c r="B400" s="1" t="s">
        <v>22</v>
      </c>
      <c r="C400">
        <v>16595</v>
      </c>
      <c r="D400">
        <v>87.2</v>
      </c>
      <c r="E400">
        <v>4.9000000000000002E-2</v>
      </c>
      <c r="F400">
        <v>107</v>
      </c>
      <c r="G400">
        <v>0</v>
      </c>
    </row>
    <row r="401" spans="1:7">
      <c r="A401" t="s">
        <v>111</v>
      </c>
      <c r="B401" s="1" t="s">
        <v>23</v>
      </c>
      <c r="C401">
        <v>16342</v>
      </c>
      <c r="D401">
        <v>86.6</v>
      </c>
      <c r="E401">
        <v>0.06</v>
      </c>
      <c r="F401">
        <v>115</v>
      </c>
      <c r="G401">
        <v>0</v>
      </c>
    </row>
    <row r="402" spans="1:7">
      <c r="A402" t="s">
        <v>111</v>
      </c>
      <c r="B402" s="1" t="s">
        <v>24</v>
      </c>
      <c r="C402">
        <v>16877</v>
      </c>
      <c r="D402">
        <v>86.8</v>
      </c>
      <c r="E402">
        <v>4.8000000000000001E-2</v>
      </c>
      <c r="F402">
        <v>114</v>
      </c>
      <c r="G402">
        <v>0</v>
      </c>
    </row>
    <row r="403" spans="1:7">
      <c r="A403" t="s">
        <v>111</v>
      </c>
      <c r="B403" s="1" t="s">
        <v>25</v>
      </c>
      <c r="C403">
        <v>15690</v>
      </c>
      <c r="D403">
        <v>87.4</v>
      </c>
      <c r="E403">
        <v>4.9000000000000002E-2</v>
      </c>
      <c r="F403">
        <v>110</v>
      </c>
      <c r="G403">
        <v>0</v>
      </c>
    </row>
    <row r="404" spans="1:7">
      <c r="A404" t="s">
        <v>111</v>
      </c>
      <c r="B404" s="1" t="s">
        <v>26</v>
      </c>
      <c r="C404">
        <v>16703</v>
      </c>
      <c r="D404">
        <v>87.1</v>
      </c>
      <c r="E404">
        <v>7.1999999999999995E-2</v>
      </c>
      <c r="F404">
        <v>82</v>
      </c>
      <c r="G404">
        <v>0</v>
      </c>
    </row>
    <row r="405" spans="1:7">
      <c r="A405" t="s">
        <v>111</v>
      </c>
      <c r="B405" s="1" t="s">
        <v>27</v>
      </c>
      <c r="C405">
        <v>16957</v>
      </c>
      <c r="D405">
        <v>87.8</v>
      </c>
      <c r="E405">
        <v>7.2999999999999995E-2</v>
      </c>
      <c r="F405">
        <v>50</v>
      </c>
      <c r="G405">
        <v>0</v>
      </c>
    </row>
    <row r="406" spans="1:7">
      <c r="A406" t="s">
        <v>111</v>
      </c>
      <c r="B406" s="1" t="s">
        <v>28</v>
      </c>
      <c r="C406">
        <v>17261</v>
      </c>
      <c r="D406">
        <v>86.3</v>
      </c>
      <c r="E406">
        <v>5.6000000000000001E-2</v>
      </c>
      <c r="F406">
        <v>109</v>
      </c>
      <c r="G406">
        <v>0</v>
      </c>
    </row>
    <row r="407" spans="1:7">
      <c r="A407" t="s">
        <v>111</v>
      </c>
      <c r="B407" s="1" t="s">
        <v>29</v>
      </c>
      <c r="C407">
        <v>17296</v>
      </c>
      <c r="D407">
        <v>87.6</v>
      </c>
      <c r="E407">
        <v>6.3E-2</v>
      </c>
      <c r="F407">
        <v>21</v>
      </c>
      <c r="G407">
        <v>0</v>
      </c>
    </row>
    <row r="408" spans="1:7">
      <c r="A408" t="s">
        <v>111</v>
      </c>
      <c r="B408" s="1" t="s">
        <v>30</v>
      </c>
      <c r="C408">
        <v>13697</v>
      </c>
      <c r="D408">
        <v>87.5</v>
      </c>
      <c r="E408">
        <v>1.9E-2</v>
      </c>
      <c r="F408">
        <v>86</v>
      </c>
      <c r="G408">
        <v>0</v>
      </c>
    </row>
    <row r="409" spans="1:7">
      <c r="A409" t="s">
        <v>111</v>
      </c>
      <c r="B409" s="1" t="s">
        <v>31</v>
      </c>
      <c r="C409">
        <v>8515</v>
      </c>
      <c r="D409">
        <v>86.6</v>
      </c>
      <c r="E409">
        <v>-4.3999999999999997E-2</v>
      </c>
      <c r="F409">
        <v>55</v>
      </c>
      <c r="G409">
        <v>0</v>
      </c>
    </row>
    <row r="410" spans="1:7">
      <c r="A410" t="s">
        <v>112</v>
      </c>
      <c r="B410" s="1" t="s">
        <v>8</v>
      </c>
      <c r="C410">
        <v>10400</v>
      </c>
      <c r="D410">
        <v>87.5</v>
      </c>
      <c r="E410">
        <v>5.3999999999999999E-2</v>
      </c>
      <c r="F410">
        <v>89</v>
      </c>
      <c r="G410">
        <v>0</v>
      </c>
    </row>
    <row r="411" spans="1:7">
      <c r="A411" t="s">
        <v>112</v>
      </c>
      <c r="B411" s="1" t="s">
        <v>9</v>
      </c>
      <c r="C411">
        <v>10627</v>
      </c>
      <c r="D411">
        <v>87.6</v>
      </c>
      <c r="E411">
        <v>5.1999999999999998E-2</v>
      </c>
      <c r="F411">
        <v>76</v>
      </c>
      <c r="G411">
        <v>0</v>
      </c>
    </row>
    <row r="412" spans="1:7">
      <c r="A412" t="s">
        <v>112</v>
      </c>
      <c r="B412" s="1" t="s">
        <v>10</v>
      </c>
      <c r="C412">
        <v>10774</v>
      </c>
      <c r="D412">
        <v>87.4</v>
      </c>
      <c r="E412">
        <v>3.3000000000000002E-2</v>
      </c>
      <c r="F412">
        <v>69</v>
      </c>
      <c r="G412">
        <v>0</v>
      </c>
    </row>
    <row r="413" spans="1:7">
      <c r="A413" t="s">
        <v>112</v>
      </c>
      <c r="B413" s="1" t="s">
        <v>11</v>
      </c>
      <c r="C413">
        <v>11073</v>
      </c>
      <c r="D413">
        <v>86.5</v>
      </c>
      <c r="E413">
        <v>6.9000000000000006E-2</v>
      </c>
      <c r="F413">
        <v>69</v>
      </c>
      <c r="G413">
        <v>0</v>
      </c>
    </row>
    <row r="414" spans="1:7">
      <c r="A414" t="s">
        <v>112</v>
      </c>
      <c r="B414" s="1" t="s">
        <v>12</v>
      </c>
      <c r="C414">
        <v>13940</v>
      </c>
      <c r="D414">
        <v>87.2</v>
      </c>
      <c r="E414">
        <v>0.127</v>
      </c>
      <c r="F414">
        <v>84</v>
      </c>
      <c r="G414">
        <v>0</v>
      </c>
    </row>
    <row r="415" spans="1:7">
      <c r="A415" t="s">
        <v>112</v>
      </c>
      <c r="B415" s="1" t="s">
        <v>13</v>
      </c>
      <c r="C415">
        <v>15208</v>
      </c>
      <c r="D415">
        <v>87.8</v>
      </c>
      <c r="E415">
        <v>8.4000000000000005E-2</v>
      </c>
      <c r="F415">
        <v>89</v>
      </c>
      <c r="G415">
        <v>0</v>
      </c>
    </row>
    <row r="416" spans="1:7">
      <c r="A416" t="s">
        <v>112</v>
      </c>
      <c r="B416" s="1" t="s">
        <v>14</v>
      </c>
      <c r="C416">
        <v>14444</v>
      </c>
      <c r="D416">
        <v>86.6</v>
      </c>
      <c r="E416">
        <v>2.7E-2</v>
      </c>
      <c r="F416">
        <v>90</v>
      </c>
      <c r="G416">
        <v>0</v>
      </c>
    </row>
    <row r="417" spans="1:7">
      <c r="A417" t="s">
        <v>112</v>
      </c>
      <c r="B417" s="1" t="s">
        <v>15</v>
      </c>
      <c r="C417">
        <v>14721</v>
      </c>
      <c r="D417">
        <v>86</v>
      </c>
      <c r="E417">
        <v>4.7E-2</v>
      </c>
      <c r="F417">
        <v>64</v>
      </c>
      <c r="G417">
        <v>0</v>
      </c>
    </row>
    <row r="418" spans="1:7">
      <c r="A418" t="s">
        <v>112</v>
      </c>
      <c r="B418" s="1" t="s">
        <v>16</v>
      </c>
      <c r="C418">
        <v>14547</v>
      </c>
      <c r="D418">
        <v>87.3</v>
      </c>
      <c r="E418">
        <v>6.3E-2</v>
      </c>
      <c r="F418">
        <v>21</v>
      </c>
      <c r="G418">
        <v>0</v>
      </c>
    </row>
    <row r="419" spans="1:7">
      <c r="A419" t="s">
        <v>112</v>
      </c>
      <c r="B419" s="1" t="s">
        <v>17</v>
      </c>
      <c r="C419">
        <v>15991</v>
      </c>
      <c r="D419">
        <v>87.2</v>
      </c>
      <c r="E419">
        <v>5.8999999999999997E-2</v>
      </c>
      <c r="F419">
        <v>70</v>
      </c>
      <c r="G419">
        <v>0</v>
      </c>
    </row>
    <row r="420" spans="1:7">
      <c r="A420" t="s">
        <v>112</v>
      </c>
      <c r="B420" s="1" t="s">
        <v>18</v>
      </c>
      <c r="C420">
        <v>15470</v>
      </c>
      <c r="D420">
        <v>87.2</v>
      </c>
      <c r="E420">
        <v>5.6000000000000001E-2</v>
      </c>
      <c r="F420">
        <v>77</v>
      </c>
      <c r="G420">
        <v>0</v>
      </c>
    </row>
    <row r="421" spans="1:7">
      <c r="A421" t="s">
        <v>112</v>
      </c>
      <c r="B421" s="1" t="s">
        <v>19</v>
      </c>
      <c r="C421">
        <v>14891</v>
      </c>
      <c r="D421">
        <v>86.9</v>
      </c>
      <c r="E421">
        <v>5.6000000000000001E-2</v>
      </c>
      <c r="F421">
        <v>39</v>
      </c>
      <c r="G421">
        <v>0</v>
      </c>
    </row>
    <row r="422" spans="1:7">
      <c r="A422" t="s">
        <v>112</v>
      </c>
      <c r="B422" s="1" t="s">
        <v>20</v>
      </c>
      <c r="C422">
        <v>15021</v>
      </c>
      <c r="D422">
        <v>87.1</v>
      </c>
      <c r="E422">
        <v>5.8000000000000003E-2</v>
      </c>
      <c r="F422">
        <v>106</v>
      </c>
      <c r="G422">
        <v>0</v>
      </c>
    </row>
    <row r="423" spans="1:7">
      <c r="A423" t="s">
        <v>112</v>
      </c>
      <c r="B423" s="1" t="s">
        <v>21</v>
      </c>
      <c r="C423">
        <v>14561</v>
      </c>
      <c r="D423">
        <v>86.8</v>
      </c>
      <c r="E423">
        <v>5.3999999999999999E-2</v>
      </c>
      <c r="F423">
        <v>59</v>
      </c>
      <c r="G423">
        <v>0</v>
      </c>
    </row>
    <row r="424" spans="1:7">
      <c r="A424" t="s">
        <v>112</v>
      </c>
      <c r="B424" s="1" t="s">
        <v>22</v>
      </c>
      <c r="C424">
        <v>14689</v>
      </c>
      <c r="D424">
        <v>87</v>
      </c>
      <c r="E424">
        <v>5.6000000000000001E-2</v>
      </c>
      <c r="F424">
        <v>29</v>
      </c>
      <c r="G424">
        <v>0</v>
      </c>
    </row>
    <row r="425" spans="1:7">
      <c r="A425" t="s">
        <v>112</v>
      </c>
      <c r="B425" s="1" t="s">
        <v>23</v>
      </c>
      <c r="C425">
        <v>15575</v>
      </c>
      <c r="D425">
        <v>86.9</v>
      </c>
      <c r="E425">
        <v>6.6000000000000003E-2</v>
      </c>
      <c r="F425">
        <v>95</v>
      </c>
      <c r="G425">
        <v>0</v>
      </c>
    </row>
    <row r="426" spans="1:7">
      <c r="A426" t="s">
        <v>112</v>
      </c>
      <c r="B426" s="1" t="s">
        <v>24</v>
      </c>
      <c r="C426">
        <v>15534</v>
      </c>
      <c r="D426">
        <v>85.4</v>
      </c>
      <c r="E426">
        <v>5.1999999999999998E-2</v>
      </c>
      <c r="F426">
        <v>84</v>
      </c>
      <c r="G426">
        <v>0</v>
      </c>
    </row>
    <row r="427" spans="1:7">
      <c r="A427" t="s">
        <v>112</v>
      </c>
      <c r="B427" s="1" t="s">
        <v>25</v>
      </c>
      <c r="C427">
        <v>14155</v>
      </c>
      <c r="D427">
        <v>87</v>
      </c>
      <c r="E427">
        <v>4.8000000000000001E-2</v>
      </c>
      <c r="F427">
        <v>23</v>
      </c>
      <c r="G427">
        <v>0</v>
      </c>
    </row>
    <row r="428" spans="1:7">
      <c r="A428" t="s">
        <v>112</v>
      </c>
      <c r="B428" s="1" t="s">
        <v>26</v>
      </c>
      <c r="C428">
        <v>14018</v>
      </c>
      <c r="D428">
        <v>87.2</v>
      </c>
      <c r="E428">
        <v>7.2999999999999995E-2</v>
      </c>
      <c r="F428">
        <v>118</v>
      </c>
      <c r="G428">
        <v>0</v>
      </c>
    </row>
    <row r="429" spans="1:7">
      <c r="A429" t="s">
        <v>112</v>
      </c>
      <c r="B429" s="1" t="s">
        <v>27</v>
      </c>
      <c r="C429">
        <v>15337</v>
      </c>
      <c r="D429">
        <v>86.8</v>
      </c>
      <c r="E429">
        <v>6.6000000000000003E-2</v>
      </c>
      <c r="F429">
        <v>193</v>
      </c>
      <c r="G429">
        <v>0</v>
      </c>
    </row>
    <row r="430" spans="1:7">
      <c r="A430" t="s">
        <v>112</v>
      </c>
      <c r="B430" s="1" t="s">
        <v>28</v>
      </c>
      <c r="C430">
        <v>15193</v>
      </c>
      <c r="D430">
        <v>87.2</v>
      </c>
      <c r="E430">
        <v>6.2E-2</v>
      </c>
      <c r="F430">
        <v>72</v>
      </c>
      <c r="G430">
        <v>0</v>
      </c>
    </row>
    <row r="431" spans="1:7">
      <c r="A431" t="s">
        <v>112</v>
      </c>
      <c r="B431" s="1" t="s">
        <v>29</v>
      </c>
      <c r="C431">
        <v>16016</v>
      </c>
      <c r="D431">
        <v>86.5</v>
      </c>
      <c r="E431">
        <v>6.6000000000000003E-2</v>
      </c>
      <c r="F431">
        <v>130</v>
      </c>
      <c r="G431">
        <v>0</v>
      </c>
    </row>
    <row r="432" spans="1:7">
      <c r="A432" t="s">
        <v>112</v>
      </c>
      <c r="B432" s="1" t="s">
        <v>30</v>
      </c>
      <c r="C432">
        <v>12488</v>
      </c>
      <c r="D432">
        <v>88.4</v>
      </c>
      <c r="E432">
        <v>2.7E-2</v>
      </c>
      <c r="F432">
        <v>90</v>
      </c>
      <c r="G432">
        <v>0</v>
      </c>
    </row>
    <row r="433" spans="1:7">
      <c r="A433" t="s">
        <v>112</v>
      </c>
      <c r="B433" s="1" t="s">
        <v>31</v>
      </c>
      <c r="C433">
        <v>6944</v>
      </c>
      <c r="D433">
        <v>85.9</v>
      </c>
      <c r="E433">
        <v>-2.4E-2</v>
      </c>
      <c r="F433">
        <v>97</v>
      </c>
      <c r="G433">
        <v>0</v>
      </c>
    </row>
    <row r="434" spans="1:7">
      <c r="A434" t="s">
        <v>113</v>
      </c>
      <c r="B434" s="1" t="s">
        <v>8</v>
      </c>
      <c r="C434">
        <v>7716</v>
      </c>
      <c r="D434">
        <v>86.3</v>
      </c>
      <c r="E434">
        <v>2.7E-2</v>
      </c>
      <c r="F434">
        <v>85</v>
      </c>
      <c r="G434">
        <v>0</v>
      </c>
    </row>
    <row r="435" spans="1:7">
      <c r="A435" t="s">
        <v>113</v>
      </c>
      <c r="B435" s="1" t="s">
        <v>9</v>
      </c>
      <c r="C435">
        <v>9195</v>
      </c>
      <c r="D435">
        <v>87.1</v>
      </c>
      <c r="E435">
        <v>4.8000000000000001E-2</v>
      </c>
      <c r="F435">
        <v>33</v>
      </c>
      <c r="G435">
        <v>0</v>
      </c>
    </row>
    <row r="436" spans="1:7">
      <c r="A436" t="s">
        <v>113</v>
      </c>
      <c r="B436" s="1" t="s">
        <v>10</v>
      </c>
      <c r="C436">
        <v>11198</v>
      </c>
      <c r="D436">
        <v>86.4</v>
      </c>
      <c r="E436">
        <v>5.3999999999999999E-2</v>
      </c>
      <c r="F436">
        <v>105</v>
      </c>
      <c r="G436">
        <v>0</v>
      </c>
    </row>
    <row r="437" spans="1:7">
      <c r="A437" t="s">
        <v>113</v>
      </c>
      <c r="B437" s="1" t="s">
        <v>11</v>
      </c>
      <c r="C437">
        <v>14289</v>
      </c>
      <c r="D437">
        <v>86</v>
      </c>
      <c r="E437">
        <v>9.9000000000000005E-2</v>
      </c>
      <c r="F437">
        <v>27</v>
      </c>
      <c r="G437">
        <v>0</v>
      </c>
    </row>
    <row r="438" spans="1:7">
      <c r="A438" t="s">
        <v>113</v>
      </c>
      <c r="B438" s="1" t="s">
        <v>12</v>
      </c>
      <c r="C438">
        <v>18016</v>
      </c>
      <c r="D438">
        <v>85.7</v>
      </c>
      <c r="E438">
        <v>0.13700000000000001</v>
      </c>
      <c r="F438">
        <v>88</v>
      </c>
      <c r="G438">
        <v>0</v>
      </c>
    </row>
    <row r="439" spans="1:7">
      <c r="A439" t="s">
        <v>113</v>
      </c>
      <c r="B439" s="1" t="s">
        <v>13</v>
      </c>
      <c r="C439">
        <v>16580</v>
      </c>
      <c r="D439">
        <v>88.7</v>
      </c>
      <c r="E439">
        <v>0.107</v>
      </c>
      <c r="F439">
        <v>71</v>
      </c>
      <c r="G439">
        <v>0</v>
      </c>
    </row>
    <row r="440" spans="1:7">
      <c r="A440" t="s">
        <v>113</v>
      </c>
      <c r="B440" s="1" t="s">
        <v>14</v>
      </c>
      <c r="C440">
        <v>16391</v>
      </c>
      <c r="D440">
        <v>88.1</v>
      </c>
      <c r="E440">
        <v>4.8000000000000001E-2</v>
      </c>
      <c r="F440">
        <v>95</v>
      </c>
      <c r="G440">
        <v>0</v>
      </c>
    </row>
    <row r="441" spans="1:7">
      <c r="A441" t="s">
        <v>113</v>
      </c>
      <c r="B441" s="1" t="s">
        <v>15</v>
      </c>
      <c r="C441">
        <v>16997</v>
      </c>
      <c r="D441">
        <v>85.7</v>
      </c>
      <c r="E441">
        <v>5.1999999999999998E-2</v>
      </c>
      <c r="F441">
        <v>82</v>
      </c>
      <c r="G441">
        <v>0</v>
      </c>
    </row>
    <row r="442" spans="1:7">
      <c r="A442" t="s">
        <v>113</v>
      </c>
      <c r="B442" s="1" t="s">
        <v>16</v>
      </c>
      <c r="C442">
        <v>16551</v>
      </c>
      <c r="D442">
        <v>86.9</v>
      </c>
      <c r="E442">
        <v>5.2999999999999999E-2</v>
      </c>
      <c r="F442">
        <v>81</v>
      </c>
      <c r="G442">
        <v>0</v>
      </c>
    </row>
    <row r="443" spans="1:7">
      <c r="A443" t="s">
        <v>113</v>
      </c>
      <c r="B443" s="1" t="s">
        <v>17</v>
      </c>
      <c r="C443">
        <v>17158</v>
      </c>
      <c r="D443">
        <v>87.7</v>
      </c>
      <c r="E443">
        <v>8.7999999999999995E-2</v>
      </c>
      <c r="F443">
        <v>83</v>
      </c>
      <c r="G443">
        <v>0</v>
      </c>
    </row>
    <row r="444" spans="1:7">
      <c r="A444" t="s">
        <v>113</v>
      </c>
      <c r="B444" s="1" t="s">
        <v>18</v>
      </c>
      <c r="C444">
        <v>17627</v>
      </c>
      <c r="D444">
        <v>86.1</v>
      </c>
      <c r="E444">
        <v>5.0999999999999997E-2</v>
      </c>
      <c r="F444">
        <v>83</v>
      </c>
      <c r="G444">
        <v>0</v>
      </c>
    </row>
    <row r="445" spans="1:7">
      <c r="A445" t="s">
        <v>113</v>
      </c>
      <c r="B445" s="1" t="s">
        <v>19</v>
      </c>
      <c r="C445">
        <v>16616</v>
      </c>
      <c r="D445">
        <v>86.8</v>
      </c>
      <c r="E445">
        <v>4.9000000000000002E-2</v>
      </c>
      <c r="F445">
        <v>85</v>
      </c>
      <c r="G445">
        <v>0</v>
      </c>
    </row>
    <row r="446" spans="1:7">
      <c r="A446" t="s">
        <v>113</v>
      </c>
      <c r="B446" s="1" t="s">
        <v>20</v>
      </c>
      <c r="C446">
        <v>16778</v>
      </c>
      <c r="D446">
        <v>86.9</v>
      </c>
      <c r="E446">
        <v>5.8000000000000003E-2</v>
      </c>
      <c r="F446">
        <v>20</v>
      </c>
      <c r="G446">
        <v>0</v>
      </c>
    </row>
    <row r="447" spans="1:7">
      <c r="A447" t="s">
        <v>113</v>
      </c>
      <c r="B447" s="1" t="s">
        <v>21</v>
      </c>
      <c r="C447">
        <v>16116</v>
      </c>
      <c r="D447">
        <v>86.9</v>
      </c>
      <c r="E447">
        <v>0.05</v>
      </c>
      <c r="F447">
        <v>86</v>
      </c>
      <c r="G447">
        <v>0</v>
      </c>
    </row>
    <row r="448" spans="1:7">
      <c r="A448" t="s">
        <v>113</v>
      </c>
      <c r="B448" s="1" t="s">
        <v>22</v>
      </c>
      <c r="C448">
        <v>17660</v>
      </c>
      <c r="D448">
        <v>86.7</v>
      </c>
      <c r="E448">
        <v>9.6000000000000002E-2</v>
      </c>
      <c r="F448">
        <v>96</v>
      </c>
      <c r="G448">
        <v>0</v>
      </c>
    </row>
    <row r="449" spans="1:7">
      <c r="A449" t="s">
        <v>113</v>
      </c>
      <c r="B449" s="1" t="s">
        <v>23</v>
      </c>
      <c r="C449">
        <v>16521</v>
      </c>
      <c r="D449">
        <v>87</v>
      </c>
      <c r="E449">
        <v>5.8000000000000003E-2</v>
      </c>
      <c r="F449">
        <v>99</v>
      </c>
      <c r="G449">
        <v>0</v>
      </c>
    </row>
    <row r="450" spans="1:7">
      <c r="A450" t="s">
        <v>113</v>
      </c>
      <c r="B450" s="1" t="s">
        <v>24</v>
      </c>
      <c r="C450">
        <v>16491</v>
      </c>
      <c r="D450">
        <v>86.8</v>
      </c>
      <c r="E450">
        <v>5.5E-2</v>
      </c>
      <c r="F450">
        <v>77</v>
      </c>
      <c r="G450">
        <v>0</v>
      </c>
    </row>
    <row r="451" spans="1:7">
      <c r="A451" t="s">
        <v>113</v>
      </c>
      <c r="B451" s="1" t="s">
        <v>25</v>
      </c>
      <c r="C451">
        <v>16268</v>
      </c>
      <c r="D451">
        <v>86.6</v>
      </c>
      <c r="E451">
        <v>6.0999999999999999E-2</v>
      </c>
      <c r="F451">
        <v>22</v>
      </c>
      <c r="G451">
        <v>0</v>
      </c>
    </row>
    <row r="452" spans="1:7">
      <c r="A452" t="s">
        <v>113</v>
      </c>
      <c r="B452" s="1" t="s">
        <v>26</v>
      </c>
      <c r="C452">
        <v>17083</v>
      </c>
      <c r="D452">
        <v>86.9</v>
      </c>
      <c r="E452">
        <v>7.0000000000000007E-2</v>
      </c>
      <c r="F452">
        <v>96</v>
      </c>
      <c r="G452">
        <v>0</v>
      </c>
    </row>
    <row r="453" spans="1:7">
      <c r="A453" t="s">
        <v>113</v>
      </c>
      <c r="B453" s="1" t="s">
        <v>27</v>
      </c>
      <c r="C453">
        <v>18195</v>
      </c>
      <c r="D453">
        <v>87.5</v>
      </c>
      <c r="E453">
        <v>8.4000000000000005E-2</v>
      </c>
      <c r="F453">
        <v>67</v>
      </c>
      <c r="G453">
        <v>0</v>
      </c>
    </row>
    <row r="454" spans="1:7">
      <c r="A454" t="s">
        <v>113</v>
      </c>
      <c r="B454" s="1" t="s">
        <v>28</v>
      </c>
      <c r="C454">
        <v>17665</v>
      </c>
      <c r="D454">
        <v>86.9</v>
      </c>
      <c r="E454">
        <v>6.0999999999999999E-2</v>
      </c>
      <c r="F454">
        <v>85</v>
      </c>
      <c r="G454">
        <v>0</v>
      </c>
    </row>
    <row r="455" spans="1:7">
      <c r="A455" t="s">
        <v>113</v>
      </c>
      <c r="B455" s="1" t="s">
        <v>29</v>
      </c>
      <c r="C455">
        <v>17469</v>
      </c>
      <c r="D455">
        <v>87</v>
      </c>
      <c r="E455">
        <v>7.8E-2</v>
      </c>
      <c r="F455">
        <v>65</v>
      </c>
      <c r="G455">
        <v>0</v>
      </c>
    </row>
    <row r="456" spans="1:7">
      <c r="A456" t="s">
        <v>113</v>
      </c>
      <c r="B456" s="1" t="s">
        <v>30</v>
      </c>
      <c r="C456">
        <v>14699</v>
      </c>
      <c r="D456">
        <v>88.6</v>
      </c>
      <c r="E456">
        <v>3.7999999999999999E-2</v>
      </c>
      <c r="F456">
        <v>97</v>
      </c>
      <c r="G456">
        <v>0</v>
      </c>
    </row>
    <row r="457" spans="1:7">
      <c r="A457" t="s">
        <v>113</v>
      </c>
      <c r="B457" s="1" t="s">
        <v>31</v>
      </c>
      <c r="C457">
        <v>9462</v>
      </c>
      <c r="D457">
        <v>89.2</v>
      </c>
      <c r="E457">
        <v>-3.7999999999999999E-2</v>
      </c>
      <c r="F457">
        <v>123</v>
      </c>
      <c r="G457">
        <v>0</v>
      </c>
    </row>
    <row r="458" spans="1:7">
      <c r="A458" t="s">
        <v>114</v>
      </c>
      <c r="B458" s="1" t="s">
        <v>8</v>
      </c>
      <c r="C458">
        <v>8311</v>
      </c>
      <c r="D458">
        <v>84.8</v>
      </c>
      <c r="E458">
        <v>4.0000000000000001E-3</v>
      </c>
      <c r="F458">
        <v>22</v>
      </c>
      <c r="G458">
        <v>0</v>
      </c>
    </row>
    <row r="459" spans="1:7">
      <c r="A459" t="s">
        <v>114</v>
      </c>
      <c r="B459" s="1" t="s">
        <v>9</v>
      </c>
      <c r="C459">
        <v>9817</v>
      </c>
      <c r="D459">
        <v>85.6</v>
      </c>
      <c r="E459">
        <v>4.8000000000000001E-2</v>
      </c>
      <c r="F459">
        <v>22</v>
      </c>
      <c r="G459">
        <v>0</v>
      </c>
    </row>
    <row r="460" spans="1:7">
      <c r="A460" t="s">
        <v>114</v>
      </c>
      <c r="B460" s="1" t="s">
        <v>10</v>
      </c>
      <c r="C460">
        <v>10062</v>
      </c>
      <c r="D460">
        <v>85.8</v>
      </c>
      <c r="E460">
        <v>4.7E-2</v>
      </c>
      <c r="F460">
        <v>77</v>
      </c>
      <c r="G460">
        <v>0</v>
      </c>
    </row>
    <row r="461" spans="1:7">
      <c r="A461" t="s">
        <v>114</v>
      </c>
      <c r="B461" s="1" t="s">
        <v>11</v>
      </c>
      <c r="C461">
        <v>11947</v>
      </c>
      <c r="D461">
        <v>86.5</v>
      </c>
      <c r="E461">
        <v>4.7E-2</v>
      </c>
      <c r="F461">
        <v>85</v>
      </c>
      <c r="G461">
        <v>0</v>
      </c>
    </row>
    <row r="462" spans="1:7">
      <c r="A462" t="s">
        <v>114</v>
      </c>
      <c r="B462" s="1" t="s">
        <v>12</v>
      </c>
      <c r="C462">
        <v>18741</v>
      </c>
      <c r="D462">
        <v>85.9</v>
      </c>
      <c r="E462">
        <v>0.17799999999999999</v>
      </c>
      <c r="F462">
        <v>88</v>
      </c>
      <c r="G462">
        <v>0</v>
      </c>
    </row>
    <row r="463" spans="1:7">
      <c r="A463" t="s">
        <v>114</v>
      </c>
      <c r="B463" s="1" t="s">
        <v>13</v>
      </c>
      <c r="C463">
        <v>20118</v>
      </c>
      <c r="D463">
        <v>87.3</v>
      </c>
      <c r="E463">
        <v>0.14000000000000001</v>
      </c>
      <c r="F463">
        <v>158</v>
      </c>
      <c r="G463">
        <v>0</v>
      </c>
    </row>
    <row r="464" spans="1:7">
      <c r="A464" t="s">
        <v>114</v>
      </c>
      <c r="B464" s="1" t="s">
        <v>14</v>
      </c>
      <c r="C464">
        <v>16749</v>
      </c>
      <c r="D464">
        <v>88.7</v>
      </c>
      <c r="E464">
        <v>5.1999999999999998E-2</v>
      </c>
      <c r="F464">
        <v>92</v>
      </c>
      <c r="G464">
        <v>0</v>
      </c>
    </row>
    <row r="465" spans="1:7">
      <c r="A465" t="s">
        <v>114</v>
      </c>
      <c r="B465" s="1" t="s">
        <v>15</v>
      </c>
      <c r="C465">
        <v>16446</v>
      </c>
      <c r="D465">
        <v>86.2</v>
      </c>
      <c r="E465">
        <v>2.3E-2</v>
      </c>
      <c r="F465">
        <v>67</v>
      </c>
      <c r="G465">
        <v>0</v>
      </c>
    </row>
    <row r="466" spans="1:7">
      <c r="A466" t="s">
        <v>114</v>
      </c>
      <c r="B466" s="1" t="s">
        <v>16</v>
      </c>
      <c r="C466">
        <v>16858</v>
      </c>
      <c r="D466">
        <v>86.8</v>
      </c>
      <c r="E466">
        <v>7.0000000000000007E-2</v>
      </c>
      <c r="F466">
        <v>71</v>
      </c>
      <c r="G466">
        <v>0</v>
      </c>
    </row>
    <row r="467" spans="1:7">
      <c r="A467" t="s">
        <v>114</v>
      </c>
      <c r="B467" s="1" t="s">
        <v>17</v>
      </c>
      <c r="C467">
        <v>19104</v>
      </c>
      <c r="D467">
        <v>87.3</v>
      </c>
      <c r="E467">
        <v>8.1000000000000003E-2</v>
      </c>
      <c r="F467">
        <v>20</v>
      </c>
      <c r="G467">
        <v>0</v>
      </c>
    </row>
    <row r="468" spans="1:7">
      <c r="A468" t="s">
        <v>114</v>
      </c>
      <c r="B468" s="1" t="s">
        <v>18</v>
      </c>
      <c r="C468">
        <v>18293</v>
      </c>
      <c r="D468">
        <v>88.7</v>
      </c>
      <c r="E468">
        <v>8.7999999999999995E-2</v>
      </c>
      <c r="F468">
        <v>113</v>
      </c>
      <c r="G468">
        <v>0</v>
      </c>
    </row>
    <row r="469" spans="1:7">
      <c r="A469" t="s">
        <v>114</v>
      </c>
      <c r="B469" s="1" t="s">
        <v>19</v>
      </c>
      <c r="C469">
        <v>14747</v>
      </c>
      <c r="D469">
        <v>87.4</v>
      </c>
      <c r="E469">
        <v>3.0000000000000001E-3</v>
      </c>
      <c r="F469">
        <v>47</v>
      </c>
      <c r="G469">
        <v>0</v>
      </c>
    </row>
    <row r="470" spans="1:7">
      <c r="A470" t="s">
        <v>114</v>
      </c>
      <c r="B470" s="1" t="s">
        <v>20</v>
      </c>
      <c r="C470">
        <v>13608</v>
      </c>
      <c r="D470">
        <v>86.6</v>
      </c>
      <c r="E470">
        <v>1.0999999999999999E-2</v>
      </c>
      <c r="F470">
        <v>251</v>
      </c>
      <c r="G470">
        <v>0</v>
      </c>
    </row>
    <row r="471" spans="1:7">
      <c r="A471" t="s">
        <v>114</v>
      </c>
      <c r="B471" s="1" t="s">
        <v>21</v>
      </c>
      <c r="C471">
        <v>13631</v>
      </c>
      <c r="D471">
        <v>87.1</v>
      </c>
      <c r="E471">
        <v>3.6999999999999998E-2</v>
      </c>
      <c r="F471">
        <v>165</v>
      </c>
      <c r="G471">
        <v>0</v>
      </c>
    </row>
    <row r="472" spans="1:7">
      <c r="A472" t="s">
        <v>114</v>
      </c>
      <c r="B472" s="1" t="s">
        <v>22</v>
      </c>
      <c r="C472">
        <v>13790</v>
      </c>
      <c r="D472">
        <v>86.9</v>
      </c>
      <c r="E472">
        <v>5.6000000000000001E-2</v>
      </c>
      <c r="F472">
        <v>94</v>
      </c>
      <c r="G472">
        <v>0</v>
      </c>
    </row>
    <row r="473" spans="1:7">
      <c r="A473" t="s">
        <v>114</v>
      </c>
      <c r="B473" s="1" t="s">
        <v>23</v>
      </c>
      <c r="C473">
        <v>13535</v>
      </c>
      <c r="D473">
        <v>87.1</v>
      </c>
      <c r="E473">
        <v>4.8000000000000001E-2</v>
      </c>
      <c r="F473">
        <v>58</v>
      </c>
      <c r="G473">
        <v>0</v>
      </c>
    </row>
    <row r="474" spans="1:7">
      <c r="A474" t="s">
        <v>114</v>
      </c>
      <c r="B474" s="1" t="s">
        <v>24</v>
      </c>
      <c r="C474">
        <v>14379</v>
      </c>
      <c r="D474">
        <v>86.8</v>
      </c>
      <c r="E474">
        <v>6.2E-2</v>
      </c>
      <c r="F474">
        <v>100</v>
      </c>
      <c r="G474">
        <v>0</v>
      </c>
    </row>
    <row r="475" spans="1:7">
      <c r="A475" t="s">
        <v>114</v>
      </c>
      <c r="B475" s="1" t="s">
        <v>25</v>
      </c>
      <c r="C475">
        <v>15709</v>
      </c>
      <c r="D475">
        <v>87.1</v>
      </c>
      <c r="E475">
        <v>7.3999999999999996E-2</v>
      </c>
      <c r="F475">
        <v>98</v>
      </c>
      <c r="G475">
        <v>0</v>
      </c>
    </row>
    <row r="476" spans="1:7">
      <c r="A476" t="s">
        <v>114</v>
      </c>
      <c r="B476" s="1" t="s">
        <v>26</v>
      </c>
      <c r="C476">
        <v>16839</v>
      </c>
      <c r="D476">
        <v>87</v>
      </c>
      <c r="E476">
        <v>7.0000000000000007E-2</v>
      </c>
      <c r="F476">
        <v>97</v>
      </c>
      <c r="G476">
        <v>0</v>
      </c>
    </row>
    <row r="477" spans="1:7">
      <c r="A477" t="s">
        <v>114</v>
      </c>
      <c r="B477" s="1" t="s">
        <v>27</v>
      </c>
      <c r="C477">
        <v>18044</v>
      </c>
      <c r="D477">
        <v>87</v>
      </c>
      <c r="E477">
        <v>6.6000000000000003E-2</v>
      </c>
      <c r="F477">
        <v>89</v>
      </c>
      <c r="G477">
        <v>0</v>
      </c>
    </row>
    <row r="478" spans="1:7">
      <c r="A478" t="s">
        <v>114</v>
      </c>
      <c r="B478" s="1" t="s">
        <v>28</v>
      </c>
      <c r="C478">
        <v>17291</v>
      </c>
      <c r="D478">
        <v>86.8</v>
      </c>
      <c r="E478">
        <v>5.6000000000000001E-2</v>
      </c>
      <c r="F478">
        <v>22</v>
      </c>
      <c r="G478">
        <v>0</v>
      </c>
    </row>
    <row r="479" spans="1:7">
      <c r="A479" t="s">
        <v>114</v>
      </c>
      <c r="B479" s="1" t="s">
        <v>29</v>
      </c>
      <c r="C479">
        <v>17872</v>
      </c>
      <c r="D479">
        <v>86.9</v>
      </c>
      <c r="E479">
        <v>7.6999999999999999E-2</v>
      </c>
      <c r="F479">
        <v>64</v>
      </c>
      <c r="G479">
        <v>0</v>
      </c>
    </row>
    <row r="480" spans="1:7">
      <c r="A480" t="s">
        <v>114</v>
      </c>
      <c r="B480" s="1" t="s">
        <v>30</v>
      </c>
      <c r="C480">
        <v>15149</v>
      </c>
      <c r="D480">
        <v>87.5</v>
      </c>
      <c r="E480">
        <v>2.1000000000000001E-2</v>
      </c>
      <c r="F480">
        <v>94</v>
      </c>
      <c r="G480">
        <v>0</v>
      </c>
    </row>
    <row r="481" spans="1:7">
      <c r="A481" t="s">
        <v>114</v>
      </c>
      <c r="B481" s="1" t="s">
        <v>31</v>
      </c>
      <c r="C481">
        <v>8996</v>
      </c>
      <c r="D481">
        <v>89.9</v>
      </c>
      <c r="E481">
        <v>-4.4999999999999998E-2</v>
      </c>
      <c r="F481">
        <v>45</v>
      </c>
      <c r="G481">
        <v>0</v>
      </c>
    </row>
    <row r="482" spans="1:7">
      <c r="A482" t="s">
        <v>115</v>
      </c>
      <c r="B482" s="1" t="s">
        <v>8</v>
      </c>
      <c r="C482">
        <v>8942</v>
      </c>
      <c r="D482">
        <v>86.4</v>
      </c>
      <c r="E482">
        <v>2.3E-2</v>
      </c>
      <c r="F482">
        <v>93</v>
      </c>
      <c r="G482">
        <v>0</v>
      </c>
    </row>
    <row r="483" spans="1:7">
      <c r="A483" t="s">
        <v>115</v>
      </c>
      <c r="B483" s="1" t="s">
        <v>9</v>
      </c>
      <c r="C483">
        <v>10506</v>
      </c>
      <c r="D483">
        <v>87.1</v>
      </c>
      <c r="E483">
        <v>4.9000000000000002E-2</v>
      </c>
      <c r="F483">
        <v>89</v>
      </c>
      <c r="G483">
        <v>0</v>
      </c>
    </row>
    <row r="484" spans="1:7">
      <c r="A484" t="s">
        <v>115</v>
      </c>
      <c r="B484" s="1" t="s">
        <v>10</v>
      </c>
      <c r="C484">
        <v>11227</v>
      </c>
      <c r="D484">
        <v>86.9</v>
      </c>
      <c r="E484">
        <v>5.6000000000000001E-2</v>
      </c>
      <c r="F484">
        <v>78</v>
      </c>
      <c r="G484">
        <v>0</v>
      </c>
    </row>
    <row r="485" spans="1:7">
      <c r="A485" t="s">
        <v>115</v>
      </c>
      <c r="B485" s="1" t="s">
        <v>11</v>
      </c>
      <c r="C485">
        <v>13392</v>
      </c>
      <c r="D485">
        <v>87.1</v>
      </c>
      <c r="E485">
        <v>9.2999999999999999E-2</v>
      </c>
      <c r="F485">
        <v>19</v>
      </c>
      <c r="G485">
        <v>0</v>
      </c>
    </row>
    <row r="486" spans="1:7">
      <c r="A486" t="s">
        <v>115</v>
      </c>
      <c r="B486" s="1" t="s">
        <v>12</v>
      </c>
      <c r="C486">
        <v>16294</v>
      </c>
      <c r="D486">
        <v>88</v>
      </c>
      <c r="E486">
        <v>0.155</v>
      </c>
      <c r="F486">
        <v>93</v>
      </c>
      <c r="G486">
        <v>0</v>
      </c>
    </row>
    <row r="487" spans="1:7">
      <c r="A487" t="s">
        <v>115</v>
      </c>
      <c r="B487" s="1" t="s">
        <v>13</v>
      </c>
      <c r="C487">
        <v>13567</v>
      </c>
      <c r="D487">
        <v>88</v>
      </c>
      <c r="E487">
        <v>5.8000000000000003E-2</v>
      </c>
      <c r="F487">
        <v>43</v>
      </c>
      <c r="G487">
        <v>0</v>
      </c>
    </row>
    <row r="488" spans="1:7">
      <c r="A488" t="s">
        <v>115</v>
      </c>
      <c r="B488" s="1" t="s">
        <v>14</v>
      </c>
      <c r="C488">
        <v>14581</v>
      </c>
      <c r="D488">
        <v>86.8</v>
      </c>
      <c r="E488">
        <v>3.7999999999999999E-2</v>
      </c>
      <c r="F488">
        <v>103</v>
      </c>
      <c r="G488">
        <v>0</v>
      </c>
    </row>
    <row r="489" spans="1:7">
      <c r="A489" t="s">
        <v>115</v>
      </c>
      <c r="B489" s="1" t="s">
        <v>15</v>
      </c>
      <c r="C489">
        <v>15860</v>
      </c>
      <c r="D489">
        <v>86.9</v>
      </c>
      <c r="E489">
        <v>8.1000000000000003E-2</v>
      </c>
      <c r="F489">
        <v>81</v>
      </c>
      <c r="G489">
        <v>0</v>
      </c>
    </row>
    <row r="490" spans="1:7">
      <c r="A490" t="s">
        <v>115</v>
      </c>
      <c r="B490" s="1" t="s">
        <v>16</v>
      </c>
      <c r="C490">
        <v>15655</v>
      </c>
      <c r="D490">
        <v>87.5</v>
      </c>
      <c r="E490">
        <v>6.5000000000000002E-2</v>
      </c>
      <c r="F490">
        <v>78</v>
      </c>
      <c r="G490">
        <v>0</v>
      </c>
    </row>
    <row r="491" spans="1:7">
      <c r="A491" t="s">
        <v>115</v>
      </c>
      <c r="B491" s="1" t="s">
        <v>17</v>
      </c>
      <c r="C491">
        <v>16740</v>
      </c>
      <c r="D491">
        <v>87.2</v>
      </c>
      <c r="E491">
        <v>6.7000000000000004E-2</v>
      </c>
      <c r="F491">
        <v>82</v>
      </c>
      <c r="G491">
        <v>0</v>
      </c>
    </row>
    <row r="492" spans="1:7">
      <c r="A492" t="s">
        <v>115</v>
      </c>
      <c r="B492" s="1" t="s">
        <v>18</v>
      </c>
      <c r="C492">
        <v>16254</v>
      </c>
      <c r="D492">
        <v>87.7</v>
      </c>
      <c r="E492">
        <v>6.6000000000000003E-2</v>
      </c>
      <c r="F492">
        <v>100</v>
      </c>
      <c r="G492">
        <v>0</v>
      </c>
    </row>
    <row r="493" spans="1:7">
      <c r="A493" t="s">
        <v>115</v>
      </c>
      <c r="B493" s="1" t="s">
        <v>19</v>
      </c>
      <c r="C493">
        <v>16052</v>
      </c>
      <c r="D493">
        <v>86.9</v>
      </c>
      <c r="E493">
        <v>5.0999999999999997E-2</v>
      </c>
      <c r="F493">
        <v>66</v>
      </c>
      <c r="G493">
        <v>0</v>
      </c>
    </row>
    <row r="494" spans="1:7">
      <c r="A494" t="s">
        <v>115</v>
      </c>
      <c r="B494" s="1" t="s">
        <v>20</v>
      </c>
      <c r="C494">
        <v>15795</v>
      </c>
      <c r="D494">
        <v>86.5</v>
      </c>
      <c r="E494">
        <v>0.05</v>
      </c>
      <c r="F494">
        <v>74</v>
      </c>
      <c r="G494">
        <v>0</v>
      </c>
    </row>
    <row r="495" spans="1:7">
      <c r="A495" t="s">
        <v>115</v>
      </c>
      <c r="B495" s="1" t="s">
        <v>21</v>
      </c>
      <c r="C495">
        <v>14685</v>
      </c>
      <c r="D495">
        <v>86.4</v>
      </c>
      <c r="E495">
        <v>6.3E-2</v>
      </c>
      <c r="F495">
        <v>105</v>
      </c>
      <c r="G495">
        <v>0</v>
      </c>
    </row>
    <row r="496" spans="1:7">
      <c r="A496" t="s">
        <v>115</v>
      </c>
      <c r="B496" s="1" t="s">
        <v>22</v>
      </c>
      <c r="C496">
        <v>14720</v>
      </c>
      <c r="D496">
        <v>86.9</v>
      </c>
      <c r="E496">
        <v>5.6000000000000001E-2</v>
      </c>
      <c r="F496">
        <v>97</v>
      </c>
      <c r="G496">
        <v>0</v>
      </c>
    </row>
    <row r="497" spans="1:7">
      <c r="A497" t="s">
        <v>115</v>
      </c>
      <c r="B497" s="1" t="s">
        <v>23</v>
      </c>
      <c r="C497">
        <v>14626</v>
      </c>
      <c r="D497">
        <v>86.9</v>
      </c>
      <c r="E497">
        <v>6.6000000000000003E-2</v>
      </c>
      <c r="F497">
        <v>89</v>
      </c>
      <c r="G497">
        <v>0</v>
      </c>
    </row>
    <row r="498" spans="1:7">
      <c r="A498" t="s">
        <v>115</v>
      </c>
      <c r="B498" s="1" t="s">
        <v>24</v>
      </c>
      <c r="C498">
        <v>15858</v>
      </c>
      <c r="D498">
        <v>86.8</v>
      </c>
      <c r="E498">
        <v>7.3999999999999996E-2</v>
      </c>
      <c r="F498">
        <v>89</v>
      </c>
      <c r="G498">
        <v>0</v>
      </c>
    </row>
    <row r="499" spans="1:7">
      <c r="A499" t="s">
        <v>115</v>
      </c>
      <c r="B499" s="1" t="s">
        <v>25</v>
      </c>
      <c r="C499">
        <v>17417</v>
      </c>
      <c r="D499">
        <v>87</v>
      </c>
      <c r="E499">
        <v>8.1000000000000003E-2</v>
      </c>
      <c r="F499">
        <v>81</v>
      </c>
      <c r="G499">
        <v>0</v>
      </c>
    </row>
    <row r="500" spans="1:7">
      <c r="A500" t="s">
        <v>115</v>
      </c>
      <c r="B500" s="1" t="s">
        <v>26</v>
      </c>
      <c r="C500">
        <v>17752</v>
      </c>
      <c r="D500">
        <v>87.4</v>
      </c>
      <c r="E500">
        <v>7.4999999999999997E-2</v>
      </c>
      <c r="F500">
        <v>20</v>
      </c>
      <c r="G500">
        <v>0</v>
      </c>
    </row>
    <row r="501" spans="1:7">
      <c r="A501" t="s">
        <v>115</v>
      </c>
      <c r="B501" s="1" t="s">
        <v>27</v>
      </c>
      <c r="C501">
        <v>17276</v>
      </c>
      <c r="D501">
        <v>87.2</v>
      </c>
      <c r="E501">
        <v>6.4000000000000001E-2</v>
      </c>
      <c r="F501">
        <v>85</v>
      </c>
      <c r="G501">
        <v>0</v>
      </c>
    </row>
    <row r="502" spans="1:7">
      <c r="A502" t="s">
        <v>115</v>
      </c>
      <c r="B502" s="1" t="s">
        <v>28</v>
      </c>
      <c r="C502">
        <v>18580</v>
      </c>
      <c r="D502">
        <v>87.1</v>
      </c>
      <c r="E502">
        <v>7.6999999999999999E-2</v>
      </c>
      <c r="F502">
        <v>22</v>
      </c>
      <c r="G502">
        <v>0</v>
      </c>
    </row>
    <row r="503" spans="1:7">
      <c r="A503" t="s">
        <v>115</v>
      </c>
      <c r="B503" s="1" t="s">
        <v>29</v>
      </c>
      <c r="C503">
        <v>18646</v>
      </c>
      <c r="D503">
        <v>87.8</v>
      </c>
      <c r="E503">
        <v>8.6999999999999994E-2</v>
      </c>
      <c r="F503">
        <v>25</v>
      </c>
      <c r="G503">
        <v>0</v>
      </c>
    </row>
    <row r="504" spans="1:7">
      <c r="A504" t="s">
        <v>115</v>
      </c>
      <c r="B504" s="1" t="s">
        <v>30</v>
      </c>
      <c r="C504">
        <v>15528</v>
      </c>
      <c r="D504">
        <v>87.5</v>
      </c>
      <c r="E504">
        <v>1.2999999999999999E-2</v>
      </c>
      <c r="F504">
        <v>72</v>
      </c>
      <c r="G504">
        <v>0</v>
      </c>
    </row>
    <row r="505" spans="1:7">
      <c r="A505" t="s">
        <v>115</v>
      </c>
      <c r="B505" s="1" t="s">
        <v>31</v>
      </c>
      <c r="C505">
        <v>9236</v>
      </c>
      <c r="D505">
        <v>90.2</v>
      </c>
      <c r="E505">
        <v>-4.7E-2</v>
      </c>
      <c r="F505">
        <v>22</v>
      </c>
      <c r="G505">
        <v>0</v>
      </c>
    </row>
    <row r="506" spans="1:7">
      <c r="A506" t="s">
        <v>116</v>
      </c>
      <c r="B506" s="1" t="s">
        <v>8</v>
      </c>
      <c r="C506">
        <v>11285</v>
      </c>
      <c r="D506">
        <v>85.7</v>
      </c>
      <c r="E506">
        <v>3.5999999999999997E-2</v>
      </c>
      <c r="F506">
        <v>157</v>
      </c>
      <c r="G506">
        <v>0</v>
      </c>
    </row>
    <row r="507" spans="1:7">
      <c r="A507" t="s">
        <v>116</v>
      </c>
      <c r="B507" s="1" t="s">
        <v>9</v>
      </c>
      <c r="C507">
        <v>12487</v>
      </c>
      <c r="D507">
        <v>87.5</v>
      </c>
      <c r="E507">
        <v>6.7000000000000004E-2</v>
      </c>
      <c r="F507">
        <v>21</v>
      </c>
      <c r="G507">
        <v>0</v>
      </c>
    </row>
    <row r="508" spans="1:7">
      <c r="A508" t="s">
        <v>116</v>
      </c>
      <c r="B508" s="1" t="s">
        <v>10</v>
      </c>
      <c r="C508">
        <v>11092</v>
      </c>
      <c r="D508">
        <v>87.1</v>
      </c>
      <c r="E508">
        <v>4.2999999999999997E-2</v>
      </c>
      <c r="F508">
        <v>28</v>
      </c>
      <c r="G508">
        <v>0</v>
      </c>
    </row>
    <row r="509" spans="1:7">
      <c r="A509" t="s">
        <v>116</v>
      </c>
      <c r="B509" s="1" t="s">
        <v>11</v>
      </c>
      <c r="C509">
        <v>14339</v>
      </c>
      <c r="D509">
        <v>86.9</v>
      </c>
      <c r="E509">
        <v>9.2999999999999999E-2</v>
      </c>
      <c r="F509">
        <v>26</v>
      </c>
      <c r="G509">
        <v>0</v>
      </c>
    </row>
    <row r="510" spans="1:7">
      <c r="A510" t="s">
        <v>116</v>
      </c>
      <c r="B510" s="1" t="s">
        <v>12</v>
      </c>
      <c r="C510">
        <v>14422</v>
      </c>
      <c r="D510">
        <v>87.7</v>
      </c>
      <c r="E510">
        <v>9.8000000000000004E-2</v>
      </c>
      <c r="F510">
        <v>105</v>
      </c>
      <c r="G510">
        <v>0</v>
      </c>
    </row>
    <row r="511" spans="1:7">
      <c r="A511" t="s">
        <v>116</v>
      </c>
      <c r="B511" s="1" t="s">
        <v>13</v>
      </c>
      <c r="C511">
        <v>17052</v>
      </c>
      <c r="D511">
        <v>87.8</v>
      </c>
      <c r="E511">
        <v>0.10299999999999999</v>
      </c>
      <c r="F511">
        <v>21</v>
      </c>
      <c r="G511">
        <v>0</v>
      </c>
    </row>
    <row r="512" spans="1:7">
      <c r="A512" t="s">
        <v>116</v>
      </c>
      <c r="B512" s="1" t="s">
        <v>14</v>
      </c>
      <c r="C512">
        <v>18339</v>
      </c>
      <c r="D512">
        <v>87.1</v>
      </c>
      <c r="E512">
        <v>4.9000000000000002E-2</v>
      </c>
      <c r="F512">
        <v>22</v>
      </c>
      <c r="G512">
        <v>0</v>
      </c>
    </row>
    <row r="513" spans="1:7">
      <c r="A513" t="s">
        <v>116</v>
      </c>
      <c r="B513" s="1" t="s">
        <v>15</v>
      </c>
      <c r="C513">
        <v>19849</v>
      </c>
      <c r="D513">
        <v>85.9</v>
      </c>
      <c r="E513">
        <v>8.3000000000000004E-2</v>
      </c>
      <c r="F513">
        <v>110</v>
      </c>
      <c r="G513">
        <v>0</v>
      </c>
    </row>
    <row r="514" spans="1:7">
      <c r="A514" t="s">
        <v>116</v>
      </c>
      <c r="B514" s="1" t="s">
        <v>16</v>
      </c>
      <c r="C514">
        <v>17576</v>
      </c>
      <c r="D514">
        <v>88.3</v>
      </c>
      <c r="E514">
        <v>5.2999999999999999E-2</v>
      </c>
      <c r="F514">
        <v>94</v>
      </c>
      <c r="G514">
        <v>0</v>
      </c>
    </row>
    <row r="515" spans="1:7">
      <c r="A515" t="s">
        <v>116</v>
      </c>
      <c r="B515" s="1" t="s">
        <v>17</v>
      </c>
      <c r="C515">
        <v>16969</v>
      </c>
      <c r="D515">
        <v>86.9</v>
      </c>
      <c r="E515">
        <v>5.3999999999999999E-2</v>
      </c>
      <c r="F515">
        <v>156</v>
      </c>
      <c r="G515">
        <v>0</v>
      </c>
    </row>
    <row r="516" spans="1:7">
      <c r="A516" t="s">
        <v>116</v>
      </c>
      <c r="B516" s="1" t="s">
        <v>18</v>
      </c>
      <c r="C516">
        <v>18275</v>
      </c>
      <c r="D516">
        <v>87.3</v>
      </c>
      <c r="E516">
        <v>7.0999999999999994E-2</v>
      </c>
      <c r="F516">
        <v>198</v>
      </c>
      <c r="G516">
        <v>0</v>
      </c>
    </row>
    <row r="517" spans="1:7">
      <c r="A517" t="s">
        <v>116</v>
      </c>
      <c r="B517" s="1" t="s">
        <v>19</v>
      </c>
      <c r="C517">
        <v>16852</v>
      </c>
      <c r="D517">
        <v>87.6</v>
      </c>
      <c r="E517">
        <v>0.06</v>
      </c>
      <c r="F517">
        <v>73</v>
      </c>
      <c r="G517">
        <v>0</v>
      </c>
    </row>
    <row r="518" spans="1:7">
      <c r="A518" t="s">
        <v>116</v>
      </c>
      <c r="B518" s="1" t="s">
        <v>20</v>
      </c>
      <c r="C518">
        <v>16262</v>
      </c>
      <c r="D518">
        <v>87.1</v>
      </c>
      <c r="E518">
        <v>4.8000000000000001E-2</v>
      </c>
      <c r="F518">
        <v>67</v>
      </c>
      <c r="G518">
        <v>0</v>
      </c>
    </row>
    <row r="519" spans="1:7">
      <c r="A519" t="s">
        <v>116</v>
      </c>
      <c r="B519" s="1" t="s">
        <v>21</v>
      </c>
      <c r="C519">
        <v>15789</v>
      </c>
      <c r="D519">
        <v>86.9</v>
      </c>
      <c r="E519">
        <v>0.06</v>
      </c>
      <c r="F519">
        <v>117</v>
      </c>
      <c r="G519">
        <v>0</v>
      </c>
    </row>
    <row r="520" spans="1:7">
      <c r="A520" t="s">
        <v>116</v>
      </c>
      <c r="B520" s="1" t="s">
        <v>22</v>
      </c>
      <c r="C520">
        <v>16927</v>
      </c>
      <c r="D520">
        <v>86.8</v>
      </c>
      <c r="E520">
        <v>7.6999999999999999E-2</v>
      </c>
      <c r="F520">
        <v>167</v>
      </c>
      <c r="G520">
        <v>0</v>
      </c>
    </row>
    <row r="521" spans="1:7">
      <c r="A521" t="s">
        <v>116</v>
      </c>
      <c r="B521" s="1" t="s">
        <v>23</v>
      </c>
      <c r="C521">
        <v>17147</v>
      </c>
      <c r="D521">
        <v>87.3</v>
      </c>
      <c r="E521">
        <v>6.7000000000000004E-2</v>
      </c>
      <c r="F521">
        <v>17</v>
      </c>
      <c r="G521">
        <v>0</v>
      </c>
    </row>
    <row r="522" spans="1:7">
      <c r="A522" t="s">
        <v>116</v>
      </c>
      <c r="B522" s="1" t="s">
        <v>24</v>
      </c>
      <c r="C522">
        <v>16874</v>
      </c>
      <c r="D522">
        <v>86.5</v>
      </c>
      <c r="E522">
        <v>6.2E-2</v>
      </c>
      <c r="F522">
        <v>70</v>
      </c>
      <c r="G522">
        <v>0</v>
      </c>
    </row>
    <row r="523" spans="1:7">
      <c r="A523" t="s">
        <v>116</v>
      </c>
      <c r="B523" s="1" t="s">
        <v>25</v>
      </c>
      <c r="C523">
        <v>17228</v>
      </c>
      <c r="D523">
        <v>86.8</v>
      </c>
      <c r="E523">
        <v>9.5000000000000001E-2</v>
      </c>
      <c r="F523">
        <v>194</v>
      </c>
      <c r="G523">
        <v>0</v>
      </c>
    </row>
    <row r="524" spans="1:7">
      <c r="A524" t="s">
        <v>116</v>
      </c>
      <c r="B524" s="1" t="s">
        <v>26</v>
      </c>
      <c r="C524">
        <v>18035</v>
      </c>
      <c r="D524">
        <v>87.7</v>
      </c>
      <c r="E524">
        <v>0.107</v>
      </c>
      <c r="F524">
        <v>50</v>
      </c>
      <c r="G524">
        <v>0</v>
      </c>
    </row>
    <row r="525" spans="1:7">
      <c r="A525" t="s">
        <v>116</v>
      </c>
      <c r="B525" s="1" t="s">
        <v>27</v>
      </c>
      <c r="C525">
        <v>17893</v>
      </c>
      <c r="D525">
        <v>87</v>
      </c>
      <c r="E525">
        <v>6.7000000000000004E-2</v>
      </c>
      <c r="F525">
        <v>157</v>
      </c>
      <c r="G525">
        <v>0</v>
      </c>
    </row>
    <row r="526" spans="1:7">
      <c r="A526" t="s">
        <v>116</v>
      </c>
      <c r="B526" s="1" t="s">
        <v>28</v>
      </c>
      <c r="C526">
        <v>17278</v>
      </c>
      <c r="D526">
        <v>87.6</v>
      </c>
      <c r="E526">
        <v>0.08</v>
      </c>
      <c r="F526">
        <v>14</v>
      </c>
      <c r="G526">
        <v>0</v>
      </c>
    </row>
    <row r="527" spans="1:7">
      <c r="A527" t="s">
        <v>116</v>
      </c>
      <c r="B527" s="1" t="s">
        <v>29</v>
      </c>
      <c r="C527">
        <v>17859</v>
      </c>
      <c r="D527">
        <v>87</v>
      </c>
      <c r="E527">
        <v>6.4000000000000001E-2</v>
      </c>
      <c r="F527">
        <v>62</v>
      </c>
      <c r="G527">
        <v>0</v>
      </c>
    </row>
    <row r="528" spans="1:7">
      <c r="A528" t="s">
        <v>116</v>
      </c>
      <c r="B528" s="1" t="s">
        <v>30</v>
      </c>
      <c r="C528">
        <v>15279</v>
      </c>
      <c r="D528">
        <v>87.7</v>
      </c>
      <c r="E528">
        <v>2.3E-2</v>
      </c>
      <c r="F528">
        <v>66</v>
      </c>
      <c r="G528">
        <v>0</v>
      </c>
    </row>
    <row r="529" spans="1:7">
      <c r="A529" t="s">
        <v>116</v>
      </c>
      <c r="B529" s="1" t="s">
        <v>31</v>
      </c>
      <c r="C529">
        <v>10247</v>
      </c>
      <c r="D529">
        <v>89.3</v>
      </c>
      <c r="E529">
        <v>-5.0999999999999997E-2</v>
      </c>
      <c r="F529">
        <v>183</v>
      </c>
      <c r="G529">
        <v>0</v>
      </c>
    </row>
    <row r="530" spans="1:7">
      <c r="A530" t="s">
        <v>117</v>
      </c>
      <c r="B530" s="1" t="s">
        <v>8</v>
      </c>
      <c r="C530">
        <v>8579</v>
      </c>
      <c r="D530">
        <v>86.9</v>
      </c>
      <c r="E530">
        <v>0.01</v>
      </c>
      <c r="F530">
        <v>92</v>
      </c>
      <c r="G530">
        <v>0</v>
      </c>
    </row>
    <row r="531" spans="1:7">
      <c r="A531" t="s">
        <v>117</v>
      </c>
      <c r="B531" s="1" t="s">
        <v>9</v>
      </c>
      <c r="C531">
        <v>9256</v>
      </c>
      <c r="D531">
        <v>86.7</v>
      </c>
      <c r="E531">
        <v>4.7E-2</v>
      </c>
      <c r="F531">
        <v>71</v>
      </c>
      <c r="G531">
        <v>0</v>
      </c>
    </row>
    <row r="532" spans="1:7">
      <c r="A532" t="s">
        <v>117</v>
      </c>
      <c r="B532" s="1" t="s">
        <v>10</v>
      </c>
      <c r="C532">
        <v>10949</v>
      </c>
      <c r="D532">
        <v>85.9</v>
      </c>
      <c r="E532">
        <v>2.7E-2</v>
      </c>
      <c r="F532">
        <v>145</v>
      </c>
      <c r="G532">
        <v>0</v>
      </c>
    </row>
    <row r="533" spans="1:7">
      <c r="A533" t="s">
        <v>117</v>
      </c>
      <c r="B533" s="1" t="s">
        <v>11</v>
      </c>
      <c r="C533">
        <v>12041</v>
      </c>
      <c r="D533">
        <v>86.8</v>
      </c>
      <c r="E533">
        <v>4.3999999999999997E-2</v>
      </c>
      <c r="F533">
        <v>72</v>
      </c>
      <c r="G533">
        <v>0</v>
      </c>
    </row>
    <row r="534" spans="1:7">
      <c r="A534" t="s">
        <v>117</v>
      </c>
      <c r="B534" s="1" t="s">
        <v>12</v>
      </c>
      <c r="C534">
        <v>18317</v>
      </c>
      <c r="D534">
        <v>85.7</v>
      </c>
      <c r="E534">
        <v>0.17199999999999999</v>
      </c>
      <c r="F534">
        <v>73</v>
      </c>
      <c r="G534">
        <v>0</v>
      </c>
    </row>
    <row r="535" spans="1:7">
      <c r="A535" t="s">
        <v>117</v>
      </c>
      <c r="B535" s="1" t="s">
        <v>13</v>
      </c>
      <c r="C535">
        <v>19387</v>
      </c>
      <c r="D535">
        <v>83.7</v>
      </c>
      <c r="E535">
        <v>8.5000000000000006E-2</v>
      </c>
      <c r="F535">
        <v>72</v>
      </c>
      <c r="G535">
        <v>0</v>
      </c>
    </row>
    <row r="536" spans="1:7">
      <c r="A536" t="s">
        <v>117</v>
      </c>
      <c r="B536" s="1" t="s">
        <v>14</v>
      </c>
      <c r="C536">
        <v>20728</v>
      </c>
      <c r="D536">
        <v>86.7</v>
      </c>
      <c r="E536">
        <v>0.13500000000000001</v>
      </c>
      <c r="F536">
        <v>86</v>
      </c>
      <c r="G536">
        <v>0</v>
      </c>
    </row>
    <row r="537" spans="1:7">
      <c r="A537" t="s">
        <v>117</v>
      </c>
      <c r="B537" s="1" t="s">
        <v>15</v>
      </c>
      <c r="C537">
        <v>19955</v>
      </c>
      <c r="D537">
        <v>88.9</v>
      </c>
      <c r="E537">
        <v>0.14000000000000001</v>
      </c>
      <c r="F537">
        <v>105</v>
      </c>
      <c r="G537">
        <v>0</v>
      </c>
    </row>
    <row r="538" spans="1:7">
      <c r="A538" t="s">
        <v>117</v>
      </c>
      <c r="B538" s="1" t="s">
        <v>16</v>
      </c>
      <c r="C538">
        <v>16216</v>
      </c>
      <c r="D538">
        <v>87.5</v>
      </c>
      <c r="E538">
        <v>2.1000000000000001E-2</v>
      </c>
      <c r="F538">
        <v>56</v>
      </c>
      <c r="G538">
        <v>0</v>
      </c>
    </row>
    <row r="539" spans="1:7">
      <c r="A539" t="s">
        <v>117</v>
      </c>
      <c r="B539" s="1" t="s">
        <v>17</v>
      </c>
      <c r="C539">
        <v>18022</v>
      </c>
      <c r="D539">
        <v>85.6</v>
      </c>
      <c r="E539">
        <v>5.3999999999999999E-2</v>
      </c>
      <c r="F539">
        <v>65</v>
      </c>
      <c r="G539">
        <v>0</v>
      </c>
    </row>
    <row r="540" spans="1:7">
      <c r="A540" t="s">
        <v>117</v>
      </c>
      <c r="B540" s="1" t="s">
        <v>18</v>
      </c>
      <c r="C540">
        <v>16908</v>
      </c>
      <c r="D540">
        <v>86.3</v>
      </c>
      <c r="E540">
        <v>0.05</v>
      </c>
      <c r="F540">
        <v>35</v>
      </c>
      <c r="G540">
        <v>0</v>
      </c>
    </row>
    <row r="541" spans="1:7">
      <c r="A541" t="s">
        <v>117</v>
      </c>
      <c r="B541" s="1" t="s">
        <v>19</v>
      </c>
      <c r="C541">
        <v>16916</v>
      </c>
      <c r="D541">
        <v>87.1</v>
      </c>
      <c r="E541">
        <v>6.3E-2</v>
      </c>
      <c r="F541">
        <v>71</v>
      </c>
      <c r="G541">
        <v>0</v>
      </c>
    </row>
    <row r="542" spans="1:7">
      <c r="A542" t="s">
        <v>117</v>
      </c>
      <c r="B542" s="1" t="s">
        <v>20</v>
      </c>
      <c r="C542">
        <v>16117</v>
      </c>
      <c r="D542">
        <v>87.4</v>
      </c>
      <c r="E542">
        <v>4.4999999999999998E-2</v>
      </c>
      <c r="F542">
        <v>40</v>
      </c>
      <c r="G542">
        <v>0</v>
      </c>
    </row>
    <row r="543" spans="1:7">
      <c r="A543" t="s">
        <v>117</v>
      </c>
      <c r="B543" s="1" t="s">
        <v>21</v>
      </c>
      <c r="C543">
        <v>14806</v>
      </c>
      <c r="D543">
        <v>86.7</v>
      </c>
      <c r="E543">
        <v>3.7999999999999999E-2</v>
      </c>
      <c r="F543">
        <v>32</v>
      </c>
      <c r="G543">
        <v>0</v>
      </c>
    </row>
    <row r="544" spans="1:7">
      <c r="A544" t="s">
        <v>117</v>
      </c>
      <c r="B544" s="1" t="s">
        <v>22</v>
      </c>
      <c r="C544">
        <v>16000</v>
      </c>
      <c r="D544">
        <v>87</v>
      </c>
      <c r="E544">
        <v>0.06</v>
      </c>
      <c r="F544">
        <v>84</v>
      </c>
      <c r="G544">
        <v>0</v>
      </c>
    </row>
    <row r="545" spans="1:7">
      <c r="A545" t="s">
        <v>117</v>
      </c>
      <c r="B545" s="1" t="s">
        <v>23</v>
      </c>
      <c r="C545">
        <v>15234</v>
      </c>
      <c r="D545">
        <v>87.2</v>
      </c>
      <c r="E545">
        <v>6.5000000000000002E-2</v>
      </c>
      <c r="F545">
        <v>70</v>
      </c>
      <c r="G545">
        <v>0</v>
      </c>
    </row>
    <row r="546" spans="1:7">
      <c r="A546" t="s">
        <v>117</v>
      </c>
      <c r="B546" s="1" t="s">
        <v>24</v>
      </c>
      <c r="C546">
        <v>16699</v>
      </c>
      <c r="D546">
        <v>86.1</v>
      </c>
      <c r="E546">
        <v>6.6000000000000003E-2</v>
      </c>
      <c r="F546">
        <v>102</v>
      </c>
      <c r="G546">
        <v>0</v>
      </c>
    </row>
    <row r="547" spans="1:7">
      <c r="A547" t="s">
        <v>117</v>
      </c>
      <c r="B547" s="1" t="s">
        <v>25</v>
      </c>
      <c r="C547">
        <v>15381</v>
      </c>
      <c r="D547">
        <v>86.8</v>
      </c>
      <c r="E547">
        <v>5.5E-2</v>
      </c>
      <c r="F547">
        <v>92</v>
      </c>
      <c r="G547">
        <v>0</v>
      </c>
    </row>
    <row r="548" spans="1:7">
      <c r="A548" t="s">
        <v>117</v>
      </c>
      <c r="B548" s="1" t="s">
        <v>26</v>
      </c>
      <c r="C548">
        <v>16723</v>
      </c>
      <c r="D548">
        <v>86.9</v>
      </c>
      <c r="E548">
        <v>7.1999999999999995E-2</v>
      </c>
      <c r="F548">
        <v>25</v>
      </c>
      <c r="G548">
        <v>0</v>
      </c>
    </row>
    <row r="549" spans="1:7">
      <c r="A549" t="s">
        <v>117</v>
      </c>
      <c r="B549" s="1" t="s">
        <v>27</v>
      </c>
      <c r="C549">
        <v>16648</v>
      </c>
      <c r="D549">
        <v>86.9</v>
      </c>
      <c r="E549">
        <v>5.8999999999999997E-2</v>
      </c>
      <c r="F549">
        <v>80</v>
      </c>
      <c r="G549">
        <v>0</v>
      </c>
    </row>
    <row r="550" spans="1:7">
      <c r="A550" t="s">
        <v>117</v>
      </c>
      <c r="B550" s="1" t="s">
        <v>28</v>
      </c>
      <c r="C550">
        <v>17704</v>
      </c>
      <c r="D550">
        <v>86.6</v>
      </c>
      <c r="E550">
        <v>0.08</v>
      </c>
      <c r="F550">
        <v>213</v>
      </c>
      <c r="G550">
        <v>0</v>
      </c>
    </row>
    <row r="551" spans="1:7">
      <c r="A551" t="s">
        <v>117</v>
      </c>
      <c r="B551" s="1" t="s">
        <v>29</v>
      </c>
      <c r="C551">
        <v>17842</v>
      </c>
      <c r="D551">
        <v>87.4</v>
      </c>
      <c r="E551">
        <v>0.08</v>
      </c>
      <c r="F551">
        <v>149</v>
      </c>
      <c r="G551">
        <v>0</v>
      </c>
    </row>
    <row r="552" spans="1:7">
      <c r="A552" t="s">
        <v>117</v>
      </c>
      <c r="B552" s="1" t="s">
        <v>30</v>
      </c>
      <c r="C552">
        <v>14041</v>
      </c>
      <c r="D552">
        <v>87.4</v>
      </c>
      <c r="E552">
        <v>3.2000000000000001E-2</v>
      </c>
      <c r="F552">
        <v>49</v>
      </c>
      <c r="G552">
        <v>0</v>
      </c>
    </row>
    <row r="553" spans="1:7">
      <c r="A553" t="s">
        <v>117</v>
      </c>
      <c r="B553" s="1" t="s">
        <v>31</v>
      </c>
      <c r="C553">
        <v>8759</v>
      </c>
      <c r="D553">
        <v>87.9</v>
      </c>
      <c r="E553">
        <v>-4.1000000000000002E-2</v>
      </c>
      <c r="F553">
        <v>35</v>
      </c>
      <c r="G553">
        <v>0</v>
      </c>
    </row>
    <row r="554" spans="1:7">
      <c r="A554" t="s">
        <v>118</v>
      </c>
      <c r="B554" s="1" t="s">
        <v>8</v>
      </c>
      <c r="C554">
        <v>7996</v>
      </c>
      <c r="D554">
        <v>86.7</v>
      </c>
      <c r="E554">
        <v>8.9999999999999993E-3</v>
      </c>
      <c r="F554">
        <v>90</v>
      </c>
      <c r="G554">
        <v>0</v>
      </c>
    </row>
    <row r="555" spans="1:7">
      <c r="A555" t="s">
        <v>118</v>
      </c>
      <c r="B555" s="1" t="s">
        <v>9</v>
      </c>
      <c r="C555">
        <v>10507</v>
      </c>
      <c r="D555">
        <v>86.5</v>
      </c>
      <c r="E555">
        <v>4.7E-2</v>
      </c>
      <c r="F555">
        <v>64</v>
      </c>
      <c r="G555">
        <v>0</v>
      </c>
    </row>
    <row r="556" spans="1:7">
      <c r="A556" t="s">
        <v>118</v>
      </c>
      <c r="B556" s="1" t="s">
        <v>10</v>
      </c>
      <c r="C556">
        <v>11804</v>
      </c>
      <c r="D556">
        <v>87.1</v>
      </c>
      <c r="E556">
        <v>0.06</v>
      </c>
      <c r="F556">
        <v>64</v>
      </c>
      <c r="G556">
        <v>0</v>
      </c>
    </row>
    <row r="557" spans="1:7">
      <c r="A557" t="s">
        <v>118</v>
      </c>
      <c r="B557" s="1" t="s">
        <v>11</v>
      </c>
      <c r="C557">
        <v>12806</v>
      </c>
      <c r="D557">
        <v>85.9</v>
      </c>
      <c r="E557">
        <v>0.08</v>
      </c>
      <c r="F557">
        <v>100</v>
      </c>
      <c r="G557">
        <v>0</v>
      </c>
    </row>
    <row r="558" spans="1:7">
      <c r="A558" t="s">
        <v>118</v>
      </c>
      <c r="B558" s="1" t="s">
        <v>12</v>
      </c>
      <c r="C558">
        <v>16356</v>
      </c>
      <c r="D558">
        <v>86.8</v>
      </c>
      <c r="E558">
        <v>0.15</v>
      </c>
      <c r="F558">
        <v>49</v>
      </c>
      <c r="G558">
        <v>0</v>
      </c>
    </row>
    <row r="559" spans="1:7">
      <c r="A559" t="s">
        <v>118</v>
      </c>
      <c r="B559" s="1" t="s">
        <v>13</v>
      </c>
      <c r="C559">
        <v>18603</v>
      </c>
      <c r="D559">
        <v>87.8</v>
      </c>
      <c r="E559">
        <v>0.16</v>
      </c>
      <c r="F559">
        <v>45</v>
      </c>
      <c r="G559">
        <v>0</v>
      </c>
    </row>
    <row r="560" spans="1:7">
      <c r="A560" t="s">
        <v>118</v>
      </c>
      <c r="B560" s="1" t="s">
        <v>14</v>
      </c>
      <c r="C560">
        <v>17858</v>
      </c>
      <c r="D560">
        <v>89.1</v>
      </c>
      <c r="E560">
        <v>8.5999999999999993E-2</v>
      </c>
      <c r="F560">
        <v>89</v>
      </c>
      <c r="G560">
        <v>0</v>
      </c>
    </row>
    <row r="561" spans="1:7">
      <c r="A561" t="s">
        <v>118</v>
      </c>
      <c r="B561" s="1" t="s">
        <v>15</v>
      </c>
      <c r="C561">
        <v>16838</v>
      </c>
      <c r="D561">
        <v>86.7</v>
      </c>
      <c r="E561">
        <v>4.3999999999999997E-2</v>
      </c>
      <c r="F561">
        <v>130</v>
      </c>
      <c r="G561">
        <v>0</v>
      </c>
    </row>
    <row r="562" spans="1:7">
      <c r="A562" t="s">
        <v>118</v>
      </c>
      <c r="B562" s="1" t="s">
        <v>16</v>
      </c>
      <c r="C562">
        <v>16018</v>
      </c>
      <c r="D562">
        <v>87</v>
      </c>
      <c r="E562">
        <v>3.7999999999999999E-2</v>
      </c>
      <c r="F562">
        <v>20</v>
      </c>
      <c r="G562">
        <v>0</v>
      </c>
    </row>
    <row r="563" spans="1:7">
      <c r="A563" t="s">
        <v>118</v>
      </c>
      <c r="B563" s="1" t="s">
        <v>17</v>
      </c>
      <c r="C563">
        <v>18721</v>
      </c>
      <c r="D563">
        <v>86.5</v>
      </c>
      <c r="E563">
        <v>8.8999999999999996E-2</v>
      </c>
      <c r="F563">
        <v>61</v>
      </c>
      <c r="G563">
        <v>0</v>
      </c>
    </row>
    <row r="564" spans="1:7">
      <c r="A564" t="s">
        <v>118</v>
      </c>
      <c r="B564" s="1" t="s">
        <v>18</v>
      </c>
      <c r="C564">
        <v>17478</v>
      </c>
      <c r="D564">
        <v>87.2</v>
      </c>
      <c r="E564">
        <v>5.5E-2</v>
      </c>
      <c r="F564">
        <v>100</v>
      </c>
      <c r="G564">
        <v>0</v>
      </c>
    </row>
    <row r="565" spans="1:7">
      <c r="A565" t="s">
        <v>118</v>
      </c>
      <c r="B565" s="1" t="s">
        <v>19</v>
      </c>
      <c r="C565">
        <v>16091</v>
      </c>
      <c r="D565">
        <v>87.2</v>
      </c>
      <c r="E565">
        <v>5.1999999999999998E-2</v>
      </c>
      <c r="F565">
        <v>65</v>
      </c>
      <c r="G565">
        <v>0</v>
      </c>
    </row>
    <row r="566" spans="1:7">
      <c r="A566" t="s">
        <v>118</v>
      </c>
      <c r="B566" s="1" t="s">
        <v>20</v>
      </c>
      <c r="C566">
        <v>16141</v>
      </c>
      <c r="D566">
        <v>87.4</v>
      </c>
      <c r="E566">
        <v>5.8999999999999997E-2</v>
      </c>
      <c r="F566">
        <v>122</v>
      </c>
      <c r="G566">
        <v>0</v>
      </c>
    </row>
    <row r="567" spans="1:7">
      <c r="A567" t="s">
        <v>118</v>
      </c>
      <c r="B567" s="1" t="s">
        <v>21</v>
      </c>
      <c r="C567">
        <v>15796</v>
      </c>
      <c r="D567">
        <v>86.9</v>
      </c>
      <c r="E567">
        <v>5.8000000000000003E-2</v>
      </c>
      <c r="F567">
        <v>77</v>
      </c>
      <c r="G567">
        <v>0</v>
      </c>
    </row>
    <row r="568" spans="1:7">
      <c r="A568" t="s">
        <v>118</v>
      </c>
      <c r="B568" s="1" t="s">
        <v>22</v>
      </c>
      <c r="C568">
        <v>15770</v>
      </c>
      <c r="D568">
        <v>87.2</v>
      </c>
      <c r="E568">
        <v>6.3E-2</v>
      </c>
      <c r="F568">
        <v>64</v>
      </c>
      <c r="G568">
        <v>0</v>
      </c>
    </row>
    <row r="569" spans="1:7">
      <c r="A569" t="s">
        <v>118</v>
      </c>
      <c r="B569" s="1" t="s">
        <v>23</v>
      </c>
      <c r="C569">
        <v>15764</v>
      </c>
      <c r="D569">
        <v>87.1</v>
      </c>
      <c r="E569">
        <v>6.7000000000000004E-2</v>
      </c>
      <c r="F569">
        <v>99</v>
      </c>
      <c r="G569">
        <v>0</v>
      </c>
    </row>
    <row r="570" spans="1:7">
      <c r="A570" t="s">
        <v>118</v>
      </c>
      <c r="B570" s="1" t="s">
        <v>24</v>
      </c>
      <c r="C570">
        <v>15933</v>
      </c>
      <c r="D570">
        <v>86</v>
      </c>
      <c r="E570">
        <v>7.0000000000000007E-2</v>
      </c>
      <c r="F570">
        <v>73</v>
      </c>
      <c r="G570">
        <v>0</v>
      </c>
    </row>
    <row r="571" spans="1:7">
      <c r="A571" t="s">
        <v>118</v>
      </c>
      <c r="B571" s="1" t="s">
        <v>25</v>
      </c>
      <c r="C571">
        <v>14321</v>
      </c>
      <c r="D571">
        <v>87.3</v>
      </c>
      <c r="E571">
        <v>5.8000000000000003E-2</v>
      </c>
      <c r="F571">
        <v>152</v>
      </c>
      <c r="G571">
        <v>0</v>
      </c>
    </row>
    <row r="572" spans="1:7">
      <c r="A572" t="s">
        <v>118</v>
      </c>
      <c r="B572" s="1" t="s">
        <v>26</v>
      </c>
      <c r="C572">
        <v>15570</v>
      </c>
      <c r="D572">
        <v>86.9</v>
      </c>
      <c r="E572">
        <v>7.6999999999999999E-2</v>
      </c>
      <c r="F572">
        <v>102</v>
      </c>
      <c r="G572">
        <v>0</v>
      </c>
    </row>
    <row r="573" spans="1:7">
      <c r="A573" t="s">
        <v>118</v>
      </c>
      <c r="B573" s="1" t="s">
        <v>27</v>
      </c>
      <c r="C573">
        <v>16025</v>
      </c>
      <c r="D573">
        <v>87.4</v>
      </c>
      <c r="E573">
        <v>8.7999999999999995E-2</v>
      </c>
      <c r="F573">
        <v>19</v>
      </c>
      <c r="G573">
        <v>0</v>
      </c>
    </row>
    <row r="574" spans="1:7">
      <c r="A574" t="s">
        <v>118</v>
      </c>
      <c r="B574" s="1" t="s">
        <v>28</v>
      </c>
      <c r="C574">
        <v>15957</v>
      </c>
      <c r="D574">
        <v>87.6</v>
      </c>
      <c r="E574">
        <v>6.7000000000000004E-2</v>
      </c>
      <c r="F574">
        <v>24</v>
      </c>
      <c r="G574">
        <v>0</v>
      </c>
    </row>
    <row r="575" spans="1:7">
      <c r="A575" t="s">
        <v>118</v>
      </c>
      <c r="B575" s="1" t="s">
        <v>29</v>
      </c>
      <c r="C575">
        <v>16484</v>
      </c>
      <c r="D575">
        <v>86.9</v>
      </c>
      <c r="E575">
        <v>6.7000000000000004E-2</v>
      </c>
      <c r="F575">
        <v>34</v>
      </c>
      <c r="G575">
        <v>0</v>
      </c>
    </row>
    <row r="576" spans="1:7">
      <c r="A576" t="s">
        <v>118</v>
      </c>
      <c r="B576" s="1" t="s">
        <v>30</v>
      </c>
      <c r="C576">
        <v>13644</v>
      </c>
      <c r="D576">
        <v>87.9</v>
      </c>
      <c r="E576">
        <v>2.5999999999999999E-2</v>
      </c>
      <c r="F576">
        <v>79</v>
      </c>
      <c r="G576">
        <v>0</v>
      </c>
    </row>
    <row r="577" spans="1:7">
      <c r="A577" t="s">
        <v>118</v>
      </c>
      <c r="B577" s="1" t="s">
        <v>31</v>
      </c>
      <c r="C577">
        <v>8208</v>
      </c>
      <c r="D577">
        <v>88.2</v>
      </c>
      <c r="E577">
        <v>-4.4999999999999998E-2</v>
      </c>
      <c r="F577">
        <v>182</v>
      </c>
      <c r="G577">
        <v>0</v>
      </c>
    </row>
    <row r="578" spans="1:7">
      <c r="A578" t="s">
        <v>119</v>
      </c>
      <c r="B578" s="1" t="s">
        <v>8</v>
      </c>
      <c r="C578">
        <v>9479</v>
      </c>
      <c r="D578">
        <v>86.6</v>
      </c>
      <c r="E578">
        <v>0.03</v>
      </c>
      <c r="F578">
        <v>58</v>
      </c>
      <c r="G578">
        <v>0</v>
      </c>
    </row>
    <row r="579" spans="1:7">
      <c r="A579" t="s">
        <v>119</v>
      </c>
      <c r="B579" s="1" t="s">
        <v>9</v>
      </c>
      <c r="C579">
        <v>9309</v>
      </c>
      <c r="D579">
        <v>86.8</v>
      </c>
      <c r="E579">
        <v>4.8000000000000001E-2</v>
      </c>
      <c r="F579">
        <v>111</v>
      </c>
      <c r="G579">
        <v>0</v>
      </c>
    </row>
    <row r="580" spans="1:7">
      <c r="A580" t="s">
        <v>119</v>
      </c>
      <c r="B580" s="1" t="s">
        <v>10</v>
      </c>
      <c r="C580">
        <v>10327</v>
      </c>
      <c r="D580">
        <v>87</v>
      </c>
      <c r="E580">
        <v>4.2999999999999997E-2</v>
      </c>
      <c r="F580">
        <v>21</v>
      </c>
      <c r="G580">
        <v>0</v>
      </c>
    </row>
    <row r="581" spans="1:7">
      <c r="A581" t="s">
        <v>119</v>
      </c>
      <c r="B581" s="1" t="s">
        <v>11</v>
      </c>
      <c r="C581">
        <v>11878</v>
      </c>
      <c r="D581">
        <v>86.7</v>
      </c>
      <c r="E581">
        <v>6.9000000000000006E-2</v>
      </c>
      <c r="F581">
        <v>179</v>
      </c>
      <c r="G581">
        <v>0</v>
      </c>
    </row>
    <row r="582" spans="1:7">
      <c r="A582" t="s">
        <v>119</v>
      </c>
      <c r="B582" s="1" t="s">
        <v>12</v>
      </c>
      <c r="C582">
        <v>16982</v>
      </c>
      <c r="D582">
        <v>86.3</v>
      </c>
      <c r="E582">
        <v>0.14799999999999999</v>
      </c>
      <c r="F582">
        <v>65</v>
      </c>
      <c r="G582">
        <v>0</v>
      </c>
    </row>
    <row r="583" spans="1:7">
      <c r="A583" t="s">
        <v>119</v>
      </c>
      <c r="B583" s="1" t="s">
        <v>13</v>
      </c>
      <c r="C583">
        <v>13822</v>
      </c>
      <c r="D583">
        <v>87.7</v>
      </c>
      <c r="E583">
        <v>4.8000000000000001E-2</v>
      </c>
      <c r="F583">
        <v>35</v>
      </c>
      <c r="G583">
        <v>0</v>
      </c>
    </row>
    <row r="584" spans="1:7">
      <c r="A584" t="s">
        <v>119</v>
      </c>
      <c r="B584" s="1" t="s">
        <v>14</v>
      </c>
      <c r="C584">
        <v>19033</v>
      </c>
      <c r="D584">
        <v>85.6</v>
      </c>
      <c r="E584">
        <v>0.129</v>
      </c>
      <c r="F584">
        <v>73</v>
      </c>
      <c r="G584">
        <v>0</v>
      </c>
    </row>
    <row r="585" spans="1:7">
      <c r="A585" t="s">
        <v>119</v>
      </c>
      <c r="B585" s="1" t="s">
        <v>15</v>
      </c>
      <c r="C585">
        <v>18020</v>
      </c>
      <c r="D585">
        <v>88.2</v>
      </c>
      <c r="E585">
        <v>9.8000000000000004E-2</v>
      </c>
      <c r="F585">
        <v>72</v>
      </c>
      <c r="G585">
        <v>0</v>
      </c>
    </row>
    <row r="586" spans="1:7">
      <c r="A586" t="s">
        <v>119</v>
      </c>
      <c r="B586" s="1" t="s">
        <v>16</v>
      </c>
      <c r="C586">
        <v>15598</v>
      </c>
      <c r="D586">
        <v>87.1</v>
      </c>
      <c r="E586">
        <v>1.9E-2</v>
      </c>
      <c r="F586">
        <v>86</v>
      </c>
      <c r="G586">
        <v>0</v>
      </c>
    </row>
    <row r="587" spans="1:7">
      <c r="A587" t="s">
        <v>119</v>
      </c>
      <c r="B587" s="1" t="s">
        <v>17</v>
      </c>
      <c r="C587">
        <v>15321</v>
      </c>
      <c r="D587">
        <v>87.1</v>
      </c>
      <c r="E587">
        <v>3.6999999999999998E-2</v>
      </c>
      <c r="F587">
        <v>67</v>
      </c>
      <c r="G587">
        <v>0</v>
      </c>
    </row>
    <row r="588" spans="1:7">
      <c r="A588" t="s">
        <v>119</v>
      </c>
      <c r="B588" s="1" t="s">
        <v>18</v>
      </c>
      <c r="C588">
        <v>14917</v>
      </c>
      <c r="D588">
        <v>86.9</v>
      </c>
      <c r="E588">
        <v>2.9000000000000001E-2</v>
      </c>
      <c r="F588">
        <v>22</v>
      </c>
      <c r="G588">
        <v>0</v>
      </c>
    </row>
    <row r="589" spans="1:7">
      <c r="A589" t="s">
        <v>119</v>
      </c>
      <c r="B589" s="1" t="s">
        <v>19</v>
      </c>
      <c r="C589">
        <v>14947</v>
      </c>
      <c r="D589">
        <v>86.9</v>
      </c>
      <c r="E589">
        <v>6.9000000000000006E-2</v>
      </c>
      <c r="F589">
        <v>124</v>
      </c>
      <c r="G589">
        <v>0</v>
      </c>
    </row>
    <row r="590" spans="1:7">
      <c r="A590" t="s">
        <v>119</v>
      </c>
      <c r="B590" s="1" t="s">
        <v>20</v>
      </c>
      <c r="C590">
        <v>14996</v>
      </c>
      <c r="D590">
        <v>87.1</v>
      </c>
      <c r="E590">
        <v>5.8999999999999997E-2</v>
      </c>
      <c r="F590">
        <v>233</v>
      </c>
      <c r="G590">
        <v>0</v>
      </c>
    </row>
    <row r="591" spans="1:7">
      <c r="A591" t="s">
        <v>119</v>
      </c>
      <c r="B591" s="1" t="s">
        <v>21</v>
      </c>
      <c r="C591">
        <v>12848</v>
      </c>
      <c r="D591">
        <v>87.4</v>
      </c>
      <c r="E591">
        <v>3.3000000000000002E-2</v>
      </c>
      <c r="F591">
        <v>74</v>
      </c>
      <c r="G591">
        <v>0</v>
      </c>
    </row>
    <row r="592" spans="1:7">
      <c r="A592" t="s">
        <v>119</v>
      </c>
      <c r="B592" s="1" t="s">
        <v>22</v>
      </c>
      <c r="C592">
        <v>15473</v>
      </c>
      <c r="D592">
        <v>87.4</v>
      </c>
      <c r="E592">
        <v>7.0000000000000007E-2</v>
      </c>
      <c r="F592">
        <v>145</v>
      </c>
      <c r="G592">
        <v>0</v>
      </c>
    </row>
    <row r="593" spans="1:7">
      <c r="A593" t="s">
        <v>119</v>
      </c>
      <c r="B593" s="1" t="s">
        <v>23</v>
      </c>
      <c r="C593">
        <v>13580</v>
      </c>
      <c r="D593">
        <v>86.7</v>
      </c>
      <c r="E593">
        <v>5.2999999999999999E-2</v>
      </c>
      <c r="F593">
        <v>76</v>
      </c>
      <c r="G593">
        <v>0</v>
      </c>
    </row>
    <row r="594" spans="1:7">
      <c r="A594" t="s">
        <v>119</v>
      </c>
      <c r="B594" s="1" t="s">
        <v>24</v>
      </c>
      <c r="C594">
        <v>13941</v>
      </c>
      <c r="D594">
        <v>87.2</v>
      </c>
      <c r="E594">
        <v>6.5000000000000002E-2</v>
      </c>
      <c r="F594">
        <v>25</v>
      </c>
      <c r="G594">
        <v>0</v>
      </c>
    </row>
    <row r="595" spans="1:7">
      <c r="A595" t="s">
        <v>119</v>
      </c>
      <c r="B595" s="1" t="s">
        <v>25</v>
      </c>
      <c r="C595">
        <v>14720</v>
      </c>
      <c r="D595">
        <v>87.3</v>
      </c>
      <c r="E595">
        <v>6.2E-2</v>
      </c>
      <c r="F595">
        <v>103</v>
      </c>
      <c r="G595">
        <v>0</v>
      </c>
    </row>
    <row r="596" spans="1:7">
      <c r="A596" t="s">
        <v>119</v>
      </c>
      <c r="B596" s="1" t="s">
        <v>26</v>
      </c>
      <c r="C596">
        <v>14508</v>
      </c>
      <c r="D596">
        <v>87.2</v>
      </c>
      <c r="E596">
        <v>7.3999999999999996E-2</v>
      </c>
      <c r="F596">
        <v>82</v>
      </c>
      <c r="G596">
        <v>0</v>
      </c>
    </row>
    <row r="597" spans="1:7">
      <c r="A597" t="s">
        <v>119</v>
      </c>
      <c r="B597" s="1" t="s">
        <v>27</v>
      </c>
      <c r="C597">
        <v>15548</v>
      </c>
      <c r="D597">
        <v>86.8</v>
      </c>
      <c r="E597">
        <v>6.0999999999999999E-2</v>
      </c>
      <c r="F597">
        <v>75</v>
      </c>
      <c r="G597">
        <v>0</v>
      </c>
    </row>
    <row r="598" spans="1:7">
      <c r="A598" t="s">
        <v>119</v>
      </c>
      <c r="B598" s="1" t="s">
        <v>28</v>
      </c>
      <c r="C598">
        <v>14212</v>
      </c>
      <c r="D598">
        <v>86.7</v>
      </c>
      <c r="E598">
        <v>6.7000000000000004E-2</v>
      </c>
      <c r="F598">
        <v>23</v>
      </c>
      <c r="G598">
        <v>0</v>
      </c>
    </row>
    <row r="599" spans="1:7">
      <c r="A599" t="s">
        <v>119</v>
      </c>
      <c r="B599" s="1" t="s">
        <v>29</v>
      </c>
      <c r="C599">
        <v>15430</v>
      </c>
      <c r="D599">
        <v>86.8</v>
      </c>
      <c r="E599">
        <v>7.3999999999999996E-2</v>
      </c>
      <c r="F599">
        <v>206</v>
      </c>
      <c r="G599">
        <v>0</v>
      </c>
    </row>
    <row r="600" spans="1:7">
      <c r="A600" t="s">
        <v>119</v>
      </c>
      <c r="B600" s="1" t="s">
        <v>30</v>
      </c>
      <c r="C600">
        <v>12917</v>
      </c>
      <c r="D600">
        <v>87.6</v>
      </c>
      <c r="E600">
        <v>3.3000000000000002E-2</v>
      </c>
      <c r="F600">
        <v>20</v>
      </c>
      <c r="G600">
        <v>0</v>
      </c>
    </row>
    <row r="601" spans="1:7">
      <c r="A601" t="s">
        <v>119</v>
      </c>
      <c r="B601" s="1" t="s">
        <v>31</v>
      </c>
      <c r="C601">
        <v>6977</v>
      </c>
      <c r="D601">
        <v>88.2</v>
      </c>
      <c r="E601">
        <v>-4.2999999999999997E-2</v>
      </c>
      <c r="F601">
        <v>24</v>
      </c>
      <c r="G601">
        <v>0</v>
      </c>
    </row>
    <row r="602" spans="1:7">
      <c r="A602" t="s">
        <v>120</v>
      </c>
      <c r="B602" s="1" t="s">
        <v>8</v>
      </c>
      <c r="C602">
        <v>9337</v>
      </c>
      <c r="D602">
        <v>86.8</v>
      </c>
      <c r="E602">
        <v>3.5999999999999997E-2</v>
      </c>
      <c r="F602">
        <v>27</v>
      </c>
      <c r="G602">
        <v>0</v>
      </c>
    </row>
    <row r="603" spans="1:7">
      <c r="A603" t="s">
        <v>120</v>
      </c>
      <c r="B603" s="1" t="s">
        <v>9</v>
      </c>
      <c r="C603">
        <v>10006</v>
      </c>
      <c r="D603">
        <v>87.5</v>
      </c>
      <c r="E603">
        <v>4.3999999999999997E-2</v>
      </c>
      <c r="F603">
        <v>48</v>
      </c>
      <c r="G603">
        <v>0</v>
      </c>
    </row>
    <row r="604" spans="1:7">
      <c r="A604" t="s">
        <v>120</v>
      </c>
      <c r="B604" s="1" t="s">
        <v>10</v>
      </c>
      <c r="C604">
        <v>8635</v>
      </c>
      <c r="D604">
        <v>87.2</v>
      </c>
      <c r="E604">
        <v>4.9000000000000002E-2</v>
      </c>
      <c r="F604">
        <v>67</v>
      </c>
      <c r="G604">
        <v>0</v>
      </c>
    </row>
    <row r="605" spans="1:7">
      <c r="A605" t="s">
        <v>120</v>
      </c>
      <c r="B605" s="1" t="s">
        <v>11</v>
      </c>
      <c r="C605">
        <v>10969</v>
      </c>
      <c r="D605">
        <v>86.3</v>
      </c>
      <c r="E605">
        <v>0.08</v>
      </c>
      <c r="F605">
        <v>24</v>
      </c>
      <c r="G605">
        <v>0</v>
      </c>
    </row>
    <row r="606" spans="1:7">
      <c r="A606" t="s">
        <v>120</v>
      </c>
      <c r="B606" s="1" t="s">
        <v>12</v>
      </c>
      <c r="C606">
        <v>14643</v>
      </c>
      <c r="D606">
        <v>87</v>
      </c>
      <c r="E606">
        <v>0.14799999999999999</v>
      </c>
      <c r="F606">
        <v>162</v>
      </c>
      <c r="G606">
        <v>0</v>
      </c>
    </row>
    <row r="607" spans="1:7">
      <c r="A607" t="s">
        <v>120</v>
      </c>
      <c r="B607" s="1" t="s">
        <v>13</v>
      </c>
      <c r="C607">
        <v>12710</v>
      </c>
      <c r="D607">
        <v>87.7</v>
      </c>
      <c r="E607">
        <v>6.9000000000000006E-2</v>
      </c>
      <c r="F607">
        <v>80</v>
      </c>
      <c r="G607">
        <v>0</v>
      </c>
    </row>
    <row r="608" spans="1:7">
      <c r="A608" t="s">
        <v>120</v>
      </c>
      <c r="B608" s="1" t="s">
        <v>14</v>
      </c>
      <c r="C608">
        <v>15083</v>
      </c>
      <c r="D608">
        <v>87.1</v>
      </c>
      <c r="E608">
        <v>4.3999999999999997E-2</v>
      </c>
      <c r="F608">
        <v>38</v>
      </c>
      <c r="G608">
        <v>0</v>
      </c>
    </row>
    <row r="609" spans="1:7">
      <c r="A609" t="s">
        <v>120</v>
      </c>
      <c r="B609" s="1" t="s">
        <v>15</v>
      </c>
      <c r="C609">
        <v>16214</v>
      </c>
      <c r="D609">
        <v>87.3</v>
      </c>
      <c r="E609">
        <v>6.9000000000000006E-2</v>
      </c>
      <c r="F609">
        <v>191</v>
      </c>
      <c r="G609">
        <v>0</v>
      </c>
    </row>
    <row r="610" spans="1:7">
      <c r="A610" t="s">
        <v>120</v>
      </c>
      <c r="B610" s="1" t="s">
        <v>16</v>
      </c>
      <c r="C610">
        <v>17103</v>
      </c>
      <c r="D610">
        <v>85.7</v>
      </c>
      <c r="E610">
        <v>5.3999999999999999E-2</v>
      </c>
      <c r="F610">
        <v>105</v>
      </c>
      <c r="G610">
        <v>0</v>
      </c>
    </row>
    <row r="611" spans="1:7">
      <c r="A611" t="s">
        <v>120</v>
      </c>
      <c r="B611" s="1" t="s">
        <v>17</v>
      </c>
      <c r="C611">
        <v>16628</v>
      </c>
      <c r="D611">
        <v>85.7</v>
      </c>
      <c r="E611">
        <v>3.9E-2</v>
      </c>
      <c r="F611">
        <v>92</v>
      </c>
      <c r="G611">
        <v>0</v>
      </c>
    </row>
    <row r="612" spans="1:7">
      <c r="A612" t="s">
        <v>120</v>
      </c>
      <c r="B612" s="1" t="s">
        <v>18</v>
      </c>
      <c r="C612">
        <v>15448</v>
      </c>
      <c r="D612">
        <v>84.8</v>
      </c>
      <c r="E612">
        <v>4.4999999999999998E-2</v>
      </c>
      <c r="F612">
        <v>181</v>
      </c>
      <c r="G612">
        <v>0</v>
      </c>
    </row>
    <row r="613" spans="1:7">
      <c r="A613" t="s">
        <v>120</v>
      </c>
      <c r="B613" s="1" t="s">
        <v>19</v>
      </c>
      <c r="C613">
        <v>13902</v>
      </c>
      <c r="D613">
        <v>86.1</v>
      </c>
      <c r="E613">
        <v>5.2999999999999999E-2</v>
      </c>
      <c r="F613">
        <v>165</v>
      </c>
      <c r="G613">
        <v>0</v>
      </c>
    </row>
    <row r="614" spans="1:7">
      <c r="A614" t="s">
        <v>120</v>
      </c>
      <c r="B614" s="1" t="s">
        <v>20</v>
      </c>
      <c r="C614">
        <v>12804</v>
      </c>
      <c r="D614">
        <v>86.1</v>
      </c>
      <c r="E614">
        <v>4.9000000000000002E-2</v>
      </c>
      <c r="F614">
        <v>21</v>
      </c>
      <c r="G614">
        <v>0</v>
      </c>
    </row>
    <row r="615" spans="1:7">
      <c r="A615" t="s">
        <v>120</v>
      </c>
      <c r="B615" s="1" t="s">
        <v>21</v>
      </c>
      <c r="C615">
        <v>13940</v>
      </c>
      <c r="D615">
        <v>86.1</v>
      </c>
      <c r="E615">
        <v>5.8000000000000003E-2</v>
      </c>
      <c r="F615">
        <v>49</v>
      </c>
      <c r="G615">
        <v>0</v>
      </c>
    </row>
    <row r="616" spans="1:7">
      <c r="A616" t="s">
        <v>120</v>
      </c>
      <c r="B616" s="1" t="s">
        <v>22</v>
      </c>
      <c r="C616">
        <v>12109</v>
      </c>
      <c r="D616">
        <v>86</v>
      </c>
      <c r="E616">
        <v>0.03</v>
      </c>
      <c r="F616">
        <v>79</v>
      </c>
      <c r="G616">
        <v>0</v>
      </c>
    </row>
    <row r="617" spans="1:7">
      <c r="A617" t="s">
        <v>120</v>
      </c>
      <c r="B617" s="1" t="s">
        <v>23</v>
      </c>
      <c r="C617">
        <v>13679</v>
      </c>
      <c r="D617">
        <v>85.4</v>
      </c>
      <c r="E617">
        <v>5.3999999999999999E-2</v>
      </c>
      <c r="F617">
        <v>26</v>
      </c>
      <c r="G617">
        <v>0</v>
      </c>
    </row>
    <row r="618" spans="1:7">
      <c r="A618" t="s">
        <v>120</v>
      </c>
      <c r="B618" s="1" t="s">
        <v>24</v>
      </c>
      <c r="C618">
        <v>14136</v>
      </c>
      <c r="D618">
        <v>86.2</v>
      </c>
      <c r="E618">
        <v>8.7999999999999995E-2</v>
      </c>
      <c r="F618">
        <v>26</v>
      </c>
      <c r="G618">
        <v>0</v>
      </c>
    </row>
    <row r="619" spans="1:7">
      <c r="A619" t="s">
        <v>120</v>
      </c>
      <c r="B619" s="1" t="s">
        <v>25</v>
      </c>
      <c r="C619">
        <v>15346</v>
      </c>
      <c r="D619">
        <v>85.8</v>
      </c>
      <c r="E619">
        <v>5.8999999999999997E-2</v>
      </c>
      <c r="F619">
        <v>115</v>
      </c>
      <c r="G619">
        <v>0</v>
      </c>
    </row>
    <row r="620" spans="1:7">
      <c r="A620" t="s">
        <v>120</v>
      </c>
      <c r="B620" s="1" t="s">
        <v>26</v>
      </c>
      <c r="C620">
        <v>14833</v>
      </c>
      <c r="D620">
        <v>85.9</v>
      </c>
      <c r="E620">
        <v>7.2999999999999995E-2</v>
      </c>
      <c r="F620">
        <v>46</v>
      </c>
      <c r="G620">
        <v>0</v>
      </c>
    </row>
    <row r="621" spans="1:7">
      <c r="A621" t="s">
        <v>120</v>
      </c>
      <c r="B621" s="1" t="s">
        <v>27</v>
      </c>
      <c r="C621">
        <v>15078</v>
      </c>
      <c r="D621">
        <v>86.4</v>
      </c>
      <c r="E621">
        <v>5.8999999999999997E-2</v>
      </c>
      <c r="F621">
        <v>22</v>
      </c>
      <c r="G621">
        <v>0</v>
      </c>
    </row>
    <row r="622" spans="1:7">
      <c r="A622" t="s">
        <v>120</v>
      </c>
      <c r="B622" s="1" t="s">
        <v>28</v>
      </c>
      <c r="C622">
        <v>15206</v>
      </c>
      <c r="D622">
        <v>85.2</v>
      </c>
      <c r="E622">
        <v>0.06</v>
      </c>
      <c r="F622">
        <v>90</v>
      </c>
      <c r="G622">
        <v>0</v>
      </c>
    </row>
    <row r="623" spans="1:7">
      <c r="A623" t="s">
        <v>120</v>
      </c>
      <c r="B623" s="1" t="s">
        <v>29</v>
      </c>
      <c r="C623">
        <v>14951</v>
      </c>
      <c r="D623">
        <v>86.5</v>
      </c>
      <c r="E623">
        <v>6.0999999999999999E-2</v>
      </c>
      <c r="F623">
        <v>73</v>
      </c>
      <c r="G623">
        <v>0</v>
      </c>
    </row>
    <row r="624" spans="1:7">
      <c r="A624" t="s">
        <v>120</v>
      </c>
      <c r="B624" s="1" t="s">
        <v>30</v>
      </c>
      <c r="C624">
        <v>13280</v>
      </c>
      <c r="D624">
        <v>86.3</v>
      </c>
      <c r="E624">
        <v>3.4000000000000002E-2</v>
      </c>
      <c r="F624">
        <v>85</v>
      </c>
      <c r="G624">
        <v>0</v>
      </c>
    </row>
    <row r="625" spans="1:7">
      <c r="A625" t="s">
        <v>120</v>
      </c>
      <c r="B625" s="1" t="s">
        <v>31</v>
      </c>
      <c r="C625">
        <v>7069</v>
      </c>
      <c r="D625">
        <v>84.9</v>
      </c>
      <c r="E625">
        <v>-2.3E-2</v>
      </c>
      <c r="F625">
        <v>86</v>
      </c>
      <c r="G625">
        <v>0</v>
      </c>
    </row>
    <row r="626" spans="1:7">
      <c r="A626" t="s">
        <v>121</v>
      </c>
      <c r="B626" s="1" t="s">
        <v>8</v>
      </c>
      <c r="C626">
        <v>7935</v>
      </c>
      <c r="D626">
        <v>86.7</v>
      </c>
      <c r="E626">
        <v>2.1000000000000001E-2</v>
      </c>
      <c r="F626">
        <v>119</v>
      </c>
      <c r="G626">
        <v>0</v>
      </c>
    </row>
    <row r="627" spans="1:7">
      <c r="A627" t="s">
        <v>121</v>
      </c>
      <c r="B627" s="1" t="s">
        <v>9</v>
      </c>
      <c r="C627">
        <v>7391</v>
      </c>
      <c r="D627">
        <v>86</v>
      </c>
      <c r="E627">
        <v>3.4000000000000002E-2</v>
      </c>
      <c r="F627">
        <v>88</v>
      </c>
      <c r="G627">
        <v>0</v>
      </c>
    </row>
    <row r="628" spans="1:7">
      <c r="A628" t="s">
        <v>121</v>
      </c>
      <c r="B628" s="1" t="s">
        <v>10</v>
      </c>
      <c r="C628">
        <v>8230</v>
      </c>
      <c r="D628">
        <v>86.4</v>
      </c>
      <c r="E628">
        <v>3.4000000000000002E-2</v>
      </c>
      <c r="F628">
        <v>80</v>
      </c>
      <c r="G628">
        <v>0</v>
      </c>
    </row>
    <row r="629" spans="1:7">
      <c r="A629" t="s">
        <v>121</v>
      </c>
      <c r="B629" s="1" t="s">
        <v>11</v>
      </c>
      <c r="C629">
        <v>13388</v>
      </c>
      <c r="D629">
        <v>85.1</v>
      </c>
      <c r="E629">
        <v>9.6000000000000002E-2</v>
      </c>
      <c r="F629">
        <v>97</v>
      </c>
      <c r="G629">
        <v>0</v>
      </c>
    </row>
    <row r="630" spans="1:7">
      <c r="A630" t="s">
        <v>121</v>
      </c>
      <c r="B630" s="1" t="s">
        <v>12</v>
      </c>
      <c r="C630">
        <v>15510</v>
      </c>
      <c r="D630">
        <v>81.7</v>
      </c>
      <c r="E630">
        <v>5.6000000000000001E-2</v>
      </c>
      <c r="F630">
        <v>100</v>
      </c>
      <c r="G630">
        <v>0</v>
      </c>
    </row>
    <row r="631" spans="1:7">
      <c r="A631" t="s">
        <v>121</v>
      </c>
      <c r="B631" s="1" t="s">
        <v>13</v>
      </c>
      <c r="C631">
        <v>14290</v>
      </c>
      <c r="D631">
        <v>87.3</v>
      </c>
      <c r="E631">
        <v>0.113</v>
      </c>
      <c r="F631">
        <v>88</v>
      </c>
      <c r="G631">
        <v>0</v>
      </c>
    </row>
    <row r="632" spans="1:7">
      <c r="A632" t="s">
        <v>121</v>
      </c>
      <c r="B632" s="1" t="s">
        <v>14</v>
      </c>
      <c r="C632">
        <v>13551</v>
      </c>
      <c r="D632">
        <v>87.5</v>
      </c>
      <c r="E632">
        <v>5.8999999999999997E-2</v>
      </c>
      <c r="F632">
        <v>103</v>
      </c>
      <c r="G632">
        <v>0</v>
      </c>
    </row>
    <row r="633" spans="1:7">
      <c r="A633" t="s">
        <v>121</v>
      </c>
      <c r="B633" s="1" t="s">
        <v>15</v>
      </c>
      <c r="C633">
        <v>13795</v>
      </c>
      <c r="D633">
        <v>85.1</v>
      </c>
      <c r="E633">
        <v>3.7999999999999999E-2</v>
      </c>
      <c r="F633">
        <v>93</v>
      </c>
      <c r="G633">
        <v>0</v>
      </c>
    </row>
    <row r="634" spans="1:7">
      <c r="A634" t="s">
        <v>121</v>
      </c>
      <c r="B634" s="1" t="s">
        <v>16</v>
      </c>
      <c r="C634">
        <v>13809</v>
      </c>
      <c r="D634">
        <v>85.7</v>
      </c>
      <c r="E634">
        <v>5.1999999999999998E-2</v>
      </c>
      <c r="F634">
        <v>75</v>
      </c>
      <c r="G634">
        <v>0</v>
      </c>
    </row>
    <row r="635" spans="1:7">
      <c r="A635" t="s">
        <v>121</v>
      </c>
      <c r="B635" s="1" t="s">
        <v>17</v>
      </c>
      <c r="C635">
        <v>16151</v>
      </c>
      <c r="D635">
        <v>86.4</v>
      </c>
      <c r="E635">
        <v>8.4000000000000005E-2</v>
      </c>
      <c r="F635">
        <v>109</v>
      </c>
      <c r="G635">
        <v>0</v>
      </c>
    </row>
    <row r="636" spans="1:7">
      <c r="A636" t="s">
        <v>121</v>
      </c>
      <c r="B636" s="1" t="s">
        <v>18</v>
      </c>
      <c r="C636">
        <v>15739</v>
      </c>
      <c r="D636">
        <v>86</v>
      </c>
      <c r="E636">
        <v>5.8000000000000003E-2</v>
      </c>
      <c r="F636">
        <v>29</v>
      </c>
      <c r="G636">
        <v>0</v>
      </c>
    </row>
    <row r="637" spans="1:7">
      <c r="A637" t="s">
        <v>121</v>
      </c>
      <c r="B637" s="1" t="s">
        <v>19</v>
      </c>
      <c r="C637">
        <v>14631</v>
      </c>
      <c r="D637">
        <v>85.2</v>
      </c>
      <c r="E637">
        <v>3.9E-2</v>
      </c>
      <c r="F637">
        <v>198</v>
      </c>
      <c r="G637">
        <v>0</v>
      </c>
    </row>
    <row r="638" spans="1:7">
      <c r="A638" t="s">
        <v>121</v>
      </c>
      <c r="B638" s="1" t="s">
        <v>20</v>
      </c>
      <c r="C638">
        <v>13988</v>
      </c>
      <c r="D638">
        <v>86.4</v>
      </c>
      <c r="E638">
        <v>5.6000000000000001E-2</v>
      </c>
      <c r="F638">
        <v>24</v>
      </c>
      <c r="G638">
        <v>0</v>
      </c>
    </row>
    <row r="639" spans="1:7">
      <c r="A639" t="s">
        <v>121</v>
      </c>
      <c r="B639" s="1" t="s">
        <v>21</v>
      </c>
      <c r="C639">
        <v>14478</v>
      </c>
      <c r="D639">
        <v>85.8</v>
      </c>
      <c r="E639">
        <v>6.9000000000000006E-2</v>
      </c>
      <c r="F639">
        <v>33</v>
      </c>
      <c r="G639">
        <v>0</v>
      </c>
    </row>
    <row r="640" spans="1:7">
      <c r="A640" t="s">
        <v>121</v>
      </c>
      <c r="B640" s="1" t="s">
        <v>22</v>
      </c>
      <c r="C640">
        <v>14597</v>
      </c>
      <c r="D640">
        <v>86.7</v>
      </c>
      <c r="E640">
        <v>5.5E-2</v>
      </c>
      <c r="F640">
        <v>24</v>
      </c>
      <c r="G640">
        <v>0</v>
      </c>
    </row>
    <row r="641" spans="1:7">
      <c r="A641" t="s">
        <v>121</v>
      </c>
      <c r="B641" s="1" t="s">
        <v>23</v>
      </c>
      <c r="C641">
        <v>14812</v>
      </c>
      <c r="D641">
        <v>86.9</v>
      </c>
      <c r="E641">
        <v>0.06</v>
      </c>
      <c r="F641">
        <v>83</v>
      </c>
      <c r="G641">
        <v>0</v>
      </c>
    </row>
    <row r="642" spans="1:7">
      <c r="A642" t="s">
        <v>121</v>
      </c>
      <c r="B642" s="1" t="s">
        <v>24</v>
      </c>
      <c r="C642">
        <v>14225</v>
      </c>
      <c r="D642">
        <v>86.4</v>
      </c>
      <c r="E642">
        <v>0.06</v>
      </c>
      <c r="F642">
        <v>92</v>
      </c>
      <c r="G642">
        <v>0</v>
      </c>
    </row>
    <row r="643" spans="1:7">
      <c r="A643" t="s">
        <v>121</v>
      </c>
      <c r="B643" s="1" t="s">
        <v>25</v>
      </c>
      <c r="C643">
        <v>14952</v>
      </c>
      <c r="D643">
        <v>85.1</v>
      </c>
      <c r="E643">
        <v>7.0000000000000007E-2</v>
      </c>
      <c r="F643">
        <v>92</v>
      </c>
      <c r="G643">
        <v>0</v>
      </c>
    </row>
    <row r="644" spans="1:7">
      <c r="A644" t="s">
        <v>121</v>
      </c>
      <c r="B644" s="1" t="s">
        <v>26</v>
      </c>
      <c r="C644">
        <v>15309</v>
      </c>
      <c r="D644">
        <v>86.3</v>
      </c>
      <c r="E644">
        <v>6.7000000000000004E-2</v>
      </c>
      <c r="F644">
        <v>22</v>
      </c>
      <c r="G644">
        <v>0</v>
      </c>
    </row>
    <row r="645" spans="1:7">
      <c r="A645" t="s">
        <v>121</v>
      </c>
      <c r="B645" s="1" t="s">
        <v>27</v>
      </c>
      <c r="C645">
        <v>15060</v>
      </c>
      <c r="D645">
        <v>86.4</v>
      </c>
      <c r="E645">
        <v>5.5E-2</v>
      </c>
      <c r="F645">
        <v>27</v>
      </c>
      <c r="G645">
        <v>0</v>
      </c>
    </row>
    <row r="646" spans="1:7">
      <c r="A646" t="s">
        <v>121</v>
      </c>
      <c r="B646" s="1" t="s">
        <v>28</v>
      </c>
      <c r="C646">
        <v>14738</v>
      </c>
      <c r="D646">
        <v>86.4</v>
      </c>
      <c r="E646">
        <v>6.3E-2</v>
      </c>
      <c r="F646">
        <v>97</v>
      </c>
      <c r="G646">
        <v>0</v>
      </c>
    </row>
    <row r="647" spans="1:7">
      <c r="A647" t="s">
        <v>121</v>
      </c>
      <c r="B647" s="1" t="s">
        <v>29</v>
      </c>
      <c r="C647">
        <v>14832</v>
      </c>
      <c r="D647">
        <v>85.5</v>
      </c>
      <c r="E647">
        <v>7.5999999999999998E-2</v>
      </c>
      <c r="F647">
        <v>99</v>
      </c>
      <c r="G647">
        <v>0</v>
      </c>
    </row>
    <row r="648" spans="1:7">
      <c r="A648" t="s">
        <v>121</v>
      </c>
      <c r="B648" s="1" t="s">
        <v>30</v>
      </c>
      <c r="C648">
        <v>12656</v>
      </c>
      <c r="D648">
        <v>86.6</v>
      </c>
      <c r="E648">
        <v>1.7999999999999999E-2</v>
      </c>
      <c r="F648">
        <v>23</v>
      </c>
      <c r="G648">
        <v>0</v>
      </c>
    </row>
    <row r="649" spans="1:7">
      <c r="A649" t="s">
        <v>121</v>
      </c>
      <c r="B649" s="1" t="s">
        <v>31</v>
      </c>
      <c r="C649">
        <v>6287</v>
      </c>
      <c r="D649">
        <v>86.8</v>
      </c>
      <c r="E649">
        <v>-3.6999999999999998E-2</v>
      </c>
      <c r="F649">
        <v>49</v>
      </c>
      <c r="G649">
        <v>0</v>
      </c>
    </row>
    <row r="650" spans="1:7">
      <c r="A650" t="s">
        <v>122</v>
      </c>
      <c r="B650" s="1" t="s">
        <v>8</v>
      </c>
      <c r="C650">
        <v>7111</v>
      </c>
      <c r="D650">
        <v>85.7</v>
      </c>
      <c r="E650">
        <v>3.0000000000000001E-3</v>
      </c>
      <c r="F650">
        <v>89</v>
      </c>
      <c r="G650">
        <v>0</v>
      </c>
    </row>
    <row r="651" spans="1:7">
      <c r="A651" t="s">
        <v>122</v>
      </c>
      <c r="B651" s="1" t="s">
        <v>9</v>
      </c>
      <c r="C651">
        <v>8319</v>
      </c>
      <c r="D651">
        <v>86.6</v>
      </c>
      <c r="E651">
        <v>4.7E-2</v>
      </c>
      <c r="F651">
        <v>62</v>
      </c>
      <c r="G651">
        <v>0</v>
      </c>
    </row>
    <row r="652" spans="1:7">
      <c r="A652" t="s">
        <v>122</v>
      </c>
      <c r="B652" s="1" t="s">
        <v>10</v>
      </c>
      <c r="C652">
        <v>10077</v>
      </c>
      <c r="D652">
        <v>85.5</v>
      </c>
      <c r="E652">
        <v>3.2000000000000001E-2</v>
      </c>
      <c r="F652">
        <v>71</v>
      </c>
      <c r="G652">
        <v>0</v>
      </c>
    </row>
    <row r="653" spans="1:7">
      <c r="A653" t="s">
        <v>122</v>
      </c>
      <c r="B653" s="1" t="s">
        <v>11</v>
      </c>
      <c r="C653">
        <v>10862</v>
      </c>
      <c r="D653">
        <v>86.2</v>
      </c>
      <c r="E653">
        <v>4.7E-2</v>
      </c>
      <c r="F653">
        <v>71</v>
      </c>
      <c r="G653">
        <v>0</v>
      </c>
    </row>
    <row r="654" spans="1:7">
      <c r="A654" t="s">
        <v>122</v>
      </c>
      <c r="B654" s="1" t="s">
        <v>12</v>
      </c>
      <c r="C654">
        <v>15555</v>
      </c>
      <c r="D654">
        <v>84.7</v>
      </c>
      <c r="E654">
        <v>0.13600000000000001</v>
      </c>
      <c r="F654">
        <v>25</v>
      </c>
      <c r="G654">
        <v>0</v>
      </c>
    </row>
    <row r="655" spans="1:7">
      <c r="A655" t="s">
        <v>122</v>
      </c>
      <c r="B655" s="1" t="s">
        <v>13</v>
      </c>
      <c r="C655">
        <v>16143</v>
      </c>
      <c r="D655">
        <v>86.6</v>
      </c>
      <c r="E655">
        <v>0.125</v>
      </c>
      <c r="F655">
        <v>88</v>
      </c>
      <c r="G655">
        <v>0</v>
      </c>
    </row>
    <row r="656" spans="1:7">
      <c r="A656" t="s">
        <v>122</v>
      </c>
      <c r="B656" s="1" t="s">
        <v>14</v>
      </c>
      <c r="C656">
        <v>15123</v>
      </c>
      <c r="D656">
        <v>87.7</v>
      </c>
      <c r="E656">
        <v>6.6000000000000003E-2</v>
      </c>
      <c r="F656">
        <v>124</v>
      </c>
      <c r="G656">
        <v>0</v>
      </c>
    </row>
    <row r="657" spans="1:7">
      <c r="A657" t="s">
        <v>122</v>
      </c>
      <c r="B657" s="1" t="s">
        <v>15</v>
      </c>
      <c r="C657">
        <v>12679</v>
      </c>
      <c r="D657">
        <v>86</v>
      </c>
      <c r="E657">
        <v>0.02</v>
      </c>
      <c r="F657">
        <v>24</v>
      </c>
      <c r="G657">
        <v>0</v>
      </c>
    </row>
    <row r="658" spans="1:7">
      <c r="A658" t="s">
        <v>122</v>
      </c>
      <c r="B658" s="1" t="s">
        <v>16</v>
      </c>
      <c r="C658">
        <v>14051</v>
      </c>
      <c r="D658">
        <v>84.9</v>
      </c>
      <c r="E658">
        <v>4.7E-2</v>
      </c>
      <c r="F658">
        <v>123</v>
      </c>
      <c r="G658">
        <v>0</v>
      </c>
    </row>
    <row r="659" spans="1:7">
      <c r="A659" t="s">
        <v>122</v>
      </c>
      <c r="B659" s="1" t="s">
        <v>17</v>
      </c>
      <c r="C659">
        <v>15701</v>
      </c>
      <c r="D659">
        <v>86</v>
      </c>
      <c r="E659">
        <v>0.08</v>
      </c>
      <c r="F659">
        <v>73</v>
      </c>
      <c r="G659">
        <v>0</v>
      </c>
    </row>
    <row r="660" spans="1:7">
      <c r="A660" t="s">
        <v>122</v>
      </c>
      <c r="B660" s="1" t="s">
        <v>18</v>
      </c>
      <c r="C660">
        <v>15178</v>
      </c>
      <c r="D660">
        <v>85.8</v>
      </c>
      <c r="E660">
        <v>4.1000000000000002E-2</v>
      </c>
      <c r="F660">
        <v>86</v>
      </c>
      <c r="G660">
        <v>0</v>
      </c>
    </row>
    <row r="661" spans="1:7">
      <c r="A661" t="s">
        <v>122</v>
      </c>
      <c r="B661" s="1" t="s">
        <v>19</v>
      </c>
      <c r="C661">
        <v>14739</v>
      </c>
      <c r="D661">
        <v>87.2</v>
      </c>
      <c r="E661">
        <v>7.2999999999999995E-2</v>
      </c>
      <c r="F661">
        <v>74</v>
      </c>
      <c r="G661">
        <v>0</v>
      </c>
    </row>
    <row r="662" spans="1:7">
      <c r="A662" t="s">
        <v>122</v>
      </c>
      <c r="B662" s="1" t="s">
        <v>20</v>
      </c>
      <c r="C662">
        <v>14215</v>
      </c>
      <c r="D662">
        <v>85.9</v>
      </c>
      <c r="E662">
        <v>3.3000000000000002E-2</v>
      </c>
      <c r="F662">
        <v>35</v>
      </c>
      <c r="G662">
        <v>0</v>
      </c>
    </row>
    <row r="663" spans="1:7">
      <c r="A663" t="s">
        <v>122</v>
      </c>
      <c r="B663" s="1" t="s">
        <v>21</v>
      </c>
      <c r="C663">
        <v>13990</v>
      </c>
      <c r="D663">
        <v>85.4</v>
      </c>
      <c r="E663">
        <v>4.2999999999999997E-2</v>
      </c>
      <c r="F663">
        <v>37</v>
      </c>
      <c r="G663">
        <v>0</v>
      </c>
    </row>
    <row r="664" spans="1:7">
      <c r="A664" t="s">
        <v>122</v>
      </c>
      <c r="B664" s="1" t="s">
        <v>22</v>
      </c>
      <c r="C664">
        <v>12688</v>
      </c>
      <c r="D664">
        <v>86.5</v>
      </c>
      <c r="E664">
        <v>0.05</v>
      </c>
      <c r="F664">
        <v>55</v>
      </c>
      <c r="G664">
        <v>0</v>
      </c>
    </row>
    <row r="665" spans="1:7">
      <c r="A665" t="s">
        <v>122</v>
      </c>
      <c r="B665" s="1" t="s">
        <v>23</v>
      </c>
      <c r="C665">
        <v>13335</v>
      </c>
      <c r="D665">
        <v>86.1</v>
      </c>
      <c r="E665">
        <v>5.3999999999999999E-2</v>
      </c>
      <c r="F665">
        <v>74</v>
      </c>
      <c r="G665">
        <v>0</v>
      </c>
    </row>
    <row r="666" spans="1:7">
      <c r="A666" t="s">
        <v>122</v>
      </c>
      <c r="B666" s="1" t="s">
        <v>24</v>
      </c>
      <c r="C666">
        <v>14353</v>
      </c>
      <c r="D666">
        <v>85.7</v>
      </c>
      <c r="E666">
        <v>5.3999999999999999E-2</v>
      </c>
      <c r="F666">
        <v>71</v>
      </c>
      <c r="G666">
        <v>0</v>
      </c>
    </row>
    <row r="667" spans="1:7">
      <c r="A667" t="s">
        <v>122</v>
      </c>
      <c r="B667" s="1" t="s">
        <v>25</v>
      </c>
      <c r="C667">
        <v>13806</v>
      </c>
      <c r="D667">
        <v>86.6</v>
      </c>
      <c r="E667">
        <v>6.3E-2</v>
      </c>
      <c r="F667">
        <v>68</v>
      </c>
      <c r="G667">
        <v>0</v>
      </c>
    </row>
    <row r="668" spans="1:7">
      <c r="A668" t="s">
        <v>122</v>
      </c>
      <c r="B668" s="1" t="s">
        <v>26</v>
      </c>
      <c r="C668">
        <v>14519</v>
      </c>
      <c r="D668">
        <v>85.8</v>
      </c>
      <c r="E668">
        <v>7.1999999999999995E-2</v>
      </c>
      <c r="F668">
        <v>76</v>
      </c>
      <c r="G668">
        <v>0</v>
      </c>
    </row>
    <row r="669" spans="1:7">
      <c r="A669" t="s">
        <v>122</v>
      </c>
      <c r="B669" s="1" t="s">
        <v>27</v>
      </c>
      <c r="C669">
        <v>16015</v>
      </c>
      <c r="D669">
        <v>85.5</v>
      </c>
      <c r="E669">
        <v>6.7000000000000004E-2</v>
      </c>
      <c r="F669">
        <v>113</v>
      </c>
      <c r="G669">
        <v>0</v>
      </c>
    </row>
    <row r="670" spans="1:7">
      <c r="A670" t="s">
        <v>122</v>
      </c>
      <c r="B670" s="1" t="s">
        <v>28</v>
      </c>
      <c r="C670">
        <v>15279</v>
      </c>
      <c r="D670">
        <v>85.9</v>
      </c>
      <c r="E670">
        <v>6.3E-2</v>
      </c>
      <c r="F670">
        <v>71</v>
      </c>
      <c r="G670">
        <v>0</v>
      </c>
    </row>
    <row r="671" spans="1:7">
      <c r="A671" t="s">
        <v>122</v>
      </c>
      <c r="B671" s="1" t="s">
        <v>29</v>
      </c>
      <c r="C671">
        <v>14826</v>
      </c>
      <c r="D671">
        <v>85.9</v>
      </c>
      <c r="E671">
        <v>5.6000000000000001E-2</v>
      </c>
      <c r="F671">
        <v>49</v>
      </c>
      <c r="G671">
        <v>0</v>
      </c>
    </row>
    <row r="672" spans="1:7">
      <c r="A672" t="s">
        <v>122</v>
      </c>
      <c r="B672" s="1" t="s">
        <v>30</v>
      </c>
      <c r="C672">
        <v>11857</v>
      </c>
      <c r="D672">
        <v>86.8</v>
      </c>
      <c r="E672">
        <v>2.1000000000000001E-2</v>
      </c>
      <c r="F672">
        <v>103</v>
      </c>
      <c r="G672">
        <v>0</v>
      </c>
    </row>
    <row r="673" spans="1:7">
      <c r="A673" t="s">
        <v>122</v>
      </c>
      <c r="B673" s="1" t="s">
        <v>31</v>
      </c>
      <c r="C673">
        <v>7277</v>
      </c>
      <c r="D673">
        <v>88.1</v>
      </c>
      <c r="E673">
        <v>-3.2000000000000001E-2</v>
      </c>
      <c r="F673">
        <v>143</v>
      </c>
      <c r="G673">
        <v>0</v>
      </c>
    </row>
    <row r="674" spans="1:7">
      <c r="A674" t="s">
        <v>123</v>
      </c>
      <c r="B674" s="1" t="s">
        <v>8</v>
      </c>
      <c r="C674">
        <v>6724</v>
      </c>
      <c r="D674">
        <v>84.8</v>
      </c>
      <c r="E674">
        <v>3.1E-2</v>
      </c>
      <c r="F674">
        <v>144</v>
      </c>
      <c r="G674">
        <v>0</v>
      </c>
    </row>
    <row r="675" spans="1:7">
      <c r="A675" t="s">
        <v>123</v>
      </c>
      <c r="B675" s="1" t="s">
        <v>9</v>
      </c>
      <c r="C675">
        <v>8117</v>
      </c>
      <c r="D675">
        <v>86.5</v>
      </c>
      <c r="E675">
        <v>3.9E-2</v>
      </c>
      <c r="F675">
        <v>105</v>
      </c>
      <c r="G675">
        <v>0</v>
      </c>
    </row>
    <row r="676" spans="1:7">
      <c r="A676" t="s">
        <v>123</v>
      </c>
      <c r="B676" s="1" t="s">
        <v>10</v>
      </c>
      <c r="C676">
        <v>9577</v>
      </c>
      <c r="D676">
        <v>86.4</v>
      </c>
      <c r="E676">
        <v>3.6999999999999998E-2</v>
      </c>
      <c r="F676">
        <v>28</v>
      </c>
      <c r="G676">
        <v>0</v>
      </c>
    </row>
    <row r="677" spans="1:7">
      <c r="A677" t="s">
        <v>123</v>
      </c>
      <c r="B677" s="1" t="s">
        <v>11</v>
      </c>
      <c r="C677">
        <v>11791</v>
      </c>
      <c r="D677">
        <v>85.5</v>
      </c>
      <c r="E677">
        <v>4.8000000000000001E-2</v>
      </c>
      <c r="F677">
        <v>89</v>
      </c>
      <c r="G677">
        <v>0</v>
      </c>
    </row>
    <row r="678" spans="1:7">
      <c r="A678" t="s">
        <v>123</v>
      </c>
      <c r="B678" s="1" t="s">
        <v>12</v>
      </c>
      <c r="C678">
        <v>13692</v>
      </c>
      <c r="D678">
        <v>83</v>
      </c>
      <c r="E678">
        <v>8.5000000000000006E-2</v>
      </c>
      <c r="F678">
        <v>76</v>
      </c>
      <c r="G678">
        <v>0</v>
      </c>
    </row>
    <row r="679" spans="1:7">
      <c r="A679" t="s">
        <v>123</v>
      </c>
      <c r="B679" s="1" t="s">
        <v>13</v>
      </c>
      <c r="C679">
        <v>17367</v>
      </c>
      <c r="D679">
        <v>84.6</v>
      </c>
      <c r="E679">
        <v>0.11799999999999999</v>
      </c>
      <c r="F679">
        <v>23</v>
      </c>
      <c r="G679">
        <v>0</v>
      </c>
    </row>
    <row r="680" spans="1:7">
      <c r="A680" t="s">
        <v>123</v>
      </c>
      <c r="B680" s="1" t="s">
        <v>14</v>
      </c>
      <c r="C680">
        <v>16999</v>
      </c>
      <c r="D680">
        <v>85.4</v>
      </c>
      <c r="E680">
        <v>7.3999999999999996E-2</v>
      </c>
      <c r="F680">
        <v>86</v>
      </c>
      <c r="G680">
        <v>0</v>
      </c>
    </row>
    <row r="681" spans="1:7">
      <c r="A681" t="s">
        <v>123</v>
      </c>
      <c r="B681" s="1" t="s">
        <v>15</v>
      </c>
      <c r="C681">
        <v>17998</v>
      </c>
      <c r="D681">
        <v>85.2</v>
      </c>
      <c r="E681">
        <v>6.7000000000000004E-2</v>
      </c>
      <c r="F681">
        <v>197</v>
      </c>
      <c r="G681">
        <v>0</v>
      </c>
    </row>
    <row r="682" spans="1:7">
      <c r="A682" t="s">
        <v>123</v>
      </c>
      <c r="B682" s="1" t="s">
        <v>16</v>
      </c>
      <c r="C682">
        <v>18907</v>
      </c>
      <c r="D682">
        <v>85.1</v>
      </c>
      <c r="E682">
        <v>1.4999999999999999E-2</v>
      </c>
      <c r="F682">
        <v>76</v>
      </c>
      <c r="G682">
        <v>0</v>
      </c>
    </row>
    <row r="683" spans="1:7">
      <c r="A683" t="s">
        <v>123</v>
      </c>
      <c r="B683" s="1" t="s">
        <v>17</v>
      </c>
      <c r="C683">
        <v>17642</v>
      </c>
      <c r="D683">
        <v>87.2</v>
      </c>
      <c r="E683">
        <v>3.4000000000000002E-2</v>
      </c>
      <c r="F683">
        <v>96</v>
      </c>
      <c r="G683">
        <v>0</v>
      </c>
    </row>
    <row r="684" spans="1:7">
      <c r="A684" t="s">
        <v>123</v>
      </c>
      <c r="B684" s="1" t="s">
        <v>18</v>
      </c>
      <c r="C684">
        <v>16261</v>
      </c>
      <c r="D684">
        <v>86.6</v>
      </c>
      <c r="E684">
        <v>3.2000000000000001E-2</v>
      </c>
      <c r="F684">
        <v>95</v>
      </c>
      <c r="G684">
        <v>0</v>
      </c>
    </row>
    <row r="685" spans="1:7">
      <c r="A685" t="s">
        <v>123</v>
      </c>
      <c r="B685" s="1" t="s">
        <v>19</v>
      </c>
      <c r="C685">
        <v>11180</v>
      </c>
      <c r="D685">
        <v>82.5</v>
      </c>
      <c r="E685">
        <v>-3.1E-2</v>
      </c>
      <c r="F685">
        <v>25</v>
      </c>
      <c r="G685">
        <v>0</v>
      </c>
    </row>
    <row r="686" spans="1:7">
      <c r="A686" t="s">
        <v>123</v>
      </c>
      <c r="B686" s="1" t="s">
        <v>20</v>
      </c>
      <c r="C686">
        <v>15735</v>
      </c>
      <c r="D686">
        <v>84.8</v>
      </c>
      <c r="E686">
        <v>5.6000000000000001E-2</v>
      </c>
      <c r="F686">
        <v>80</v>
      </c>
      <c r="G686">
        <v>0</v>
      </c>
    </row>
    <row r="687" spans="1:7">
      <c r="A687" t="s">
        <v>123</v>
      </c>
      <c r="B687" s="1" t="s">
        <v>21</v>
      </c>
      <c r="C687">
        <v>16391</v>
      </c>
      <c r="D687">
        <v>87.7</v>
      </c>
      <c r="E687">
        <v>8.7999999999999995E-2</v>
      </c>
      <c r="F687">
        <v>172</v>
      </c>
      <c r="G687">
        <v>0</v>
      </c>
    </row>
    <row r="688" spans="1:7">
      <c r="A688" t="s">
        <v>123</v>
      </c>
      <c r="B688" s="1" t="s">
        <v>22</v>
      </c>
      <c r="C688">
        <v>12810</v>
      </c>
      <c r="D688">
        <v>87.5</v>
      </c>
      <c r="E688">
        <v>1.4999999999999999E-2</v>
      </c>
      <c r="F688">
        <v>23</v>
      </c>
      <c r="G688">
        <v>0</v>
      </c>
    </row>
    <row r="689" spans="1:7">
      <c r="A689" t="s">
        <v>123</v>
      </c>
      <c r="B689" s="1" t="s">
        <v>23</v>
      </c>
      <c r="C689">
        <v>11765</v>
      </c>
      <c r="D689">
        <v>86.6</v>
      </c>
      <c r="E689">
        <v>1.9E-2</v>
      </c>
      <c r="F689">
        <v>210</v>
      </c>
      <c r="G689">
        <v>0</v>
      </c>
    </row>
    <row r="690" spans="1:7">
      <c r="A690" t="s">
        <v>123</v>
      </c>
      <c r="B690" s="1" t="s">
        <v>24</v>
      </c>
      <c r="C690">
        <v>15327</v>
      </c>
      <c r="D690">
        <v>87.7</v>
      </c>
      <c r="E690">
        <v>9.9000000000000005E-2</v>
      </c>
      <c r="F690">
        <v>82</v>
      </c>
      <c r="G690">
        <v>0</v>
      </c>
    </row>
    <row r="691" spans="1:7">
      <c r="A691" t="s">
        <v>123</v>
      </c>
      <c r="B691" s="1" t="s">
        <v>25</v>
      </c>
      <c r="C691">
        <v>14934</v>
      </c>
      <c r="D691">
        <v>87.8</v>
      </c>
      <c r="E691">
        <v>8.3000000000000004E-2</v>
      </c>
      <c r="F691">
        <v>203</v>
      </c>
      <c r="G691">
        <v>0</v>
      </c>
    </row>
    <row r="692" spans="1:7">
      <c r="A692" t="s">
        <v>123</v>
      </c>
      <c r="B692" s="1" t="s">
        <v>26</v>
      </c>
      <c r="C692">
        <v>16255</v>
      </c>
      <c r="D692">
        <v>88</v>
      </c>
      <c r="E692">
        <v>0.08</v>
      </c>
      <c r="F692">
        <v>73</v>
      </c>
      <c r="G692">
        <v>0</v>
      </c>
    </row>
    <row r="693" spans="1:7">
      <c r="A693" t="s">
        <v>123</v>
      </c>
      <c r="B693" s="1" t="s">
        <v>27</v>
      </c>
      <c r="C693">
        <v>16991</v>
      </c>
      <c r="D693">
        <v>89.5</v>
      </c>
      <c r="E693">
        <v>6.9000000000000006E-2</v>
      </c>
      <c r="F693">
        <v>247</v>
      </c>
      <c r="G693">
        <v>0</v>
      </c>
    </row>
    <row r="694" spans="1:7">
      <c r="A694" t="s">
        <v>123</v>
      </c>
      <c r="B694" s="1" t="s">
        <v>28</v>
      </c>
      <c r="C694">
        <v>15706</v>
      </c>
      <c r="D694">
        <v>88.2</v>
      </c>
      <c r="E694">
        <v>5.1999999999999998E-2</v>
      </c>
      <c r="F694">
        <v>67</v>
      </c>
      <c r="G694">
        <v>0</v>
      </c>
    </row>
    <row r="695" spans="1:7">
      <c r="A695" t="s">
        <v>123</v>
      </c>
      <c r="B695" s="1" t="s">
        <v>29</v>
      </c>
      <c r="C695">
        <v>16427</v>
      </c>
      <c r="D695">
        <v>88</v>
      </c>
      <c r="E695">
        <v>5.6000000000000001E-2</v>
      </c>
      <c r="F695">
        <v>74</v>
      </c>
      <c r="G695">
        <v>0</v>
      </c>
    </row>
    <row r="696" spans="1:7">
      <c r="A696" t="s">
        <v>123</v>
      </c>
      <c r="B696" s="1" t="s">
        <v>30</v>
      </c>
      <c r="C696">
        <v>13548</v>
      </c>
      <c r="D696">
        <v>88.7</v>
      </c>
      <c r="E696">
        <v>6.0999999999999999E-2</v>
      </c>
      <c r="F696">
        <v>142</v>
      </c>
      <c r="G696">
        <v>0</v>
      </c>
    </row>
    <row r="697" spans="1:7">
      <c r="A697" t="s">
        <v>123</v>
      </c>
      <c r="B697" s="1" t="s">
        <v>31</v>
      </c>
      <c r="C697">
        <v>11894</v>
      </c>
      <c r="D697">
        <v>88.1</v>
      </c>
      <c r="E697">
        <v>2.3E-2</v>
      </c>
      <c r="F697">
        <v>23</v>
      </c>
      <c r="G697">
        <v>0</v>
      </c>
    </row>
    <row r="698" spans="1:7">
      <c r="A698" t="s">
        <v>124</v>
      </c>
      <c r="B698" s="1" t="s">
        <v>8</v>
      </c>
      <c r="C698">
        <v>13331</v>
      </c>
      <c r="D698">
        <v>89.6</v>
      </c>
      <c r="E698">
        <v>9.5000000000000001E-2</v>
      </c>
      <c r="F698">
        <v>108</v>
      </c>
      <c r="G698">
        <v>0</v>
      </c>
    </row>
    <row r="699" spans="1:7">
      <c r="A699" t="s">
        <v>124</v>
      </c>
      <c r="B699" s="1" t="s">
        <v>9</v>
      </c>
      <c r="C699">
        <v>10930</v>
      </c>
      <c r="D699">
        <v>90.7</v>
      </c>
      <c r="E699">
        <v>5.5E-2</v>
      </c>
      <c r="F699">
        <v>24</v>
      </c>
      <c r="G699">
        <v>0</v>
      </c>
    </row>
    <row r="700" spans="1:7">
      <c r="A700" t="s">
        <v>124</v>
      </c>
      <c r="B700" s="1" t="s">
        <v>10</v>
      </c>
      <c r="C700">
        <v>11466</v>
      </c>
      <c r="D700">
        <v>89.4</v>
      </c>
      <c r="E700">
        <v>4.7E-2</v>
      </c>
      <c r="F700">
        <v>70</v>
      </c>
      <c r="G700">
        <v>0</v>
      </c>
    </row>
    <row r="701" spans="1:7">
      <c r="A701" t="s">
        <v>124</v>
      </c>
      <c r="B701" s="1" t="s">
        <v>11</v>
      </c>
      <c r="C701">
        <v>14047</v>
      </c>
      <c r="D701">
        <v>89.8</v>
      </c>
      <c r="E701">
        <v>0.106</v>
      </c>
      <c r="F701">
        <v>78</v>
      </c>
      <c r="G701">
        <v>0</v>
      </c>
    </row>
    <row r="702" spans="1:7">
      <c r="A702" t="s">
        <v>124</v>
      </c>
      <c r="B702" s="1" t="s">
        <v>12</v>
      </c>
      <c r="C702">
        <v>16335</v>
      </c>
      <c r="D702">
        <v>90.7</v>
      </c>
      <c r="E702">
        <v>0.161</v>
      </c>
      <c r="F702">
        <v>240</v>
      </c>
      <c r="G702">
        <v>0</v>
      </c>
    </row>
    <row r="703" spans="1:7">
      <c r="A703" t="s">
        <v>124</v>
      </c>
      <c r="B703" s="1" t="s">
        <v>13</v>
      </c>
      <c r="C703">
        <v>14378</v>
      </c>
      <c r="D703">
        <v>91.1</v>
      </c>
      <c r="E703">
        <v>7.8E-2</v>
      </c>
      <c r="F703">
        <v>39</v>
      </c>
      <c r="G703">
        <v>0</v>
      </c>
    </row>
    <row r="704" spans="1:7">
      <c r="A704" t="s">
        <v>124</v>
      </c>
      <c r="B704" s="1" t="s">
        <v>14</v>
      </c>
      <c r="C704">
        <v>16287</v>
      </c>
      <c r="D704">
        <v>90.4</v>
      </c>
      <c r="E704">
        <v>7.0000000000000007E-2</v>
      </c>
      <c r="F704">
        <v>73</v>
      </c>
      <c r="G704">
        <v>0</v>
      </c>
    </row>
    <row r="705" spans="1:7">
      <c r="A705" t="s">
        <v>124</v>
      </c>
      <c r="B705" s="1" t="s">
        <v>15</v>
      </c>
      <c r="C705">
        <v>18462</v>
      </c>
      <c r="D705">
        <v>89.4</v>
      </c>
      <c r="E705">
        <v>9.5000000000000001E-2</v>
      </c>
      <c r="F705">
        <v>81</v>
      </c>
      <c r="G705">
        <v>0</v>
      </c>
    </row>
    <row r="706" spans="1:7">
      <c r="A706" t="s">
        <v>124</v>
      </c>
      <c r="B706" s="1" t="s">
        <v>16</v>
      </c>
      <c r="C706">
        <v>17838</v>
      </c>
      <c r="D706">
        <v>87.7</v>
      </c>
      <c r="E706">
        <v>2.7E-2</v>
      </c>
      <c r="F706">
        <v>152</v>
      </c>
      <c r="G706">
        <v>0</v>
      </c>
    </row>
    <row r="707" spans="1:7">
      <c r="A707" t="s">
        <v>124</v>
      </c>
      <c r="B707" s="1" t="s">
        <v>17</v>
      </c>
      <c r="C707">
        <v>17486</v>
      </c>
      <c r="D707">
        <v>89.6</v>
      </c>
      <c r="E707">
        <v>6.7000000000000004E-2</v>
      </c>
      <c r="F707">
        <v>77</v>
      </c>
      <c r="G707">
        <v>0</v>
      </c>
    </row>
    <row r="708" spans="1:7">
      <c r="A708" t="s">
        <v>124</v>
      </c>
      <c r="B708" s="1" t="s">
        <v>18</v>
      </c>
      <c r="C708">
        <v>16659</v>
      </c>
      <c r="D708">
        <v>91.5</v>
      </c>
      <c r="E708">
        <v>5.8000000000000003E-2</v>
      </c>
      <c r="F708">
        <v>198</v>
      </c>
      <c r="G708">
        <v>0</v>
      </c>
    </row>
    <row r="709" spans="1:7">
      <c r="A709" t="s">
        <v>124</v>
      </c>
      <c r="B709" s="1" t="s">
        <v>19</v>
      </c>
      <c r="C709">
        <v>14607</v>
      </c>
      <c r="D709">
        <v>90.2</v>
      </c>
      <c r="E709">
        <v>3.5999999999999997E-2</v>
      </c>
      <c r="F709">
        <v>36</v>
      </c>
      <c r="G709">
        <v>0</v>
      </c>
    </row>
    <row r="710" spans="1:7">
      <c r="A710" t="s">
        <v>124</v>
      </c>
      <c r="B710" s="1" t="s">
        <v>20</v>
      </c>
      <c r="C710">
        <v>14538</v>
      </c>
      <c r="D710">
        <v>89.7</v>
      </c>
      <c r="E710">
        <v>5.0999999999999997E-2</v>
      </c>
      <c r="F710">
        <v>95</v>
      </c>
      <c r="G710">
        <v>0</v>
      </c>
    </row>
    <row r="711" spans="1:7">
      <c r="A711" t="s">
        <v>124</v>
      </c>
      <c r="B711" s="1" t="s">
        <v>21</v>
      </c>
      <c r="C711">
        <v>13454</v>
      </c>
      <c r="D711">
        <v>90.4</v>
      </c>
      <c r="E711">
        <v>5.3999999999999999E-2</v>
      </c>
      <c r="F711">
        <v>101</v>
      </c>
      <c r="G711">
        <v>0</v>
      </c>
    </row>
    <row r="712" spans="1:7">
      <c r="A712" t="s">
        <v>124</v>
      </c>
      <c r="B712" s="1" t="s">
        <v>22</v>
      </c>
      <c r="C712">
        <v>12743</v>
      </c>
      <c r="D712">
        <v>90.5</v>
      </c>
      <c r="E712">
        <v>4.2000000000000003E-2</v>
      </c>
      <c r="F712">
        <v>35</v>
      </c>
      <c r="G712">
        <v>0</v>
      </c>
    </row>
    <row r="713" spans="1:7">
      <c r="A713" t="s">
        <v>124</v>
      </c>
      <c r="B713" s="1" t="s">
        <v>23</v>
      </c>
      <c r="C713">
        <v>13420</v>
      </c>
      <c r="D713">
        <v>90.2</v>
      </c>
      <c r="E713">
        <v>6.9000000000000006E-2</v>
      </c>
      <c r="F713">
        <v>83</v>
      </c>
      <c r="G713">
        <v>0</v>
      </c>
    </row>
    <row r="714" spans="1:7">
      <c r="A714" t="s">
        <v>124</v>
      </c>
      <c r="B714" s="1" t="s">
        <v>24</v>
      </c>
      <c r="C714">
        <v>14383</v>
      </c>
      <c r="D714">
        <v>90.2</v>
      </c>
      <c r="E714">
        <v>9.1999999999999998E-2</v>
      </c>
      <c r="F714">
        <v>34</v>
      </c>
      <c r="G714">
        <v>0</v>
      </c>
    </row>
    <row r="715" spans="1:7">
      <c r="A715" t="s">
        <v>124</v>
      </c>
      <c r="B715" s="1" t="s">
        <v>25</v>
      </c>
      <c r="C715">
        <v>15219</v>
      </c>
      <c r="D715">
        <v>89.7</v>
      </c>
      <c r="E715">
        <v>9.4E-2</v>
      </c>
      <c r="F715">
        <v>22</v>
      </c>
      <c r="G715">
        <v>0</v>
      </c>
    </row>
    <row r="716" spans="1:7">
      <c r="A716" t="s">
        <v>124</v>
      </c>
      <c r="B716" s="1" t="s">
        <v>26</v>
      </c>
      <c r="C716">
        <v>15602</v>
      </c>
      <c r="D716">
        <v>90.1</v>
      </c>
      <c r="E716">
        <v>8.4000000000000005E-2</v>
      </c>
      <c r="F716">
        <v>36</v>
      </c>
      <c r="G716">
        <v>0</v>
      </c>
    </row>
    <row r="717" spans="1:7">
      <c r="A717" t="s">
        <v>124</v>
      </c>
      <c r="B717" s="1" t="s">
        <v>27</v>
      </c>
      <c r="C717">
        <v>16585</v>
      </c>
      <c r="D717">
        <v>89.3</v>
      </c>
      <c r="E717">
        <v>8.5000000000000006E-2</v>
      </c>
      <c r="F717">
        <v>70</v>
      </c>
      <c r="G717">
        <v>0</v>
      </c>
    </row>
    <row r="718" spans="1:7">
      <c r="A718" t="s">
        <v>124</v>
      </c>
      <c r="B718" s="1" t="s">
        <v>28</v>
      </c>
      <c r="C718">
        <v>15615</v>
      </c>
      <c r="D718">
        <v>90.1</v>
      </c>
      <c r="E718">
        <v>6.2E-2</v>
      </c>
      <c r="F718">
        <v>23</v>
      </c>
      <c r="G718">
        <v>0</v>
      </c>
    </row>
    <row r="719" spans="1:7">
      <c r="A719" t="s">
        <v>124</v>
      </c>
      <c r="B719" s="1" t="s">
        <v>29</v>
      </c>
      <c r="C719">
        <v>15093</v>
      </c>
      <c r="D719">
        <v>90</v>
      </c>
      <c r="E719">
        <v>4.7E-2</v>
      </c>
      <c r="F719">
        <v>1267</v>
      </c>
      <c r="G719">
        <v>0</v>
      </c>
    </row>
    <row r="720" spans="1:7">
      <c r="A720" t="s">
        <v>124</v>
      </c>
      <c r="B720" s="1" t="s">
        <v>30</v>
      </c>
      <c r="C720">
        <v>13364</v>
      </c>
      <c r="D720">
        <v>90.4</v>
      </c>
      <c r="E720">
        <v>4.7E-2</v>
      </c>
      <c r="F720">
        <v>111</v>
      </c>
      <c r="G720">
        <v>0</v>
      </c>
    </row>
    <row r="721" spans="1:7">
      <c r="A721" t="s">
        <v>124</v>
      </c>
      <c r="B721" s="1" t="s">
        <v>31</v>
      </c>
      <c r="C721">
        <v>7887</v>
      </c>
      <c r="D721">
        <v>92.1</v>
      </c>
      <c r="E721">
        <v>-5.8000000000000003E-2</v>
      </c>
      <c r="F721">
        <v>22</v>
      </c>
      <c r="G721">
        <v>0</v>
      </c>
    </row>
    <row r="722" spans="1:7">
      <c r="A722" t="s">
        <v>125</v>
      </c>
      <c r="B722" s="1" t="s">
        <v>8</v>
      </c>
      <c r="C722">
        <v>7735</v>
      </c>
      <c r="D722">
        <v>89.5</v>
      </c>
      <c r="E722">
        <v>1E-3</v>
      </c>
      <c r="F722">
        <v>24</v>
      </c>
      <c r="G722">
        <v>0</v>
      </c>
    </row>
    <row r="723" spans="1:7">
      <c r="A723" t="s">
        <v>125</v>
      </c>
      <c r="B723" s="1" t="s">
        <v>9</v>
      </c>
      <c r="C723">
        <v>12334</v>
      </c>
      <c r="D723">
        <v>92.1</v>
      </c>
      <c r="E723">
        <v>0.154</v>
      </c>
      <c r="F723">
        <v>211</v>
      </c>
      <c r="G723">
        <v>0</v>
      </c>
    </row>
    <row r="724" spans="1:7">
      <c r="A724" t="s">
        <v>125</v>
      </c>
      <c r="B724" s="1" t="s">
        <v>10</v>
      </c>
      <c r="C724">
        <v>14411</v>
      </c>
      <c r="D724">
        <v>92.1</v>
      </c>
      <c r="E724">
        <v>0.16400000000000001</v>
      </c>
      <c r="F724">
        <v>72</v>
      </c>
      <c r="G724">
        <v>0</v>
      </c>
    </row>
    <row r="725" spans="1:7">
      <c r="A725" t="s">
        <v>125</v>
      </c>
      <c r="B725" s="1" t="s">
        <v>11</v>
      </c>
      <c r="C725">
        <v>12834</v>
      </c>
      <c r="D725">
        <v>92.6</v>
      </c>
      <c r="E725">
        <v>0.13700000000000001</v>
      </c>
      <c r="F725">
        <v>20</v>
      </c>
      <c r="G725">
        <v>0</v>
      </c>
    </row>
    <row r="726" spans="1:7">
      <c r="A726" t="s">
        <v>125</v>
      </c>
      <c r="B726" s="1" t="s">
        <v>12</v>
      </c>
      <c r="C726">
        <v>14753</v>
      </c>
      <c r="D726">
        <v>92.2</v>
      </c>
      <c r="E726">
        <v>0.156</v>
      </c>
      <c r="F726">
        <v>84</v>
      </c>
      <c r="G726">
        <v>0</v>
      </c>
    </row>
    <row r="727" spans="1:7">
      <c r="A727" t="s">
        <v>125</v>
      </c>
      <c r="B727" s="1" t="s">
        <v>13</v>
      </c>
      <c r="C727">
        <v>14876</v>
      </c>
      <c r="D727">
        <v>92.2</v>
      </c>
      <c r="E727">
        <v>0.107</v>
      </c>
      <c r="F727">
        <v>68</v>
      </c>
      <c r="G727">
        <v>0</v>
      </c>
    </row>
    <row r="728" spans="1:7">
      <c r="A728" t="s">
        <v>125</v>
      </c>
      <c r="B728" s="1" t="s">
        <v>14</v>
      </c>
      <c r="C728">
        <v>13019</v>
      </c>
      <c r="D728">
        <v>93.6</v>
      </c>
      <c r="E728">
        <v>6.3E-2</v>
      </c>
      <c r="F728">
        <v>89</v>
      </c>
      <c r="G728">
        <v>0</v>
      </c>
    </row>
    <row r="729" spans="1:7">
      <c r="A729" t="s">
        <v>125</v>
      </c>
      <c r="B729" s="1" t="s">
        <v>15</v>
      </c>
      <c r="C729">
        <v>12152</v>
      </c>
      <c r="D729">
        <v>87.3</v>
      </c>
      <c r="E729">
        <v>-1.0999999999999999E-2</v>
      </c>
      <c r="F729">
        <v>89</v>
      </c>
      <c r="G729">
        <v>0</v>
      </c>
    </row>
    <row r="730" spans="1:7">
      <c r="A730" t="s">
        <v>125</v>
      </c>
      <c r="B730" s="1" t="s">
        <v>16</v>
      </c>
      <c r="C730">
        <v>13343</v>
      </c>
      <c r="D730">
        <v>87.5</v>
      </c>
      <c r="E730">
        <v>5.2999999999999999E-2</v>
      </c>
      <c r="F730">
        <v>21</v>
      </c>
      <c r="G730">
        <v>0</v>
      </c>
    </row>
    <row r="731" spans="1:7">
      <c r="A731" t="s">
        <v>125</v>
      </c>
      <c r="B731" s="1" t="s">
        <v>17</v>
      </c>
      <c r="C731">
        <v>16014</v>
      </c>
      <c r="D731">
        <v>88.4</v>
      </c>
      <c r="E731">
        <v>0.11600000000000001</v>
      </c>
      <c r="F731">
        <v>22</v>
      </c>
      <c r="G731">
        <v>0</v>
      </c>
    </row>
    <row r="732" spans="1:7">
      <c r="A732" t="s">
        <v>125</v>
      </c>
      <c r="B732" s="1" t="s">
        <v>18</v>
      </c>
      <c r="C732">
        <v>16197</v>
      </c>
      <c r="D732">
        <v>88.3</v>
      </c>
      <c r="E732">
        <v>5.6000000000000001E-2</v>
      </c>
      <c r="F732">
        <v>79</v>
      </c>
      <c r="G732">
        <v>0</v>
      </c>
    </row>
    <row r="733" spans="1:7">
      <c r="A733" t="s">
        <v>125</v>
      </c>
      <c r="B733" s="1" t="s">
        <v>19</v>
      </c>
      <c r="C733">
        <v>15106</v>
      </c>
      <c r="D733">
        <v>88.8</v>
      </c>
      <c r="E733">
        <v>0.04</v>
      </c>
      <c r="F733">
        <v>18</v>
      </c>
      <c r="G733">
        <v>0</v>
      </c>
    </row>
    <row r="734" spans="1:7">
      <c r="A734" t="s">
        <v>125</v>
      </c>
      <c r="B734" s="1" t="s">
        <v>20</v>
      </c>
      <c r="C734">
        <v>15877</v>
      </c>
      <c r="D734">
        <v>88.1</v>
      </c>
      <c r="E734">
        <v>6.7000000000000004E-2</v>
      </c>
      <c r="F734">
        <v>20</v>
      </c>
      <c r="G734">
        <v>0</v>
      </c>
    </row>
    <row r="735" spans="1:7">
      <c r="A735" t="s">
        <v>125</v>
      </c>
      <c r="B735" s="1" t="s">
        <v>21</v>
      </c>
      <c r="C735">
        <v>15027</v>
      </c>
      <c r="D735">
        <v>87.9</v>
      </c>
      <c r="E735">
        <v>7.2999999999999995E-2</v>
      </c>
      <c r="F735">
        <v>76</v>
      </c>
      <c r="G735">
        <v>0</v>
      </c>
    </row>
    <row r="736" spans="1:7">
      <c r="A736" t="s">
        <v>125</v>
      </c>
      <c r="B736" s="1" t="s">
        <v>22</v>
      </c>
      <c r="C736">
        <v>14944</v>
      </c>
      <c r="D736">
        <v>87.7</v>
      </c>
      <c r="E736">
        <v>6.0999999999999999E-2</v>
      </c>
      <c r="F736">
        <v>91</v>
      </c>
      <c r="G736">
        <v>0</v>
      </c>
    </row>
    <row r="737" spans="1:7">
      <c r="A737" t="s">
        <v>125</v>
      </c>
      <c r="B737" s="1" t="s">
        <v>23</v>
      </c>
      <c r="C737">
        <v>14998</v>
      </c>
      <c r="D737">
        <v>87.9</v>
      </c>
      <c r="E737">
        <v>7.3999999999999996E-2</v>
      </c>
      <c r="F737">
        <v>81</v>
      </c>
      <c r="G737">
        <v>0</v>
      </c>
    </row>
    <row r="738" spans="1:7">
      <c r="A738" t="s">
        <v>125</v>
      </c>
      <c r="B738" s="1" t="s">
        <v>24</v>
      </c>
      <c r="C738">
        <v>16325</v>
      </c>
      <c r="D738">
        <v>87.6</v>
      </c>
      <c r="E738">
        <v>8.5000000000000006E-2</v>
      </c>
      <c r="F738">
        <v>19</v>
      </c>
      <c r="G738">
        <v>0</v>
      </c>
    </row>
    <row r="739" spans="1:7">
      <c r="A739" t="s">
        <v>125</v>
      </c>
      <c r="B739" s="1" t="s">
        <v>25</v>
      </c>
      <c r="C739">
        <v>15068</v>
      </c>
      <c r="D739">
        <v>88</v>
      </c>
      <c r="E739">
        <v>7.0000000000000007E-2</v>
      </c>
      <c r="F739">
        <v>21</v>
      </c>
      <c r="G739">
        <v>0</v>
      </c>
    </row>
    <row r="740" spans="1:7">
      <c r="A740" t="s">
        <v>125</v>
      </c>
      <c r="B740" s="1" t="s">
        <v>26</v>
      </c>
      <c r="C740">
        <v>15559</v>
      </c>
      <c r="D740">
        <v>87.9</v>
      </c>
      <c r="E740">
        <v>7.0000000000000007E-2</v>
      </c>
      <c r="F740">
        <v>71</v>
      </c>
      <c r="G740">
        <v>0</v>
      </c>
    </row>
    <row r="741" spans="1:7">
      <c r="A741" t="s">
        <v>125</v>
      </c>
      <c r="B741" s="1" t="s">
        <v>27</v>
      </c>
      <c r="C741">
        <v>14381</v>
      </c>
      <c r="D741">
        <v>87.1</v>
      </c>
      <c r="E741">
        <v>5.6000000000000001E-2</v>
      </c>
      <c r="F741">
        <v>22</v>
      </c>
      <c r="G741">
        <v>0</v>
      </c>
    </row>
    <row r="742" spans="1:7">
      <c r="A742" t="s">
        <v>125</v>
      </c>
      <c r="B742" s="1" t="s">
        <v>28</v>
      </c>
      <c r="C742">
        <v>15733</v>
      </c>
      <c r="D742">
        <v>87</v>
      </c>
      <c r="E742">
        <v>7.6999999999999999E-2</v>
      </c>
      <c r="F742">
        <v>51</v>
      </c>
      <c r="G742">
        <v>0</v>
      </c>
    </row>
    <row r="743" spans="1:7">
      <c r="A743" t="s">
        <v>125</v>
      </c>
      <c r="B743" s="1" t="s">
        <v>29</v>
      </c>
      <c r="C743">
        <v>15366</v>
      </c>
      <c r="D743">
        <v>84.7</v>
      </c>
      <c r="E743">
        <v>7.0000000000000001E-3</v>
      </c>
      <c r="F743">
        <v>77</v>
      </c>
      <c r="G743">
        <v>0</v>
      </c>
    </row>
    <row r="744" spans="1:7">
      <c r="A744" t="s">
        <v>125</v>
      </c>
      <c r="B744" s="1" t="s">
        <v>30</v>
      </c>
      <c r="C744">
        <v>13886</v>
      </c>
      <c r="D744">
        <v>88.9</v>
      </c>
      <c r="E744">
        <v>9.1999999999999998E-2</v>
      </c>
      <c r="F744">
        <v>22</v>
      </c>
      <c r="G744">
        <v>0</v>
      </c>
    </row>
    <row r="745" spans="1:7">
      <c r="A745" t="s">
        <v>125</v>
      </c>
      <c r="B745" s="1" t="s">
        <v>31</v>
      </c>
      <c r="C745">
        <v>8266</v>
      </c>
      <c r="D745">
        <v>89.5</v>
      </c>
      <c r="E745">
        <v>-2.7E-2</v>
      </c>
      <c r="F745">
        <v>248</v>
      </c>
      <c r="G745">
        <v>0</v>
      </c>
    </row>
    <row r="746" spans="1:7">
      <c r="A746" t="s">
        <v>126</v>
      </c>
      <c r="B746" s="1" t="s">
        <v>8</v>
      </c>
      <c r="C746">
        <v>8299</v>
      </c>
      <c r="D746">
        <v>90.4</v>
      </c>
      <c r="E746">
        <v>5.6000000000000001E-2</v>
      </c>
      <c r="F746">
        <v>20</v>
      </c>
      <c r="G7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45"/>
  <sheetViews>
    <sheetView topLeftCell="A699" workbookViewId="0">
      <selection activeCell="I718" sqref="I718"/>
    </sheetView>
  </sheetViews>
  <sheetFormatPr defaultRowHeight="12.75"/>
  <cols>
    <col min="3" max="3" width="18.5703125" bestFit="1" customWidth="1"/>
    <col min="4" max="4" width="32.42578125" bestFit="1" customWidth="1"/>
    <col min="5" max="5" width="29.42578125" bestFit="1" customWidth="1"/>
  </cols>
  <sheetData>
    <row r="1" spans="1: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>
      <c r="A2" s="26" t="s">
        <v>207</v>
      </c>
      <c r="B2" s="27" t="s">
        <v>8</v>
      </c>
      <c r="C2">
        <v>9904</v>
      </c>
      <c r="D2">
        <v>4296</v>
      </c>
      <c r="E2" s="65">
        <v>4043</v>
      </c>
    </row>
    <row r="3" spans="1:5">
      <c r="A3" s="26" t="s">
        <v>207</v>
      </c>
      <c r="B3" s="27" t="s">
        <v>9</v>
      </c>
      <c r="C3">
        <v>9949</v>
      </c>
      <c r="D3">
        <v>1848</v>
      </c>
      <c r="E3">
        <v>3007</v>
      </c>
    </row>
    <row r="4" spans="1:5">
      <c r="A4" s="26" t="s">
        <v>207</v>
      </c>
      <c r="B4" s="27" t="s">
        <v>10</v>
      </c>
      <c r="C4">
        <v>11129</v>
      </c>
      <c r="D4">
        <v>309</v>
      </c>
      <c r="E4">
        <v>2996</v>
      </c>
    </row>
    <row r="5" spans="1:5">
      <c r="A5" s="26" t="s">
        <v>207</v>
      </c>
      <c r="B5" s="27" t="s">
        <v>11</v>
      </c>
      <c r="C5">
        <v>11442</v>
      </c>
      <c r="D5">
        <v>49</v>
      </c>
      <c r="E5">
        <v>3000</v>
      </c>
    </row>
    <row r="6" spans="1:5">
      <c r="A6" s="26" t="s">
        <v>207</v>
      </c>
      <c r="B6" s="27" t="s">
        <v>12</v>
      </c>
      <c r="C6">
        <v>16527</v>
      </c>
      <c r="D6">
        <v>89</v>
      </c>
      <c r="E6">
        <v>4991</v>
      </c>
    </row>
    <row r="7" spans="1:5">
      <c r="A7" s="26" t="s">
        <v>207</v>
      </c>
      <c r="B7" s="27" t="s">
        <v>13</v>
      </c>
      <c r="C7">
        <v>19516</v>
      </c>
      <c r="D7">
        <v>60</v>
      </c>
      <c r="E7">
        <v>5988</v>
      </c>
    </row>
    <row r="8" spans="1:5">
      <c r="A8" s="26" t="s">
        <v>207</v>
      </c>
      <c r="B8" s="27" t="s">
        <v>14</v>
      </c>
      <c r="C8">
        <v>19152</v>
      </c>
      <c r="D8">
        <v>25</v>
      </c>
      <c r="E8">
        <v>6004</v>
      </c>
    </row>
    <row r="9" spans="1:5">
      <c r="A9" s="26" t="s">
        <v>207</v>
      </c>
      <c r="B9" s="27" t="s">
        <v>15</v>
      </c>
      <c r="C9">
        <v>19102</v>
      </c>
      <c r="D9">
        <v>111</v>
      </c>
      <c r="E9">
        <v>5888</v>
      </c>
    </row>
    <row r="10" spans="1:5">
      <c r="A10" s="26" t="s">
        <v>207</v>
      </c>
      <c r="B10" s="27" t="s">
        <v>16</v>
      </c>
      <c r="C10">
        <v>16175</v>
      </c>
      <c r="D10">
        <v>80</v>
      </c>
      <c r="E10">
        <v>5000</v>
      </c>
    </row>
    <row r="11" spans="1:5">
      <c r="A11" s="26" t="s">
        <v>207</v>
      </c>
      <c r="B11" s="27" t="s">
        <v>17</v>
      </c>
      <c r="C11">
        <v>15994</v>
      </c>
      <c r="D11">
        <v>28</v>
      </c>
      <c r="E11">
        <v>5001</v>
      </c>
    </row>
    <row r="12" spans="1:5">
      <c r="A12" s="26" t="s">
        <v>207</v>
      </c>
      <c r="B12" s="27" t="s">
        <v>18</v>
      </c>
      <c r="C12">
        <v>17102</v>
      </c>
      <c r="D12">
        <v>69</v>
      </c>
      <c r="E12">
        <v>5503</v>
      </c>
    </row>
    <row r="13" spans="1:5">
      <c r="A13" s="26" t="s">
        <v>207</v>
      </c>
      <c r="B13" s="27" t="s">
        <v>19</v>
      </c>
      <c r="C13">
        <v>18129</v>
      </c>
      <c r="D13">
        <v>115</v>
      </c>
      <c r="E13">
        <v>5695</v>
      </c>
    </row>
    <row r="14" spans="1:5">
      <c r="A14" s="26" t="s">
        <v>207</v>
      </c>
      <c r="B14" s="27" t="s">
        <v>20</v>
      </c>
      <c r="C14">
        <v>18592</v>
      </c>
      <c r="D14">
        <v>83</v>
      </c>
      <c r="E14">
        <v>5708</v>
      </c>
    </row>
    <row r="15" spans="1:5">
      <c r="A15" s="26" t="s">
        <v>207</v>
      </c>
      <c r="B15" s="27" t="s">
        <v>21</v>
      </c>
      <c r="C15">
        <v>17759</v>
      </c>
      <c r="D15">
        <v>103</v>
      </c>
      <c r="E15">
        <v>5401</v>
      </c>
    </row>
    <row r="16" spans="1:5">
      <c r="A16" s="26" t="s">
        <v>207</v>
      </c>
      <c r="B16" s="27" t="s">
        <v>22</v>
      </c>
      <c r="C16">
        <v>17104</v>
      </c>
      <c r="D16">
        <v>23</v>
      </c>
      <c r="E16">
        <v>5257</v>
      </c>
    </row>
    <row r="17" spans="1:5">
      <c r="A17" s="26" t="s">
        <v>207</v>
      </c>
      <c r="B17" s="27" t="s">
        <v>23</v>
      </c>
      <c r="C17">
        <v>17064</v>
      </c>
      <c r="D17">
        <v>22</v>
      </c>
      <c r="E17">
        <v>5299</v>
      </c>
    </row>
    <row r="18" spans="1:5">
      <c r="A18" s="26" t="s">
        <v>207</v>
      </c>
      <c r="B18" s="27" t="s">
        <v>24</v>
      </c>
      <c r="C18">
        <v>18609</v>
      </c>
      <c r="D18">
        <v>279</v>
      </c>
      <c r="E18">
        <v>5706</v>
      </c>
    </row>
    <row r="19" spans="1:5">
      <c r="A19" s="26" t="s">
        <v>207</v>
      </c>
      <c r="B19" s="27" t="s">
        <v>25</v>
      </c>
      <c r="C19">
        <v>18475</v>
      </c>
      <c r="D19">
        <v>22</v>
      </c>
      <c r="E19">
        <v>5691</v>
      </c>
    </row>
    <row r="20" spans="1:5">
      <c r="A20" s="26" t="s">
        <v>207</v>
      </c>
      <c r="B20" s="27" t="s">
        <v>26</v>
      </c>
      <c r="C20">
        <v>18488</v>
      </c>
      <c r="D20">
        <v>168</v>
      </c>
      <c r="E20">
        <v>5704</v>
      </c>
    </row>
    <row r="21" spans="1:5">
      <c r="A21" s="26" t="s">
        <v>207</v>
      </c>
      <c r="B21" s="27" t="s">
        <v>27</v>
      </c>
      <c r="C21">
        <v>18299</v>
      </c>
      <c r="D21">
        <v>24</v>
      </c>
      <c r="E21">
        <v>5714</v>
      </c>
    </row>
    <row r="22" spans="1:5">
      <c r="A22" s="26" t="s">
        <v>207</v>
      </c>
      <c r="B22" s="27" t="s">
        <v>28</v>
      </c>
      <c r="C22">
        <v>18350</v>
      </c>
      <c r="D22">
        <v>103</v>
      </c>
      <c r="E22">
        <v>5614</v>
      </c>
    </row>
    <row r="23" spans="1:5">
      <c r="A23" s="26" t="s">
        <v>207</v>
      </c>
      <c r="B23" s="27" t="s">
        <v>29</v>
      </c>
      <c r="C23">
        <v>17573</v>
      </c>
      <c r="D23">
        <v>128</v>
      </c>
      <c r="E23">
        <v>5386</v>
      </c>
    </row>
    <row r="24" spans="1:5">
      <c r="A24" s="26" t="s">
        <v>207</v>
      </c>
      <c r="B24" s="27" t="s">
        <v>30</v>
      </c>
      <c r="C24">
        <v>17068</v>
      </c>
      <c r="D24">
        <v>36</v>
      </c>
      <c r="E24">
        <v>5196</v>
      </c>
    </row>
    <row r="25" spans="1:5">
      <c r="A25" s="26" t="s">
        <v>207</v>
      </c>
      <c r="B25" s="27" t="s">
        <v>31</v>
      </c>
      <c r="C25">
        <v>9680</v>
      </c>
      <c r="D25">
        <v>3811</v>
      </c>
      <c r="E25">
        <v>3645</v>
      </c>
    </row>
    <row r="26" spans="1:5">
      <c r="A26" s="28" t="s">
        <v>208</v>
      </c>
      <c r="B26" s="29" t="s">
        <v>8</v>
      </c>
      <c r="C26">
        <v>10280</v>
      </c>
      <c r="D26">
        <v>1088</v>
      </c>
      <c r="E26">
        <v>2986</v>
      </c>
    </row>
    <row r="27" spans="1:5">
      <c r="A27" s="28" t="s">
        <v>208</v>
      </c>
      <c r="B27" s="29" t="s">
        <v>9</v>
      </c>
      <c r="C27">
        <v>10037</v>
      </c>
      <c r="D27">
        <v>2062</v>
      </c>
      <c r="E27">
        <v>3652</v>
      </c>
    </row>
    <row r="28" spans="1:5">
      <c r="A28" s="28" t="s">
        <v>208</v>
      </c>
      <c r="B28" s="29" t="s">
        <v>10</v>
      </c>
      <c r="C28">
        <v>13175</v>
      </c>
      <c r="D28">
        <v>1277</v>
      </c>
      <c r="E28">
        <v>4000</v>
      </c>
    </row>
    <row r="29" spans="1:5">
      <c r="A29" s="28" t="s">
        <v>208</v>
      </c>
      <c r="B29" s="29" t="s">
        <v>11</v>
      </c>
      <c r="C29">
        <v>14322</v>
      </c>
      <c r="D29">
        <v>575</v>
      </c>
      <c r="E29">
        <v>4013</v>
      </c>
    </row>
    <row r="30" spans="1:5">
      <c r="A30" s="28" t="s">
        <v>208</v>
      </c>
      <c r="B30" s="29" t="s">
        <v>12</v>
      </c>
      <c r="C30">
        <v>15365</v>
      </c>
      <c r="D30">
        <v>24</v>
      </c>
      <c r="E30">
        <v>4647</v>
      </c>
    </row>
    <row r="31" spans="1:5">
      <c r="A31" s="28" t="s">
        <v>208</v>
      </c>
      <c r="B31" s="29" t="s">
        <v>13</v>
      </c>
      <c r="C31">
        <v>18820</v>
      </c>
      <c r="D31">
        <v>195</v>
      </c>
      <c r="E31">
        <v>5934</v>
      </c>
    </row>
    <row r="32" spans="1:5">
      <c r="A32" s="28" t="s">
        <v>208</v>
      </c>
      <c r="B32" s="29" t="s">
        <v>14</v>
      </c>
      <c r="C32">
        <v>19487</v>
      </c>
      <c r="D32">
        <v>25</v>
      </c>
      <c r="E32">
        <v>6007</v>
      </c>
    </row>
    <row r="33" spans="1:5">
      <c r="A33" s="28" t="s">
        <v>208</v>
      </c>
      <c r="B33" s="29" t="s">
        <v>15</v>
      </c>
      <c r="C33">
        <v>21425</v>
      </c>
      <c r="D33">
        <v>742</v>
      </c>
      <c r="E33">
        <v>2105</v>
      </c>
    </row>
    <row r="34" spans="1:5">
      <c r="A34" s="28" t="s">
        <v>208</v>
      </c>
      <c r="B34" s="29" t="s">
        <v>16</v>
      </c>
      <c r="C34">
        <v>16783</v>
      </c>
      <c r="D34">
        <v>96</v>
      </c>
      <c r="E34">
        <v>5004</v>
      </c>
    </row>
    <row r="35" spans="1:5">
      <c r="A35" s="28" t="s">
        <v>208</v>
      </c>
      <c r="B35" s="29" t="s">
        <v>17</v>
      </c>
      <c r="C35">
        <v>17944</v>
      </c>
      <c r="D35">
        <v>27</v>
      </c>
      <c r="E35">
        <v>5504</v>
      </c>
    </row>
    <row r="36" spans="1:5">
      <c r="A36" s="28" t="s">
        <v>208</v>
      </c>
      <c r="B36" s="29" t="s">
        <v>18</v>
      </c>
      <c r="C36">
        <v>18279</v>
      </c>
      <c r="D36">
        <v>230</v>
      </c>
      <c r="E36">
        <v>5792</v>
      </c>
    </row>
    <row r="37" spans="1:5">
      <c r="A37" s="28" t="s">
        <v>208</v>
      </c>
      <c r="B37" s="29" t="s">
        <v>19</v>
      </c>
      <c r="C37">
        <v>18412</v>
      </c>
      <c r="D37">
        <v>123</v>
      </c>
      <c r="E37">
        <v>5795</v>
      </c>
    </row>
    <row r="38" spans="1:5">
      <c r="A38" s="28" t="s">
        <v>208</v>
      </c>
      <c r="B38" s="29" t="s">
        <v>20</v>
      </c>
      <c r="C38">
        <v>18582</v>
      </c>
      <c r="D38">
        <v>156</v>
      </c>
      <c r="E38">
        <v>5800</v>
      </c>
    </row>
    <row r="39" spans="1:5">
      <c r="A39" s="28" t="s">
        <v>208</v>
      </c>
      <c r="B39" s="29" t="s">
        <v>21</v>
      </c>
      <c r="C39">
        <v>18286</v>
      </c>
      <c r="D39">
        <v>24</v>
      </c>
      <c r="E39">
        <v>5814</v>
      </c>
    </row>
    <row r="40" spans="1:5">
      <c r="A40" s="28" t="s">
        <v>208</v>
      </c>
      <c r="B40" s="29" t="s">
        <v>22</v>
      </c>
      <c r="C40">
        <v>18342</v>
      </c>
      <c r="D40">
        <v>79</v>
      </c>
      <c r="E40">
        <v>5798</v>
      </c>
    </row>
    <row r="41" spans="1:5">
      <c r="A41" s="28" t="s">
        <v>208</v>
      </c>
      <c r="B41" s="29" t="s">
        <v>23</v>
      </c>
      <c r="C41">
        <v>17863</v>
      </c>
      <c r="D41">
        <v>180</v>
      </c>
      <c r="E41">
        <v>5506</v>
      </c>
    </row>
    <row r="42" spans="1:5">
      <c r="A42" s="28" t="s">
        <v>208</v>
      </c>
      <c r="B42" s="29" t="s">
        <v>24</v>
      </c>
      <c r="C42">
        <v>17324</v>
      </c>
      <c r="D42">
        <v>169</v>
      </c>
      <c r="E42">
        <v>5501</v>
      </c>
    </row>
    <row r="43" spans="1:5">
      <c r="A43" s="28" t="s">
        <v>208</v>
      </c>
      <c r="B43" s="29" t="s">
        <v>25</v>
      </c>
      <c r="C43">
        <v>17369</v>
      </c>
      <c r="D43">
        <v>29</v>
      </c>
      <c r="E43">
        <v>5506</v>
      </c>
    </row>
    <row r="44" spans="1:5">
      <c r="A44" s="28" t="s">
        <v>208</v>
      </c>
      <c r="B44" s="29" t="s">
        <v>26</v>
      </c>
      <c r="C44">
        <v>17431</v>
      </c>
      <c r="D44">
        <v>53</v>
      </c>
      <c r="E44">
        <v>5509</v>
      </c>
    </row>
    <row r="45" spans="1:5">
      <c r="A45" s="28" t="s">
        <v>208</v>
      </c>
      <c r="B45" s="29" t="s">
        <v>27</v>
      </c>
      <c r="C45">
        <v>18834</v>
      </c>
      <c r="D45">
        <v>132</v>
      </c>
      <c r="E45">
        <v>5801</v>
      </c>
    </row>
    <row r="46" spans="1:5">
      <c r="A46" s="28" t="s">
        <v>208</v>
      </c>
      <c r="B46" s="29" t="s">
        <v>28</v>
      </c>
      <c r="C46">
        <v>19022</v>
      </c>
      <c r="D46">
        <v>46</v>
      </c>
      <c r="E46">
        <v>5900</v>
      </c>
    </row>
    <row r="47" spans="1:5">
      <c r="A47" s="28" t="s">
        <v>208</v>
      </c>
      <c r="B47" s="29" t="s">
        <v>29</v>
      </c>
      <c r="C47">
        <v>18823</v>
      </c>
      <c r="D47">
        <v>77</v>
      </c>
      <c r="E47">
        <v>5892</v>
      </c>
    </row>
    <row r="48" spans="1:5">
      <c r="A48" s="28" t="s">
        <v>208</v>
      </c>
      <c r="B48" s="29" t="s">
        <v>30</v>
      </c>
      <c r="C48">
        <v>16658</v>
      </c>
      <c r="D48">
        <v>121</v>
      </c>
      <c r="E48">
        <v>5003</v>
      </c>
    </row>
    <row r="49" spans="1:5">
      <c r="A49" s="28" t="s">
        <v>208</v>
      </c>
      <c r="B49" s="29" t="s">
        <v>31</v>
      </c>
      <c r="C49">
        <v>13056</v>
      </c>
      <c r="D49">
        <v>53</v>
      </c>
      <c r="E49">
        <v>3203</v>
      </c>
    </row>
    <row r="50" spans="1:5">
      <c r="A50" s="26" t="s">
        <v>209</v>
      </c>
      <c r="B50" s="27" t="s">
        <v>8</v>
      </c>
      <c r="C50">
        <v>11126</v>
      </c>
      <c r="D50">
        <v>21</v>
      </c>
      <c r="E50">
        <v>2997</v>
      </c>
    </row>
    <row r="51" spans="1:5">
      <c r="A51" s="26" t="s">
        <v>209</v>
      </c>
      <c r="B51" s="27" t="s">
        <v>9</v>
      </c>
      <c r="C51">
        <v>11979</v>
      </c>
      <c r="D51">
        <v>22</v>
      </c>
      <c r="E51">
        <v>2997</v>
      </c>
    </row>
    <row r="52" spans="1:5">
      <c r="A52" s="26" t="s">
        <v>209</v>
      </c>
      <c r="B52" s="27" t="s">
        <v>10</v>
      </c>
      <c r="C52">
        <v>13754</v>
      </c>
      <c r="D52">
        <v>20</v>
      </c>
      <c r="E52">
        <v>3484</v>
      </c>
    </row>
    <row r="53" spans="1:5">
      <c r="A53" s="26" t="s">
        <v>209</v>
      </c>
      <c r="B53" s="27" t="s">
        <v>11</v>
      </c>
      <c r="C53">
        <v>15929</v>
      </c>
      <c r="D53">
        <v>163</v>
      </c>
      <c r="E53">
        <v>4005</v>
      </c>
    </row>
    <row r="54" spans="1:5">
      <c r="A54" s="26" t="s">
        <v>209</v>
      </c>
      <c r="B54" s="27" t="s">
        <v>12</v>
      </c>
      <c r="C54">
        <v>18265</v>
      </c>
      <c r="D54">
        <v>34</v>
      </c>
      <c r="E54">
        <v>5438</v>
      </c>
    </row>
    <row r="55" spans="1:5">
      <c r="A55" s="26" t="s">
        <v>209</v>
      </c>
      <c r="B55" s="27" t="s">
        <v>13</v>
      </c>
      <c r="C55">
        <v>18521</v>
      </c>
      <c r="D55">
        <v>2069</v>
      </c>
      <c r="E55">
        <v>5972</v>
      </c>
    </row>
    <row r="56" spans="1:5">
      <c r="A56" s="26" t="s">
        <v>209</v>
      </c>
      <c r="B56" s="27" t="s">
        <v>14</v>
      </c>
      <c r="C56">
        <v>14878</v>
      </c>
      <c r="D56">
        <v>3858</v>
      </c>
      <c r="E56">
        <v>5986</v>
      </c>
    </row>
    <row r="57" spans="1:5">
      <c r="A57" s="26" t="s">
        <v>209</v>
      </c>
      <c r="B57" s="27" t="s">
        <v>15</v>
      </c>
      <c r="C57">
        <v>15759</v>
      </c>
      <c r="D57">
        <v>2655</v>
      </c>
      <c r="E57">
        <v>5583</v>
      </c>
    </row>
    <row r="58" spans="1:5">
      <c r="A58" s="26" t="s">
        <v>209</v>
      </c>
      <c r="B58" s="27" t="s">
        <v>16</v>
      </c>
      <c r="C58">
        <v>16485</v>
      </c>
      <c r="D58">
        <v>82</v>
      </c>
      <c r="E58">
        <v>5004</v>
      </c>
    </row>
    <row r="59" spans="1:5">
      <c r="A59" s="26" t="s">
        <v>209</v>
      </c>
      <c r="B59" s="27" t="s">
        <v>17</v>
      </c>
      <c r="C59">
        <v>21583</v>
      </c>
      <c r="D59">
        <v>5768</v>
      </c>
      <c r="E59">
        <v>0</v>
      </c>
    </row>
    <row r="60" spans="1:5">
      <c r="A60" s="26" t="s">
        <v>209</v>
      </c>
      <c r="B60" s="27" t="s">
        <v>18</v>
      </c>
      <c r="C60">
        <v>16714</v>
      </c>
      <c r="D60">
        <v>9068</v>
      </c>
      <c r="E60">
        <v>0</v>
      </c>
    </row>
    <row r="61" spans="1:5">
      <c r="A61" s="26" t="s">
        <v>209</v>
      </c>
      <c r="B61" s="27" t="s">
        <v>19</v>
      </c>
      <c r="C61">
        <v>15771</v>
      </c>
      <c r="D61">
        <v>4436</v>
      </c>
      <c r="E61">
        <v>0</v>
      </c>
    </row>
    <row r="62" spans="1:5">
      <c r="A62" s="26" t="s">
        <v>209</v>
      </c>
      <c r="B62" s="27" t="s">
        <v>20</v>
      </c>
      <c r="C62">
        <v>14422</v>
      </c>
      <c r="D62">
        <v>2142</v>
      </c>
      <c r="E62">
        <v>5003</v>
      </c>
    </row>
    <row r="63" spans="1:5">
      <c r="A63" s="26" t="s">
        <v>209</v>
      </c>
      <c r="B63" s="27" t="s">
        <v>21</v>
      </c>
      <c r="C63">
        <v>15763</v>
      </c>
      <c r="D63">
        <v>926</v>
      </c>
      <c r="E63">
        <v>5001</v>
      </c>
    </row>
    <row r="64" spans="1:5">
      <c r="A64" s="26" t="s">
        <v>209</v>
      </c>
      <c r="B64" s="27" t="s">
        <v>22</v>
      </c>
      <c r="C64">
        <v>13909</v>
      </c>
      <c r="D64">
        <v>2221</v>
      </c>
      <c r="E64">
        <v>4998</v>
      </c>
    </row>
    <row r="65" spans="1:5">
      <c r="A65" s="26" t="s">
        <v>209</v>
      </c>
      <c r="B65" s="27" t="s">
        <v>23</v>
      </c>
      <c r="C65">
        <v>13985</v>
      </c>
      <c r="D65">
        <v>2087</v>
      </c>
      <c r="E65">
        <v>4993</v>
      </c>
    </row>
    <row r="66" spans="1:5">
      <c r="A66" s="26" t="s">
        <v>209</v>
      </c>
      <c r="B66" s="27" t="s">
        <v>24</v>
      </c>
      <c r="C66">
        <v>16544</v>
      </c>
      <c r="D66">
        <v>42</v>
      </c>
      <c r="E66">
        <v>5211</v>
      </c>
    </row>
    <row r="67" spans="1:5">
      <c r="A67" s="26" t="s">
        <v>209</v>
      </c>
      <c r="B67" s="27" t="s">
        <v>25</v>
      </c>
      <c r="C67">
        <v>17525</v>
      </c>
      <c r="D67">
        <v>90</v>
      </c>
      <c r="E67">
        <v>5489</v>
      </c>
    </row>
    <row r="68" spans="1:5">
      <c r="A68" s="26" t="s">
        <v>209</v>
      </c>
      <c r="B68" s="27" t="s">
        <v>26</v>
      </c>
      <c r="C68">
        <v>18122</v>
      </c>
      <c r="D68">
        <v>90</v>
      </c>
      <c r="E68">
        <v>5598</v>
      </c>
    </row>
    <row r="69" spans="1:5">
      <c r="A69" s="26" t="s">
        <v>209</v>
      </c>
      <c r="B69" s="27" t="s">
        <v>27</v>
      </c>
      <c r="C69">
        <v>18166</v>
      </c>
      <c r="D69">
        <v>217</v>
      </c>
      <c r="E69">
        <v>5590</v>
      </c>
    </row>
    <row r="70" spans="1:5">
      <c r="A70" s="26" t="s">
        <v>209</v>
      </c>
      <c r="B70" s="27" t="s">
        <v>28</v>
      </c>
      <c r="C70">
        <v>18951</v>
      </c>
      <c r="D70">
        <v>120</v>
      </c>
      <c r="E70">
        <v>5984</v>
      </c>
    </row>
    <row r="71" spans="1:5">
      <c r="A71" s="26" t="s">
        <v>209</v>
      </c>
      <c r="B71" s="27" t="s">
        <v>29</v>
      </c>
      <c r="C71">
        <v>19130</v>
      </c>
      <c r="D71">
        <v>34</v>
      </c>
      <c r="E71">
        <v>6029</v>
      </c>
    </row>
    <row r="72" spans="1:5">
      <c r="A72" s="26" t="s">
        <v>209</v>
      </c>
      <c r="B72" s="27" t="s">
        <v>30</v>
      </c>
      <c r="C72">
        <v>16633</v>
      </c>
      <c r="D72">
        <v>69</v>
      </c>
      <c r="E72">
        <v>5011</v>
      </c>
    </row>
    <row r="73" spans="1:5">
      <c r="A73" s="26" t="s">
        <v>209</v>
      </c>
      <c r="B73" s="27" t="s">
        <v>31</v>
      </c>
      <c r="C73">
        <v>11111</v>
      </c>
      <c r="D73">
        <v>75</v>
      </c>
      <c r="E73">
        <v>2986</v>
      </c>
    </row>
    <row r="74" spans="1:5">
      <c r="A74" s="28" t="s">
        <v>210</v>
      </c>
      <c r="B74" s="29" t="s">
        <v>8</v>
      </c>
      <c r="C74">
        <v>11705</v>
      </c>
      <c r="D74">
        <v>93</v>
      </c>
      <c r="E74">
        <v>2998</v>
      </c>
    </row>
    <row r="75" spans="1:5">
      <c r="A75" s="28" t="s">
        <v>210</v>
      </c>
      <c r="B75" s="29" t="s">
        <v>9</v>
      </c>
      <c r="C75">
        <v>10472</v>
      </c>
      <c r="D75">
        <v>908</v>
      </c>
      <c r="E75">
        <v>2994</v>
      </c>
    </row>
    <row r="76" spans="1:5">
      <c r="A76" s="28" t="s">
        <v>210</v>
      </c>
      <c r="B76" s="29" t="s">
        <v>10</v>
      </c>
      <c r="C76">
        <v>14524</v>
      </c>
      <c r="D76">
        <v>76</v>
      </c>
      <c r="E76">
        <v>3998</v>
      </c>
    </row>
    <row r="77" spans="1:5">
      <c r="A77" s="28" t="s">
        <v>210</v>
      </c>
      <c r="B77" s="29" t="s">
        <v>11</v>
      </c>
      <c r="C77">
        <v>14777</v>
      </c>
      <c r="D77">
        <v>46</v>
      </c>
      <c r="E77">
        <v>4035</v>
      </c>
    </row>
    <row r="78" spans="1:5">
      <c r="A78" s="28" t="s">
        <v>210</v>
      </c>
      <c r="B78" s="29" t="s">
        <v>12</v>
      </c>
      <c r="C78">
        <v>19702</v>
      </c>
      <c r="D78">
        <v>21</v>
      </c>
      <c r="E78">
        <v>5955</v>
      </c>
    </row>
    <row r="79" spans="1:5">
      <c r="A79" s="28" t="s">
        <v>210</v>
      </c>
      <c r="B79" s="29" t="s">
        <v>13</v>
      </c>
      <c r="C79">
        <v>18990</v>
      </c>
      <c r="D79">
        <v>22</v>
      </c>
      <c r="E79">
        <v>5960</v>
      </c>
    </row>
    <row r="80" spans="1:5">
      <c r="A80" s="28" t="s">
        <v>210</v>
      </c>
      <c r="B80" s="29" t="s">
        <v>14</v>
      </c>
      <c r="C80">
        <v>19456</v>
      </c>
      <c r="D80">
        <v>47</v>
      </c>
      <c r="E80">
        <v>6008</v>
      </c>
    </row>
    <row r="81" spans="1:5">
      <c r="A81" s="28" t="s">
        <v>210</v>
      </c>
      <c r="B81" s="29" t="s">
        <v>15</v>
      </c>
      <c r="C81">
        <v>19356</v>
      </c>
      <c r="D81">
        <v>93</v>
      </c>
      <c r="E81">
        <v>5880</v>
      </c>
    </row>
    <row r="82" spans="1:5">
      <c r="A82" s="28" t="s">
        <v>210</v>
      </c>
      <c r="B82" s="29" t="s">
        <v>16</v>
      </c>
      <c r="C82">
        <v>16484</v>
      </c>
      <c r="D82">
        <v>74</v>
      </c>
      <c r="E82">
        <v>4993</v>
      </c>
    </row>
    <row r="83" spans="1:5">
      <c r="A83" s="28" t="s">
        <v>210</v>
      </c>
      <c r="B83" s="29" t="s">
        <v>17</v>
      </c>
      <c r="C83">
        <v>17695</v>
      </c>
      <c r="D83">
        <v>177</v>
      </c>
      <c r="E83">
        <v>5482</v>
      </c>
    </row>
    <row r="84" spans="1:5">
      <c r="A84" s="28" t="s">
        <v>210</v>
      </c>
      <c r="B84" s="29" t="s">
        <v>18</v>
      </c>
      <c r="C84">
        <v>18713</v>
      </c>
      <c r="D84">
        <v>123</v>
      </c>
      <c r="E84">
        <v>5588</v>
      </c>
    </row>
    <row r="85" spans="1:5">
      <c r="A85" s="28" t="s">
        <v>210</v>
      </c>
      <c r="B85" s="29" t="s">
        <v>19</v>
      </c>
      <c r="C85">
        <v>17747</v>
      </c>
      <c r="D85">
        <v>113</v>
      </c>
      <c r="E85">
        <v>5409</v>
      </c>
    </row>
    <row r="86" spans="1:5">
      <c r="A86" s="28" t="s">
        <v>210</v>
      </c>
      <c r="B86" s="29" t="s">
        <v>20</v>
      </c>
      <c r="C86">
        <v>16531</v>
      </c>
      <c r="D86">
        <v>42</v>
      </c>
      <c r="E86">
        <v>5003</v>
      </c>
    </row>
    <row r="87" spans="1:5">
      <c r="A87" s="28" t="s">
        <v>210</v>
      </c>
      <c r="B87" s="29" t="s">
        <v>21</v>
      </c>
      <c r="C87">
        <v>16246</v>
      </c>
      <c r="D87">
        <v>22</v>
      </c>
      <c r="E87">
        <v>5001</v>
      </c>
    </row>
    <row r="88" spans="1:5">
      <c r="A88" s="28" t="s">
        <v>210</v>
      </c>
      <c r="B88" s="29" t="s">
        <v>22</v>
      </c>
      <c r="C88">
        <v>16217</v>
      </c>
      <c r="D88">
        <v>73</v>
      </c>
      <c r="E88">
        <v>5006</v>
      </c>
    </row>
    <row r="89" spans="1:5">
      <c r="A89" s="28" t="s">
        <v>210</v>
      </c>
      <c r="B89" s="29" t="s">
        <v>23</v>
      </c>
      <c r="C89">
        <v>16756</v>
      </c>
      <c r="D89">
        <v>201</v>
      </c>
      <c r="E89">
        <v>5001</v>
      </c>
    </row>
    <row r="90" spans="1:5">
      <c r="A90" s="28" t="s">
        <v>210</v>
      </c>
      <c r="B90" s="29" t="s">
        <v>24</v>
      </c>
      <c r="C90">
        <v>16677</v>
      </c>
      <c r="D90">
        <v>70</v>
      </c>
      <c r="E90">
        <v>5198</v>
      </c>
    </row>
    <row r="91" spans="1:5">
      <c r="A91" s="28" t="s">
        <v>210</v>
      </c>
      <c r="B91" s="29" t="s">
        <v>25</v>
      </c>
      <c r="C91">
        <v>17491</v>
      </c>
      <c r="D91">
        <v>74</v>
      </c>
      <c r="E91">
        <v>5498</v>
      </c>
    </row>
    <row r="92" spans="1:5">
      <c r="A92" s="28" t="s">
        <v>210</v>
      </c>
      <c r="B92" s="29" t="s">
        <v>26</v>
      </c>
      <c r="C92">
        <v>19247</v>
      </c>
      <c r="D92">
        <v>108</v>
      </c>
      <c r="E92">
        <v>6018</v>
      </c>
    </row>
    <row r="93" spans="1:5">
      <c r="A93" s="28" t="s">
        <v>210</v>
      </c>
      <c r="B93" s="29" t="s">
        <v>27</v>
      </c>
      <c r="C93">
        <v>19771</v>
      </c>
      <c r="D93">
        <v>42</v>
      </c>
      <c r="E93">
        <v>6205</v>
      </c>
    </row>
    <row r="94" spans="1:5">
      <c r="A94" s="28" t="s">
        <v>210</v>
      </c>
      <c r="B94" s="29" t="s">
        <v>28</v>
      </c>
      <c r="C94">
        <v>19469</v>
      </c>
      <c r="D94">
        <v>36</v>
      </c>
      <c r="E94">
        <v>6224</v>
      </c>
    </row>
    <row r="95" spans="1:5">
      <c r="A95" s="28" t="s">
        <v>210</v>
      </c>
      <c r="B95" s="29" t="s">
        <v>29</v>
      </c>
      <c r="C95">
        <v>19897</v>
      </c>
      <c r="D95">
        <v>75</v>
      </c>
      <c r="E95">
        <v>6190</v>
      </c>
    </row>
    <row r="96" spans="1:5">
      <c r="A96" s="28" t="s">
        <v>210</v>
      </c>
      <c r="B96" s="29" t="s">
        <v>30</v>
      </c>
      <c r="C96">
        <v>18570</v>
      </c>
      <c r="D96">
        <v>699</v>
      </c>
      <c r="E96">
        <v>6005</v>
      </c>
    </row>
    <row r="97" spans="1:5">
      <c r="A97" s="28" t="s">
        <v>210</v>
      </c>
      <c r="B97" s="29" t="s">
        <v>31</v>
      </c>
      <c r="C97">
        <v>14403</v>
      </c>
      <c r="D97">
        <v>1598</v>
      </c>
      <c r="E97">
        <v>4497</v>
      </c>
    </row>
    <row r="98" spans="1:5">
      <c r="A98" s="26" t="s">
        <v>211</v>
      </c>
      <c r="B98" s="27" t="s">
        <v>8</v>
      </c>
      <c r="C98">
        <v>13916</v>
      </c>
      <c r="D98">
        <v>1865</v>
      </c>
      <c r="E98">
        <v>4501</v>
      </c>
    </row>
    <row r="99" spans="1:5">
      <c r="A99" s="26" t="s">
        <v>211</v>
      </c>
      <c r="B99" s="27" t="s">
        <v>9</v>
      </c>
      <c r="C99">
        <v>13103</v>
      </c>
      <c r="D99">
        <v>1731</v>
      </c>
      <c r="E99">
        <v>3995</v>
      </c>
    </row>
    <row r="100" spans="1:5">
      <c r="A100" s="26" t="s">
        <v>211</v>
      </c>
      <c r="B100" s="27" t="s">
        <v>10</v>
      </c>
      <c r="C100">
        <v>15580</v>
      </c>
      <c r="D100">
        <v>1253</v>
      </c>
      <c r="E100">
        <v>4790</v>
      </c>
    </row>
    <row r="101" spans="1:5">
      <c r="A101" s="26" t="s">
        <v>211</v>
      </c>
      <c r="B101" s="27" t="s">
        <v>11</v>
      </c>
      <c r="C101">
        <v>17063</v>
      </c>
      <c r="D101">
        <v>1595</v>
      </c>
      <c r="E101">
        <v>5195</v>
      </c>
    </row>
    <row r="102" spans="1:5">
      <c r="A102" s="26" t="s">
        <v>211</v>
      </c>
      <c r="B102" s="27" t="s">
        <v>12</v>
      </c>
      <c r="C102">
        <v>17280</v>
      </c>
      <c r="D102">
        <v>1335</v>
      </c>
      <c r="E102">
        <v>5713</v>
      </c>
    </row>
    <row r="103" spans="1:5">
      <c r="A103" s="26" t="s">
        <v>211</v>
      </c>
      <c r="B103" s="27" t="s">
        <v>13</v>
      </c>
      <c r="C103">
        <v>18580</v>
      </c>
      <c r="D103">
        <v>1392</v>
      </c>
      <c r="E103">
        <v>6201</v>
      </c>
    </row>
    <row r="104" spans="1:5">
      <c r="A104" s="26" t="s">
        <v>211</v>
      </c>
      <c r="B104" s="27" t="s">
        <v>14</v>
      </c>
      <c r="C104">
        <v>18665</v>
      </c>
      <c r="D104">
        <v>1379</v>
      </c>
      <c r="E104">
        <v>6187</v>
      </c>
    </row>
    <row r="105" spans="1:5">
      <c r="A105" s="26" t="s">
        <v>211</v>
      </c>
      <c r="B105" s="27" t="s">
        <v>15</v>
      </c>
      <c r="C105">
        <v>18939</v>
      </c>
      <c r="D105">
        <v>1538</v>
      </c>
      <c r="E105">
        <v>6200</v>
      </c>
    </row>
    <row r="106" spans="1:5">
      <c r="A106" s="26" t="s">
        <v>211</v>
      </c>
      <c r="B106" s="27" t="s">
        <v>16</v>
      </c>
      <c r="C106">
        <v>18454</v>
      </c>
      <c r="D106">
        <v>1334</v>
      </c>
      <c r="E106">
        <v>6199</v>
      </c>
    </row>
    <row r="107" spans="1:5">
      <c r="A107" s="26" t="s">
        <v>211</v>
      </c>
      <c r="B107" s="27" t="s">
        <v>17</v>
      </c>
      <c r="C107">
        <v>19217</v>
      </c>
      <c r="D107">
        <v>1332</v>
      </c>
      <c r="E107">
        <v>6403</v>
      </c>
    </row>
    <row r="108" spans="1:5">
      <c r="A108" s="26" t="s">
        <v>211</v>
      </c>
      <c r="B108" s="27" t="s">
        <v>18</v>
      </c>
      <c r="C108">
        <v>19561</v>
      </c>
      <c r="D108">
        <v>1279</v>
      </c>
      <c r="E108">
        <v>6400</v>
      </c>
    </row>
    <row r="109" spans="1:5">
      <c r="A109" s="26" t="s">
        <v>211</v>
      </c>
      <c r="B109" s="27" t="s">
        <v>19</v>
      </c>
      <c r="C109">
        <v>18757</v>
      </c>
      <c r="D109">
        <v>1228</v>
      </c>
      <c r="E109">
        <v>6210</v>
      </c>
    </row>
    <row r="110" spans="1:5">
      <c r="A110" s="26" t="s">
        <v>211</v>
      </c>
      <c r="B110" s="27" t="s">
        <v>20</v>
      </c>
      <c r="C110">
        <v>16420</v>
      </c>
      <c r="D110">
        <v>162</v>
      </c>
      <c r="E110">
        <v>5002</v>
      </c>
    </row>
    <row r="111" spans="1:5">
      <c r="A111" s="26" t="s">
        <v>211</v>
      </c>
      <c r="B111" s="27" t="s">
        <v>21</v>
      </c>
      <c r="C111">
        <v>16396</v>
      </c>
      <c r="D111">
        <v>33</v>
      </c>
      <c r="E111">
        <v>4996</v>
      </c>
    </row>
    <row r="112" spans="1:5">
      <c r="A112" s="26" t="s">
        <v>211</v>
      </c>
      <c r="B112" s="27" t="s">
        <v>22</v>
      </c>
      <c r="C112">
        <v>16247</v>
      </c>
      <c r="D112">
        <v>20</v>
      </c>
      <c r="E112">
        <v>5007</v>
      </c>
    </row>
    <row r="113" spans="1:5">
      <c r="A113" s="26" t="s">
        <v>211</v>
      </c>
      <c r="B113" s="27" t="s">
        <v>23</v>
      </c>
      <c r="C113">
        <v>17938</v>
      </c>
      <c r="D113">
        <v>229</v>
      </c>
      <c r="E113">
        <v>5398</v>
      </c>
    </row>
    <row r="114" spans="1:5">
      <c r="A114" s="26" t="s">
        <v>211</v>
      </c>
      <c r="B114" s="27" t="s">
        <v>24</v>
      </c>
      <c r="C114">
        <v>18568</v>
      </c>
      <c r="D114">
        <v>104</v>
      </c>
      <c r="E114">
        <v>5603</v>
      </c>
    </row>
    <row r="115" spans="1:5">
      <c r="A115" s="26" t="s">
        <v>211</v>
      </c>
      <c r="B115" s="27" t="s">
        <v>25</v>
      </c>
      <c r="C115">
        <v>17963</v>
      </c>
      <c r="D115">
        <v>96</v>
      </c>
      <c r="E115">
        <v>5601</v>
      </c>
    </row>
    <row r="116" spans="1:5">
      <c r="A116" s="26" t="s">
        <v>211</v>
      </c>
      <c r="B116" s="27" t="s">
        <v>26</v>
      </c>
      <c r="C116">
        <v>17955</v>
      </c>
      <c r="D116">
        <v>171</v>
      </c>
      <c r="E116">
        <v>5596</v>
      </c>
    </row>
    <row r="117" spans="1:5">
      <c r="A117" s="26" t="s">
        <v>211</v>
      </c>
      <c r="B117" s="27" t="s">
        <v>27</v>
      </c>
      <c r="C117">
        <v>17069</v>
      </c>
      <c r="D117">
        <v>16</v>
      </c>
      <c r="E117">
        <v>5294</v>
      </c>
    </row>
    <row r="118" spans="1:5">
      <c r="A118" s="26" t="s">
        <v>211</v>
      </c>
      <c r="B118" s="27" t="s">
        <v>28</v>
      </c>
      <c r="C118">
        <v>16712</v>
      </c>
      <c r="D118">
        <v>84</v>
      </c>
      <c r="E118">
        <v>5195</v>
      </c>
    </row>
    <row r="119" spans="1:5">
      <c r="A119" s="26" t="s">
        <v>211</v>
      </c>
      <c r="B119" s="27" t="s">
        <v>29</v>
      </c>
      <c r="C119">
        <v>16184</v>
      </c>
      <c r="D119">
        <v>19</v>
      </c>
      <c r="E119">
        <v>5006</v>
      </c>
    </row>
    <row r="120" spans="1:5">
      <c r="A120" s="26" t="s">
        <v>211</v>
      </c>
      <c r="B120" s="27" t="s">
        <v>30</v>
      </c>
      <c r="C120">
        <v>16150</v>
      </c>
      <c r="D120">
        <v>19</v>
      </c>
      <c r="E120">
        <v>4991</v>
      </c>
    </row>
    <row r="121" spans="1:5">
      <c r="A121" s="26" t="s">
        <v>211</v>
      </c>
      <c r="B121" s="27" t="s">
        <v>31</v>
      </c>
      <c r="C121">
        <v>8650</v>
      </c>
      <c r="D121">
        <v>4768</v>
      </c>
      <c r="E121">
        <v>3587</v>
      </c>
    </row>
    <row r="122" spans="1:5">
      <c r="A122" s="28" t="s">
        <v>212</v>
      </c>
      <c r="B122" s="29" t="s">
        <v>8</v>
      </c>
      <c r="C122">
        <v>8631</v>
      </c>
      <c r="D122">
        <v>3319</v>
      </c>
      <c r="E122">
        <v>3008</v>
      </c>
    </row>
    <row r="123" spans="1:5">
      <c r="A123" s="28" t="s">
        <v>212</v>
      </c>
      <c r="B123" s="29" t="s">
        <v>9</v>
      </c>
      <c r="C123">
        <v>10663</v>
      </c>
      <c r="D123">
        <v>179</v>
      </c>
      <c r="E123">
        <v>2995</v>
      </c>
    </row>
    <row r="124" spans="1:5">
      <c r="A124" s="28" t="s">
        <v>212</v>
      </c>
      <c r="B124" s="29" t="s">
        <v>10</v>
      </c>
      <c r="C124">
        <v>11959</v>
      </c>
      <c r="D124">
        <v>103</v>
      </c>
      <c r="E124">
        <v>2999</v>
      </c>
    </row>
    <row r="125" spans="1:5">
      <c r="A125" s="28" t="s">
        <v>212</v>
      </c>
      <c r="B125" s="29" t="s">
        <v>11</v>
      </c>
      <c r="C125">
        <v>13335</v>
      </c>
      <c r="D125">
        <v>62</v>
      </c>
      <c r="E125">
        <v>3578</v>
      </c>
    </row>
    <row r="126" spans="1:5">
      <c r="A126" s="28" t="s">
        <v>212</v>
      </c>
      <c r="B126" s="29" t="s">
        <v>12</v>
      </c>
      <c r="C126">
        <v>19287</v>
      </c>
      <c r="D126">
        <v>173</v>
      </c>
      <c r="E126">
        <v>5758</v>
      </c>
    </row>
    <row r="127" spans="1:5">
      <c r="A127" s="28" t="s">
        <v>212</v>
      </c>
      <c r="B127" s="29" t="s">
        <v>13</v>
      </c>
      <c r="C127">
        <v>11743</v>
      </c>
      <c r="D127">
        <v>5584</v>
      </c>
      <c r="E127">
        <v>5929</v>
      </c>
    </row>
    <row r="128" spans="1:5">
      <c r="A128" s="28" t="s">
        <v>212</v>
      </c>
      <c r="B128" s="29" t="s">
        <v>14</v>
      </c>
      <c r="C128">
        <v>18873</v>
      </c>
      <c r="D128">
        <v>1162</v>
      </c>
      <c r="E128">
        <v>5986</v>
      </c>
    </row>
    <row r="129" spans="1:5">
      <c r="A129" s="28" t="s">
        <v>212</v>
      </c>
      <c r="B129" s="29" t="s">
        <v>15</v>
      </c>
      <c r="C129">
        <v>13463</v>
      </c>
      <c r="D129">
        <v>3752</v>
      </c>
      <c r="E129">
        <v>5243</v>
      </c>
    </row>
    <row r="130" spans="1:5">
      <c r="A130" s="28" t="s">
        <v>212</v>
      </c>
      <c r="B130" s="29" t="s">
        <v>16</v>
      </c>
      <c r="C130">
        <v>14997</v>
      </c>
      <c r="D130">
        <v>1175</v>
      </c>
      <c r="E130">
        <v>5013</v>
      </c>
    </row>
    <row r="131" spans="1:5">
      <c r="A131" s="28" t="s">
        <v>212</v>
      </c>
      <c r="B131" s="29" t="s">
        <v>17</v>
      </c>
      <c r="C131">
        <v>16935</v>
      </c>
      <c r="D131">
        <v>242</v>
      </c>
      <c r="E131">
        <v>4997</v>
      </c>
    </row>
    <row r="132" spans="1:5">
      <c r="A132" s="28" t="s">
        <v>212</v>
      </c>
      <c r="B132" s="29" t="s">
        <v>18</v>
      </c>
      <c r="C132">
        <v>16506</v>
      </c>
      <c r="D132">
        <v>257</v>
      </c>
      <c r="E132">
        <v>4996</v>
      </c>
    </row>
    <row r="133" spans="1:5">
      <c r="A133" s="28" t="s">
        <v>212</v>
      </c>
      <c r="B133" s="29" t="s">
        <v>19</v>
      </c>
      <c r="C133">
        <v>16495</v>
      </c>
      <c r="D133">
        <v>24</v>
      </c>
      <c r="E133">
        <v>4994</v>
      </c>
    </row>
    <row r="134" spans="1:5">
      <c r="A134" s="28" t="s">
        <v>212</v>
      </c>
      <c r="B134" s="29" t="s">
        <v>20</v>
      </c>
      <c r="C134">
        <v>16104</v>
      </c>
      <c r="D134">
        <v>21</v>
      </c>
      <c r="E134">
        <v>4997</v>
      </c>
    </row>
    <row r="135" spans="1:5">
      <c r="A135" s="28" t="s">
        <v>212</v>
      </c>
      <c r="B135" s="29" t="s">
        <v>21</v>
      </c>
      <c r="C135">
        <v>15942</v>
      </c>
      <c r="D135">
        <v>25</v>
      </c>
      <c r="E135">
        <v>4996</v>
      </c>
    </row>
    <row r="136" spans="1:5">
      <c r="A136" s="28" t="s">
        <v>212</v>
      </c>
      <c r="B136" s="29" t="s">
        <v>22</v>
      </c>
      <c r="C136">
        <v>16076</v>
      </c>
      <c r="D136">
        <v>26</v>
      </c>
      <c r="E136">
        <v>4986</v>
      </c>
    </row>
    <row r="137" spans="1:5">
      <c r="A137" s="28" t="s">
        <v>212</v>
      </c>
      <c r="B137" s="29" t="s">
        <v>23</v>
      </c>
      <c r="C137">
        <v>16575</v>
      </c>
      <c r="D137">
        <v>80</v>
      </c>
      <c r="E137">
        <v>5007</v>
      </c>
    </row>
    <row r="138" spans="1:5">
      <c r="A138" s="28" t="s">
        <v>212</v>
      </c>
      <c r="B138" s="29" t="s">
        <v>24</v>
      </c>
      <c r="C138">
        <v>16641</v>
      </c>
      <c r="D138">
        <v>165</v>
      </c>
      <c r="E138">
        <v>5007</v>
      </c>
    </row>
    <row r="139" spans="1:5">
      <c r="A139" s="28" t="s">
        <v>212</v>
      </c>
      <c r="B139" s="29" t="s">
        <v>25</v>
      </c>
      <c r="C139">
        <v>16323</v>
      </c>
      <c r="D139">
        <v>78</v>
      </c>
      <c r="E139">
        <v>4995</v>
      </c>
    </row>
    <row r="140" spans="1:5">
      <c r="A140" s="28" t="s">
        <v>212</v>
      </c>
      <c r="B140" s="29" t="s">
        <v>26</v>
      </c>
      <c r="C140">
        <v>16086</v>
      </c>
      <c r="D140">
        <v>196</v>
      </c>
      <c r="E140">
        <v>5005</v>
      </c>
    </row>
    <row r="141" spans="1:5">
      <c r="A141" s="28" t="s">
        <v>212</v>
      </c>
      <c r="B141" s="29" t="s">
        <v>27</v>
      </c>
      <c r="C141">
        <v>14308</v>
      </c>
      <c r="D141">
        <v>2150</v>
      </c>
      <c r="E141">
        <v>5001</v>
      </c>
    </row>
    <row r="142" spans="1:5">
      <c r="A142" s="28" t="s">
        <v>212</v>
      </c>
      <c r="B142" s="29" t="s">
        <v>28</v>
      </c>
      <c r="C142">
        <v>15049</v>
      </c>
      <c r="D142">
        <v>1162</v>
      </c>
      <c r="E142">
        <v>5000</v>
      </c>
    </row>
    <row r="143" spans="1:5">
      <c r="A143" s="28" t="s">
        <v>212</v>
      </c>
      <c r="B143" s="29" t="s">
        <v>29</v>
      </c>
      <c r="C143">
        <v>15247</v>
      </c>
      <c r="D143">
        <v>1066</v>
      </c>
      <c r="E143">
        <v>4994</v>
      </c>
    </row>
    <row r="144" spans="1:5">
      <c r="A144" s="28" t="s">
        <v>212</v>
      </c>
      <c r="B144" s="29" t="s">
        <v>30</v>
      </c>
      <c r="C144">
        <v>12182</v>
      </c>
      <c r="D144">
        <v>2165</v>
      </c>
      <c r="E144">
        <v>4959</v>
      </c>
    </row>
    <row r="145" spans="1:5">
      <c r="A145" s="28" t="s">
        <v>212</v>
      </c>
      <c r="B145" s="29" t="s">
        <v>31</v>
      </c>
      <c r="C145">
        <v>6940</v>
      </c>
      <c r="D145">
        <v>6905</v>
      </c>
      <c r="E145">
        <v>3875</v>
      </c>
    </row>
    <row r="146" spans="1:5">
      <c r="A146" s="26" t="s">
        <v>213</v>
      </c>
      <c r="B146" s="27" t="s">
        <v>8</v>
      </c>
      <c r="C146">
        <v>6014</v>
      </c>
      <c r="D146">
        <v>5451</v>
      </c>
      <c r="E146">
        <v>3000</v>
      </c>
    </row>
    <row r="147" spans="1:5">
      <c r="A147" s="26" t="s">
        <v>213</v>
      </c>
      <c r="B147" s="27" t="s">
        <v>9</v>
      </c>
      <c r="C147">
        <v>6409</v>
      </c>
      <c r="D147">
        <v>6085</v>
      </c>
      <c r="E147">
        <v>3908</v>
      </c>
    </row>
    <row r="148" spans="1:5">
      <c r="A148" s="26" t="s">
        <v>213</v>
      </c>
      <c r="B148" s="27" t="s">
        <v>10</v>
      </c>
      <c r="C148">
        <v>9393</v>
      </c>
      <c r="D148">
        <v>3937</v>
      </c>
      <c r="E148">
        <v>3990</v>
      </c>
    </row>
    <row r="149" spans="1:5">
      <c r="A149" s="26" t="s">
        <v>213</v>
      </c>
      <c r="B149" s="27" t="s">
        <v>11</v>
      </c>
      <c r="C149">
        <v>9986</v>
      </c>
      <c r="D149">
        <v>4211</v>
      </c>
      <c r="E149">
        <v>3994</v>
      </c>
    </row>
    <row r="150" spans="1:5">
      <c r="A150" s="26" t="s">
        <v>213</v>
      </c>
      <c r="B150" s="27" t="s">
        <v>12</v>
      </c>
      <c r="C150">
        <v>15266</v>
      </c>
      <c r="D150">
        <v>1529</v>
      </c>
      <c r="E150">
        <v>5430</v>
      </c>
    </row>
    <row r="151" spans="1:5">
      <c r="A151" s="26" t="s">
        <v>213</v>
      </c>
      <c r="B151" s="27" t="s">
        <v>13</v>
      </c>
      <c r="C151">
        <v>16798</v>
      </c>
      <c r="D151">
        <v>1906</v>
      </c>
      <c r="E151">
        <v>5981</v>
      </c>
    </row>
    <row r="152" spans="1:5">
      <c r="A152" s="26" t="s">
        <v>213</v>
      </c>
      <c r="B152" s="27" t="s">
        <v>14</v>
      </c>
      <c r="C152">
        <v>12461</v>
      </c>
      <c r="D152">
        <v>5840</v>
      </c>
      <c r="E152">
        <v>5993</v>
      </c>
    </row>
    <row r="153" spans="1:5">
      <c r="A153" s="26" t="s">
        <v>213</v>
      </c>
      <c r="B153" s="27" t="s">
        <v>15</v>
      </c>
      <c r="C153">
        <v>13702</v>
      </c>
      <c r="D153">
        <v>4350</v>
      </c>
      <c r="E153">
        <v>5343</v>
      </c>
    </row>
    <row r="154" spans="1:5">
      <c r="A154" s="26" t="s">
        <v>213</v>
      </c>
      <c r="B154" s="27" t="s">
        <v>16</v>
      </c>
      <c r="C154">
        <v>14706</v>
      </c>
      <c r="D154">
        <v>1400</v>
      </c>
      <c r="E154">
        <v>4999</v>
      </c>
    </row>
    <row r="155" spans="1:5">
      <c r="A155" s="26" t="s">
        <v>213</v>
      </c>
      <c r="B155" s="27" t="s">
        <v>17</v>
      </c>
      <c r="C155">
        <v>14366</v>
      </c>
      <c r="D155">
        <v>6369</v>
      </c>
      <c r="E155">
        <v>6024</v>
      </c>
    </row>
    <row r="156" spans="1:5">
      <c r="A156" s="26" t="s">
        <v>213</v>
      </c>
      <c r="B156" s="27" t="s">
        <v>18</v>
      </c>
      <c r="C156">
        <v>14725</v>
      </c>
      <c r="D156">
        <v>4157</v>
      </c>
      <c r="E156">
        <v>6008</v>
      </c>
    </row>
    <row r="157" spans="1:5">
      <c r="A157" s="26" t="s">
        <v>213</v>
      </c>
      <c r="B157" s="27" t="s">
        <v>19</v>
      </c>
      <c r="C157">
        <v>13246</v>
      </c>
      <c r="D157">
        <v>1510</v>
      </c>
      <c r="E157">
        <v>4976</v>
      </c>
    </row>
    <row r="158" spans="1:5">
      <c r="A158" s="26" t="s">
        <v>213</v>
      </c>
      <c r="B158" s="27" t="s">
        <v>20</v>
      </c>
      <c r="C158">
        <v>12582</v>
      </c>
      <c r="D158">
        <v>7013</v>
      </c>
      <c r="E158">
        <v>6015</v>
      </c>
    </row>
    <row r="159" spans="1:5">
      <c r="A159" s="26" t="s">
        <v>213</v>
      </c>
      <c r="B159" s="27" t="s">
        <v>21</v>
      </c>
      <c r="C159">
        <v>11969</v>
      </c>
      <c r="D159">
        <v>7020</v>
      </c>
      <c r="E159">
        <v>6002</v>
      </c>
    </row>
    <row r="160" spans="1:5">
      <c r="A160" s="26" t="s">
        <v>213</v>
      </c>
      <c r="B160" s="27" t="s">
        <v>22</v>
      </c>
      <c r="C160">
        <v>13010</v>
      </c>
      <c r="D160">
        <v>5404</v>
      </c>
      <c r="E160">
        <v>5992</v>
      </c>
    </row>
    <row r="161" spans="1:5">
      <c r="A161" s="26" t="s">
        <v>213</v>
      </c>
      <c r="B161" s="27" t="s">
        <v>23</v>
      </c>
      <c r="C161">
        <v>13472</v>
      </c>
      <c r="D161">
        <v>4806</v>
      </c>
      <c r="E161">
        <v>5996</v>
      </c>
    </row>
    <row r="162" spans="1:5">
      <c r="A162" s="26" t="s">
        <v>213</v>
      </c>
      <c r="B162" s="27" t="s">
        <v>24</v>
      </c>
      <c r="C162">
        <v>13331</v>
      </c>
      <c r="D162">
        <v>4782</v>
      </c>
      <c r="E162">
        <v>6002</v>
      </c>
    </row>
    <row r="163" spans="1:5">
      <c r="A163" s="26" t="s">
        <v>213</v>
      </c>
      <c r="B163" s="27" t="s">
        <v>25</v>
      </c>
      <c r="C163">
        <v>13779</v>
      </c>
      <c r="D163">
        <v>4443</v>
      </c>
      <c r="E163">
        <v>5992</v>
      </c>
    </row>
    <row r="164" spans="1:5">
      <c r="A164" s="26" t="s">
        <v>213</v>
      </c>
      <c r="B164" s="27" t="s">
        <v>26</v>
      </c>
      <c r="C164">
        <v>14163</v>
      </c>
      <c r="D164">
        <v>4457</v>
      </c>
      <c r="E164">
        <v>5995</v>
      </c>
    </row>
    <row r="165" spans="1:5">
      <c r="A165" s="26" t="s">
        <v>213</v>
      </c>
      <c r="B165" s="27" t="s">
        <v>27</v>
      </c>
      <c r="C165">
        <v>13583</v>
      </c>
      <c r="D165">
        <v>4278</v>
      </c>
      <c r="E165">
        <v>5997</v>
      </c>
    </row>
    <row r="166" spans="1:5">
      <c r="A166" s="26" t="s">
        <v>213</v>
      </c>
      <c r="B166" s="27" t="s">
        <v>28</v>
      </c>
      <c r="C166">
        <v>14759</v>
      </c>
      <c r="D166">
        <v>4179</v>
      </c>
      <c r="E166">
        <v>5990</v>
      </c>
    </row>
    <row r="167" spans="1:5">
      <c r="A167" s="26" t="s">
        <v>213</v>
      </c>
      <c r="B167" s="27" t="s">
        <v>29</v>
      </c>
      <c r="C167">
        <v>16750</v>
      </c>
      <c r="D167">
        <v>2303</v>
      </c>
      <c r="E167">
        <v>6011</v>
      </c>
    </row>
    <row r="168" spans="1:5">
      <c r="A168" s="26" t="s">
        <v>213</v>
      </c>
      <c r="B168" s="27" t="s">
        <v>30</v>
      </c>
      <c r="C168">
        <v>14422</v>
      </c>
      <c r="D168">
        <v>2430</v>
      </c>
      <c r="E168">
        <v>5128</v>
      </c>
    </row>
    <row r="169" spans="1:5">
      <c r="A169" s="26" t="s">
        <v>213</v>
      </c>
      <c r="B169" s="27" t="s">
        <v>31</v>
      </c>
      <c r="C169">
        <v>5624</v>
      </c>
      <c r="D169">
        <v>5734</v>
      </c>
      <c r="E169">
        <v>4037</v>
      </c>
    </row>
    <row r="170" spans="1:5">
      <c r="A170" s="28" t="s">
        <v>214</v>
      </c>
      <c r="B170" s="29" t="s">
        <v>8</v>
      </c>
      <c r="C170">
        <v>6367</v>
      </c>
      <c r="D170">
        <v>7010</v>
      </c>
      <c r="E170">
        <v>4003</v>
      </c>
    </row>
    <row r="171" spans="1:5">
      <c r="A171" s="28" t="s">
        <v>214</v>
      </c>
      <c r="B171" s="29" t="s">
        <v>9</v>
      </c>
      <c r="C171">
        <v>6657</v>
      </c>
      <c r="D171">
        <v>4731</v>
      </c>
      <c r="E171">
        <v>3957</v>
      </c>
    </row>
    <row r="172" spans="1:5">
      <c r="A172" s="28" t="s">
        <v>214</v>
      </c>
      <c r="B172" s="29" t="s">
        <v>10</v>
      </c>
      <c r="C172">
        <v>9495</v>
      </c>
      <c r="D172">
        <v>4234</v>
      </c>
      <c r="E172">
        <v>3991</v>
      </c>
    </row>
    <row r="173" spans="1:5">
      <c r="A173" s="28" t="s">
        <v>214</v>
      </c>
      <c r="B173" s="29" t="s">
        <v>11</v>
      </c>
      <c r="C173">
        <v>9808</v>
      </c>
      <c r="D173">
        <v>4490</v>
      </c>
      <c r="E173">
        <v>4015</v>
      </c>
    </row>
    <row r="174" spans="1:5">
      <c r="A174" s="28" t="s">
        <v>214</v>
      </c>
      <c r="B174" s="29" t="s">
        <v>12</v>
      </c>
      <c r="C174">
        <v>18989</v>
      </c>
      <c r="D174">
        <v>281</v>
      </c>
      <c r="E174">
        <v>5975</v>
      </c>
    </row>
    <row r="175" spans="1:5">
      <c r="A175" s="28" t="s">
        <v>214</v>
      </c>
      <c r="B175" s="29" t="s">
        <v>13</v>
      </c>
      <c r="C175">
        <v>18716</v>
      </c>
      <c r="D175">
        <v>76</v>
      </c>
      <c r="E175">
        <v>5994</v>
      </c>
    </row>
    <row r="176" spans="1:5">
      <c r="A176" s="28" t="s">
        <v>214</v>
      </c>
      <c r="B176" s="29" t="s">
        <v>14</v>
      </c>
      <c r="C176">
        <v>21593</v>
      </c>
      <c r="D176">
        <v>3172</v>
      </c>
      <c r="E176">
        <v>7667</v>
      </c>
    </row>
    <row r="177" spans="1:5">
      <c r="A177" s="28" t="s">
        <v>214</v>
      </c>
      <c r="B177" s="29" t="s">
        <v>15</v>
      </c>
      <c r="C177">
        <v>18128</v>
      </c>
      <c r="D177">
        <v>4810</v>
      </c>
      <c r="E177">
        <v>7378</v>
      </c>
    </row>
    <row r="178" spans="1:5">
      <c r="A178" s="28" t="s">
        <v>214</v>
      </c>
      <c r="B178" s="29" t="s">
        <v>16</v>
      </c>
      <c r="C178">
        <v>16172</v>
      </c>
      <c r="D178">
        <v>7498</v>
      </c>
      <c r="E178">
        <v>8004</v>
      </c>
    </row>
    <row r="179" spans="1:5">
      <c r="A179" s="28" t="s">
        <v>214</v>
      </c>
      <c r="B179" s="29" t="s">
        <v>17</v>
      </c>
      <c r="C179">
        <v>18014</v>
      </c>
      <c r="D179">
        <v>3330</v>
      </c>
      <c r="E179">
        <v>6960</v>
      </c>
    </row>
    <row r="180" spans="1:5">
      <c r="A180" s="28" t="s">
        <v>214</v>
      </c>
      <c r="B180" s="29" t="s">
        <v>18</v>
      </c>
      <c r="C180">
        <v>16098</v>
      </c>
      <c r="D180">
        <v>2873</v>
      </c>
      <c r="E180">
        <v>6006</v>
      </c>
    </row>
    <row r="181" spans="1:5">
      <c r="A181" s="28" t="s">
        <v>214</v>
      </c>
      <c r="B181" s="29" t="s">
        <v>19</v>
      </c>
      <c r="C181">
        <v>13711</v>
      </c>
      <c r="D181">
        <v>5559</v>
      </c>
      <c r="E181">
        <v>6015</v>
      </c>
    </row>
    <row r="182" spans="1:5">
      <c r="A182" s="28" t="s">
        <v>214</v>
      </c>
      <c r="B182" s="29" t="s">
        <v>20</v>
      </c>
      <c r="C182">
        <v>13655</v>
      </c>
      <c r="D182">
        <v>4780</v>
      </c>
      <c r="E182">
        <v>6013</v>
      </c>
    </row>
    <row r="183" spans="1:5">
      <c r="A183" s="28" t="s">
        <v>214</v>
      </c>
      <c r="B183" s="29" t="s">
        <v>21</v>
      </c>
      <c r="C183">
        <v>14479</v>
      </c>
      <c r="D183">
        <v>4726</v>
      </c>
      <c r="E183">
        <v>5995</v>
      </c>
    </row>
    <row r="184" spans="1:5">
      <c r="A184" s="28" t="s">
        <v>214</v>
      </c>
      <c r="B184" s="29" t="s">
        <v>22</v>
      </c>
      <c r="C184">
        <v>13147</v>
      </c>
      <c r="D184">
        <v>5476</v>
      </c>
      <c r="E184">
        <v>6001</v>
      </c>
    </row>
    <row r="185" spans="1:5">
      <c r="A185" s="28" t="s">
        <v>214</v>
      </c>
      <c r="B185" s="29" t="s">
        <v>23</v>
      </c>
      <c r="C185">
        <v>12974</v>
      </c>
      <c r="D185">
        <v>8211</v>
      </c>
      <c r="E185">
        <v>7004</v>
      </c>
    </row>
    <row r="186" spans="1:5">
      <c r="A186" s="28" t="s">
        <v>214</v>
      </c>
      <c r="B186" s="29" t="s">
        <v>24</v>
      </c>
      <c r="C186">
        <v>15685</v>
      </c>
      <c r="D186">
        <v>8470</v>
      </c>
      <c r="E186">
        <v>8006</v>
      </c>
    </row>
    <row r="187" spans="1:5">
      <c r="A187" s="28" t="s">
        <v>214</v>
      </c>
      <c r="B187" s="29" t="s">
        <v>25</v>
      </c>
      <c r="C187">
        <v>15699</v>
      </c>
      <c r="D187">
        <v>8916</v>
      </c>
      <c r="E187">
        <v>7996</v>
      </c>
    </row>
    <row r="188" spans="1:5">
      <c r="A188" s="28" t="s">
        <v>214</v>
      </c>
      <c r="B188" s="29" t="s">
        <v>26</v>
      </c>
      <c r="C188">
        <v>14540</v>
      </c>
      <c r="D188">
        <v>9622</v>
      </c>
      <c r="E188">
        <v>7984</v>
      </c>
    </row>
    <row r="189" spans="1:5">
      <c r="A189" s="28" t="s">
        <v>214</v>
      </c>
      <c r="B189" s="29" t="s">
        <v>27</v>
      </c>
      <c r="C189">
        <v>14342</v>
      </c>
      <c r="D189">
        <v>9477</v>
      </c>
      <c r="E189">
        <v>7786</v>
      </c>
    </row>
    <row r="190" spans="1:5">
      <c r="A190" s="28" t="s">
        <v>214</v>
      </c>
      <c r="B190" s="29" t="s">
        <v>28</v>
      </c>
      <c r="C190">
        <v>14767</v>
      </c>
      <c r="D190">
        <v>8860</v>
      </c>
      <c r="E190">
        <v>8000</v>
      </c>
    </row>
    <row r="191" spans="1:5">
      <c r="A191" s="28" t="s">
        <v>214</v>
      </c>
      <c r="B191" s="29" t="s">
        <v>29</v>
      </c>
      <c r="C191">
        <v>16668</v>
      </c>
      <c r="D191">
        <v>1705</v>
      </c>
      <c r="E191">
        <v>6054</v>
      </c>
    </row>
    <row r="192" spans="1:5">
      <c r="A192" s="28" t="s">
        <v>214</v>
      </c>
      <c r="B192" s="29" t="s">
        <v>30</v>
      </c>
      <c r="C192">
        <v>14071</v>
      </c>
      <c r="D192">
        <v>4721</v>
      </c>
      <c r="E192">
        <v>6001</v>
      </c>
    </row>
    <row r="193" spans="1:5">
      <c r="A193" s="28" t="s">
        <v>214</v>
      </c>
      <c r="B193" s="29" t="s">
        <v>31</v>
      </c>
      <c r="C193">
        <v>6902</v>
      </c>
      <c r="D193">
        <v>4867</v>
      </c>
      <c r="E193">
        <v>4073</v>
      </c>
    </row>
    <row r="194" spans="1:5">
      <c r="A194" s="59" t="s">
        <v>215</v>
      </c>
      <c r="B194" s="60" t="s">
        <v>8</v>
      </c>
      <c r="C194">
        <v>6500</v>
      </c>
      <c r="D194">
        <v>5883</v>
      </c>
      <c r="E194">
        <v>3678</v>
      </c>
    </row>
    <row r="195" spans="1:5">
      <c r="A195" s="59" t="s">
        <v>215</v>
      </c>
      <c r="B195" s="60" t="s">
        <v>9</v>
      </c>
      <c r="C195">
        <v>6930</v>
      </c>
      <c r="D195">
        <v>6221</v>
      </c>
      <c r="E195">
        <v>3876</v>
      </c>
    </row>
    <row r="196" spans="1:5">
      <c r="A196" s="59" t="s">
        <v>215</v>
      </c>
      <c r="B196" s="60" t="s">
        <v>10</v>
      </c>
      <c r="C196">
        <v>9569</v>
      </c>
      <c r="D196">
        <v>4446</v>
      </c>
      <c r="E196">
        <v>4002</v>
      </c>
    </row>
    <row r="197" spans="1:5">
      <c r="A197" s="59" t="s">
        <v>215</v>
      </c>
      <c r="B197" s="60" t="s">
        <v>11</v>
      </c>
      <c r="C197">
        <v>10374</v>
      </c>
      <c r="D197">
        <v>3055</v>
      </c>
      <c r="E197">
        <v>3982</v>
      </c>
    </row>
    <row r="198" spans="1:5">
      <c r="A198" s="59" t="s">
        <v>215</v>
      </c>
      <c r="B198" s="60" t="s">
        <v>12</v>
      </c>
      <c r="C198">
        <v>18408</v>
      </c>
      <c r="D198">
        <v>639</v>
      </c>
      <c r="E198">
        <v>6006</v>
      </c>
    </row>
    <row r="199" spans="1:5">
      <c r="A199" s="59" t="s">
        <v>215</v>
      </c>
      <c r="B199" s="60" t="s">
        <v>13</v>
      </c>
      <c r="C199">
        <v>19503</v>
      </c>
      <c r="D199">
        <v>1818</v>
      </c>
      <c r="E199">
        <v>6979</v>
      </c>
    </row>
    <row r="200" spans="1:5">
      <c r="A200" s="59" t="s">
        <v>215</v>
      </c>
      <c r="B200" s="60" t="s">
        <v>14</v>
      </c>
      <c r="C200">
        <v>19037</v>
      </c>
      <c r="D200">
        <v>2767</v>
      </c>
      <c r="E200">
        <v>7008</v>
      </c>
    </row>
    <row r="201" spans="1:5">
      <c r="A201" s="59" t="s">
        <v>215</v>
      </c>
      <c r="B201" s="60" t="s">
        <v>15</v>
      </c>
      <c r="C201">
        <v>14208</v>
      </c>
      <c r="D201">
        <v>10434</v>
      </c>
      <c r="E201">
        <v>7987</v>
      </c>
    </row>
    <row r="202" spans="1:5">
      <c r="A202" s="59" t="s">
        <v>215</v>
      </c>
      <c r="B202" s="60" t="s">
        <v>16</v>
      </c>
      <c r="C202">
        <v>14668</v>
      </c>
      <c r="D202">
        <v>9264</v>
      </c>
      <c r="E202">
        <v>7993</v>
      </c>
    </row>
    <row r="203" spans="1:5">
      <c r="A203" s="59" t="s">
        <v>215</v>
      </c>
      <c r="B203" s="60" t="s">
        <v>17</v>
      </c>
      <c r="C203">
        <v>14803</v>
      </c>
      <c r="D203">
        <v>9247</v>
      </c>
      <c r="E203">
        <v>7969</v>
      </c>
    </row>
    <row r="204" spans="1:5">
      <c r="A204" s="59" t="s">
        <v>215</v>
      </c>
      <c r="B204" s="60" t="s">
        <v>18</v>
      </c>
      <c r="C204">
        <v>14474</v>
      </c>
      <c r="D204">
        <v>10292</v>
      </c>
      <c r="E204">
        <v>8003</v>
      </c>
    </row>
    <row r="205" spans="1:5">
      <c r="A205" s="59" t="s">
        <v>215</v>
      </c>
      <c r="B205" s="60" t="s">
        <v>19</v>
      </c>
      <c r="C205">
        <v>13623</v>
      </c>
      <c r="D205">
        <v>10196</v>
      </c>
      <c r="E205">
        <v>7980</v>
      </c>
    </row>
    <row r="206" spans="1:5">
      <c r="A206" s="59" t="s">
        <v>215</v>
      </c>
      <c r="B206" s="60" t="s">
        <v>20</v>
      </c>
      <c r="C206">
        <v>14236</v>
      </c>
      <c r="D206">
        <v>9805</v>
      </c>
      <c r="E206">
        <v>8003</v>
      </c>
    </row>
    <row r="207" spans="1:5">
      <c r="A207" s="59" t="s">
        <v>215</v>
      </c>
      <c r="B207" s="60" t="s">
        <v>21</v>
      </c>
      <c r="C207">
        <v>13789</v>
      </c>
      <c r="D207">
        <v>10869</v>
      </c>
      <c r="E207">
        <v>8026</v>
      </c>
    </row>
    <row r="208" spans="1:5">
      <c r="A208" s="59" t="s">
        <v>215</v>
      </c>
      <c r="B208" s="60" t="s">
        <v>22</v>
      </c>
      <c r="C208">
        <v>12292</v>
      </c>
      <c r="D208">
        <v>12378</v>
      </c>
      <c r="E208">
        <v>8002</v>
      </c>
    </row>
    <row r="209" spans="1:5">
      <c r="A209" s="59" t="s">
        <v>215</v>
      </c>
      <c r="B209" s="60" t="s">
        <v>23</v>
      </c>
      <c r="C209">
        <v>13295</v>
      </c>
      <c r="D209">
        <v>11479</v>
      </c>
      <c r="E209">
        <v>7998</v>
      </c>
    </row>
    <row r="210" spans="1:5">
      <c r="A210" s="59" t="s">
        <v>215</v>
      </c>
      <c r="B210" s="60" t="s">
        <v>24</v>
      </c>
      <c r="C210">
        <v>14021</v>
      </c>
      <c r="D210">
        <v>10082</v>
      </c>
      <c r="E210">
        <v>7999</v>
      </c>
    </row>
    <row r="211" spans="1:5">
      <c r="A211" s="59" t="s">
        <v>215</v>
      </c>
      <c r="B211" s="60" t="s">
        <v>25</v>
      </c>
      <c r="C211">
        <v>13896</v>
      </c>
      <c r="D211">
        <v>10375</v>
      </c>
      <c r="E211">
        <v>7989</v>
      </c>
    </row>
    <row r="212" spans="1:5">
      <c r="A212" s="59" t="s">
        <v>215</v>
      </c>
      <c r="B212" s="60" t="s">
        <v>26</v>
      </c>
      <c r="C212">
        <v>13218</v>
      </c>
      <c r="D212">
        <v>11125</v>
      </c>
      <c r="E212">
        <v>7995</v>
      </c>
    </row>
    <row r="213" spans="1:5">
      <c r="A213" s="59" t="s">
        <v>215</v>
      </c>
      <c r="B213" s="60" t="s">
        <v>27</v>
      </c>
      <c r="C213">
        <v>13706</v>
      </c>
      <c r="D213">
        <v>10577</v>
      </c>
      <c r="E213">
        <v>7967</v>
      </c>
    </row>
    <row r="214" spans="1:5">
      <c r="A214" s="59" t="s">
        <v>215</v>
      </c>
      <c r="B214" s="60" t="s">
        <v>28</v>
      </c>
      <c r="C214">
        <v>13721</v>
      </c>
      <c r="D214">
        <v>10657</v>
      </c>
      <c r="E214">
        <v>8029</v>
      </c>
    </row>
    <row r="215" spans="1:5">
      <c r="A215" s="59" t="s">
        <v>215</v>
      </c>
      <c r="B215" s="60" t="s">
        <v>29</v>
      </c>
      <c r="C215">
        <v>13029</v>
      </c>
      <c r="D215">
        <v>9847</v>
      </c>
      <c r="E215">
        <v>7531</v>
      </c>
    </row>
    <row r="216" spans="1:5">
      <c r="A216" s="59" t="s">
        <v>215</v>
      </c>
      <c r="B216" s="60" t="s">
        <v>30</v>
      </c>
      <c r="C216">
        <v>11449</v>
      </c>
      <c r="D216">
        <v>8013</v>
      </c>
      <c r="E216">
        <v>6122</v>
      </c>
    </row>
    <row r="217" spans="1:5">
      <c r="A217" s="59" t="s">
        <v>215</v>
      </c>
      <c r="B217" s="60" t="s">
        <v>31</v>
      </c>
      <c r="C217">
        <v>5128</v>
      </c>
      <c r="D217">
        <v>12292</v>
      </c>
      <c r="E217">
        <v>5516</v>
      </c>
    </row>
    <row r="218" spans="1:5">
      <c r="A218" s="99">
        <v>45931</v>
      </c>
      <c r="B218" s="100" t="s">
        <v>8</v>
      </c>
      <c r="C218">
        <v>3335</v>
      </c>
      <c r="D218">
        <v>9840</v>
      </c>
      <c r="E218">
        <v>3993</v>
      </c>
    </row>
    <row r="219" spans="1:5">
      <c r="A219" s="99">
        <v>45931</v>
      </c>
      <c r="B219" s="101">
        <v>4.1666666666666664E-2</v>
      </c>
      <c r="C219">
        <v>3653</v>
      </c>
      <c r="D219">
        <v>9511</v>
      </c>
      <c r="E219">
        <v>4004</v>
      </c>
    </row>
    <row r="220" spans="1:5">
      <c r="A220" s="99">
        <v>45931</v>
      </c>
      <c r="B220" s="101">
        <v>8.3333333333333329E-2</v>
      </c>
      <c r="C220">
        <v>3621</v>
      </c>
      <c r="D220">
        <v>10093</v>
      </c>
      <c r="E220">
        <v>4004</v>
      </c>
    </row>
    <row r="221" spans="1:5">
      <c r="A221" s="99">
        <v>45931</v>
      </c>
      <c r="B221" s="101">
        <v>0.125</v>
      </c>
      <c r="C221">
        <v>3694</v>
      </c>
      <c r="D221">
        <v>9626</v>
      </c>
      <c r="E221">
        <v>3990</v>
      </c>
    </row>
    <row r="222" spans="1:5">
      <c r="A222" s="99">
        <v>45931</v>
      </c>
      <c r="B222" s="101">
        <v>0.16666666666666666</v>
      </c>
      <c r="C222">
        <v>7022</v>
      </c>
      <c r="D222">
        <v>10175</v>
      </c>
      <c r="E222">
        <v>5910</v>
      </c>
    </row>
    <row r="223" spans="1:5">
      <c r="A223" s="99">
        <v>45931</v>
      </c>
      <c r="B223" s="101">
        <v>0.20833333333333334</v>
      </c>
      <c r="C223">
        <v>15181</v>
      </c>
      <c r="D223">
        <v>3496</v>
      </c>
      <c r="E223">
        <v>5993</v>
      </c>
    </row>
    <row r="224" spans="1:5">
      <c r="A224" s="99">
        <v>45931</v>
      </c>
      <c r="B224" s="101">
        <v>0.25</v>
      </c>
      <c r="C224">
        <v>18852</v>
      </c>
      <c r="D224">
        <v>4842</v>
      </c>
      <c r="E224">
        <v>7883</v>
      </c>
    </row>
    <row r="225" spans="1:5">
      <c r="A225" s="99">
        <v>45931</v>
      </c>
      <c r="B225" s="101">
        <v>0.29166666666666669</v>
      </c>
      <c r="C225">
        <v>17672</v>
      </c>
      <c r="D225">
        <v>6609</v>
      </c>
      <c r="E225">
        <v>7936</v>
      </c>
    </row>
    <row r="226" spans="1:5">
      <c r="A226" s="99">
        <v>45931</v>
      </c>
      <c r="B226" s="101">
        <v>0.33333333333333331</v>
      </c>
      <c r="C226">
        <v>16996</v>
      </c>
      <c r="D226">
        <v>7337</v>
      </c>
      <c r="E226">
        <v>8006</v>
      </c>
    </row>
    <row r="227" spans="1:5">
      <c r="A227" s="99">
        <v>45931</v>
      </c>
      <c r="B227" s="101">
        <v>0.375</v>
      </c>
      <c r="C227">
        <v>16894</v>
      </c>
      <c r="D227">
        <v>7170</v>
      </c>
      <c r="E227">
        <v>8003</v>
      </c>
    </row>
    <row r="228" spans="1:5">
      <c r="A228" s="99">
        <v>45931</v>
      </c>
      <c r="B228" s="101">
        <v>0.41666666666666669</v>
      </c>
      <c r="C228">
        <v>17110</v>
      </c>
      <c r="D228">
        <v>4835</v>
      </c>
      <c r="E228">
        <v>7487</v>
      </c>
    </row>
    <row r="229" spans="1:5">
      <c r="A229" s="99">
        <v>45931</v>
      </c>
      <c r="B229" s="101">
        <v>0.45833333333333331</v>
      </c>
      <c r="C229">
        <v>16662</v>
      </c>
      <c r="D229">
        <v>1787</v>
      </c>
      <c r="E229">
        <v>6001</v>
      </c>
    </row>
    <row r="230" spans="1:5">
      <c r="A230" s="99">
        <v>45931</v>
      </c>
      <c r="B230" s="101">
        <v>0.5</v>
      </c>
      <c r="C230">
        <v>16629</v>
      </c>
      <c r="D230">
        <v>2273</v>
      </c>
      <c r="E230">
        <v>6030</v>
      </c>
    </row>
    <row r="231" spans="1:5">
      <c r="A231" s="99">
        <v>45931</v>
      </c>
      <c r="B231" s="101">
        <v>0.54166666666666663</v>
      </c>
      <c r="C231">
        <v>16739</v>
      </c>
      <c r="D231">
        <v>2309</v>
      </c>
      <c r="E231">
        <v>5991</v>
      </c>
    </row>
    <row r="232" spans="1:5">
      <c r="A232" s="99">
        <v>45931</v>
      </c>
      <c r="B232" s="101">
        <v>0.58333333333333337</v>
      </c>
      <c r="C232">
        <v>17136</v>
      </c>
      <c r="D232">
        <v>2018</v>
      </c>
      <c r="E232">
        <v>6004</v>
      </c>
    </row>
    <row r="233" spans="1:5">
      <c r="A233" s="99">
        <v>45931</v>
      </c>
      <c r="B233" s="101">
        <v>0.625</v>
      </c>
      <c r="C233">
        <v>15564</v>
      </c>
      <c r="D233">
        <v>3408</v>
      </c>
      <c r="E233">
        <v>6009</v>
      </c>
    </row>
    <row r="234" spans="1:5">
      <c r="A234" s="99">
        <v>45931</v>
      </c>
      <c r="B234" s="101">
        <v>0.66666666666666663</v>
      </c>
      <c r="C234">
        <v>16382</v>
      </c>
      <c r="D234">
        <v>8603</v>
      </c>
      <c r="E234">
        <v>7808</v>
      </c>
    </row>
    <row r="235" spans="1:5">
      <c r="A235" s="99">
        <v>45931</v>
      </c>
      <c r="B235" s="101">
        <v>0.70833333333333337</v>
      </c>
      <c r="C235">
        <v>16834</v>
      </c>
      <c r="D235">
        <v>7420</v>
      </c>
      <c r="E235">
        <v>7994</v>
      </c>
    </row>
    <row r="236" spans="1:5">
      <c r="A236" s="99">
        <v>45931</v>
      </c>
      <c r="B236" s="101">
        <v>0.75</v>
      </c>
      <c r="C236">
        <v>16692</v>
      </c>
      <c r="D236">
        <v>7925</v>
      </c>
      <c r="E236">
        <v>7993</v>
      </c>
    </row>
    <row r="237" spans="1:5">
      <c r="A237" s="99">
        <v>45931</v>
      </c>
      <c r="B237" s="101">
        <v>0.79166666666666663</v>
      </c>
      <c r="C237">
        <v>16942</v>
      </c>
      <c r="D237">
        <v>7586</v>
      </c>
      <c r="E237">
        <v>7994</v>
      </c>
    </row>
    <row r="238" spans="1:5">
      <c r="A238" s="99">
        <v>45931</v>
      </c>
      <c r="B238" s="101">
        <v>0.83333333333333337</v>
      </c>
      <c r="C238">
        <v>16912</v>
      </c>
      <c r="D238">
        <v>7708</v>
      </c>
      <c r="E238">
        <v>7995</v>
      </c>
    </row>
    <row r="239" spans="1:5">
      <c r="A239" s="99">
        <v>45931</v>
      </c>
      <c r="B239" s="101">
        <v>0.875</v>
      </c>
      <c r="C239">
        <v>18215</v>
      </c>
      <c r="D239">
        <v>3843</v>
      </c>
      <c r="E239">
        <v>7157</v>
      </c>
    </row>
    <row r="240" spans="1:5">
      <c r="A240" s="99">
        <v>45931</v>
      </c>
      <c r="B240" s="101">
        <v>0.91666666666666663</v>
      </c>
      <c r="C240">
        <v>15280</v>
      </c>
      <c r="D240">
        <v>3257</v>
      </c>
      <c r="E240">
        <v>5986</v>
      </c>
    </row>
    <row r="241" spans="1:5">
      <c r="A241" s="99">
        <v>45931</v>
      </c>
      <c r="B241" s="101">
        <v>0.95833333333333337</v>
      </c>
      <c r="C241">
        <v>9401</v>
      </c>
      <c r="D241">
        <v>4992</v>
      </c>
      <c r="E241">
        <v>5429</v>
      </c>
    </row>
    <row r="242" spans="1:5">
      <c r="A242" s="102">
        <v>45962</v>
      </c>
      <c r="B242" s="60" t="s">
        <v>8</v>
      </c>
      <c r="C242">
        <v>10213</v>
      </c>
      <c r="D242">
        <v>3880</v>
      </c>
      <c r="E242">
        <v>3992</v>
      </c>
    </row>
    <row r="243" spans="1:5">
      <c r="A243" s="59" t="s">
        <v>232</v>
      </c>
      <c r="B243" s="60" t="s">
        <v>9</v>
      </c>
      <c r="C243">
        <v>10769</v>
      </c>
      <c r="D243">
        <v>3030</v>
      </c>
      <c r="E243">
        <v>4004</v>
      </c>
    </row>
    <row r="244" spans="1:5">
      <c r="A244" s="59" t="s">
        <v>232</v>
      </c>
      <c r="B244" s="60" t="s">
        <v>10</v>
      </c>
      <c r="C244">
        <v>13047</v>
      </c>
      <c r="D244">
        <v>1246</v>
      </c>
      <c r="E244">
        <v>4003</v>
      </c>
    </row>
    <row r="245" spans="1:5">
      <c r="A245" s="59" t="s">
        <v>232</v>
      </c>
      <c r="B245" s="60" t="s">
        <v>11</v>
      </c>
      <c r="C245">
        <v>12728</v>
      </c>
      <c r="D245">
        <v>4187</v>
      </c>
      <c r="E245">
        <v>4988</v>
      </c>
    </row>
    <row r="246" spans="1:5">
      <c r="A246" s="59" t="s">
        <v>232</v>
      </c>
      <c r="B246" s="60" t="s">
        <v>12</v>
      </c>
      <c r="C246">
        <v>19534</v>
      </c>
      <c r="D246">
        <v>222</v>
      </c>
      <c r="E246">
        <v>6008</v>
      </c>
    </row>
    <row r="247" spans="1:5">
      <c r="A247" s="59" t="s">
        <v>232</v>
      </c>
      <c r="B247" s="60" t="s">
        <v>13</v>
      </c>
      <c r="C247">
        <v>19223</v>
      </c>
      <c r="D247">
        <v>143</v>
      </c>
      <c r="E247">
        <v>5999</v>
      </c>
    </row>
    <row r="248" spans="1:5">
      <c r="A248" s="59" t="s">
        <v>232</v>
      </c>
      <c r="B248" s="60" t="s">
        <v>14</v>
      </c>
      <c r="C248">
        <v>19816</v>
      </c>
      <c r="D248">
        <v>22</v>
      </c>
      <c r="E248">
        <v>6189</v>
      </c>
    </row>
    <row r="249" spans="1:5">
      <c r="A249" s="59" t="s">
        <v>232</v>
      </c>
      <c r="B249" s="60" t="s">
        <v>15</v>
      </c>
      <c r="C249">
        <v>19796</v>
      </c>
      <c r="D249">
        <v>65</v>
      </c>
      <c r="E249">
        <v>6210</v>
      </c>
    </row>
    <row r="250" spans="1:5">
      <c r="A250" s="59" t="s">
        <v>232</v>
      </c>
      <c r="B250" s="60" t="s">
        <v>16</v>
      </c>
      <c r="C250">
        <v>18657</v>
      </c>
      <c r="D250">
        <v>21</v>
      </c>
      <c r="E250">
        <v>5986</v>
      </c>
    </row>
    <row r="251" spans="1:5">
      <c r="A251" s="59" t="s">
        <v>232</v>
      </c>
      <c r="B251" s="60" t="s">
        <v>17</v>
      </c>
      <c r="C251">
        <v>18208</v>
      </c>
      <c r="D251">
        <v>1088</v>
      </c>
      <c r="E251">
        <v>6011</v>
      </c>
    </row>
    <row r="252" spans="1:5">
      <c r="A252" s="59" t="s">
        <v>232</v>
      </c>
      <c r="B252" s="60" t="s">
        <v>18</v>
      </c>
      <c r="C252">
        <v>16389</v>
      </c>
      <c r="D252">
        <v>2894</v>
      </c>
      <c r="E252">
        <v>6013</v>
      </c>
    </row>
    <row r="253" spans="1:5">
      <c r="A253" s="59" t="s">
        <v>232</v>
      </c>
      <c r="B253" s="60" t="s">
        <v>19</v>
      </c>
      <c r="C253">
        <v>14839</v>
      </c>
      <c r="D253">
        <v>1226</v>
      </c>
      <c r="E253">
        <v>5206</v>
      </c>
    </row>
    <row r="254" spans="1:5">
      <c r="A254" s="59" t="s">
        <v>232</v>
      </c>
      <c r="B254" s="60" t="s">
        <v>20</v>
      </c>
      <c r="C254">
        <v>16097</v>
      </c>
      <c r="D254">
        <v>24</v>
      </c>
      <c r="E254">
        <v>4994</v>
      </c>
    </row>
    <row r="255" spans="1:5">
      <c r="A255" s="59" t="s">
        <v>232</v>
      </c>
      <c r="B255" s="60" t="s">
        <v>21</v>
      </c>
      <c r="C255">
        <v>14699</v>
      </c>
      <c r="D255">
        <v>3465</v>
      </c>
      <c r="E255">
        <v>6022</v>
      </c>
    </row>
    <row r="256" spans="1:5">
      <c r="A256" s="59" t="s">
        <v>232</v>
      </c>
      <c r="B256" s="60" t="s">
        <v>22</v>
      </c>
      <c r="C256">
        <v>16099</v>
      </c>
      <c r="D256">
        <v>3211</v>
      </c>
      <c r="E256">
        <v>5997</v>
      </c>
    </row>
    <row r="257" spans="1:5">
      <c r="A257" s="59" t="s">
        <v>232</v>
      </c>
      <c r="B257" s="60" t="s">
        <v>23</v>
      </c>
      <c r="C257">
        <v>16721</v>
      </c>
      <c r="D257">
        <v>2077</v>
      </c>
      <c r="E257">
        <v>6010</v>
      </c>
    </row>
    <row r="258" spans="1:5">
      <c r="A258" s="59" t="s">
        <v>232</v>
      </c>
      <c r="B258" s="60" t="s">
        <v>24</v>
      </c>
      <c r="C258">
        <v>17835</v>
      </c>
      <c r="D258">
        <v>1927</v>
      </c>
      <c r="E258">
        <v>5990</v>
      </c>
    </row>
    <row r="259" spans="1:5">
      <c r="A259" s="59" t="s">
        <v>232</v>
      </c>
      <c r="B259" s="60" t="s">
        <v>25</v>
      </c>
      <c r="C259">
        <v>17437</v>
      </c>
      <c r="D259">
        <v>1636</v>
      </c>
      <c r="E259">
        <v>6017</v>
      </c>
    </row>
    <row r="260" spans="1:5">
      <c r="A260" s="59" t="s">
        <v>232</v>
      </c>
      <c r="B260" s="60" t="s">
        <v>26</v>
      </c>
      <c r="C260">
        <v>17499</v>
      </c>
      <c r="D260">
        <v>1379</v>
      </c>
      <c r="E260">
        <v>6003</v>
      </c>
    </row>
    <row r="261" spans="1:5">
      <c r="A261" s="59" t="s">
        <v>232</v>
      </c>
      <c r="B261" s="60" t="s">
        <v>27</v>
      </c>
      <c r="C261">
        <v>17452</v>
      </c>
      <c r="D261">
        <v>1615</v>
      </c>
      <c r="E261">
        <v>5996</v>
      </c>
    </row>
    <row r="262" spans="1:5">
      <c r="A262" s="59" t="s">
        <v>232</v>
      </c>
      <c r="B262" s="60" t="s">
        <v>28</v>
      </c>
      <c r="C262">
        <v>17500</v>
      </c>
      <c r="D262">
        <v>1300</v>
      </c>
      <c r="E262">
        <v>5993</v>
      </c>
    </row>
    <row r="263" spans="1:5">
      <c r="A263" s="59" t="s">
        <v>232</v>
      </c>
      <c r="B263" s="60" t="s">
        <v>29</v>
      </c>
      <c r="C263">
        <v>17628</v>
      </c>
      <c r="D263">
        <v>1289</v>
      </c>
      <c r="E263">
        <v>5999</v>
      </c>
    </row>
    <row r="264" spans="1:5">
      <c r="A264" s="59" t="s">
        <v>232</v>
      </c>
      <c r="B264" s="60" t="s">
        <v>30</v>
      </c>
      <c r="C264">
        <v>15727</v>
      </c>
      <c r="D264">
        <v>1408</v>
      </c>
      <c r="E264">
        <v>5056</v>
      </c>
    </row>
    <row r="265" spans="1:5">
      <c r="A265" s="59" t="s">
        <v>232</v>
      </c>
      <c r="B265" s="60" t="s">
        <v>31</v>
      </c>
      <c r="C265">
        <v>9608</v>
      </c>
      <c r="D265">
        <v>5069</v>
      </c>
      <c r="E265">
        <v>4196</v>
      </c>
    </row>
    <row r="266" spans="1:5">
      <c r="A266" s="103" t="s">
        <v>233</v>
      </c>
      <c r="B266" s="98" t="s">
        <v>8</v>
      </c>
      <c r="C266">
        <v>8848</v>
      </c>
      <c r="D266">
        <v>3675</v>
      </c>
      <c r="E266">
        <v>4006</v>
      </c>
    </row>
    <row r="267" spans="1:5">
      <c r="A267" s="103" t="s">
        <v>233</v>
      </c>
      <c r="B267" s="98" t="s">
        <v>9</v>
      </c>
      <c r="C267">
        <v>10143</v>
      </c>
      <c r="D267">
        <v>3448</v>
      </c>
      <c r="E267">
        <v>4005</v>
      </c>
    </row>
    <row r="268" spans="1:5">
      <c r="A268" s="103" t="s">
        <v>233</v>
      </c>
      <c r="B268" s="98" t="s">
        <v>10</v>
      </c>
      <c r="C268">
        <v>12484</v>
      </c>
      <c r="D268">
        <v>2015</v>
      </c>
      <c r="E268">
        <v>4016</v>
      </c>
    </row>
    <row r="269" spans="1:5">
      <c r="A269" s="103" t="s">
        <v>233</v>
      </c>
      <c r="B269" s="98" t="s">
        <v>11</v>
      </c>
      <c r="C269">
        <v>12558</v>
      </c>
      <c r="D269">
        <v>4378</v>
      </c>
      <c r="E269">
        <v>4986</v>
      </c>
    </row>
    <row r="270" spans="1:5">
      <c r="A270" s="103" t="s">
        <v>233</v>
      </c>
      <c r="B270" s="98" t="s">
        <v>12</v>
      </c>
      <c r="C270">
        <v>18765</v>
      </c>
      <c r="D270">
        <v>870</v>
      </c>
      <c r="E270">
        <v>5956</v>
      </c>
    </row>
    <row r="271" spans="1:5">
      <c r="A271" s="103" t="s">
        <v>233</v>
      </c>
      <c r="B271" s="98" t="s">
        <v>13</v>
      </c>
      <c r="C271">
        <v>18992</v>
      </c>
      <c r="D271">
        <v>26</v>
      </c>
      <c r="E271">
        <v>6004</v>
      </c>
    </row>
    <row r="272" spans="1:5">
      <c r="A272" s="103" t="s">
        <v>233</v>
      </c>
      <c r="B272" s="98" t="s">
        <v>14</v>
      </c>
      <c r="C272">
        <v>19227</v>
      </c>
      <c r="D272">
        <v>111</v>
      </c>
      <c r="E272">
        <v>5998</v>
      </c>
    </row>
    <row r="273" spans="1:5">
      <c r="A273" s="103" t="s">
        <v>233</v>
      </c>
      <c r="B273" s="98" t="s">
        <v>15</v>
      </c>
      <c r="C273">
        <v>16380</v>
      </c>
      <c r="D273">
        <v>3113</v>
      </c>
      <c r="E273">
        <v>6016</v>
      </c>
    </row>
    <row r="274" spans="1:5">
      <c r="A274" s="103" t="s">
        <v>233</v>
      </c>
      <c r="B274" s="98" t="s">
        <v>16</v>
      </c>
      <c r="C274">
        <v>15250</v>
      </c>
      <c r="D274">
        <v>3470</v>
      </c>
      <c r="E274">
        <v>5995</v>
      </c>
    </row>
    <row r="275" spans="1:5">
      <c r="A275" s="103" t="s">
        <v>233</v>
      </c>
      <c r="B275" s="98" t="s">
        <v>17</v>
      </c>
      <c r="C275">
        <v>16818</v>
      </c>
      <c r="D275">
        <v>2752</v>
      </c>
      <c r="E275">
        <v>6010</v>
      </c>
    </row>
    <row r="276" spans="1:5">
      <c r="A276" s="103" t="s">
        <v>233</v>
      </c>
      <c r="B276" s="98" t="s">
        <v>18</v>
      </c>
      <c r="C276">
        <v>17008</v>
      </c>
      <c r="D276">
        <v>1560</v>
      </c>
      <c r="E276">
        <v>5994</v>
      </c>
    </row>
    <row r="277" spans="1:5">
      <c r="A277" s="103" t="s">
        <v>233</v>
      </c>
      <c r="B277" s="98" t="s">
        <v>19</v>
      </c>
      <c r="C277">
        <v>16180</v>
      </c>
      <c r="D277">
        <v>2726</v>
      </c>
      <c r="E277">
        <v>5994</v>
      </c>
    </row>
    <row r="278" spans="1:5">
      <c r="A278" s="103" t="s">
        <v>233</v>
      </c>
      <c r="B278" s="98" t="s">
        <v>20</v>
      </c>
      <c r="C278">
        <v>16944</v>
      </c>
      <c r="D278">
        <v>1747</v>
      </c>
      <c r="E278">
        <v>5997</v>
      </c>
    </row>
    <row r="279" spans="1:5">
      <c r="A279" s="103" t="s">
        <v>233</v>
      </c>
      <c r="B279" s="98" t="s">
        <v>21</v>
      </c>
      <c r="C279">
        <v>15688</v>
      </c>
      <c r="D279">
        <v>3063</v>
      </c>
      <c r="E279">
        <v>5993</v>
      </c>
    </row>
    <row r="280" spans="1:5">
      <c r="A280" s="103" t="s">
        <v>233</v>
      </c>
      <c r="B280" s="98" t="s">
        <v>22</v>
      </c>
      <c r="C280">
        <v>16676</v>
      </c>
      <c r="D280">
        <v>3898</v>
      </c>
      <c r="E280">
        <v>6015</v>
      </c>
    </row>
    <row r="281" spans="1:5">
      <c r="A281" s="103" t="s">
        <v>233</v>
      </c>
      <c r="B281" s="98" t="s">
        <v>23</v>
      </c>
      <c r="C281">
        <v>16253</v>
      </c>
      <c r="D281">
        <v>2475</v>
      </c>
      <c r="E281">
        <v>6002</v>
      </c>
    </row>
    <row r="282" spans="1:5">
      <c r="A282" s="103" t="s">
        <v>233</v>
      </c>
      <c r="B282" s="98" t="s">
        <v>24</v>
      </c>
      <c r="C282">
        <v>15783</v>
      </c>
      <c r="D282">
        <v>8331</v>
      </c>
      <c r="E282">
        <v>7946</v>
      </c>
    </row>
    <row r="283" spans="1:5">
      <c r="A283" s="103" t="s">
        <v>233</v>
      </c>
      <c r="B283" s="98" t="s">
        <v>25</v>
      </c>
      <c r="C283">
        <v>17087</v>
      </c>
      <c r="D283">
        <v>6641</v>
      </c>
      <c r="E283">
        <v>7624</v>
      </c>
    </row>
    <row r="284" spans="1:5">
      <c r="A284" s="103" t="s">
        <v>233</v>
      </c>
      <c r="B284" s="98" t="s">
        <v>26</v>
      </c>
      <c r="C284">
        <v>18009</v>
      </c>
      <c r="D284">
        <v>6589</v>
      </c>
      <c r="E284">
        <v>7998</v>
      </c>
    </row>
    <row r="285" spans="1:5">
      <c r="A285" s="103" t="s">
        <v>233</v>
      </c>
      <c r="B285" s="98" t="s">
        <v>27</v>
      </c>
      <c r="C285">
        <v>17534</v>
      </c>
      <c r="D285">
        <v>6552</v>
      </c>
      <c r="E285">
        <v>8008</v>
      </c>
    </row>
    <row r="286" spans="1:5">
      <c r="A286" s="103" t="s">
        <v>233</v>
      </c>
      <c r="B286" s="98" t="s">
        <v>28</v>
      </c>
      <c r="C286">
        <v>18147</v>
      </c>
      <c r="D286">
        <v>5992</v>
      </c>
      <c r="E286">
        <v>7990</v>
      </c>
    </row>
    <row r="287" spans="1:5">
      <c r="A287" s="103" t="s">
        <v>233</v>
      </c>
      <c r="B287" s="98" t="s">
        <v>29</v>
      </c>
      <c r="C287">
        <v>19055</v>
      </c>
      <c r="D287">
        <v>1848</v>
      </c>
      <c r="E287">
        <v>6517</v>
      </c>
    </row>
    <row r="288" spans="1:5">
      <c r="A288" s="103" t="s">
        <v>233</v>
      </c>
      <c r="B288" s="98" t="s">
        <v>30</v>
      </c>
      <c r="C288">
        <v>12790</v>
      </c>
      <c r="D288">
        <v>2397</v>
      </c>
      <c r="E288">
        <v>5034</v>
      </c>
    </row>
    <row r="289" spans="1:5">
      <c r="A289" s="103" t="s">
        <v>233</v>
      </c>
      <c r="B289" s="98" t="s">
        <v>31</v>
      </c>
      <c r="C289">
        <v>8232</v>
      </c>
      <c r="D289">
        <v>7176</v>
      </c>
      <c r="E289">
        <v>4220</v>
      </c>
    </row>
    <row r="290" spans="1:5">
      <c r="A290" s="26" t="s">
        <v>234</v>
      </c>
      <c r="B290" s="27" t="s">
        <v>8</v>
      </c>
      <c r="C290">
        <v>8156</v>
      </c>
      <c r="D290">
        <v>5604</v>
      </c>
      <c r="E290">
        <v>4010</v>
      </c>
    </row>
    <row r="291" spans="1:5">
      <c r="A291" s="26" t="s">
        <v>234</v>
      </c>
      <c r="B291" s="27" t="s">
        <v>9</v>
      </c>
      <c r="C291">
        <v>10066</v>
      </c>
      <c r="D291">
        <v>4079</v>
      </c>
      <c r="E291">
        <v>4013</v>
      </c>
    </row>
    <row r="292" spans="1:5">
      <c r="A292" s="26" t="s">
        <v>234</v>
      </c>
      <c r="B292" s="27" t="s">
        <v>10</v>
      </c>
      <c r="C292">
        <v>9765</v>
      </c>
      <c r="D292">
        <v>2483</v>
      </c>
      <c r="E292">
        <v>3973</v>
      </c>
    </row>
    <row r="293" spans="1:5">
      <c r="A293" s="26" t="s">
        <v>234</v>
      </c>
      <c r="B293" s="27" t="s">
        <v>11</v>
      </c>
      <c r="C293">
        <v>11390</v>
      </c>
      <c r="D293">
        <v>2858</v>
      </c>
      <c r="E293">
        <v>4025</v>
      </c>
    </row>
    <row r="294" spans="1:5">
      <c r="A294" s="26" t="s">
        <v>234</v>
      </c>
      <c r="B294" s="27" t="s">
        <v>12</v>
      </c>
      <c r="C294">
        <v>17289</v>
      </c>
      <c r="D294">
        <v>217</v>
      </c>
      <c r="E294">
        <v>5488</v>
      </c>
    </row>
    <row r="295" spans="1:5">
      <c r="A295" s="26" t="s">
        <v>234</v>
      </c>
      <c r="B295" s="27" t="s">
        <v>13</v>
      </c>
      <c r="C295">
        <v>19042</v>
      </c>
      <c r="D295">
        <v>30</v>
      </c>
      <c r="E295">
        <v>5984</v>
      </c>
    </row>
    <row r="296" spans="1:5">
      <c r="A296" s="26" t="s">
        <v>234</v>
      </c>
      <c r="B296" s="27" t="s">
        <v>14</v>
      </c>
      <c r="C296">
        <v>22462</v>
      </c>
      <c r="D296">
        <v>1983</v>
      </c>
      <c r="E296">
        <v>7969</v>
      </c>
    </row>
    <row r="297" spans="1:5">
      <c r="A297" s="26" t="s">
        <v>234</v>
      </c>
      <c r="B297" s="27" t="s">
        <v>15</v>
      </c>
      <c r="C297">
        <v>19015</v>
      </c>
      <c r="D297">
        <v>4097</v>
      </c>
      <c r="E297">
        <v>7977</v>
      </c>
    </row>
    <row r="298" spans="1:5">
      <c r="A298" s="26" t="s">
        <v>234</v>
      </c>
      <c r="B298" s="27" t="s">
        <v>16</v>
      </c>
      <c r="C298">
        <v>19095</v>
      </c>
      <c r="D298">
        <v>5049</v>
      </c>
      <c r="E298">
        <v>7985</v>
      </c>
    </row>
    <row r="299" spans="1:5">
      <c r="A299" s="26" t="s">
        <v>234</v>
      </c>
      <c r="B299" s="27" t="s">
        <v>17</v>
      </c>
      <c r="C299">
        <v>17765</v>
      </c>
      <c r="D299">
        <v>6297</v>
      </c>
      <c r="E299">
        <v>8013</v>
      </c>
    </row>
    <row r="300" spans="1:5">
      <c r="A300" s="26" t="s">
        <v>234</v>
      </c>
      <c r="B300" s="27" t="s">
        <v>18</v>
      </c>
      <c r="C300">
        <v>17653</v>
      </c>
      <c r="D300">
        <v>7175</v>
      </c>
      <c r="E300">
        <v>8014</v>
      </c>
    </row>
    <row r="301" spans="1:5">
      <c r="A301" s="26" t="s">
        <v>234</v>
      </c>
      <c r="B301" s="27" t="s">
        <v>19</v>
      </c>
      <c r="C301">
        <v>17006</v>
      </c>
      <c r="D301">
        <v>6894</v>
      </c>
      <c r="E301">
        <v>7979</v>
      </c>
    </row>
    <row r="302" spans="1:5">
      <c r="A302" s="26" t="s">
        <v>234</v>
      </c>
      <c r="B302" s="27" t="s">
        <v>20</v>
      </c>
      <c r="C302">
        <v>17294</v>
      </c>
      <c r="D302">
        <v>7218</v>
      </c>
      <c r="E302">
        <v>8014</v>
      </c>
    </row>
    <row r="303" spans="1:5">
      <c r="A303" s="26" t="s">
        <v>234</v>
      </c>
      <c r="B303" s="27" t="s">
        <v>21</v>
      </c>
      <c r="C303">
        <v>17530</v>
      </c>
      <c r="D303">
        <v>6426</v>
      </c>
      <c r="E303">
        <v>7999</v>
      </c>
    </row>
    <row r="304" spans="1:5">
      <c r="A304" s="26" t="s">
        <v>234</v>
      </c>
      <c r="B304" s="27" t="s">
        <v>22</v>
      </c>
      <c r="C304">
        <v>18007</v>
      </c>
      <c r="D304">
        <v>6492</v>
      </c>
      <c r="E304">
        <v>8001</v>
      </c>
    </row>
    <row r="305" spans="1:5">
      <c r="A305" s="26" t="s">
        <v>234</v>
      </c>
      <c r="B305" s="27" t="s">
        <v>23</v>
      </c>
      <c r="C305">
        <v>17045</v>
      </c>
      <c r="D305">
        <v>7251</v>
      </c>
      <c r="E305">
        <v>8009</v>
      </c>
    </row>
    <row r="306" spans="1:5">
      <c r="A306" s="26" t="s">
        <v>234</v>
      </c>
      <c r="B306" s="27" t="s">
        <v>24</v>
      </c>
      <c r="C306">
        <v>18035</v>
      </c>
      <c r="D306">
        <v>6154</v>
      </c>
      <c r="E306">
        <v>8002</v>
      </c>
    </row>
    <row r="307" spans="1:5">
      <c r="A307" s="26" t="s">
        <v>234</v>
      </c>
      <c r="B307" s="27" t="s">
        <v>25</v>
      </c>
      <c r="C307">
        <v>17889</v>
      </c>
      <c r="D307">
        <v>6469</v>
      </c>
      <c r="E307">
        <v>8006</v>
      </c>
    </row>
    <row r="308" spans="1:5">
      <c r="A308" s="26" t="s">
        <v>234</v>
      </c>
      <c r="B308" s="27" t="s">
        <v>26</v>
      </c>
      <c r="C308">
        <v>17402</v>
      </c>
      <c r="D308">
        <v>6738</v>
      </c>
      <c r="E308">
        <v>7971</v>
      </c>
    </row>
    <row r="309" spans="1:5">
      <c r="A309" s="26" t="s">
        <v>234</v>
      </c>
      <c r="B309" s="27" t="s">
        <v>27</v>
      </c>
      <c r="C309">
        <v>18464</v>
      </c>
      <c r="D309">
        <v>5610</v>
      </c>
      <c r="E309">
        <v>7998</v>
      </c>
    </row>
    <row r="310" spans="1:5">
      <c r="A310" s="26" t="s">
        <v>234</v>
      </c>
      <c r="B310" s="27" t="s">
        <v>28</v>
      </c>
      <c r="C310">
        <v>18265</v>
      </c>
      <c r="D310">
        <v>5937</v>
      </c>
      <c r="E310">
        <v>8001</v>
      </c>
    </row>
    <row r="311" spans="1:5">
      <c r="A311" s="26" t="s">
        <v>234</v>
      </c>
      <c r="B311" s="27" t="s">
        <v>29</v>
      </c>
      <c r="C311">
        <v>18831</v>
      </c>
      <c r="D311">
        <v>5818</v>
      </c>
      <c r="E311">
        <v>8009</v>
      </c>
    </row>
    <row r="312" spans="1:5">
      <c r="A312" s="26" t="s">
        <v>234</v>
      </c>
      <c r="B312" s="27" t="s">
        <v>30</v>
      </c>
      <c r="C312">
        <v>16301</v>
      </c>
      <c r="D312">
        <v>6783</v>
      </c>
      <c r="E312">
        <v>7999</v>
      </c>
    </row>
    <row r="313" spans="1:5">
      <c r="A313" s="26" t="s">
        <v>234</v>
      </c>
      <c r="B313" s="27" t="s">
        <v>31</v>
      </c>
      <c r="C313">
        <v>10766</v>
      </c>
      <c r="D313">
        <v>4622</v>
      </c>
      <c r="E313">
        <v>4022</v>
      </c>
    </row>
    <row r="314" spans="1:5">
      <c r="A314" s="103" t="s">
        <v>235</v>
      </c>
      <c r="B314" s="98" t="s">
        <v>8</v>
      </c>
      <c r="C314">
        <v>8609</v>
      </c>
      <c r="D314">
        <v>4669</v>
      </c>
      <c r="E314">
        <v>3995</v>
      </c>
    </row>
    <row r="315" spans="1:5">
      <c r="A315" s="103" t="s">
        <v>235</v>
      </c>
      <c r="B315" s="103" t="s">
        <v>9</v>
      </c>
      <c r="C315">
        <v>10321</v>
      </c>
      <c r="D315">
        <v>2503</v>
      </c>
      <c r="E315">
        <v>3991</v>
      </c>
    </row>
    <row r="316" spans="1:5">
      <c r="A316" s="103" t="s">
        <v>235</v>
      </c>
      <c r="B316" s="103" t="s">
        <v>10</v>
      </c>
      <c r="C316">
        <v>12339</v>
      </c>
      <c r="D316">
        <v>1649</v>
      </c>
      <c r="E316">
        <v>4030</v>
      </c>
    </row>
    <row r="317" spans="1:5">
      <c r="A317" s="103" t="s">
        <v>235</v>
      </c>
      <c r="B317" s="103" t="s">
        <v>11</v>
      </c>
      <c r="C317">
        <v>13674</v>
      </c>
      <c r="D317">
        <v>22</v>
      </c>
      <c r="E317">
        <v>4005</v>
      </c>
    </row>
    <row r="318" spans="1:5">
      <c r="A318" s="103" t="s">
        <v>235</v>
      </c>
      <c r="B318" s="103" t="s">
        <v>12</v>
      </c>
      <c r="C318">
        <v>20025</v>
      </c>
      <c r="D318">
        <v>122</v>
      </c>
      <c r="E318">
        <v>6036</v>
      </c>
    </row>
    <row r="319" spans="1:5">
      <c r="A319" s="103" t="s">
        <v>235</v>
      </c>
      <c r="B319" s="103" t="s">
        <v>13</v>
      </c>
      <c r="C319">
        <v>20931</v>
      </c>
      <c r="D319">
        <v>1641</v>
      </c>
      <c r="E319">
        <v>6007</v>
      </c>
    </row>
    <row r="320" spans="1:5">
      <c r="A320" s="103" t="s">
        <v>235</v>
      </c>
      <c r="B320" s="103" t="s">
        <v>14</v>
      </c>
      <c r="C320">
        <v>23570</v>
      </c>
      <c r="D320">
        <v>120</v>
      </c>
      <c r="E320">
        <v>7988</v>
      </c>
    </row>
    <row r="321" spans="1:5">
      <c r="A321" s="103" t="s">
        <v>235</v>
      </c>
      <c r="B321" s="103" t="s">
        <v>15</v>
      </c>
      <c r="C321">
        <v>23326</v>
      </c>
      <c r="D321">
        <v>1745</v>
      </c>
      <c r="E321">
        <v>8013</v>
      </c>
    </row>
    <row r="322" spans="1:5">
      <c r="A322" s="103" t="s">
        <v>235</v>
      </c>
      <c r="B322" s="103" t="s">
        <v>16</v>
      </c>
      <c r="C322">
        <v>23391</v>
      </c>
      <c r="D322">
        <v>1783</v>
      </c>
      <c r="E322">
        <v>7994</v>
      </c>
    </row>
    <row r="323" spans="1:5">
      <c r="A323" s="103" t="s">
        <v>235</v>
      </c>
      <c r="B323" s="103" t="s">
        <v>17</v>
      </c>
      <c r="C323">
        <v>19896</v>
      </c>
      <c r="D323">
        <v>5133</v>
      </c>
      <c r="E323">
        <v>7957</v>
      </c>
    </row>
    <row r="324" spans="1:5">
      <c r="A324" s="103" t="s">
        <v>235</v>
      </c>
      <c r="B324" s="103" t="s">
        <v>18</v>
      </c>
      <c r="C324">
        <v>21165</v>
      </c>
      <c r="D324">
        <v>3178</v>
      </c>
      <c r="E324">
        <v>7996</v>
      </c>
    </row>
    <row r="325" spans="1:5">
      <c r="A325" s="103" t="s">
        <v>235</v>
      </c>
      <c r="B325" s="103" t="s">
        <v>19</v>
      </c>
      <c r="C325">
        <v>17327</v>
      </c>
      <c r="D325">
        <v>3948</v>
      </c>
      <c r="E325">
        <v>6822</v>
      </c>
    </row>
    <row r="326" spans="1:5">
      <c r="A326" s="103" t="s">
        <v>235</v>
      </c>
      <c r="B326" s="103" t="s">
        <v>20</v>
      </c>
      <c r="C326">
        <v>17508</v>
      </c>
      <c r="D326">
        <v>965</v>
      </c>
      <c r="E326">
        <v>5237</v>
      </c>
    </row>
    <row r="327" spans="1:5">
      <c r="A327" s="103" t="s">
        <v>235</v>
      </c>
      <c r="B327" s="103" t="s">
        <v>21</v>
      </c>
      <c r="C327">
        <v>16209</v>
      </c>
      <c r="D327">
        <v>97</v>
      </c>
      <c r="E327">
        <v>5031</v>
      </c>
    </row>
    <row r="328" spans="1:5">
      <c r="A328" s="103" t="s">
        <v>235</v>
      </c>
      <c r="B328" s="103" t="s">
        <v>22</v>
      </c>
      <c r="C328">
        <v>10778</v>
      </c>
      <c r="D328">
        <v>9787</v>
      </c>
      <c r="E328">
        <v>7889</v>
      </c>
    </row>
    <row r="329" spans="1:5">
      <c r="A329" s="103" t="s">
        <v>235</v>
      </c>
      <c r="B329" s="103" t="s">
        <v>23</v>
      </c>
      <c r="C329">
        <v>16759</v>
      </c>
      <c r="D329">
        <v>6658</v>
      </c>
      <c r="E329">
        <v>7992</v>
      </c>
    </row>
    <row r="330" spans="1:5">
      <c r="A330" s="103" t="s">
        <v>235</v>
      </c>
      <c r="B330" s="103" t="s">
        <v>24</v>
      </c>
      <c r="C330">
        <v>20495</v>
      </c>
      <c r="D330">
        <v>4979</v>
      </c>
      <c r="E330">
        <v>8045</v>
      </c>
    </row>
    <row r="331" spans="1:5">
      <c r="A331" s="103" t="s">
        <v>235</v>
      </c>
      <c r="B331" s="103" t="s">
        <v>25</v>
      </c>
      <c r="C331">
        <v>18278</v>
      </c>
      <c r="D331">
        <v>6196</v>
      </c>
      <c r="E331">
        <v>8078</v>
      </c>
    </row>
    <row r="332" spans="1:5">
      <c r="A332" s="103" t="s">
        <v>235</v>
      </c>
      <c r="B332" s="103" t="s">
        <v>26</v>
      </c>
      <c r="C332">
        <v>17498</v>
      </c>
      <c r="D332">
        <v>6562</v>
      </c>
      <c r="E332">
        <v>8049</v>
      </c>
    </row>
    <row r="333" spans="1:5">
      <c r="A333" s="103" t="s">
        <v>235</v>
      </c>
      <c r="B333" s="103" t="s">
        <v>27</v>
      </c>
      <c r="C333">
        <v>18595</v>
      </c>
      <c r="D333">
        <v>6242</v>
      </c>
      <c r="E333">
        <v>8052</v>
      </c>
    </row>
    <row r="334" spans="1:5">
      <c r="A334" s="103" t="s">
        <v>235</v>
      </c>
      <c r="B334" s="103" t="s">
        <v>28</v>
      </c>
      <c r="C334">
        <v>19269</v>
      </c>
      <c r="D334">
        <v>5594</v>
      </c>
      <c r="E334">
        <v>8065</v>
      </c>
    </row>
    <row r="335" spans="1:5">
      <c r="A335" s="103" t="s">
        <v>235</v>
      </c>
      <c r="B335" s="103" t="s">
        <v>29</v>
      </c>
      <c r="C335">
        <v>18693</v>
      </c>
      <c r="D335">
        <v>5841</v>
      </c>
      <c r="E335">
        <v>8025</v>
      </c>
    </row>
    <row r="336" spans="1:5">
      <c r="A336" s="103" t="s">
        <v>235</v>
      </c>
      <c r="B336" s="103" t="s">
        <v>30</v>
      </c>
      <c r="C336">
        <v>15719</v>
      </c>
      <c r="D336">
        <v>8148</v>
      </c>
      <c r="E336">
        <v>8013</v>
      </c>
    </row>
    <row r="337" spans="1:5">
      <c r="A337" s="103" t="s">
        <v>235</v>
      </c>
      <c r="B337" s="103" t="s">
        <v>31</v>
      </c>
      <c r="C337">
        <v>10153</v>
      </c>
      <c r="D337">
        <v>10808</v>
      </c>
      <c r="E337">
        <v>6274</v>
      </c>
    </row>
    <row r="338" spans="1:5">
      <c r="A338" s="26" t="s">
        <v>237</v>
      </c>
      <c r="B338" s="26" t="s">
        <v>8</v>
      </c>
      <c r="C338">
        <v>9866</v>
      </c>
      <c r="D338">
        <v>4043</v>
      </c>
      <c r="E338">
        <v>4041</v>
      </c>
    </row>
    <row r="339" spans="1:5">
      <c r="A339" s="26" t="s">
        <v>237</v>
      </c>
      <c r="B339" s="26" t="s">
        <v>9</v>
      </c>
      <c r="C339">
        <v>11955</v>
      </c>
      <c r="D339">
        <v>2078</v>
      </c>
      <c r="E339">
        <v>4051</v>
      </c>
    </row>
    <row r="340" spans="1:5">
      <c r="A340" s="26" t="s">
        <v>237</v>
      </c>
      <c r="B340" s="26" t="s">
        <v>10</v>
      </c>
      <c r="C340">
        <v>12951</v>
      </c>
      <c r="D340">
        <v>1335</v>
      </c>
      <c r="E340">
        <v>4042</v>
      </c>
    </row>
    <row r="341" spans="1:5">
      <c r="A341" s="26" t="s">
        <v>237</v>
      </c>
      <c r="B341" s="26" t="s">
        <v>11</v>
      </c>
      <c r="C341">
        <v>13453</v>
      </c>
      <c r="D341">
        <v>1237</v>
      </c>
      <c r="E341">
        <v>4046</v>
      </c>
    </row>
    <row r="342" spans="1:5">
      <c r="A342" s="26" t="s">
        <v>237</v>
      </c>
      <c r="B342" s="26" t="s">
        <v>12</v>
      </c>
      <c r="C342">
        <v>18822</v>
      </c>
      <c r="D342">
        <v>51</v>
      </c>
      <c r="E342">
        <v>5961</v>
      </c>
    </row>
    <row r="343" spans="1:5">
      <c r="A343" s="26" t="s">
        <v>237</v>
      </c>
      <c r="B343" s="26" t="s">
        <v>13</v>
      </c>
      <c r="C343">
        <v>19032</v>
      </c>
      <c r="D343">
        <v>3853</v>
      </c>
      <c r="E343">
        <v>7353</v>
      </c>
    </row>
    <row r="344" spans="1:5">
      <c r="A344" s="26" t="s">
        <v>237</v>
      </c>
      <c r="B344" s="26" t="s">
        <v>14</v>
      </c>
      <c r="C344">
        <v>21056</v>
      </c>
      <c r="D344">
        <v>3946</v>
      </c>
      <c r="E344">
        <v>8013</v>
      </c>
    </row>
    <row r="345" spans="1:5">
      <c r="A345" s="26" t="s">
        <v>237</v>
      </c>
      <c r="B345" s="26" t="s">
        <v>15</v>
      </c>
      <c r="C345">
        <v>19422</v>
      </c>
      <c r="D345">
        <v>5333</v>
      </c>
      <c r="E345">
        <v>8009</v>
      </c>
    </row>
    <row r="346" spans="1:5">
      <c r="A346" s="26" t="s">
        <v>237</v>
      </c>
      <c r="B346" s="26" t="s">
        <v>16</v>
      </c>
      <c r="C346">
        <v>18032</v>
      </c>
      <c r="D346">
        <v>6210</v>
      </c>
      <c r="E346">
        <v>8031</v>
      </c>
    </row>
    <row r="347" spans="1:5">
      <c r="A347" s="26" t="s">
        <v>237</v>
      </c>
      <c r="B347" s="26" t="s">
        <v>17</v>
      </c>
      <c r="C347">
        <v>19312</v>
      </c>
      <c r="D347">
        <v>5700</v>
      </c>
      <c r="E347">
        <v>8026</v>
      </c>
    </row>
    <row r="348" spans="1:5">
      <c r="A348" s="26" t="s">
        <v>237</v>
      </c>
      <c r="B348" s="26" t="s">
        <v>18</v>
      </c>
      <c r="C348">
        <v>18634</v>
      </c>
      <c r="D348">
        <v>6134</v>
      </c>
      <c r="E348">
        <v>8054</v>
      </c>
    </row>
    <row r="349" spans="1:5">
      <c r="A349" s="26" t="s">
        <v>237</v>
      </c>
      <c r="B349" s="26" t="s">
        <v>19</v>
      </c>
      <c r="C349">
        <v>16661</v>
      </c>
      <c r="D349">
        <v>6976</v>
      </c>
      <c r="E349">
        <v>7998</v>
      </c>
    </row>
    <row r="350" spans="1:5">
      <c r="A350" s="26" t="s">
        <v>237</v>
      </c>
      <c r="B350" s="26" t="s">
        <v>20</v>
      </c>
      <c r="C350">
        <v>17201</v>
      </c>
      <c r="D350">
        <v>6864</v>
      </c>
      <c r="E350">
        <v>8022</v>
      </c>
    </row>
    <row r="351" spans="1:5">
      <c r="A351" s="26" t="s">
        <v>237</v>
      </c>
      <c r="B351" s="26" t="s">
        <v>21</v>
      </c>
      <c r="C351">
        <v>17894</v>
      </c>
      <c r="D351">
        <v>6116</v>
      </c>
      <c r="E351">
        <v>8023</v>
      </c>
    </row>
    <row r="352" spans="1:5">
      <c r="A352" s="26" t="s">
        <v>237</v>
      </c>
      <c r="B352" s="26" t="s">
        <v>22</v>
      </c>
      <c r="C352">
        <v>17500</v>
      </c>
      <c r="D352">
        <v>6723</v>
      </c>
      <c r="E352">
        <v>8021</v>
      </c>
    </row>
    <row r="353" spans="1:5">
      <c r="A353" s="26" t="s">
        <v>237</v>
      </c>
      <c r="B353" s="26" t="s">
        <v>23</v>
      </c>
      <c r="C353">
        <v>17951</v>
      </c>
      <c r="D353">
        <v>6759</v>
      </c>
      <c r="E353">
        <v>8027</v>
      </c>
    </row>
    <row r="354" spans="1:5">
      <c r="A354" s="26" t="s">
        <v>237</v>
      </c>
      <c r="B354" s="26" t="s">
        <v>24</v>
      </c>
      <c r="C354">
        <v>18993</v>
      </c>
      <c r="D354">
        <v>5941</v>
      </c>
      <c r="E354">
        <v>8017</v>
      </c>
    </row>
    <row r="355" spans="1:5">
      <c r="A355" s="26" t="s">
        <v>237</v>
      </c>
      <c r="B355" s="26" t="s">
        <v>25</v>
      </c>
      <c r="C355">
        <v>18290</v>
      </c>
      <c r="D355">
        <v>6489</v>
      </c>
      <c r="E355">
        <v>8064</v>
      </c>
    </row>
    <row r="356" spans="1:5">
      <c r="A356" s="26" t="s">
        <v>237</v>
      </c>
      <c r="B356" s="26" t="s">
        <v>26</v>
      </c>
      <c r="C356">
        <v>18372</v>
      </c>
      <c r="D356">
        <v>6971</v>
      </c>
      <c r="E356">
        <v>8048</v>
      </c>
    </row>
    <row r="357" spans="1:5">
      <c r="A357" s="26" t="s">
        <v>237</v>
      </c>
      <c r="B357" s="26" t="s">
        <v>27</v>
      </c>
      <c r="C357">
        <v>18809</v>
      </c>
      <c r="D357">
        <v>5653</v>
      </c>
      <c r="E357">
        <v>8054</v>
      </c>
    </row>
    <row r="358" spans="1:5">
      <c r="A358" s="26" t="s">
        <v>237</v>
      </c>
      <c r="B358" s="26" t="s">
        <v>28</v>
      </c>
      <c r="C358">
        <v>18979</v>
      </c>
      <c r="D358">
        <v>6296</v>
      </c>
      <c r="E358">
        <v>8068</v>
      </c>
    </row>
    <row r="359" spans="1:5">
      <c r="A359" s="26" t="s">
        <v>237</v>
      </c>
      <c r="B359" s="26" t="s">
        <v>29</v>
      </c>
      <c r="C359">
        <v>19117</v>
      </c>
      <c r="D359">
        <v>5840</v>
      </c>
      <c r="E359">
        <v>8051</v>
      </c>
    </row>
    <row r="360" spans="1:5">
      <c r="A360" s="26" t="s">
        <v>237</v>
      </c>
      <c r="B360" s="26" t="s">
        <v>30</v>
      </c>
      <c r="C360">
        <v>15493</v>
      </c>
      <c r="D360">
        <v>8242</v>
      </c>
      <c r="E360">
        <v>8027</v>
      </c>
    </row>
    <row r="361" spans="1:5">
      <c r="A361" s="26" t="s">
        <v>237</v>
      </c>
      <c r="B361" s="26" t="s">
        <v>31</v>
      </c>
      <c r="C361">
        <v>9331</v>
      </c>
      <c r="D361">
        <v>12280</v>
      </c>
      <c r="E361">
        <v>7003</v>
      </c>
    </row>
    <row r="362" spans="1:5">
      <c r="A362" s="103" t="s">
        <v>238</v>
      </c>
      <c r="B362" s="103" t="s">
        <v>8</v>
      </c>
      <c r="C362">
        <v>9214</v>
      </c>
      <c r="D362">
        <v>3795</v>
      </c>
      <c r="E362">
        <v>4025</v>
      </c>
    </row>
    <row r="363" spans="1:5">
      <c r="A363" s="103" t="s">
        <v>238</v>
      </c>
      <c r="B363" s="103" t="s">
        <v>9</v>
      </c>
      <c r="C363">
        <v>10854</v>
      </c>
      <c r="D363">
        <v>2819</v>
      </c>
      <c r="E363">
        <v>4085</v>
      </c>
    </row>
    <row r="364" spans="1:5">
      <c r="A364" s="103" t="s">
        <v>238</v>
      </c>
      <c r="B364" s="103" t="s">
        <v>10</v>
      </c>
      <c r="C364">
        <v>16429</v>
      </c>
      <c r="D364">
        <v>1708</v>
      </c>
      <c r="E364">
        <v>5067</v>
      </c>
    </row>
    <row r="365" spans="1:5">
      <c r="A365" s="103" t="s">
        <v>238</v>
      </c>
      <c r="B365" s="103" t="s">
        <v>11</v>
      </c>
      <c r="C365">
        <v>16660</v>
      </c>
      <c r="D365">
        <v>743</v>
      </c>
      <c r="E365">
        <v>5058</v>
      </c>
    </row>
    <row r="366" spans="1:5">
      <c r="A366" s="103" t="s">
        <v>238</v>
      </c>
      <c r="B366" s="103" t="s">
        <v>12</v>
      </c>
      <c r="C366">
        <v>18940</v>
      </c>
      <c r="D366">
        <v>1027</v>
      </c>
      <c r="E366">
        <v>6061</v>
      </c>
    </row>
    <row r="367" spans="1:5">
      <c r="A367" s="103" t="s">
        <v>238</v>
      </c>
      <c r="B367" s="103" t="s">
        <v>13</v>
      </c>
      <c r="C367">
        <v>19269</v>
      </c>
      <c r="D367">
        <v>5438</v>
      </c>
      <c r="E367">
        <v>8015</v>
      </c>
    </row>
    <row r="368" spans="1:5">
      <c r="A368" s="103" t="s">
        <v>238</v>
      </c>
      <c r="B368" s="103" t="s">
        <v>14</v>
      </c>
      <c r="C368">
        <v>19038</v>
      </c>
      <c r="D368">
        <v>4957</v>
      </c>
      <c r="E368">
        <v>8035</v>
      </c>
    </row>
    <row r="369" spans="1:5">
      <c r="A369" s="103" t="s">
        <v>238</v>
      </c>
      <c r="B369" s="103" t="s">
        <v>15</v>
      </c>
      <c r="C369">
        <v>19258</v>
      </c>
      <c r="D369">
        <v>5285</v>
      </c>
      <c r="E369">
        <v>8016</v>
      </c>
    </row>
    <row r="370" spans="1:5">
      <c r="A370" s="103" t="s">
        <v>238</v>
      </c>
      <c r="B370" s="103" t="s">
        <v>16</v>
      </c>
      <c r="C370">
        <v>18183</v>
      </c>
      <c r="D370">
        <v>6422</v>
      </c>
      <c r="E370">
        <v>8021</v>
      </c>
    </row>
    <row r="371" spans="1:5">
      <c r="A371" s="103" t="s">
        <v>238</v>
      </c>
      <c r="B371" s="103" t="s">
        <v>17</v>
      </c>
      <c r="C371">
        <v>18284</v>
      </c>
      <c r="D371">
        <v>5906</v>
      </c>
      <c r="E371">
        <v>7974</v>
      </c>
    </row>
    <row r="372" spans="1:5">
      <c r="A372" s="103" t="s">
        <v>238</v>
      </c>
      <c r="B372" s="103" t="s">
        <v>18</v>
      </c>
      <c r="C372">
        <v>16638</v>
      </c>
      <c r="D372">
        <v>8476</v>
      </c>
      <c r="E372">
        <v>8053</v>
      </c>
    </row>
    <row r="373" spans="1:5">
      <c r="A373" s="103" t="s">
        <v>238</v>
      </c>
      <c r="B373" s="103" t="s">
        <v>19</v>
      </c>
      <c r="C373">
        <v>15859</v>
      </c>
      <c r="D373">
        <v>8568</v>
      </c>
      <c r="E373">
        <v>8048</v>
      </c>
    </row>
    <row r="374" spans="1:5">
      <c r="A374" s="103" t="s">
        <v>238</v>
      </c>
      <c r="B374" s="103" t="s">
        <v>20</v>
      </c>
      <c r="C374">
        <v>15258</v>
      </c>
      <c r="D374">
        <v>9188</v>
      </c>
      <c r="E374">
        <v>8043</v>
      </c>
    </row>
    <row r="375" spans="1:5">
      <c r="A375" s="103" t="s">
        <v>238</v>
      </c>
      <c r="B375" s="103" t="s">
        <v>21</v>
      </c>
      <c r="C375">
        <v>15057</v>
      </c>
      <c r="D375">
        <v>8882</v>
      </c>
      <c r="E375">
        <v>8053</v>
      </c>
    </row>
    <row r="376" spans="1:5">
      <c r="A376" s="103" t="s">
        <v>238</v>
      </c>
      <c r="B376" s="103" t="s">
        <v>22</v>
      </c>
      <c r="C376">
        <v>15232</v>
      </c>
      <c r="D376">
        <v>9061</v>
      </c>
      <c r="E376">
        <v>8051</v>
      </c>
    </row>
    <row r="377" spans="1:5">
      <c r="A377" s="103" t="s">
        <v>238</v>
      </c>
      <c r="B377" s="103" t="s">
        <v>23</v>
      </c>
      <c r="C377">
        <v>16042</v>
      </c>
      <c r="D377">
        <v>8744</v>
      </c>
      <c r="E377">
        <v>8004</v>
      </c>
    </row>
    <row r="378" spans="1:5">
      <c r="A378" s="103" t="s">
        <v>238</v>
      </c>
      <c r="B378" s="103" t="s">
        <v>24</v>
      </c>
      <c r="C378">
        <v>17281</v>
      </c>
      <c r="D378">
        <v>6219</v>
      </c>
      <c r="E378">
        <v>7969</v>
      </c>
    </row>
    <row r="379" spans="1:5">
      <c r="A379" s="103" t="s">
        <v>238</v>
      </c>
      <c r="B379" s="103" t="s">
        <v>25</v>
      </c>
      <c r="C379">
        <v>16201</v>
      </c>
      <c r="D379">
        <v>8549</v>
      </c>
      <c r="E379">
        <v>8056</v>
      </c>
    </row>
    <row r="380" spans="1:5">
      <c r="A380" s="103" t="s">
        <v>238</v>
      </c>
      <c r="B380" s="103" t="s">
        <v>26</v>
      </c>
      <c r="C380">
        <v>16273</v>
      </c>
      <c r="D380">
        <v>7755</v>
      </c>
      <c r="E380">
        <v>8050</v>
      </c>
    </row>
    <row r="381" spans="1:5">
      <c r="A381" s="103" t="s">
        <v>238</v>
      </c>
      <c r="B381" s="103" t="s">
        <v>27</v>
      </c>
      <c r="C381">
        <v>16961</v>
      </c>
      <c r="D381">
        <v>7286</v>
      </c>
      <c r="E381">
        <v>8007</v>
      </c>
    </row>
    <row r="382" spans="1:5">
      <c r="A382" s="103" t="s">
        <v>238</v>
      </c>
      <c r="B382" s="103" t="s">
        <v>28</v>
      </c>
      <c r="C382">
        <v>17767</v>
      </c>
      <c r="D382">
        <v>7879</v>
      </c>
      <c r="E382">
        <v>8066</v>
      </c>
    </row>
    <row r="383" spans="1:5">
      <c r="A383" s="103" t="s">
        <v>238</v>
      </c>
      <c r="B383" s="103" t="s">
        <v>29</v>
      </c>
      <c r="C383">
        <v>18175</v>
      </c>
      <c r="D383">
        <v>6995</v>
      </c>
      <c r="E383">
        <v>8064</v>
      </c>
    </row>
    <row r="384" spans="1:5">
      <c r="A384" s="103" t="s">
        <v>238</v>
      </c>
      <c r="B384" s="103" t="s">
        <v>30</v>
      </c>
      <c r="C384">
        <v>13948</v>
      </c>
      <c r="D384">
        <v>10582</v>
      </c>
      <c r="E384">
        <v>8056</v>
      </c>
    </row>
    <row r="385" spans="1:5">
      <c r="A385" s="103" t="s">
        <v>238</v>
      </c>
      <c r="B385" s="103" t="s">
        <v>31</v>
      </c>
      <c r="C385">
        <v>8926</v>
      </c>
      <c r="D385">
        <v>11074</v>
      </c>
      <c r="E385">
        <v>6637</v>
      </c>
    </row>
    <row r="386" spans="1:5">
      <c r="A386" s="26" t="s">
        <v>239</v>
      </c>
      <c r="B386" s="26" t="s">
        <v>8</v>
      </c>
      <c r="C386">
        <v>8198</v>
      </c>
      <c r="D386">
        <v>4986</v>
      </c>
      <c r="E386">
        <v>4053</v>
      </c>
    </row>
    <row r="387" spans="1:5">
      <c r="A387" s="26" t="s">
        <v>239</v>
      </c>
      <c r="B387" s="26" t="s">
        <v>9</v>
      </c>
      <c r="C387">
        <v>9222</v>
      </c>
      <c r="D387">
        <v>4961</v>
      </c>
      <c r="E387">
        <v>4050</v>
      </c>
    </row>
    <row r="388" spans="1:5">
      <c r="A388" s="26" t="s">
        <v>239</v>
      </c>
      <c r="B388" s="26" t="s">
        <v>10</v>
      </c>
      <c r="C388">
        <v>10974</v>
      </c>
      <c r="D388">
        <v>3218</v>
      </c>
      <c r="E388">
        <v>4051</v>
      </c>
    </row>
    <row r="389" spans="1:5">
      <c r="A389" s="26" t="s">
        <v>239</v>
      </c>
      <c r="B389" s="26" t="s">
        <v>11</v>
      </c>
      <c r="C389">
        <v>13512</v>
      </c>
      <c r="D389">
        <v>4330</v>
      </c>
      <c r="E389">
        <v>5057</v>
      </c>
    </row>
    <row r="390" spans="1:5">
      <c r="A390" s="26" t="s">
        <v>239</v>
      </c>
      <c r="B390" s="26" t="s">
        <v>12</v>
      </c>
      <c r="C390">
        <v>19797</v>
      </c>
      <c r="D390">
        <v>123</v>
      </c>
      <c r="E390">
        <v>6057</v>
      </c>
    </row>
    <row r="391" spans="1:5">
      <c r="A391" s="26" t="s">
        <v>239</v>
      </c>
      <c r="B391" s="26" t="s">
        <v>13</v>
      </c>
      <c r="C391">
        <v>18400</v>
      </c>
      <c r="D391">
        <v>713</v>
      </c>
      <c r="E391">
        <v>6049</v>
      </c>
    </row>
    <row r="392" spans="1:5">
      <c r="A392" s="26" t="s">
        <v>239</v>
      </c>
      <c r="B392" s="26" t="s">
        <v>14</v>
      </c>
      <c r="C392">
        <v>20030</v>
      </c>
      <c r="D392">
        <v>5509</v>
      </c>
      <c r="E392">
        <v>8018</v>
      </c>
    </row>
    <row r="393" spans="1:5">
      <c r="A393" s="26" t="s">
        <v>239</v>
      </c>
      <c r="B393" s="26" t="s">
        <v>15</v>
      </c>
      <c r="C393">
        <v>18710</v>
      </c>
      <c r="D393">
        <v>5014</v>
      </c>
      <c r="E393">
        <v>8005</v>
      </c>
    </row>
    <row r="394" spans="1:5">
      <c r="A394" s="26" t="s">
        <v>239</v>
      </c>
      <c r="B394" s="26" t="s">
        <v>16</v>
      </c>
      <c r="C394">
        <v>17912</v>
      </c>
      <c r="D394">
        <v>6654</v>
      </c>
      <c r="E394">
        <v>8028</v>
      </c>
    </row>
    <row r="395" spans="1:5">
      <c r="A395" s="26" t="s">
        <v>239</v>
      </c>
      <c r="B395" s="26" t="s">
        <v>17</v>
      </c>
      <c r="C395">
        <v>17694</v>
      </c>
      <c r="D395">
        <v>6821</v>
      </c>
      <c r="E395">
        <v>8039</v>
      </c>
    </row>
    <row r="396" spans="1:5">
      <c r="A396" s="26" t="s">
        <v>239</v>
      </c>
      <c r="B396" s="26" t="s">
        <v>18</v>
      </c>
      <c r="C396">
        <v>16853</v>
      </c>
      <c r="D396">
        <v>7879</v>
      </c>
      <c r="E396">
        <v>8046</v>
      </c>
    </row>
    <row r="397" spans="1:5">
      <c r="A397" s="26" t="s">
        <v>239</v>
      </c>
      <c r="B397" s="26" t="s">
        <v>19</v>
      </c>
      <c r="C397">
        <v>17368</v>
      </c>
      <c r="D397">
        <v>7304</v>
      </c>
      <c r="E397">
        <v>8042</v>
      </c>
    </row>
    <row r="398" spans="1:5">
      <c r="A398" s="26" t="s">
        <v>239</v>
      </c>
      <c r="B398" s="26" t="s">
        <v>20</v>
      </c>
      <c r="C398">
        <v>17097</v>
      </c>
      <c r="D398">
        <v>7488</v>
      </c>
      <c r="E398">
        <v>8031</v>
      </c>
    </row>
    <row r="399" spans="1:5">
      <c r="A399" s="26" t="s">
        <v>239</v>
      </c>
      <c r="B399" s="26" t="s">
        <v>21</v>
      </c>
      <c r="C399">
        <v>16683</v>
      </c>
      <c r="D399">
        <v>8118</v>
      </c>
      <c r="E399">
        <v>8058</v>
      </c>
    </row>
    <row r="400" spans="1:5">
      <c r="A400" s="26" t="s">
        <v>239</v>
      </c>
      <c r="B400" s="26" t="s">
        <v>22</v>
      </c>
      <c r="C400">
        <v>17063</v>
      </c>
      <c r="D400">
        <v>6750</v>
      </c>
      <c r="E400">
        <v>8063</v>
      </c>
    </row>
    <row r="401" spans="1:5">
      <c r="A401" s="26" t="s">
        <v>239</v>
      </c>
      <c r="B401" s="26" t="s">
        <v>23</v>
      </c>
      <c r="C401">
        <v>16816</v>
      </c>
      <c r="D401">
        <v>7117</v>
      </c>
      <c r="E401">
        <v>8051</v>
      </c>
    </row>
    <row r="402" spans="1:5">
      <c r="A402" s="26" t="s">
        <v>239</v>
      </c>
      <c r="B402" s="26" t="s">
        <v>24</v>
      </c>
      <c r="C402">
        <v>16520</v>
      </c>
      <c r="D402">
        <v>7102</v>
      </c>
      <c r="E402">
        <v>8031</v>
      </c>
    </row>
    <row r="403" spans="1:5">
      <c r="A403" s="26" t="s">
        <v>239</v>
      </c>
      <c r="B403" s="26" t="s">
        <v>25</v>
      </c>
      <c r="C403">
        <v>16827</v>
      </c>
      <c r="D403">
        <v>7604</v>
      </c>
      <c r="E403">
        <v>8048</v>
      </c>
    </row>
    <row r="404" spans="1:5">
      <c r="A404" s="26" t="s">
        <v>239</v>
      </c>
      <c r="B404" s="26" t="s">
        <v>26</v>
      </c>
      <c r="C404">
        <v>17206</v>
      </c>
      <c r="D404">
        <v>6903</v>
      </c>
      <c r="E404">
        <v>8030</v>
      </c>
    </row>
    <row r="405" spans="1:5">
      <c r="A405" s="26" t="s">
        <v>239</v>
      </c>
      <c r="B405" s="26" t="s">
        <v>27</v>
      </c>
      <c r="C405">
        <v>17338</v>
      </c>
      <c r="D405">
        <v>6695</v>
      </c>
      <c r="E405">
        <v>8054</v>
      </c>
    </row>
    <row r="406" spans="1:5">
      <c r="A406" s="26" t="s">
        <v>239</v>
      </c>
      <c r="B406" s="26" t="s">
        <v>28</v>
      </c>
      <c r="C406">
        <v>18158</v>
      </c>
      <c r="D406">
        <v>6129</v>
      </c>
      <c r="E406">
        <v>8083</v>
      </c>
    </row>
    <row r="407" spans="1:5">
      <c r="A407" s="26" t="s">
        <v>239</v>
      </c>
      <c r="B407" s="26" t="s">
        <v>29</v>
      </c>
      <c r="C407">
        <v>17812</v>
      </c>
      <c r="D407">
        <v>6516</v>
      </c>
      <c r="E407">
        <v>8070</v>
      </c>
    </row>
    <row r="408" spans="1:5">
      <c r="A408" s="26" t="s">
        <v>239</v>
      </c>
      <c r="B408" s="26" t="s">
        <v>30</v>
      </c>
      <c r="C408">
        <v>14403</v>
      </c>
      <c r="D408">
        <v>9909</v>
      </c>
      <c r="E408">
        <v>8025</v>
      </c>
    </row>
    <row r="409" spans="1:5">
      <c r="A409" s="26" t="s">
        <v>239</v>
      </c>
      <c r="B409" s="26" t="s">
        <v>31</v>
      </c>
      <c r="C409">
        <v>8715</v>
      </c>
      <c r="D409">
        <v>10340</v>
      </c>
      <c r="E409">
        <v>5669</v>
      </c>
    </row>
    <row r="410" spans="1:5">
      <c r="A410" s="103" t="s">
        <v>240</v>
      </c>
      <c r="B410" s="103" t="s">
        <v>8</v>
      </c>
      <c r="C410">
        <v>8245</v>
      </c>
      <c r="D410">
        <v>5040</v>
      </c>
      <c r="E410">
        <v>4066</v>
      </c>
    </row>
    <row r="411" spans="1:5">
      <c r="A411" s="103" t="s">
        <v>240</v>
      </c>
      <c r="B411" s="103" t="s">
        <v>9</v>
      </c>
      <c r="C411">
        <v>9661</v>
      </c>
      <c r="D411">
        <v>4066</v>
      </c>
      <c r="E411">
        <v>4061</v>
      </c>
    </row>
    <row r="412" spans="1:5">
      <c r="A412" s="103" t="s">
        <v>240</v>
      </c>
      <c r="B412" s="103" t="s">
        <v>10</v>
      </c>
      <c r="C412">
        <v>10260</v>
      </c>
      <c r="D412">
        <v>6721</v>
      </c>
      <c r="E412">
        <v>5082</v>
      </c>
    </row>
    <row r="413" spans="1:5">
      <c r="A413" s="103" t="s">
        <v>240</v>
      </c>
      <c r="B413" s="103" t="s">
        <v>11</v>
      </c>
      <c r="C413">
        <v>11517</v>
      </c>
      <c r="D413">
        <v>5048</v>
      </c>
      <c r="E413">
        <v>5061</v>
      </c>
    </row>
    <row r="414" spans="1:5">
      <c r="A414" s="103" t="s">
        <v>240</v>
      </c>
      <c r="B414" s="103" t="s">
        <v>12</v>
      </c>
      <c r="C414">
        <v>17527</v>
      </c>
      <c r="D414">
        <v>97</v>
      </c>
      <c r="E414">
        <v>5977</v>
      </c>
    </row>
    <row r="415" spans="1:5">
      <c r="A415" s="103" t="s">
        <v>240</v>
      </c>
      <c r="B415" s="103" t="s">
        <v>13</v>
      </c>
      <c r="C415">
        <v>19040</v>
      </c>
      <c r="D415">
        <v>25</v>
      </c>
      <c r="E415">
        <v>6062</v>
      </c>
    </row>
    <row r="416" spans="1:5">
      <c r="A416" s="103" t="s">
        <v>240</v>
      </c>
      <c r="B416" s="103" t="s">
        <v>14</v>
      </c>
      <c r="C416">
        <v>21439</v>
      </c>
      <c r="D416">
        <v>966</v>
      </c>
      <c r="E416">
        <v>7027</v>
      </c>
    </row>
    <row r="417" spans="1:5">
      <c r="A417" s="103" t="s">
        <v>240</v>
      </c>
      <c r="B417" s="103" t="s">
        <v>15</v>
      </c>
      <c r="C417">
        <v>17163</v>
      </c>
      <c r="D417">
        <v>8141</v>
      </c>
      <c r="E417">
        <v>8072</v>
      </c>
    </row>
    <row r="418" spans="1:5">
      <c r="A418" s="103" t="s">
        <v>240</v>
      </c>
      <c r="B418" s="103" t="s">
        <v>16</v>
      </c>
      <c r="C418">
        <v>15309</v>
      </c>
      <c r="D418">
        <v>8783</v>
      </c>
      <c r="E418">
        <v>8051</v>
      </c>
    </row>
    <row r="419" spans="1:5">
      <c r="A419" s="103" t="s">
        <v>240</v>
      </c>
      <c r="B419" s="103" t="s">
        <v>17</v>
      </c>
      <c r="C419">
        <v>18320</v>
      </c>
      <c r="D419">
        <v>7054</v>
      </c>
      <c r="E419">
        <v>8075</v>
      </c>
    </row>
    <row r="420" spans="1:5">
      <c r="A420" s="103" t="s">
        <v>240</v>
      </c>
      <c r="B420" s="103" t="s">
        <v>18</v>
      </c>
      <c r="C420">
        <v>17660</v>
      </c>
      <c r="D420">
        <v>6817</v>
      </c>
      <c r="E420">
        <v>8054</v>
      </c>
    </row>
    <row r="421" spans="1:5">
      <c r="A421" s="103" t="s">
        <v>240</v>
      </c>
      <c r="B421" s="103" t="s">
        <v>19</v>
      </c>
      <c r="C421">
        <v>16713</v>
      </c>
      <c r="D421">
        <v>7937</v>
      </c>
      <c r="E421">
        <v>8071</v>
      </c>
    </row>
    <row r="422" spans="1:5">
      <c r="A422" s="103" t="s">
        <v>240</v>
      </c>
      <c r="B422" s="103" t="s">
        <v>20</v>
      </c>
      <c r="C422">
        <v>16701</v>
      </c>
      <c r="D422">
        <v>7244</v>
      </c>
      <c r="E422">
        <v>8071</v>
      </c>
    </row>
    <row r="423" spans="1:5">
      <c r="A423" s="103" t="s">
        <v>240</v>
      </c>
      <c r="B423" s="103" t="s">
        <v>21</v>
      </c>
      <c r="C423">
        <v>17490</v>
      </c>
      <c r="D423">
        <v>7765</v>
      </c>
      <c r="E423">
        <v>8068</v>
      </c>
    </row>
    <row r="424" spans="1:5">
      <c r="A424" s="103" t="s">
        <v>240</v>
      </c>
      <c r="B424" s="103" t="s">
        <v>22</v>
      </c>
      <c r="C424">
        <v>16748</v>
      </c>
      <c r="D424">
        <v>7216</v>
      </c>
      <c r="E424">
        <v>8071</v>
      </c>
    </row>
    <row r="425" spans="1:5">
      <c r="A425" s="103" t="s">
        <v>240</v>
      </c>
      <c r="B425" s="103" t="s">
        <v>23</v>
      </c>
      <c r="C425">
        <v>16602</v>
      </c>
      <c r="D425">
        <v>8035</v>
      </c>
      <c r="E425">
        <v>8103</v>
      </c>
    </row>
    <row r="426" spans="1:5">
      <c r="A426" s="103" t="s">
        <v>240</v>
      </c>
      <c r="B426" s="103" t="s">
        <v>24</v>
      </c>
      <c r="C426">
        <v>17311</v>
      </c>
      <c r="D426">
        <v>7602</v>
      </c>
      <c r="E426">
        <v>8075</v>
      </c>
    </row>
    <row r="427" spans="1:5">
      <c r="A427" s="103" t="s">
        <v>240</v>
      </c>
      <c r="B427" s="103" t="s">
        <v>25</v>
      </c>
      <c r="C427">
        <v>17353</v>
      </c>
      <c r="D427">
        <v>7307</v>
      </c>
      <c r="E427">
        <v>8059</v>
      </c>
    </row>
    <row r="428" spans="1:5">
      <c r="A428" s="103" t="s">
        <v>240</v>
      </c>
      <c r="B428" s="103" t="s">
        <v>26</v>
      </c>
      <c r="C428">
        <v>17604</v>
      </c>
      <c r="D428">
        <v>7321</v>
      </c>
      <c r="E428">
        <v>8085</v>
      </c>
    </row>
    <row r="429" spans="1:5">
      <c r="A429" s="103" t="s">
        <v>240</v>
      </c>
      <c r="B429" s="103" t="s">
        <v>27</v>
      </c>
      <c r="C429">
        <v>17478</v>
      </c>
      <c r="D429">
        <v>6972</v>
      </c>
      <c r="E429">
        <v>8078</v>
      </c>
    </row>
    <row r="430" spans="1:5">
      <c r="A430" s="103" t="s">
        <v>240</v>
      </c>
      <c r="B430" s="103" t="s">
        <v>28</v>
      </c>
      <c r="C430">
        <v>17869</v>
      </c>
      <c r="D430">
        <v>7258</v>
      </c>
      <c r="E430">
        <v>8071</v>
      </c>
    </row>
    <row r="431" spans="1:5">
      <c r="A431" s="103" t="s">
        <v>240</v>
      </c>
      <c r="B431" s="103" t="s">
        <v>29</v>
      </c>
      <c r="C431">
        <v>17785</v>
      </c>
      <c r="D431">
        <v>6883</v>
      </c>
      <c r="E431">
        <v>8065</v>
      </c>
    </row>
    <row r="432" spans="1:5">
      <c r="A432" s="103" t="s">
        <v>240</v>
      </c>
      <c r="B432" s="103" t="s">
        <v>30</v>
      </c>
      <c r="C432">
        <v>14854</v>
      </c>
      <c r="D432">
        <v>8801</v>
      </c>
      <c r="E432">
        <v>8024</v>
      </c>
    </row>
    <row r="433" spans="1:5">
      <c r="A433" s="103" t="s">
        <v>240</v>
      </c>
      <c r="B433" s="103" t="s">
        <v>31</v>
      </c>
      <c r="C433">
        <v>9503</v>
      </c>
      <c r="D433">
        <v>9324</v>
      </c>
      <c r="E433">
        <v>5964</v>
      </c>
    </row>
    <row r="434" spans="1:5">
      <c r="A434" s="26" t="s">
        <v>241</v>
      </c>
      <c r="B434" s="26" t="s">
        <v>8</v>
      </c>
      <c r="C434">
        <v>10344</v>
      </c>
      <c r="D434">
        <v>3486</v>
      </c>
      <c r="E434">
        <v>4089</v>
      </c>
    </row>
    <row r="435" spans="1:5">
      <c r="A435" s="26" t="s">
        <v>241</v>
      </c>
      <c r="B435" s="26" t="s">
        <v>9</v>
      </c>
      <c r="C435">
        <v>9598</v>
      </c>
      <c r="D435">
        <v>4881</v>
      </c>
      <c r="E435">
        <v>4085</v>
      </c>
    </row>
    <row r="436" spans="1:5">
      <c r="A436" s="26" t="s">
        <v>241</v>
      </c>
      <c r="B436" s="26" t="s">
        <v>10</v>
      </c>
      <c r="C436">
        <v>11284</v>
      </c>
      <c r="D436">
        <v>5961</v>
      </c>
      <c r="E436">
        <v>5066</v>
      </c>
    </row>
    <row r="437" spans="1:5">
      <c r="A437" s="26" t="s">
        <v>241</v>
      </c>
      <c r="B437" s="26" t="s">
        <v>11</v>
      </c>
      <c r="C437">
        <v>11912</v>
      </c>
      <c r="D437">
        <v>5240</v>
      </c>
      <c r="E437">
        <v>5067</v>
      </c>
    </row>
    <row r="438" spans="1:5">
      <c r="A438" s="26" t="s">
        <v>241</v>
      </c>
      <c r="B438" s="26" t="s">
        <v>12</v>
      </c>
      <c r="C438">
        <v>18916</v>
      </c>
      <c r="D438">
        <v>230</v>
      </c>
      <c r="E438">
        <v>6025</v>
      </c>
    </row>
    <row r="439" spans="1:5">
      <c r="A439" s="26" t="s">
        <v>241</v>
      </c>
      <c r="B439" s="26" t="s">
        <v>13</v>
      </c>
      <c r="C439">
        <v>19750</v>
      </c>
      <c r="D439">
        <v>162</v>
      </c>
      <c r="E439">
        <v>6069</v>
      </c>
    </row>
    <row r="440" spans="1:5">
      <c r="A440" s="26" t="s">
        <v>241</v>
      </c>
      <c r="B440" s="26" t="s">
        <v>14</v>
      </c>
      <c r="C440">
        <v>19236</v>
      </c>
      <c r="D440">
        <v>26</v>
      </c>
      <c r="E440">
        <v>6073</v>
      </c>
    </row>
    <row r="441" spans="1:5">
      <c r="A441" s="26" t="s">
        <v>241</v>
      </c>
      <c r="B441" s="26" t="s">
        <v>15</v>
      </c>
      <c r="C441">
        <v>17065</v>
      </c>
      <c r="D441">
        <v>2172</v>
      </c>
      <c r="E441">
        <v>6080</v>
      </c>
    </row>
    <row r="442" spans="1:5">
      <c r="A442" s="26" t="s">
        <v>241</v>
      </c>
      <c r="B442" s="26" t="s">
        <v>16</v>
      </c>
      <c r="C442">
        <v>17953</v>
      </c>
      <c r="D442">
        <v>3216</v>
      </c>
      <c r="E442">
        <v>6871</v>
      </c>
    </row>
    <row r="443" spans="1:5">
      <c r="A443" s="26" t="s">
        <v>241</v>
      </c>
      <c r="B443" s="26" t="s">
        <v>17</v>
      </c>
      <c r="C443">
        <v>19461</v>
      </c>
      <c r="D443">
        <v>5270</v>
      </c>
      <c r="E443">
        <v>8038</v>
      </c>
    </row>
    <row r="444" spans="1:5">
      <c r="A444" s="26" t="s">
        <v>241</v>
      </c>
      <c r="B444" s="26" t="s">
        <v>18</v>
      </c>
      <c r="C444">
        <v>18619</v>
      </c>
      <c r="D444">
        <v>5488</v>
      </c>
      <c r="E444">
        <v>8052</v>
      </c>
    </row>
    <row r="445" spans="1:5">
      <c r="A445" s="26" t="s">
        <v>241</v>
      </c>
      <c r="B445" s="26" t="s">
        <v>19</v>
      </c>
      <c r="C445">
        <v>16564</v>
      </c>
      <c r="D445">
        <v>8190</v>
      </c>
      <c r="E445">
        <v>8061</v>
      </c>
    </row>
    <row r="446" spans="1:5">
      <c r="A446" s="26" t="s">
        <v>241</v>
      </c>
      <c r="B446" s="26" t="s">
        <v>20</v>
      </c>
      <c r="C446">
        <v>17766</v>
      </c>
      <c r="D446">
        <v>6808</v>
      </c>
      <c r="E446">
        <v>8069</v>
      </c>
    </row>
    <row r="447" spans="1:5">
      <c r="A447" s="26" t="s">
        <v>241</v>
      </c>
      <c r="B447" s="26" t="s">
        <v>21</v>
      </c>
      <c r="C447">
        <v>16704</v>
      </c>
      <c r="D447">
        <v>7285</v>
      </c>
      <c r="E447">
        <v>8052</v>
      </c>
    </row>
    <row r="448" spans="1:5">
      <c r="A448" s="26" t="s">
        <v>241</v>
      </c>
      <c r="B448" s="26" t="s">
        <v>22</v>
      </c>
      <c r="C448">
        <v>16721</v>
      </c>
      <c r="D448">
        <v>8147</v>
      </c>
      <c r="E448">
        <v>8062</v>
      </c>
    </row>
    <row r="449" spans="1:5">
      <c r="A449" s="26" t="s">
        <v>241</v>
      </c>
      <c r="B449" s="26" t="s">
        <v>23</v>
      </c>
      <c r="C449">
        <v>16942</v>
      </c>
      <c r="D449">
        <v>7373</v>
      </c>
      <c r="E449">
        <v>8064</v>
      </c>
    </row>
    <row r="450" spans="1:5">
      <c r="A450" s="26" t="s">
        <v>241</v>
      </c>
      <c r="B450" s="26" t="s">
        <v>24</v>
      </c>
      <c r="C450">
        <v>17063</v>
      </c>
      <c r="D450">
        <v>7952</v>
      </c>
      <c r="E450">
        <v>8081</v>
      </c>
    </row>
    <row r="451" spans="1:5">
      <c r="A451" s="26" t="s">
        <v>241</v>
      </c>
      <c r="B451" s="26" t="s">
        <v>25</v>
      </c>
      <c r="C451">
        <v>18586</v>
      </c>
      <c r="D451">
        <v>6930</v>
      </c>
      <c r="E451">
        <v>8085</v>
      </c>
    </row>
    <row r="452" spans="1:5">
      <c r="A452" s="26" t="s">
        <v>241</v>
      </c>
      <c r="B452" s="26" t="s">
        <v>26</v>
      </c>
      <c r="C452">
        <v>18220</v>
      </c>
      <c r="D452">
        <v>6805</v>
      </c>
      <c r="E452">
        <v>8061</v>
      </c>
    </row>
    <row r="453" spans="1:5">
      <c r="A453" s="26" t="s">
        <v>241</v>
      </c>
      <c r="B453" s="26" t="s">
        <v>27</v>
      </c>
      <c r="C453">
        <v>17717</v>
      </c>
      <c r="D453">
        <v>6277</v>
      </c>
      <c r="E453">
        <v>8066</v>
      </c>
    </row>
    <row r="454" spans="1:5">
      <c r="A454" s="26" t="s">
        <v>241</v>
      </c>
      <c r="B454" s="26" t="s">
        <v>28</v>
      </c>
      <c r="C454">
        <v>18954</v>
      </c>
      <c r="D454">
        <v>6278</v>
      </c>
      <c r="E454">
        <v>8087</v>
      </c>
    </row>
    <row r="455" spans="1:5">
      <c r="A455" s="26" t="s">
        <v>241</v>
      </c>
      <c r="B455" s="26" t="s">
        <v>29</v>
      </c>
      <c r="C455">
        <v>18619</v>
      </c>
      <c r="D455">
        <v>5583</v>
      </c>
      <c r="E455">
        <v>8069</v>
      </c>
    </row>
    <row r="456" spans="1:5">
      <c r="A456" s="26" t="s">
        <v>241</v>
      </c>
      <c r="B456" s="26" t="s">
        <v>30</v>
      </c>
      <c r="C456">
        <v>15594</v>
      </c>
      <c r="D456">
        <v>8719</v>
      </c>
      <c r="E456">
        <v>8091</v>
      </c>
    </row>
    <row r="457" spans="1:5">
      <c r="A457" s="26" t="s">
        <v>241</v>
      </c>
      <c r="B457" s="26" t="s">
        <v>31</v>
      </c>
      <c r="C457">
        <v>9280</v>
      </c>
      <c r="D457">
        <v>11127</v>
      </c>
      <c r="E457">
        <v>6557</v>
      </c>
    </row>
    <row r="458" spans="1:5">
      <c r="A458" s="103" t="s">
        <v>242</v>
      </c>
      <c r="B458" s="103" t="s">
        <v>8</v>
      </c>
      <c r="C458">
        <v>9205</v>
      </c>
      <c r="D458">
        <v>5233</v>
      </c>
      <c r="E458">
        <v>4089</v>
      </c>
    </row>
    <row r="459" spans="1:5">
      <c r="A459" s="103" t="s">
        <v>242</v>
      </c>
      <c r="B459" s="103" t="s">
        <v>9</v>
      </c>
      <c r="C459">
        <v>10713</v>
      </c>
      <c r="D459">
        <v>2787</v>
      </c>
      <c r="E459">
        <v>4056</v>
      </c>
    </row>
    <row r="460" spans="1:5">
      <c r="A460" s="103" t="s">
        <v>242</v>
      </c>
      <c r="B460" s="103" t="s">
        <v>10</v>
      </c>
      <c r="C460">
        <v>13045</v>
      </c>
      <c r="D460">
        <v>1617</v>
      </c>
      <c r="E460">
        <v>4067</v>
      </c>
    </row>
    <row r="461" spans="1:5">
      <c r="A461" s="103" t="s">
        <v>242</v>
      </c>
      <c r="B461" s="103" t="s">
        <v>11</v>
      </c>
      <c r="C461">
        <v>14138</v>
      </c>
      <c r="D461">
        <v>644</v>
      </c>
      <c r="E461">
        <v>4065</v>
      </c>
    </row>
    <row r="462" spans="1:5">
      <c r="A462" s="103" t="s">
        <v>242</v>
      </c>
      <c r="B462" s="103" t="s">
        <v>12</v>
      </c>
      <c r="C462">
        <v>17099</v>
      </c>
      <c r="D462">
        <v>117</v>
      </c>
      <c r="E462">
        <v>5023</v>
      </c>
    </row>
    <row r="463" spans="1:5">
      <c r="A463" s="103" t="s">
        <v>242</v>
      </c>
      <c r="B463" s="103" t="s">
        <v>13</v>
      </c>
      <c r="C463">
        <v>21183</v>
      </c>
      <c r="D463">
        <v>83</v>
      </c>
      <c r="E463">
        <v>6924</v>
      </c>
    </row>
    <row r="464" spans="1:5">
      <c r="A464" s="103" t="s">
        <v>242</v>
      </c>
      <c r="B464" s="103" t="s">
        <v>14</v>
      </c>
      <c r="C464">
        <v>21743</v>
      </c>
      <c r="D464">
        <v>3013</v>
      </c>
      <c r="E464">
        <v>8078</v>
      </c>
    </row>
    <row r="465" spans="1:5">
      <c r="A465" s="103" t="s">
        <v>242</v>
      </c>
      <c r="B465" s="103" t="s">
        <v>15</v>
      </c>
      <c r="C465">
        <v>19778</v>
      </c>
      <c r="D465">
        <v>5676</v>
      </c>
      <c r="E465">
        <v>8086</v>
      </c>
    </row>
    <row r="466" spans="1:5">
      <c r="A466" s="103" t="s">
        <v>242</v>
      </c>
      <c r="B466" s="103" t="s">
        <v>16</v>
      </c>
      <c r="C466">
        <v>18206</v>
      </c>
      <c r="D466">
        <v>5987</v>
      </c>
      <c r="E466">
        <v>8049</v>
      </c>
    </row>
    <row r="467" spans="1:5">
      <c r="A467" s="103" t="s">
        <v>242</v>
      </c>
      <c r="B467" s="103" t="s">
        <v>17</v>
      </c>
      <c r="C467">
        <v>18089</v>
      </c>
      <c r="D467">
        <v>5847</v>
      </c>
      <c r="E467">
        <v>8059</v>
      </c>
    </row>
    <row r="468" spans="1:5">
      <c r="A468" s="103" t="s">
        <v>242</v>
      </c>
      <c r="B468" s="103" t="s">
        <v>18</v>
      </c>
      <c r="C468">
        <v>18872</v>
      </c>
      <c r="D468">
        <v>5826</v>
      </c>
      <c r="E468">
        <v>7914</v>
      </c>
    </row>
    <row r="469" spans="1:5">
      <c r="A469" s="103" t="s">
        <v>242</v>
      </c>
      <c r="B469" s="103" t="s">
        <v>19</v>
      </c>
      <c r="C469">
        <v>18287</v>
      </c>
      <c r="D469">
        <v>5919</v>
      </c>
      <c r="E469">
        <v>8087</v>
      </c>
    </row>
    <row r="470" spans="1:5">
      <c r="A470" s="103" t="s">
        <v>242</v>
      </c>
      <c r="B470" s="103" t="s">
        <v>20</v>
      </c>
      <c r="C470">
        <v>18207</v>
      </c>
      <c r="D470">
        <v>6629</v>
      </c>
      <c r="E470">
        <v>8072</v>
      </c>
    </row>
    <row r="471" spans="1:5">
      <c r="A471" s="103" t="s">
        <v>242</v>
      </c>
      <c r="B471" s="103" t="s">
        <v>21</v>
      </c>
      <c r="C471">
        <v>17394</v>
      </c>
      <c r="D471">
        <v>6881</v>
      </c>
      <c r="E471">
        <v>8056</v>
      </c>
    </row>
    <row r="472" spans="1:5">
      <c r="A472" s="103" t="s">
        <v>242</v>
      </c>
      <c r="B472" s="103" t="s">
        <v>22</v>
      </c>
      <c r="C472">
        <v>17192</v>
      </c>
      <c r="D472">
        <v>8012</v>
      </c>
      <c r="E472">
        <v>8087</v>
      </c>
    </row>
    <row r="473" spans="1:5">
      <c r="A473" s="103" t="s">
        <v>242</v>
      </c>
      <c r="B473" s="103" t="s">
        <v>23</v>
      </c>
      <c r="C473">
        <v>18229</v>
      </c>
      <c r="D473">
        <v>6684</v>
      </c>
      <c r="E473">
        <v>8046</v>
      </c>
    </row>
    <row r="474" spans="1:5">
      <c r="A474" s="103" t="s">
        <v>242</v>
      </c>
      <c r="B474" s="103" t="s">
        <v>24</v>
      </c>
      <c r="C474">
        <v>18682</v>
      </c>
      <c r="D474">
        <v>5903</v>
      </c>
      <c r="E474">
        <v>8068</v>
      </c>
    </row>
    <row r="475" spans="1:5">
      <c r="A475" s="103" t="s">
        <v>242</v>
      </c>
      <c r="B475" s="103" t="s">
        <v>25</v>
      </c>
      <c r="C475">
        <v>17787</v>
      </c>
      <c r="D475">
        <v>6941</v>
      </c>
      <c r="E475">
        <v>8069</v>
      </c>
    </row>
    <row r="476" spans="1:5">
      <c r="A476" s="103" t="s">
        <v>242</v>
      </c>
      <c r="B476" s="103" t="s">
        <v>26</v>
      </c>
      <c r="C476">
        <v>18072</v>
      </c>
      <c r="D476">
        <v>6398</v>
      </c>
      <c r="E476">
        <v>8071</v>
      </c>
    </row>
    <row r="477" spans="1:5">
      <c r="A477" s="103" t="s">
        <v>242</v>
      </c>
      <c r="B477" s="103" t="s">
        <v>27</v>
      </c>
      <c r="C477">
        <v>18748</v>
      </c>
      <c r="D477">
        <v>6216</v>
      </c>
      <c r="E477">
        <v>8045</v>
      </c>
    </row>
    <row r="478" spans="1:5">
      <c r="A478" s="103" t="s">
        <v>242</v>
      </c>
      <c r="B478" s="103" t="s">
        <v>28</v>
      </c>
      <c r="C478">
        <v>19362</v>
      </c>
      <c r="D478">
        <v>5255</v>
      </c>
      <c r="E478">
        <v>8045</v>
      </c>
    </row>
    <row r="479" spans="1:5">
      <c r="A479" s="103" t="s">
        <v>242</v>
      </c>
      <c r="B479" s="103" t="s">
        <v>29</v>
      </c>
      <c r="C479">
        <v>18781</v>
      </c>
      <c r="D479">
        <v>6011</v>
      </c>
      <c r="E479">
        <v>8061</v>
      </c>
    </row>
    <row r="480" spans="1:5">
      <c r="A480" s="103" t="s">
        <v>242</v>
      </c>
      <c r="B480" s="103" t="s">
        <v>30</v>
      </c>
      <c r="C480">
        <v>15454</v>
      </c>
      <c r="D480">
        <v>8424</v>
      </c>
      <c r="E480">
        <v>8066</v>
      </c>
    </row>
    <row r="481" spans="1:5">
      <c r="A481" s="103" t="s">
        <v>242</v>
      </c>
      <c r="B481" s="103" t="s">
        <v>31</v>
      </c>
      <c r="C481">
        <v>10665</v>
      </c>
      <c r="D481">
        <v>8459</v>
      </c>
      <c r="E481">
        <v>5847</v>
      </c>
    </row>
    <row r="482" spans="1:5">
      <c r="A482" s="26" t="s">
        <v>243</v>
      </c>
      <c r="B482" s="26" t="s">
        <v>8</v>
      </c>
      <c r="C482">
        <v>9909</v>
      </c>
      <c r="D482">
        <v>3995</v>
      </c>
      <c r="E482">
        <v>4089</v>
      </c>
    </row>
    <row r="483" spans="1:5">
      <c r="A483" s="26" t="s">
        <v>243</v>
      </c>
      <c r="B483" s="26" t="s">
        <v>9</v>
      </c>
      <c r="C483">
        <v>10926</v>
      </c>
      <c r="D483">
        <v>3133</v>
      </c>
      <c r="E483">
        <v>4092</v>
      </c>
    </row>
    <row r="484" spans="1:5">
      <c r="A484" s="26" t="s">
        <v>243</v>
      </c>
      <c r="B484" s="26" t="s">
        <v>10</v>
      </c>
      <c r="C484">
        <v>11919</v>
      </c>
      <c r="D484">
        <v>2853</v>
      </c>
      <c r="E484">
        <v>4059</v>
      </c>
    </row>
    <row r="485" spans="1:5">
      <c r="A485" s="26" t="s">
        <v>243</v>
      </c>
      <c r="B485" s="26" t="s">
        <v>11</v>
      </c>
      <c r="C485">
        <v>13039</v>
      </c>
      <c r="D485">
        <v>1186</v>
      </c>
      <c r="E485">
        <v>4076</v>
      </c>
    </row>
    <row r="486" spans="1:5">
      <c r="A486" s="26" t="s">
        <v>243</v>
      </c>
      <c r="B486" s="26" t="s">
        <v>12</v>
      </c>
      <c r="C486">
        <v>20896</v>
      </c>
      <c r="D486">
        <v>1081</v>
      </c>
      <c r="E486">
        <v>7175</v>
      </c>
    </row>
    <row r="487" spans="1:5">
      <c r="A487" s="26" t="s">
        <v>243</v>
      </c>
      <c r="B487" s="26" t="s">
        <v>13</v>
      </c>
      <c r="C487">
        <v>21623</v>
      </c>
      <c r="D487">
        <v>3083</v>
      </c>
      <c r="E487">
        <v>8008</v>
      </c>
    </row>
    <row r="488" spans="1:5">
      <c r="A488" s="26" t="s">
        <v>243</v>
      </c>
      <c r="B488" s="26" t="s">
        <v>14</v>
      </c>
      <c r="C488">
        <v>21801</v>
      </c>
      <c r="D488">
        <v>3408</v>
      </c>
      <c r="E488">
        <v>8048</v>
      </c>
    </row>
    <row r="489" spans="1:5">
      <c r="A489" s="26" t="s">
        <v>243</v>
      </c>
      <c r="B489" s="26" t="s">
        <v>15</v>
      </c>
      <c r="C489">
        <v>16811</v>
      </c>
      <c r="D489">
        <v>6239</v>
      </c>
      <c r="E489">
        <v>8075</v>
      </c>
    </row>
    <row r="490" spans="1:5">
      <c r="A490" s="26" t="s">
        <v>243</v>
      </c>
      <c r="B490" s="26" t="s">
        <v>16</v>
      </c>
      <c r="C490">
        <v>18721</v>
      </c>
      <c r="D490">
        <v>6030</v>
      </c>
      <c r="E490">
        <v>8097</v>
      </c>
    </row>
    <row r="491" spans="1:5">
      <c r="A491" s="26" t="s">
        <v>243</v>
      </c>
      <c r="B491" s="26" t="s">
        <v>17</v>
      </c>
      <c r="C491">
        <v>19367</v>
      </c>
      <c r="D491">
        <v>5881</v>
      </c>
      <c r="E491">
        <v>8068</v>
      </c>
    </row>
    <row r="492" spans="1:5">
      <c r="A492" s="26" t="s">
        <v>243</v>
      </c>
      <c r="B492" s="26" t="s">
        <v>18</v>
      </c>
      <c r="C492">
        <v>17358</v>
      </c>
      <c r="D492">
        <v>7723</v>
      </c>
      <c r="E492">
        <v>8047</v>
      </c>
    </row>
    <row r="493" spans="1:5">
      <c r="A493" s="26" t="s">
        <v>243</v>
      </c>
      <c r="B493" s="26" t="s">
        <v>19</v>
      </c>
      <c r="C493">
        <v>16768</v>
      </c>
      <c r="D493">
        <v>7486</v>
      </c>
      <c r="E493">
        <v>8080</v>
      </c>
    </row>
    <row r="494" spans="1:5">
      <c r="A494" s="26" t="s">
        <v>243</v>
      </c>
      <c r="B494" s="26" t="s">
        <v>20</v>
      </c>
      <c r="C494">
        <v>17406</v>
      </c>
      <c r="D494">
        <v>7347</v>
      </c>
      <c r="E494">
        <v>8078</v>
      </c>
    </row>
    <row r="495" spans="1:5">
      <c r="A495" s="26" t="s">
        <v>243</v>
      </c>
      <c r="B495" s="26" t="s">
        <v>21</v>
      </c>
      <c r="C495">
        <v>16369</v>
      </c>
      <c r="D495">
        <v>7909</v>
      </c>
      <c r="E495">
        <v>8081</v>
      </c>
    </row>
    <row r="496" spans="1:5">
      <c r="A496" s="26" t="s">
        <v>243</v>
      </c>
      <c r="B496" s="26" t="s">
        <v>22</v>
      </c>
      <c r="C496">
        <v>16756</v>
      </c>
      <c r="D496">
        <v>7570</v>
      </c>
      <c r="E496">
        <v>8069</v>
      </c>
    </row>
    <row r="497" spans="1:5">
      <c r="A497" s="26" t="s">
        <v>243</v>
      </c>
      <c r="B497" s="26" t="s">
        <v>23</v>
      </c>
      <c r="C497">
        <v>16122</v>
      </c>
      <c r="D497">
        <v>8889</v>
      </c>
      <c r="E497">
        <v>8148</v>
      </c>
    </row>
    <row r="498" spans="1:5">
      <c r="A498" s="26" t="s">
        <v>243</v>
      </c>
      <c r="B498" s="26" t="s">
        <v>24</v>
      </c>
      <c r="C498">
        <v>18367</v>
      </c>
      <c r="D498">
        <v>6947</v>
      </c>
      <c r="E498">
        <v>8092</v>
      </c>
    </row>
    <row r="499" spans="1:5">
      <c r="A499" s="26" t="s">
        <v>243</v>
      </c>
      <c r="B499" s="26" t="s">
        <v>25</v>
      </c>
      <c r="C499">
        <v>17070</v>
      </c>
      <c r="D499">
        <v>7446</v>
      </c>
      <c r="E499">
        <v>8083</v>
      </c>
    </row>
    <row r="500" spans="1:5">
      <c r="A500" s="26" t="s">
        <v>243</v>
      </c>
      <c r="B500" s="26" t="s">
        <v>26</v>
      </c>
      <c r="C500">
        <v>16981</v>
      </c>
      <c r="D500">
        <v>6951</v>
      </c>
      <c r="E500">
        <v>8064</v>
      </c>
    </row>
    <row r="501" spans="1:5">
      <c r="A501" s="26" t="s">
        <v>243</v>
      </c>
      <c r="B501" s="26" t="s">
        <v>27</v>
      </c>
      <c r="C501">
        <v>17038</v>
      </c>
      <c r="D501">
        <v>7612</v>
      </c>
      <c r="E501">
        <v>8031</v>
      </c>
    </row>
    <row r="502" spans="1:5">
      <c r="A502" s="26" t="s">
        <v>243</v>
      </c>
      <c r="B502" s="26" t="s">
        <v>28</v>
      </c>
      <c r="C502">
        <v>17833</v>
      </c>
      <c r="D502">
        <v>6936</v>
      </c>
      <c r="E502">
        <v>8073</v>
      </c>
    </row>
    <row r="503" spans="1:5">
      <c r="A503" s="26" t="s">
        <v>243</v>
      </c>
      <c r="B503" s="26" t="s">
        <v>29</v>
      </c>
      <c r="C503">
        <v>17773</v>
      </c>
      <c r="D503">
        <v>6178</v>
      </c>
      <c r="E503">
        <v>8061</v>
      </c>
    </row>
    <row r="504" spans="1:5">
      <c r="A504" s="26" t="s">
        <v>243</v>
      </c>
      <c r="B504" s="26" t="s">
        <v>30</v>
      </c>
      <c r="C504">
        <v>14630</v>
      </c>
      <c r="D504">
        <v>9805</v>
      </c>
      <c r="E504">
        <v>8059</v>
      </c>
    </row>
    <row r="505" spans="1:5">
      <c r="A505" s="26" t="s">
        <v>243</v>
      </c>
      <c r="B505" s="26" t="s">
        <v>31</v>
      </c>
      <c r="C505">
        <v>9071</v>
      </c>
      <c r="D505">
        <v>10757</v>
      </c>
      <c r="E505">
        <v>6161</v>
      </c>
    </row>
    <row r="506" spans="1:5">
      <c r="A506" s="103" t="s">
        <v>244</v>
      </c>
      <c r="B506" s="103" t="s">
        <v>8</v>
      </c>
      <c r="C506">
        <v>8021</v>
      </c>
      <c r="D506">
        <v>6916</v>
      </c>
      <c r="E506">
        <v>4097</v>
      </c>
    </row>
    <row r="507" spans="1:5">
      <c r="A507" s="103" t="s">
        <v>244</v>
      </c>
      <c r="B507" s="103" t="s">
        <v>9</v>
      </c>
      <c r="C507">
        <v>9596</v>
      </c>
      <c r="D507">
        <v>4978</v>
      </c>
      <c r="E507">
        <v>4106</v>
      </c>
    </row>
    <row r="508" spans="1:5">
      <c r="A508" s="103" t="s">
        <v>244</v>
      </c>
      <c r="B508" s="103" t="s">
        <v>10</v>
      </c>
      <c r="C508">
        <v>10853</v>
      </c>
      <c r="D508">
        <v>3554</v>
      </c>
      <c r="E508">
        <v>4074</v>
      </c>
    </row>
    <row r="509" spans="1:5">
      <c r="A509" s="103" t="s">
        <v>244</v>
      </c>
      <c r="B509" s="103" t="s">
        <v>11</v>
      </c>
      <c r="C509">
        <v>9652</v>
      </c>
      <c r="D509">
        <v>7317</v>
      </c>
      <c r="E509">
        <v>5041</v>
      </c>
    </row>
    <row r="510" spans="1:5">
      <c r="A510" s="103" t="s">
        <v>244</v>
      </c>
      <c r="B510" s="103" t="s">
        <v>12</v>
      </c>
      <c r="C510">
        <v>19656</v>
      </c>
      <c r="D510">
        <v>2595</v>
      </c>
      <c r="E510">
        <v>7440</v>
      </c>
    </row>
    <row r="511" spans="1:5">
      <c r="A511" s="103" t="s">
        <v>244</v>
      </c>
      <c r="B511" s="103" t="s">
        <v>13</v>
      </c>
      <c r="C511">
        <v>20640</v>
      </c>
      <c r="D511">
        <v>3829</v>
      </c>
      <c r="E511">
        <v>8065</v>
      </c>
    </row>
    <row r="512" spans="1:5">
      <c r="A512" s="103" t="s">
        <v>244</v>
      </c>
      <c r="B512" s="103" t="s">
        <v>14</v>
      </c>
      <c r="C512">
        <v>20370</v>
      </c>
      <c r="D512">
        <v>4536</v>
      </c>
      <c r="E512">
        <v>8062</v>
      </c>
    </row>
    <row r="513" spans="1:5">
      <c r="A513" s="103" t="s">
        <v>244</v>
      </c>
      <c r="B513" s="103" t="s">
        <v>15</v>
      </c>
      <c r="C513">
        <v>17239</v>
      </c>
      <c r="D513">
        <v>7688</v>
      </c>
      <c r="E513">
        <v>8082</v>
      </c>
    </row>
    <row r="514" spans="1:5">
      <c r="A514" s="103" t="s">
        <v>244</v>
      </c>
      <c r="B514" s="103" t="s">
        <v>16</v>
      </c>
      <c r="C514">
        <v>17619</v>
      </c>
      <c r="D514">
        <v>6652</v>
      </c>
      <c r="E514">
        <v>8063</v>
      </c>
    </row>
    <row r="515" spans="1:5">
      <c r="A515" s="103" t="s">
        <v>244</v>
      </c>
      <c r="B515" s="103" t="s">
        <v>17</v>
      </c>
      <c r="C515">
        <v>17713</v>
      </c>
      <c r="D515">
        <v>6254</v>
      </c>
      <c r="E515">
        <v>8074</v>
      </c>
    </row>
    <row r="516" spans="1:5">
      <c r="A516" s="103" t="s">
        <v>244</v>
      </c>
      <c r="B516" s="103" t="s">
        <v>18</v>
      </c>
      <c r="C516">
        <v>17951</v>
      </c>
      <c r="D516">
        <v>6739</v>
      </c>
      <c r="E516">
        <v>8069</v>
      </c>
    </row>
    <row r="517" spans="1:5">
      <c r="A517" s="103" t="s">
        <v>244</v>
      </c>
      <c r="B517" s="103" t="s">
        <v>19</v>
      </c>
      <c r="C517">
        <v>16699</v>
      </c>
      <c r="D517">
        <v>7618</v>
      </c>
      <c r="E517">
        <v>8056</v>
      </c>
    </row>
    <row r="518" spans="1:5">
      <c r="A518" s="103" t="s">
        <v>244</v>
      </c>
      <c r="B518" s="103" t="s">
        <v>20</v>
      </c>
      <c r="C518">
        <v>16429</v>
      </c>
      <c r="D518">
        <v>7562</v>
      </c>
      <c r="E518">
        <v>8080</v>
      </c>
    </row>
    <row r="519" spans="1:5">
      <c r="A519" s="103" t="s">
        <v>244</v>
      </c>
      <c r="B519" s="103" t="s">
        <v>21</v>
      </c>
      <c r="C519">
        <v>17239</v>
      </c>
      <c r="D519">
        <v>7285</v>
      </c>
      <c r="E519">
        <v>8077</v>
      </c>
    </row>
    <row r="520" spans="1:5">
      <c r="A520" s="103" t="s">
        <v>244</v>
      </c>
      <c r="B520" s="103" t="s">
        <v>22</v>
      </c>
      <c r="C520">
        <v>16926</v>
      </c>
      <c r="D520">
        <v>7349</v>
      </c>
      <c r="E520">
        <v>8058</v>
      </c>
    </row>
    <row r="521" spans="1:5">
      <c r="A521" s="103" t="s">
        <v>244</v>
      </c>
      <c r="B521" s="103" t="s">
        <v>23</v>
      </c>
      <c r="C521">
        <v>16316</v>
      </c>
      <c r="D521">
        <v>8085</v>
      </c>
      <c r="E521">
        <v>8060</v>
      </c>
    </row>
    <row r="522" spans="1:5">
      <c r="A522" s="103" t="s">
        <v>244</v>
      </c>
      <c r="B522" s="103" t="s">
        <v>24</v>
      </c>
      <c r="C522">
        <v>18183</v>
      </c>
      <c r="D522">
        <v>6138</v>
      </c>
      <c r="E522">
        <v>8041</v>
      </c>
    </row>
    <row r="523" spans="1:5">
      <c r="A523" s="103" t="s">
        <v>244</v>
      </c>
      <c r="B523" s="103" t="s">
        <v>25</v>
      </c>
      <c r="C523">
        <v>17262</v>
      </c>
      <c r="D523">
        <v>7281</v>
      </c>
      <c r="E523">
        <v>8028</v>
      </c>
    </row>
    <row r="524" spans="1:5">
      <c r="A524" s="103" t="s">
        <v>244</v>
      </c>
      <c r="B524" s="103" t="s">
        <v>26</v>
      </c>
      <c r="C524">
        <v>17196</v>
      </c>
      <c r="D524">
        <v>7064</v>
      </c>
      <c r="E524">
        <v>8067</v>
      </c>
    </row>
    <row r="525" spans="1:5">
      <c r="A525" s="103" t="s">
        <v>244</v>
      </c>
      <c r="B525" s="103" t="s">
        <v>27</v>
      </c>
      <c r="C525">
        <v>18181</v>
      </c>
      <c r="D525">
        <v>6072</v>
      </c>
      <c r="E525">
        <v>8039</v>
      </c>
    </row>
    <row r="526" spans="1:5">
      <c r="A526" s="103" t="s">
        <v>244</v>
      </c>
      <c r="B526" s="103" t="s">
        <v>28</v>
      </c>
      <c r="C526">
        <v>18367</v>
      </c>
      <c r="D526">
        <v>6322</v>
      </c>
      <c r="E526">
        <v>8062</v>
      </c>
    </row>
    <row r="527" spans="1:5">
      <c r="A527" s="103" t="s">
        <v>244</v>
      </c>
      <c r="B527" s="103" t="s">
        <v>29</v>
      </c>
      <c r="C527">
        <v>18180</v>
      </c>
      <c r="D527">
        <v>6327</v>
      </c>
      <c r="E527">
        <v>8044</v>
      </c>
    </row>
    <row r="528" spans="1:5">
      <c r="A528" s="103" t="s">
        <v>244</v>
      </c>
      <c r="B528" s="103" t="s">
        <v>30</v>
      </c>
      <c r="C528">
        <v>14031</v>
      </c>
      <c r="D528">
        <v>9822</v>
      </c>
      <c r="E528">
        <v>8053</v>
      </c>
    </row>
    <row r="529" spans="1:5">
      <c r="A529" s="103" t="s">
        <v>244</v>
      </c>
      <c r="B529" s="103" t="s">
        <v>31</v>
      </c>
      <c r="C529">
        <v>8737</v>
      </c>
      <c r="D529">
        <v>15049</v>
      </c>
      <c r="E529">
        <v>8062</v>
      </c>
    </row>
    <row r="530" spans="1:5">
      <c r="A530" s="26" t="s">
        <v>245</v>
      </c>
      <c r="B530" s="26" t="s">
        <v>8</v>
      </c>
      <c r="C530">
        <v>8771</v>
      </c>
      <c r="D530">
        <v>10869</v>
      </c>
      <c r="E530">
        <v>6503</v>
      </c>
    </row>
    <row r="531" spans="1:5">
      <c r="A531" s="26" t="s">
        <v>245</v>
      </c>
      <c r="B531" s="26" t="s">
        <v>9</v>
      </c>
      <c r="C531">
        <v>8997</v>
      </c>
      <c r="D531">
        <v>4974</v>
      </c>
      <c r="E531">
        <v>4067</v>
      </c>
    </row>
    <row r="532" spans="1:5">
      <c r="A532" s="26" t="s">
        <v>245</v>
      </c>
      <c r="B532" s="26" t="s">
        <v>10</v>
      </c>
      <c r="C532">
        <v>10357</v>
      </c>
      <c r="D532">
        <v>996</v>
      </c>
      <c r="E532">
        <v>3058</v>
      </c>
    </row>
    <row r="533" spans="1:5">
      <c r="A533" s="26" t="s">
        <v>245</v>
      </c>
      <c r="B533" s="26" t="s">
        <v>11</v>
      </c>
      <c r="C533">
        <v>12188</v>
      </c>
      <c r="D533">
        <v>1638</v>
      </c>
      <c r="E533">
        <v>4041</v>
      </c>
    </row>
    <row r="534" spans="1:5">
      <c r="A534" s="26" t="s">
        <v>245</v>
      </c>
      <c r="B534" s="26" t="s">
        <v>12</v>
      </c>
      <c r="C534">
        <v>15437</v>
      </c>
      <c r="D534">
        <v>36</v>
      </c>
      <c r="E534">
        <v>5474</v>
      </c>
    </row>
    <row r="535" spans="1:5">
      <c r="A535" s="26" t="s">
        <v>245</v>
      </c>
      <c r="B535" s="26" t="s">
        <v>13</v>
      </c>
      <c r="C535">
        <v>19997</v>
      </c>
      <c r="D535">
        <v>24</v>
      </c>
      <c r="E535">
        <v>6833</v>
      </c>
    </row>
    <row r="536" spans="1:5">
      <c r="A536" s="26" t="s">
        <v>245</v>
      </c>
      <c r="B536" s="26" t="s">
        <v>14</v>
      </c>
      <c r="C536">
        <v>22955</v>
      </c>
      <c r="D536">
        <v>1917</v>
      </c>
      <c r="E536">
        <v>8071</v>
      </c>
    </row>
    <row r="537" spans="1:5">
      <c r="A537" s="26" t="s">
        <v>245</v>
      </c>
      <c r="B537" s="26" t="s">
        <v>15</v>
      </c>
      <c r="C537">
        <v>18923</v>
      </c>
      <c r="D537">
        <v>5321</v>
      </c>
      <c r="E537">
        <v>8047</v>
      </c>
    </row>
    <row r="538" spans="1:5">
      <c r="A538" s="26" t="s">
        <v>245</v>
      </c>
      <c r="B538" s="26" t="s">
        <v>16</v>
      </c>
      <c r="C538">
        <v>18165</v>
      </c>
      <c r="D538">
        <v>6185</v>
      </c>
      <c r="E538">
        <v>8056</v>
      </c>
    </row>
    <row r="539" spans="1:5">
      <c r="A539" s="26" t="s">
        <v>245</v>
      </c>
      <c r="B539" s="26" t="s">
        <v>17</v>
      </c>
      <c r="C539">
        <v>17868</v>
      </c>
      <c r="D539">
        <v>6204</v>
      </c>
      <c r="E539">
        <v>8055</v>
      </c>
    </row>
    <row r="540" spans="1:5">
      <c r="A540" s="26" t="s">
        <v>245</v>
      </c>
      <c r="B540" s="26" t="s">
        <v>18</v>
      </c>
      <c r="C540">
        <v>17905</v>
      </c>
      <c r="D540">
        <v>7083</v>
      </c>
      <c r="E540">
        <v>8049</v>
      </c>
    </row>
    <row r="541" spans="1:5">
      <c r="A541" s="26" t="s">
        <v>245</v>
      </c>
      <c r="B541" s="26" t="s">
        <v>19</v>
      </c>
      <c r="C541">
        <v>16962</v>
      </c>
      <c r="D541">
        <v>6581</v>
      </c>
      <c r="E541">
        <v>8053</v>
      </c>
    </row>
    <row r="542" spans="1:5">
      <c r="A542" s="26" t="s">
        <v>245</v>
      </c>
      <c r="B542" s="26" t="s">
        <v>20</v>
      </c>
      <c r="C542">
        <v>15987</v>
      </c>
      <c r="D542">
        <v>8537</v>
      </c>
      <c r="E542">
        <v>8065</v>
      </c>
    </row>
    <row r="543" spans="1:5">
      <c r="A543" s="26" t="s">
        <v>245</v>
      </c>
      <c r="B543" s="26" t="s">
        <v>21</v>
      </c>
      <c r="C543">
        <v>15813</v>
      </c>
      <c r="D543">
        <v>7834</v>
      </c>
      <c r="E543">
        <v>8055</v>
      </c>
    </row>
    <row r="544" spans="1:5">
      <c r="A544" s="26" t="s">
        <v>245</v>
      </c>
      <c r="B544" s="26" t="s">
        <v>22</v>
      </c>
      <c r="C544">
        <v>15990</v>
      </c>
      <c r="D544">
        <v>8500</v>
      </c>
      <c r="E544">
        <v>8069</v>
      </c>
    </row>
    <row r="545" spans="1:5">
      <c r="A545" s="26" t="s">
        <v>245</v>
      </c>
      <c r="B545" s="26" t="s">
        <v>23</v>
      </c>
      <c r="C545">
        <v>16494</v>
      </c>
      <c r="D545">
        <v>7291</v>
      </c>
      <c r="E545">
        <v>8060</v>
      </c>
    </row>
    <row r="546" spans="1:5">
      <c r="A546" s="26" t="s">
        <v>245</v>
      </c>
      <c r="B546" s="26" t="s">
        <v>24</v>
      </c>
      <c r="C546">
        <v>16412</v>
      </c>
      <c r="D546">
        <v>7626</v>
      </c>
      <c r="E546">
        <v>8082</v>
      </c>
    </row>
    <row r="547" spans="1:5">
      <c r="A547" s="26" t="s">
        <v>245</v>
      </c>
      <c r="B547" s="26" t="s">
        <v>25</v>
      </c>
      <c r="C547">
        <v>15915</v>
      </c>
      <c r="D547">
        <v>8341</v>
      </c>
      <c r="E547">
        <v>8081</v>
      </c>
    </row>
    <row r="548" spans="1:5">
      <c r="A548" s="26" t="s">
        <v>245</v>
      </c>
      <c r="B548" s="26" t="s">
        <v>26</v>
      </c>
      <c r="C548">
        <v>16300</v>
      </c>
      <c r="D548">
        <v>7864</v>
      </c>
      <c r="E548">
        <v>8075</v>
      </c>
    </row>
    <row r="549" spans="1:5">
      <c r="A549" s="26" t="s">
        <v>245</v>
      </c>
      <c r="B549" s="26" t="s">
        <v>27</v>
      </c>
      <c r="C549">
        <v>16313</v>
      </c>
      <c r="D549">
        <v>7869</v>
      </c>
      <c r="E549">
        <v>8046</v>
      </c>
    </row>
    <row r="550" spans="1:5">
      <c r="A550" s="26" t="s">
        <v>245</v>
      </c>
      <c r="B550" s="26" t="s">
        <v>28</v>
      </c>
      <c r="C550">
        <v>17066</v>
      </c>
      <c r="D550">
        <v>7821</v>
      </c>
      <c r="E550">
        <v>8065</v>
      </c>
    </row>
    <row r="551" spans="1:5">
      <c r="A551" s="26" t="s">
        <v>245</v>
      </c>
      <c r="B551" s="26" t="s">
        <v>29</v>
      </c>
      <c r="C551">
        <v>17444</v>
      </c>
      <c r="D551">
        <v>7036</v>
      </c>
      <c r="E551">
        <v>8065</v>
      </c>
    </row>
    <row r="552" spans="1:5">
      <c r="A552" s="26" t="s">
        <v>245</v>
      </c>
      <c r="B552" s="26" t="s">
        <v>30</v>
      </c>
      <c r="C552">
        <v>13559</v>
      </c>
      <c r="D552">
        <v>4964</v>
      </c>
      <c r="E552">
        <v>6214</v>
      </c>
    </row>
    <row r="553" spans="1:5">
      <c r="A553" s="26" t="s">
        <v>245</v>
      </c>
      <c r="B553" s="26" t="s">
        <v>31</v>
      </c>
      <c r="C553">
        <v>7619</v>
      </c>
      <c r="D553">
        <v>7386</v>
      </c>
      <c r="E553">
        <v>4249</v>
      </c>
    </row>
    <row r="554" spans="1:5">
      <c r="A554" s="103" t="s">
        <v>246</v>
      </c>
      <c r="B554" s="103" t="s">
        <v>8</v>
      </c>
      <c r="C554">
        <v>7614</v>
      </c>
      <c r="D554">
        <v>5127</v>
      </c>
      <c r="E554">
        <v>3164</v>
      </c>
    </row>
    <row r="555" spans="1:5">
      <c r="A555" s="103" t="s">
        <v>246</v>
      </c>
      <c r="B555" s="103" t="s">
        <v>9</v>
      </c>
      <c r="C555">
        <v>9346</v>
      </c>
      <c r="D555">
        <v>3851</v>
      </c>
      <c r="E555">
        <v>3825</v>
      </c>
    </row>
    <row r="556" spans="1:5">
      <c r="A556" s="103" t="s">
        <v>246</v>
      </c>
      <c r="B556" s="103" t="s">
        <v>10</v>
      </c>
      <c r="C556">
        <v>9360</v>
      </c>
      <c r="D556">
        <v>4571</v>
      </c>
      <c r="E556">
        <v>4061</v>
      </c>
    </row>
    <row r="557" spans="1:5">
      <c r="A557" s="103" t="s">
        <v>246</v>
      </c>
      <c r="B557" s="103" t="s">
        <v>11</v>
      </c>
      <c r="C557">
        <v>11077</v>
      </c>
      <c r="D557">
        <v>2377</v>
      </c>
      <c r="E557">
        <v>4069</v>
      </c>
    </row>
    <row r="558" spans="1:5">
      <c r="A558" s="103" t="s">
        <v>246</v>
      </c>
      <c r="B558" s="103" t="s">
        <v>12</v>
      </c>
      <c r="C558">
        <v>16683</v>
      </c>
      <c r="D558">
        <v>70</v>
      </c>
      <c r="E558">
        <v>5079</v>
      </c>
    </row>
    <row r="559" spans="1:5">
      <c r="A559" s="103" t="s">
        <v>246</v>
      </c>
      <c r="B559" s="103" t="s">
        <v>13</v>
      </c>
      <c r="C559">
        <v>21981</v>
      </c>
      <c r="D559">
        <v>68</v>
      </c>
      <c r="E559">
        <v>7597</v>
      </c>
    </row>
    <row r="560" spans="1:5">
      <c r="A560" s="103" t="s">
        <v>246</v>
      </c>
      <c r="B560" s="103" t="s">
        <v>14</v>
      </c>
      <c r="C560">
        <v>24011</v>
      </c>
      <c r="D560">
        <v>1570</v>
      </c>
      <c r="E560">
        <v>8032</v>
      </c>
    </row>
    <row r="561" spans="1:5">
      <c r="A561" s="103" t="s">
        <v>246</v>
      </c>
      <c r="B561" s="103" t="s">
        <v>15</v>
      </c>
      <c r="C561">
        <v>18067</v>
      </c>
      <c r="D561">
        <v>6293</v>
      </c>
      <c r="E561">
        <v>7814</v>
      </c>
    </row>
    <row r="562" spans="1:5">
      <c r="A562" s="103" t="s">
        <v>246</v>
      </c>
      <c r="B562" s="103" t="s">
        <v>16</v>
      </c>
      <c r="C562">
        <v>16577</v>
      </c>
      <c r="D562">
        <v>7734</v>
      </c>
      <c r="E562">
        <v>8041</v>
      </c>
    </row>
    <row r="563" spans="1:5">
      <c r="A563" s="103" t="s">
        <v>246</v>
      </c>
      <c r="B563" s="103" t="s">
        <v>17</v>
      </c>
      <c r="C563">
        <v>17472</v>
      </c>
      <c r="D563">
        <v>6882</v>
      </c>
      <c r="E563">
        <v>8073</v>
      </c>
    </row>
    <row r="564" spans="1:5">
      <c r="A564" s="103" t="s">
        <v>246</v>
      </c>
      <c r="B564" s="103" t="s">
        <v>18</v>
      </c>
      <c r="C564">
        <v>15959</v>
      </c>
      <c r="D564">
        <v>7997</v>
      </c>
      <c r="E564">
        <v>8074</v>
      </c>
    </row>
    <row r="565" spans="1:5">
      <c r="A565" s="103" t="s">
        <v>246</v>
      </c>
      <c r="B565" s="103" t="s">
        <v>19</v>
      </c>
      <c r="C565">
        <v>15075</v>
      </c>
      <c r="D565">
        <v>9207</v>
      </c>
      <c r="E565">
        <v>8062</v>
      </c>
    </row>
    <row r="566" spans="1:5">
      <c r="A566" s="103" t="s">
        <v>246</v>
      </c>
      <c r="B566" s="103" t="s">
        <v>20</v>
      </c>
      <c r="C566">
        <v>15659</v>
      </c>
      <c r="D566">
        <v>8020</v>
      </c>
      <c r="E566">
        <v>7942</v>
      </c>
    </row>
    <row r="567" spans="1:5">
      <c r="A567" s="103" t="s">
        <v>246</v>
      </c>
      <c r="B567" s="103" t="s">
        <v>21</v>
      </c>
      <c r="C567">
        <v>15631</v>
      </c>
      <c r="D567">
        <v>8839</v>
      </c>
      <c r="E567">
        <v>8048</v>
      </c>
    </row>
    <row r="568" spans="1:5">
      <c r="A568" s="103" t="s">
        <v>246</v>
      </c>
      <c r="B568" s="103" t="s">
        <v>22</v>
      </c>
      <c r="C568">
        <v>15107</v>
      </c>
      <c r="D568">
        <v>9340</v>
      </c>
      <c r="E568">
        <v>8072</v>
      </c>
    </row>
    <row r="569" spans="1:5">
      <c r="A569" s="103" t="s">
        <v>246</v>
      </c>
      <c r="B569" s="103" t="s">
        <v>23</v>
      </c>
      <c r="C569">
        <v>13772</v>
      </c>
      <c r="D569">
        <v>10398</v>
      </c>
      <c r="E569">
        <v>8061</v>
      </c>
    </row>
    <row r="570" spans="1:5">
      <c r="A570" s="103" t="s">
        <v>246</v>
      </c>
      <c r="B570" s="103" t="s">
        <v>24</v>
      </c>
      <c r="C570">
        <v>15234</v>
      </c>
      <c r="D570">
        <v>9389</v>
      </c>
      <c r="E570">
        <v>8072</v>
      </c>
    </row>
    <row r="571" spans="1:5">
      <c r="A571" s="103" t="s">
        <v>246</v>
      </c>
      <c r="B571" s="103" t="s">
        <v>25</v>
      </c>
      <c r="C571">
        <v>16949</v>
      </c>
      <c r="D571">
        <v>6476</v>
      </c>
      <c r="E571">
        <v>8048</v>
      </c>
    </row>
    <row r="572" spans="1:5">
      <c r="A572" s="103" t="s">
        <v>246</v>
      </c>
      <c r="B572" s="103" t="s">
        <v>26</v>
      </c>
      <c r="C572">
        <v>16977</v>
      </c>
      <c r="D572">
        <v>6866</v>
      </c>
      <c r="E572">
        <v>8048</v>
      </c>
    </row>
    <row r="573" spans="1:5">
      <c r="A573" s="103" t="s">
        <v>246</v>
      </c>
      <c r="B573" s="103" t="s">
        <v>27</v>
      </c>
      <c r="C573">
        <v>16164</v>
      </c>
      <c r="D573">
        <v>7378</v>
      </c>
      <c r="E573">
        <v>8062</v>
      </c>
    </row>
    <row r="574" spans="1:5">
      <c r="A574" s="103" t="s">
        <v>246</v>
      </c>
      <c r="B574" s="103" t="s">
        <v>28</v>
      </c>
      <c r="C574">
        <v>16102</v>
      </c>
      <c r="D574">
        <v>7422</v>
      </c>
      <c r="E574">
        <v>8034</v>
      </c>
    </row>
    <row r="575" spans="1:5">
      <c r="A575" s="103" t="s">
        <v>246</v>
      </c>
      <c r="B575" s="103" t="s">
        <v>29</v>
      </c>
      <c r="C575">
        <v>16598</v>
      </c>
      <c r="D575">
        <v>7519</v>
      </c>
      <c r="E575">
        <v>8061</v>
      </c>
    </row>
    <row r="576" spans="1:5">
      <c r="A576" s="103" t="s">
        <v>246</v>
      </c>
      <c r="B576" s="103" t="s">
        <v>30</v>
      </c>
      <c r="C576">
        <v>15257</v>
      </c>
      <c r="D576">
        <v>4942</v>
      </c>
      <c r="E576">
        <v>6479</v>
      </c>
    </row>
    <row r="577" spans="1:5">
      <c r="A577" s="103" t="s">
        <v>246</v>
      </c>
      <c r="B577" s="103" t="s">
        <v>31</v>
      </c>
      <c r="C577">
        <v>7083</v>
      </c>
      <c r="D577">
        <v>4201</v>
      </c>
      <c r="E577">
        <v>4002</v>
      </c>
    </row>
    <row r="578" spans="1:5">
      <c r="A578" s="26" t="s">
        <v>247</v>
      </c>
      <c r="B578" s="26" t="s">
        <v>8</v>
      </c>
      <c r="C578">
        <v>7270</v>
      </c>
      <c r="D578">
        <v>6192</v>
      </c>
      <c r="E578">
        <v>3960</v>
      </c>
    </row>
    <row r="579" spans="1:5">
      <c r="A579" s="26" t="s">
        <v>247</v>
      </c>
      <c r="B579" s="26" t="s">
        <v>9</v>
      </c>
      <c r="C579">
        <v>7632</v>
      </c>
      <c r="D579">
        <v>5603</v>
      </c>
      <c r="E579">
        <v>4024</v>
      </c>
    </row>
    <row r="580" spans="1:5">
      <c r="A580" s="26" t="s">
        <v>247</v>
      </c>
      <c r="B580" s="26" t="s">
        <v>10</v>
      </c>
      <c r="C580">
        <v>9571</v>
      </c>
      <c r="D580">
        <v>4332</v>
      </c>
      <c r="E580">
        <v>4077</v>
      </c>
    </row>
    <row r="581" spans="1:5">
      <c r="A581" s="26" t="s">
        <v>247</v>
      </c>
      <c r="B581" s="26" t="s">
        <v>11</v>
      </c>
      <c r="C581">
        <v>10859</v>
      </c>
      <c r="D581">
        <v>2744</v>
      </c>
      <c r="E581">
        <v>4067</v>
      </c>
    </row>
    <row r="582" spans="1:5">
      <c r="A582" s="26" t="s">
        <v>247</v>
      </c>
      <c r="B582" s="26" t="s">
        <v>12</v>
      </c>
      <c r="C582">
        <v>17475</v>
      </c>
      <c r="D582">
        <v>73</v>
      </c>
      <c r="E582">
        <v>5990</v>
      </c>
    </row>
    <row r="583" spans="1:5">
      <c r="A583" s="26" t="s">
        <v>247</v>
      </c>
      <c r="B583" s="26" t="s">
        <v>13</v>
      </c>
      <c r="C583">
        <v>19083</v>
      </c>
      <c r="D583">
        <v>147</v>
      </c>
      <c r="E583">
        <v>6058</v>
      </c>
    </row>
    <row r="584" spans="1:5">
      <c r="A584" s="26" t="s">
        <v>247</v>
      </c>
      <c r="B584" s="26" t="s">
        <v>14</v>
      </c>
      <c r="C584">
        <v>18921</v>
      </c>
      <c r="D584">
        <v>96</v>
      </c>
      <c r="E584">
        <v>6066</v>
      </c>
    </row>
    <row r="585" spans="1:5">
      <c r="A585" s="26" t="s">
        <v>247</v>
      </c>
      <c r="B585" s="26" t="s">
        <v>15</v>
      </c>
      <c r="C585">
        <v>14382</v>
      </c>
      <c r="D585">
        <v>4424</v>
      </c>
      <c r="E585">
        <v>6061</v>
      </c>
    </row>
    <row r="586" spans="1:5">
      <c r="A586" s="26" t="s">
        <v>247</v>
      </c>
      <c r="B586" s="26" t="s">
        <v>16</v>
      </c>
      <c r="C586">
        <v>14838</v>
      </c>
      <c r="D586">
        <v>4515</v>
      </c>
      <c r="E586">
        <v>6077</v>
      </c>
    </row>
    <row r="587" spans="1:5">
      <c r="A587" s="26" t="s">
        <v>247</v>
      </c>
      <c r="B587" s="26" t="s">
        <v>17</v>
      </c>
      <c r="C587">
        <v>17060</v>
      </c>
      <c r="D587">
        <v>2018</v>
      </c>
      <c r="E587">
        <v>6047</v>
      </c>
    </row>
    <row r="588" spans="1:5">
      <c r="A588" s="26" t="s">
        <v>247</v>
      </c>
      <c r="B588" s="26" t="s">
        <v>18</v>
      </c>
      <c r="C588">
        <v>16385</v>
      </c>
      <c r="D588">
        <v>2467</v>
      </c>
      <c r="E588">
        <v>6058</v>
      </c>
    </row>
    <row r="589" spans="1:5">
      <c r="A589" s="26" t="s">
        <v>247</v>
      </c>
      <c r="B589" s="26" t="s">
        <v>19</v>
      </c>
      <c r="C589">
        <v>15535</v>
      </c>
      <c r="D589">
        <v>3985</v>
      </c>
      <c r="E589">
        <v>6070</v>
      </c>
    </row>
    <row r="590" spans="1:5">
      <c r="A590" s="26" t="s">
        <v>247</v>
      </c>
      <c r="B590" s="26" t="s">
        <v>20</v>
      </c>
      <c r="C590">
        <v>14843</v>
      </c>
      <c r="D590">
        <v>4470</v>
      </c>
      <c r="E590">
        <v>6053</v>
      </c>
    </row>
    <row r="591" spans="1:5">
      <c r="A591" s="26" t="s">
        <v>247</v>
      </c>
      <c r="B591" s="26" t="s">
        <v>21</v>
      </c>
      <c r="C591">
        <v>14413</v>
      </c>
      <c r="D591">
        <v>3932</v>
      </c>
      <c r="E591">
        <v>6060</v>
      </c>
    </row>
    <row r="592" spans="1:5">
      <c r="A592" s="26" t="s">
        <v>247</v>
      </c>
      <c r="B592" s="26" t="s">
        <v>22</v>
      </c>
      <c r="C592">
        <v>14751</v>
      </c>
      <c r="D592">
        <v>4077</v>
      </c>
      <c r="E592">
        <v>6052</v>
      </c>
    </row>
    <row r="593" spans="1:5">
      <c r="A593" s="26" t="s">
        <v>247</v>
      </c>
      <c r="B593" s="26" t="s">
        <v>23</v>
      </c>
      <c r="C593">
        <v>14508</v>
      </c>
      <c r="D593">
        <v>4157</v>
      </c>
      <c r="E593">
        <v>6059</v>
      </c>
    </row>
    <row r="594" spans="1:5">
      <c r="A594" s="26" t="s">
        <v>247</v>
      </c>
      <c r="B594" s="26" t="s">
        <v>24</v>
      </c>
      <c r="C594">
        <v>14694</v>
      </c>
      <c r="D594">
        <v>6767</v>
      </c>
      <c r="E594">
        <v>6925</v>
      </c>
    </row>
    <row r="595" spans="1:5">
      <c r="A595" s="26" t="s">
        <v>247</v>
      </c>
      <c r="B595" s="26" t="s">
        <v>25</v>
      </c>
      <c r="C595">
        <v>15536</v>
      </c>
      <c r="D595">
        <v>8317</v>
      </c>
      <c r="E595">
        <v>8078</v>
      </c>
    </row>
    <row r="596" spans="1:5">
      <c r="A596" s="26" t="s">
        <v>247</v>
      </c>
      <c r="B596" s="26" t="s">
        <v>26</v>
      </c>
      <c r="C596">
        <v>15384</v>
      </c>
      <c r="D596">
        <v>8947</v>
      </c>
      <c r="E596">
        <v>8040</v>
      </c>
    </row>
    <row r="597" spans="1:5">
      <c r="A597" s="26" t="s">
        <v>247</v>
      </c>
      <c r="B597" s="26" t="s">
        <v>27</v>
      </c>
      <c r="C597">
        <v>15323</v>
      </c>
      <c r="D597">
        <v>8579</v>
      </c>
      <c r="E597">
        <v>8042</v>
      </c>
    </row>
    <row r="598" spans="1:5">
      <c r="A598" s="26" t="s">
        <v>247</v>
      </c>
      <c r="B598" s="26" t="s">
        <v>28</v>
      </c>
      <c r="C598">
        <v>15618</v>
      </c>
      <c r="D598">
        <v>8423</v>
      </c>
      <c r="E598">
        <v>8026</v>
      </c>
    </row>
    <row r="599" spans="1:5">
      <c r="A599" s="26" t="s">
        <v>247</v>
      </c>
      <c r="B599" s="26" t="s">
        <v>29</v>
      </c>
      <c r="C599">
        <v>14963</v>
      </c>
      <c r="D599">
        <v>8661</v>
      </c>
      <c r="E599">
        <v>7626</v>
      </c>
    </row>
    <row r="600" spans="1:5">
      <c r="A600" s="26" t="s">
        <v>247</v>
      </c>
      <c r="B600" s="26" t="s">
        <v>30</v>
      </c>
      <c r="C600">
        <v>12903</v>
      </c>
      <c r="D600">
        <v>5906</v>
      </c>
      <c r="E600">
        <v>6018</v>
      </c>
    </row>
    <row r="601" spans="1:5">
      <c r="A601" s="26" t="s">
        <v>247</v>
      </c>
      <c r="B601" s="26" t="s">
        <v>31</v>
      </c>
      <c r="C601">
        <v>6267</v>
      </c>
      <c r="D601">
        <v>7951</v>
      </c>
      <c r="E601">
        <v>4537</v>
      </c>
    </row>
    <row r="602" spans="1:5">
      <c r="A602" s="103" t="s">
        <v>248</v>
      </c>
      <c r="B602" s="103" t="s">
        <v>8</v>
      </c>
      <c r="C602">
        <v>6531</v>
      </c>
      <c r="D602">
        <v>6061</v>
      </c>
      <c r="E602">
        <v>4056</v>
      </c>
    </row>
    <row r="603" spans="1:5">
      <c r="A603" s="103" t="s">
        <v>248</v>
      </c>
      <c r="B603" s="103" t="s">
        <v>9</v>
      </c>
      <c r="C603">
        <v>8101</v>
      </c>
      <c r="D603">
        <v>5346</v>
      </c>
      <c r="E603">
        <v>4052</v>
      </c>
    </row>
    <row r="604" spans="1:5">
      <c r="A604" s="103" t="s">
        <v>248</v>
      </c>
      <c r="B604" s="103" t="s">
        <v>10</v>
      </c>
      <c r="C604">
        <v>9176</v>
      </c>
      <c r="D604">
        <v>4781</v>
      </c>
      <c r="E604">
        <v>4062</v>
      </c>
    </row>
    <row r="605" spans="1:5">
      <c r="A605" s="103" t="s">
        <v>248</v>
      </c>
      <c r="B605" s="103" t="s">
        <v>11</v>
      </c>
      <c r="C605">
        <v>9900</v>
      </c>
      <c r="D605">
        <v>3499</v>
      </c>
      <c r="E605">
        <v>4051</v>
      </c>
    </row>
    <row r="606" spans="1:5">
      <c r="A606" s="103" t="s">
        <v>248</v>
      </c>
      <c r="B606" s="103" t="s">
        <v>12</v>
      </c>
      <c r="C606">
        <v>16721</v>
      </c>
      <c r="D606">
        <v>53</v>
      </c>
      <c r="E606">
        <v>5468</v>
      </c>
    </row>
    <row r="607" spans="1:5">
      <c r="A607" s="103" t="s">
        <v>248</v>
      </c>
      <c r="B607" s="103" t="s">
        <v>13</v>
      </c>
      <c r="C607">
        <v>18973</v>
      </c>
      <c r="D607">
        <v>445</v>
      </c>
      <c r="E607">
        <v>6048</v>
      </c>
    </row>
    <row r="608" spans="1:5">
      <c r="A608" s="103" t="s">
        <v>248</v>
      </c>
      <c r="B608" s="103" t="s">
        <v>14</v>
      </c>
      <c r="C608">
        <v>17881</v>
      </c>
      <c r="D608">
        <v>662</v>
      </c>
      <c r="E608">
        <v>6065</v>
      </c>
    </row>
    <row r="609" spans="1:5">
      <c r="A609" s="103" t="s">
        <v>248</v>
      </c>
      <c r="B609" s="103" t="s">
        <v>15</v>
      </c>
      <c r="C609">
        <v>13541</v>
      </c>
      <c r="D609">
        <v>6017</v>
      </c>
      <c r="E609">
        <v>6078</v>
      </c>
    </row>
    <row r="610" spans="1:5">
      <c r="A610" s="103" t="s">
        <v>248</v>
      </c>
      <c r="B610" s="103" t="s">
        <v>16</v>
      </c>
      <c r="C610">
        <v>14168</v>
      </c>
      <c r="D610">
        <v>4704</v>
      </c>
      <c r="E610">
        <v>6062</v>
      </c>
    </row>
    <row r="611" spans="1:5">
      <c r="A611" s="103" t="s">
        <v>248</v>
      </c>
      <c r="B611" s="103" t="s">
        <v>17</v>
      </c>
      <c r="C611">
        <v>15569</v>
      </c>
      <c r="D611">
        <v>3187</v>
      </c>
      <c r="E611">
        <v>6059</v>
      </c>
    </row>
    <row r="612" spans="1:5">
      <c r="A612" s="103" t="s">
        <v>248</v>
      </c>
      <c r="B612" s="103" t="s">
        <v>18</v>
      </c>
      <c r="C612">
        <v>14662</v>
      </c>
      <c r="D612">
        <v>3949</v>
      </c>
      <c r="E612">
        <v>6068</v>
      </c>
    </row>
    <row r="613" spans="1:5">
      <c r="A613" s="103" t="s">
        <v>248</v>
      </c>
      <c r="B613" s="103" t="s">
        <v>19</v>
      </c>
      <c r="C613">
        <v>12691</v>
      </c>
      <c r="D613">
        <v>5413</v>
      </c>
      <c r="E613">
        <v>5650</v>
      </c>
    </row>
    <row r="614" spans="1:5">
      <c r="A614" s="103" t="s">
        <v>248</v>
      </c>
      <c r="B614" s="103" t="s">
        <v>20</v>
      </c>
      <c r="C614">
        <v>14444</v>
      </c>
      <c r="D614">
        <v>3258</v>
      </c>
      <c r="E614">
        <v>5934</v>
      </c>
    </row>
    <row r="615" spans="1:5">
      <c r="A615" s="103" t="s">
        <v>248</v>
      </c>
      <c r="B615" s="103" t="s">
        <v>21</v>
      </c>
      <c r="C615">
        <v>14829</v>
      </c>
      <c r="D615">
        <v>3569</v>
      </c>
      <c r="E615">
        <v>6069</v>
      </c>
    </row>
    <row r="616" spans="1:5">
      <c r="A616" s="103" t="s">
        <v>248</v>
      </c>
      <c r="B616" s="103" t="s">
        <v>22</v>
      </c>
      <c r="C616">
        <v>14681</v>
      </c>
      <c r="D616">
        <v>3883</v>
      </c>
      <c r="E616">
        <v>5365</v>
      </c>
    </row>
    <row r="617" spans="1:5">
      <c r="A617" s="103" t="s">
        <v>248</v>
      </c>
      <c r="B617" s="103" t="s">
        <v>23</v>
      </c>
      <c r="C617">
        <v>13097</v>
      </c>
      <c r="D617">
        <v>2505</v>
      </c>
      <c r="E617">
        <v>5674</v>
      </c>
    </row>
    <row r="618" spans="1:5">
      <c r="A618" s="103" t="s">
        <v>248</v>
      </c>
      <c r="B618" s="103" t="s">
        <v>24</v>
      </c>
      <c r="C618">
        <v>14933</v>
      </c>
      <c r="D618">
        <v>7841</v>
      </c>
      <c r="E618">
        <v>7494</v>
      </c>
    </row>
    <row r="619" spans="1:5">
      <c r="A619" s="103" t="s">
        <v>248</v>
      </c>
      <c r="B619" s="103" t="s">
        <v>25</v>
      </c>
      <c r="C619">
        <v>15240</v>
      </c>
      <c r="D619">
        <v>9394</v>
      </c>
      <c r="E619">
        <v>8086</v>
      </c>
    </row>
    <row r="620" spans="1:5">
      <c r="A620" s="103" t="s">
        <v>248</v>
      </c>
      <c r="B620" s="103" t="s">
        <v>26</v>
      </c>
      <c r="C620">
        <v>15082</v>
      </c>
      <c r="D620">
        <v>9871</v>
      </c>
      <c r="E620">
        <v>8077</v>
      </c>
    </row>
    <row r="621" spans="1:5">
      <c r="A621" s="103" t="s">
        <v>248</v>
      </c>
      <c r="B621" s="103" t="s">
        <v>27</v>
      </c>
      <c r="C621">
        <v>15212</v>
      </c>
      <c r="D621">
        <v>9075</v>
      </c>
      <c r="E621">
        <v>8062</v>
      </c>
    </row>
    <row r="622" spans="1:5">
      <c r="A622" s="103" t="s">
        <v>248</v>
      </c>
      <c r="B622" s="103" t="s">
        <v>28</v>
      </c>
      <c r="C622">
        <v>18063</v>
      </c>
      <c r="D622">
        <v>4082</v>
      </c>
      <c r="E622">
        <v>6913</v>
      </c>
    </row>
    <row r="623" spans="1:5">
      <c r="A623" s="103" t="s">
        <v>248</v>
      </c>
      <c r="B623" s="103" t="s">
        <v>29</v>
      </c>
      <c r="C623">
        <v>15778</v>
      </c>
      <c r="D623">
        <v>1583</v>
      </c>
      <c r="E623">
        <v>6042</v>
      </c>
    </row>
    <row r="624" spans="1:5">
      <c r="A624" s="103" t="s">
        <v>248</v>
      </c>
      <c r="B624" s="103" t="s">
        <v>30</v>
      </c>
      <c r="C624">
        <v>11623</v>
      </c>
      <c r="D624">
        <v>2584</v>
      </c>
      <c r="E624">
        <v>5054</v>
      </c>
    </row>
    <row r="625" spans="1:5">
      <c r="A625" s="103" t="s">
        <v>248</v>
      </c>
      <c r="B625" s="103" t="s">
        <v>31</v>
      </c>
      <c r="C625">
        <v>6363</v>
      </c>
      <c r="D625">
        <v>6651</v>
      </c>
      <c r="E625">
        <v>4190</v>
      </c>
    </row>
    <row r="626" spans="1:5">
      <c r="A626" s="26" t="s">
        <v>249</v>
      </c>
      <c r="B626" s="26" t="s">
        <v>8</v>
      </c>
      <c r="C626">
        <v>6362</v>
      </c>
      <c r="D626">
        <v>6429</v>
      </c>
      <c r="E626">
        <v>4043</v>
      </c>
    </row>
    <row r="627" spans="1:5">
      <c r="A627" s="26" t="s">
        <v>249</v>
      </c>
      <c r="B627" s="26" t="s">
        <v>9</v>
      </c>
      <c r="C627">
        <v>7461</v>
      </c>
      <c r="D627">
        <v>5249</v>
      </c>
      <c r="E627">
        <v>4048</v>
      </c>
    </row>
    <row r="628" spans="1:5">
      <c r="A628" s="26" t="s">
        <v>249</v>
      </c>
      <c r="B628" s="26" t="s">
        <v>10</v>
      </c>
      <c r="C628">
        <v>7068</v>
      </c>
      <c r="D628">
        <v>5700</v>
      </c>
      <c r="E628">
        <v>4034</v>
      </c>
    </row>
    <row r="629" spans="1:5">
      <c r="A629" s="26" t="s">
        <v>249</v>
      </c>
      <c r="B629" s="26" t="s">
        <v>11</v>
      </c>
      <c r="C629">
        <v>8026</v>
      </c>
      <c r="D629">
        <v>9210</v>
      </c>
      <c r="E629">
        <v>5073</v>
      </c>
    </row>
    <row r="630" spans="1:5">
      <c r="A630" s="26" t="s">
        <v>249</v>
      </c>
      <c r="B630" s="26" t="s">
        <v>12</v>
      </c>
      <c r="C630">
        <v>17896</v>
      </c>
      <c r="D630">
        <v>1076</v>
      </c>
      <c r="E630">
        <v>5909</v>
      </c>
    </row>
    <row r="631" spans="1:5">
      <c r="A631" s="26" t="s">
        <v>249</v>
      </c>
      <c r="B631" s="26" t="s">
        <v>13</v>
      </c>
      <c r="C631">
        <v>17918</v>
      </c>
      <c r="D631">
        <v>2827</v>
      </c>
      <c r="E631">
        <v>6948</v>
      </c>
    </row>
    <row r="632" spans="1:5">
      <c r="A632" s="26" t="s">
        <v>249</v>
      </c>
      <c r="B632" s="26" t="s">
        <v>14</v>
      </c>
      <c r="C632">
        <v>17301</v>
      </c>
      <c r="D632">
        <v>6525</v>
      </c>
      <c r="E632">
        <v>8044</v>
      </c>
    </row>
    <row r="633" spans="1:5">
      <c r="A633" s="26" t="s">
        <v>249</v>
      </c>
      <c r="B633" s="26" t="s">
        <v>15</v>
      </c>
      <c r="C633">
        <v>17814</v>
      </c>
      <c r="D633">
        <v>6807</v>
      </c>
      <c r="E633">
        <v>8066</v>
      </c>
    </row>
    <row r="634" spans="1:5">
      <c r="A634" s="26" t="s">
        <v>249</v>
      </c>
      <c r="B634" s="26" t="s">
        <v>16</v>
      </c>
      <c r="C634">
        <v>16483</v>
      </c>
      <c r="D634">
        <v>7968</v>
      </c>
      <c r="E634">
        <v>8078</v>
      </c>
    </row>
    <row r="635" spans="1:5">
      <c r="A635" s="26" t="s">
        <v>249</v>
      </c>
      <c r="B635" s="26" t="s">
        <v>17</v>
      </c>
      <c r="C635">
        <v>15083</v>
      </c>
      <c r="D635">
        <v>9824</v>
      </c>
      <c r="E635">
        <v>8068</v>
      </c>
    </row>
    <row r="636" spans="1:5">
      <c r="A636" s="26" t="s">
        <v>249</v>
      </c>
      <c r="B636" s="26" t="s">
        <v>18</v>
      </c>
      <c r="C636">
        <v>17188</v>
      </c>
      <c r="D636">
        <v>4813</v>
      </c>
      <c r="E636">
        <v>7014</v>
      </c>
    </row>
    <row r="637" spans="1:5">
      <c r="A637" s="26" t="s">
        <v>249</v>
      </c>
      <c r="B637" s="26" t="s">
        <v>19</v>
      </c>
      <c r="C637">
        <v>15494</v>
      </c>
      <c r="D637">
        <v>3173</v>
      </c>
      <c r="E637">
        <v>6066</v>
      </c>
    </row>
    <row r="638" spans="1:5">
      <c r="A638" s="26" t="s">
        <v>249</v>
      </c>
      <c r="B638" s="26" t="s">
        <v>20</v>
      </c>
      <c r="C638">
        <v>14009</v>
      </c>
      <c r="D638">
        <v>4412</v>
      </c>
      <c r="E638">
        <v>6055</v>
      </c>
    </row>
    <row r="639" spans="1:5">
      <c r="A639" s="26" t="s">
        <v>249</v>
      </c>
      <c r="B639" s="26" t="s">
        <v>21</v>
      </c>
      <c r="C639">
        <v>13096</v>
      </c>
      <c r="D639">
        <v>2679</v>
      </c>
      <c r="E639">
        <v>5094</v>
      </c>
    </row>
    <row r="640" spans="1:5">
      <c r="A640" s="26" t="s">
        <v>249</v>
      </c>
      <c r="B640" s="26" t="s">
        <v>22</v>
      </c>
      <c r="C640">
        <v>12970</v>
      </c>
      <c r="D640">
        <v>11339</v>
      </c>
      <c r="E640">
        <v>8006</v>
      </c>
    </row>
    <row r="641" spans="1:5">
      <c r="A641" s="26" t="s">
        <v>249</v>
      </c>
      <c r="B641" s="26" t="s">
        <v>23</v>
      </c>
      <c r="C641">
        <v>13182</v>
      </c>
      <c r="D641">
        <v>10451</v>
      </c>
      <c r="E641">
        <v>8059</v>
      </c>
    </row>
    <row r="642" spans="1:5">
      <c r="A642" s="26" t="s">
        <v>249</v>
      </c>
      <c r="B642" s="26" t="s">
        <v>24</v>
      </c>
      <c r="C642">
        <v>14406</v>
      </c>
      <c r="D642">
        <v>9099</v>
      </c>
      <c r="E642">
        <v>8063</v>
      </c>
    </row>
    <row r="643" spans="1:5">
      <c r="A643" s="26" t="s">
        <v>249</v>
      </c>
      <c r="B643" s="26" t="s">
        <v>25</v>
      </c>
      <c r="C643">
        <v>12853</v>
      </c>
      <c r="D643">
        <v>11418</v>
      </c>
      <c r="E643">
        <v>8055</v>
      </c>
    </row>
    <row r="644" spans="1:5">
      <c r="A644" s="26" t="s">
        <v>249</v>
      </c>
      <c r="B644" s="26" t="s">
        <v>26</v>
      </c>
      <c r="C644">
        <v>13048</v>
      </c>
      <c r="D644">
        <v>11078</v>
      </c>
      <c r="E644">
        <v>8060</v>
      </c>
    </row>
    <row r="645" spans="1:5">
      <c r="A645" s="26" t="s">
        <v>249</v>
      </c>
      <c r="B645" s="26" t="s">
        <v>27</v>
      </c>
      <c r="C645">
        <v>14078</v>
      </c>
      <c r="D645">
        <v>10347</v>
      </c>
      <c r="E645">
        <v>8060</v>
      </c>
    </row>
    <row r="646" spans="1:5">
      <c r="A646" s="26" t="s">
        <v>249</v>
      </c>
      <c r="B646" s="26" t="s">
        <v>28</v>
      </c>
      <c r="C646">
        <v>14959</v>
      </c>
      <c r="D646">
        <v>9207</v>
      </c>
      <c r="E646">
        <v>8043</v>
      </c>
    </row>
    <row r="647" spans="1:5">
      <c r="A647" s="26" t="s">
        <v>249</v>
      </c>
      <c r="B647" s="26" t="s">
        <v>29</v>
      </c>
      <c r="C647">
        <v>15675</v>
      </c>
      <c r="D647">
        <v>6430</v>
      </c>
      <c r="E647">
        <v>7419</v>
      </c>
    </row>
    <row r="648" spans="1:5">
      <c r="A648" s="26" t="s">
        <v>249</v>
      </c>
      <c r="B648" s="26" t="s">
        <v>30</v>
      </c>
      <c r="C648">
        <v>13368</v>
      </c>
      <c r="D648">
        <v>2695</v>
      </c>
      <c r="E648">
        <v>5067</v>
      </c>
    </row>
    <row r="649" spans="1:5">
      <c r="A649" s="26" t="s">
        <v>249</v>
      </c>
      <c r="B649" s="26" t="s">
        <v>31</v>
      </c>
      <c r="C649">
        <v>7134</v>
      </c>
      <c r="D649">
        <v>6511</v>
      </c>
      <c r="E649">
        <v>3953</v>
      </c>
    </row>
    <row r="650" spans="1:5">
      <c r="A650" s="103" t="s">
        <v>250</v>
      </c>
      <c r="B650" s="103" t="s">
        <v>8</v>
      </c>
      <c r="C650">
        <v>7538</v>
      </c>
      <c r="D650">
        <v>6939</v>
      </c>
      <c r="E650">
        <v>4017</v>
      </c>
    </row>
    <row r="651" spans="1:5">
      <c r="A651" s="103" t="s">
        <v>250</v>
      </c>
      <c r="B651" s="103" t="s">
        <v>9</v>
      </c>
      <c r="C651">
        <v>8131</v>
      </c>
      <c r="D651">
        <v>5310</v>
      </c>
      <c r="E651">
        <v>4048</v>
      </c>
    </row>
    <row r="652" spans="1:5">
      <c r="A652" s="103" t="s">
        <v>250</v>
      </c>
      <c r="B652" s="103" t="s">
        <v>10</v>
      </c>
      <c r="C652">
        <v>6850</v>
      </c>
      <c r="D652">
        <v>6456</v>
      </c>
      <c r="E652">
        <v>4053</v>
      </c>
    </row>
    <row r="653" spans="1:5">
      <c r="A653" s="103" t="s">
        <v>250</v>
      </c>
      <c r="B653" s="103" t="s">
        <v>11</v>
      </c>
      <c r="C653">
        <v>6827</v>
      </c>
      <c r="D653">
        <v>6697</v>
      </c>
      <c r="E653">
        <v>4058</v>
      </c>
    </row>
    <row r="654" spans="1:5">
      <c r="A654" s="103" t="s">
        <v>250</v>
      </c>
      <c r="B654" s="103" t="s">
        <v>12</v>
      </c>
      <c r="C654">
        <v>16068</v>
      </c>
      <c r="D654">
        <v>1008</v>
      </c>
      <c r="E654">
        <v>5523</v>
      </c>
    </row>
    <row r="655" spans="1:5">
      <c r="A655" s="103" t="s">
        <v>250</v>
      </c>
      <c r="B655" s="103" t="s">
        <v>13</v>
      </c>
      <c r="C655">
        <v>18140</v>
      </c>
      <c r="D655">
        <v>946</v>
      </c>
      <c r="E655">
        <v>6063</v>
      </c>
    </row>
    <row r="656" spans="1:5">
      <c r="A656" s="103" t="s">
        <v>250</v>
      </c>
      <c r="B656" s="103" t="s">
        <v>14</v>
      </c>
      <c r="C656">
        <v>14767</v>
      </c>
      <c r="D656">
        <v>7778</v>
      </c>
      <c r="E656">
        <v>7376</v>
      </c>
    </row>
    <row r="657" spans="1:5">
      <c r="A657" s="103" t="s">
        <v>250</v>
      </c>
      <c r="B657" s="103" t="s">
        <v>15</v>
      </c>
      <c r="C657">
        <v>15103</v>
      </c>
      <c r="D657">
        <v>8946</v>
      </c>
      <c r="E657">
        <v>8069</v>
      </c>
    </row>
    <row r="658" spans="1:5">
      <c r="A658" s="103" t="s">
        <v>250</v>
      </c>
      <c r="B658" s="103" t="s">
        <v>16</v>
      </c>
      <c r="C658">
        <v>14870</v>
      </c>
      <c r="D658">
        <v>9224</v>
      </c>
      <c r="E658">
        <v>7996</v>
      </c>
    </row>
    <row r="659" spans="1:5">
      <c r="A659" s="103" t="s">
        <v>250</v>
      </c>
      <c r="B659" s="103" t="s">
        <v>17</v>
      </c>
      <c r="C659">
        <v>14526</v>
      </c>
      <c r="D659">
        <v>9396</v>
      </c>
      <c r="E659">
        <v>8058</v>
      </c>
    </row>
    <row r="660" spans="1:5">
      <c r="A660" s="103" t="s">
        <v>250</v>
      </c>
      <c r="B660" s="103" t="s">
        <v>18</v>
      </c>
      <c r="C660">
        <v>12626</v>
      </c>
      <c r="D660">
        <v>10904</v>
      </c>
      <c r="E660">
        <v>8057</v>
      </c>
    </row>
    <row r="661" spans="1:5">
      <c r="A661" s="103" t="s">
        <v>250</v>
      </c>
      <c r="B661" s="103" t="s">
        <v>19</v>
      </c>
      <c r="C661">
        <v>11064</v>
      </c>
      <c r="D661">
        <v>12857</v>
      </c>
      <c r="E661">
        <v>8057</v>
      </c>
    </row>
    <row r="662" spans="1:5">
      <c r="A662" s="103" t="s">
        <v>250</v>
      </c>
      <c r="B662" s="103" t="s">
        <v>20</v>
      </c>
      <c r="C662">
        <v>11504</v>
      </c>
      <c r="D662">
        <v>13124</v>
      </c>
      <c r="E662">
        <v>8057</v>
      </c>
    </row>
    <row r="663" spans="1:5">
      <c r="A663" s="103" t="s">
        <v>250</v>
      </c>
      <c r="B663" s="103" t="s">
        <v>21</v>
      </c>
      <c r="C663">
        <v>11361</v>
      </c>
      <c r="D663">
        <v>12746</v>
      </c>
      <c r="E663">
        <v>8064</v>
      </c>
    </row>
    <row r="664" spans="1:5">
      <c r="A664" s="103" t="s">
        <v>250</v>
      </c>
      <c r="B664" s="103" t="s">
        <v>22</v>
      </c>
      <c r="C664">
        <v>11128</v>
      </c>
      <c r="D664">
        <v>12866</v>
      </c>
      <c r="E664">
        <v>8060</v>
      </c>
    </row>
    <row r="665" spans="1:5">
      <c r="A665" s="103" t="s">
        <v>250</v>
      </c>
      <c r="B665" s="103" t="s">
        <v>23</v>
      </c>
      <c r="C665">
        <v>10636</v>
      </c>
      <c r="D665">
        <v>13349</v>
      </c>
      <c r="E665">
        <v>8047</v>
      </c>
    </row>
    <row r="666" spans="1:5">
      <c r="A666" s="103" t="s">
        <v>250</v>
      </c>
      <c r="B666" s="103" t="s">
        <v>24</v>
      </c>
      <c r="C666">
        <v>11767</v>
      </c>
      <c r="D666">
        <v>12346</v>
      </c>
      <c r="E666">
        <v>8062</v>
      </c>
    </row>
    <row r="667" spans="1:5">
      <c r="A667" s="103" t="s">
        <v>250</v>
      </c>
      <c r="B667" s="103" t="s">
        <v>25</v>
      </c>
      <c r="C667">
        <v>12857</v>
      </c>
      <c r="D667">
        <v>11437</v>
      </c>
      <c r="E667">
        <v>8066</v>
      </c>
    </row>
    <row r="668" spans="1:5">
      <c r="A668" s="103" t="s">
        <v>250</v>
      </c>
      <c r="B668" s="103" t="s">
        <v>26</v>
      </c>
      <c r="C668">
        <v>12217</v>
      </c>
      <c r="D668">
        <v>12038</v>
      </c>
      <c r="E668">
        <v>8051</v>
      </c>
    </row>
    <row r="669" spans="1:5">
      <c r="A669" s="103" t="s">
        <v>250</v>
      </c>
      <c r="B669" s="103" t="s">
        <v>27</v>
      </c>
      <c r="C669">
        <v>12327</v>
      </c>
      <c r="D669">
        <v>11837</v>
      </c>
      <c r="E669">
        <v>8048</v>
      </c>
    </row>
    <row r="670" spans="1:5">
      <c r="A670" s="103" t="s">
        <v>250</v>
      </c>
      <c r="B670" s="103" t="s">
        <v>28</v>
      </c>
      <c r="C670">
        <v>12596</v>
      </c>
      <c r="D670">
        <v>11400</v>
      </c>
      <c r="E670">
        <v>8058</v>
      </c>
    </row>
    <row r="671" spans="1:5">
      <c r="A671" s="103" t="s">
        <v>250</v>
      </c>
      <c r="B671" s="103" t="s">
        <v>29</v>
      </c>
      <c r="C671">
        <v>11492</v>
      </c>
      <c r="D671">
        <v>8376</v>
      </c>
      <c r="E671">
        <v>6713</v>
      </c>
    </row>
    <row r="672" spans="1:5">
      <c r="A672" s="103" t="s">
        <v>250</v>
      </c>
      <c r="B672" s="103" t="s">
        <v>30</v>
      </c>
      <c r="C672">
        <v>9728</v>
      </c>
      <c r="D672">
        <v>7646</v>
      </c>
      <c r="E672">
        <v>5249</v>
      </c>
    </row>
    <row r="673" spans="1:5">
      <c r="A673" s="103" t="s">
        <v>250</v>
      </c>
      <c r="B673" s="103" t="s">
        <v>31</v>
      </c>
      <c r="C673">
        <v>4354</v>
      </c>
      <c r="D673">
        <v>9913</v>
      </c>
      <c r="E673">
        <v>3945</v>
      </c>
    </row>
    <row r="674" spans="1:5">
      <c r="A674" s="26" t="s">
        <v>251</v>
      </c>
      <c r="B674" s="26" t="s">
        <v>8</v>
      </c>
      <c r="C674">
        <v>2268</v>
      </c>
      <c r="D674">
        <v>8859</v>
      </c>
      <c r="E674">
        <v>3061</v>
      </c>
    </row>
    <row r="675" spans="1:5">
      <c r="A675" s="26" t="s">
        <v>251</v>
      </c>
      <c r="B675" s="26" t="s">
        <v>9</v>
      </c>
      <c r="C675">
        <v>2785</v>
      </c>
      <c r="D675">
        <v>11172</v>
      </c>
      <c r="E675">
        <v>3976</v>
      </c>
    </row>
    <row r="676" spans="1:5">
      <c r="A676" s="26" t="s">
        <v>251</v>
      </c>
      <c r="B676" s="26" t="s">
        <v>10</v>
      </c>
      <c r="C676">
        <v>2615</v>
      </c>
      <c r="D676">
        <v>10890</v>
      </c>
      <c r="E676">
        <v>4010</v>
      </c>
    </row>
    <row r="677" spans="1:5">
      <c r="A677" s="26" t="s">
        <v>251</v>
      </c>
      <c r="B677" s="26" t="s">
        <v>11</v>
      </c>
      <c r="C677">
        <v>3292</v>
      </c>
      <c r="D677">
        <v>14262</v>
      </c>
      <c r="E677">
        <v>5059</v>
      </c>
    </row>
    <row r="678" spans="1:5">
      <c r="A678" s="26" t="s">
        <v>251</v>
      </c>
      <c r="B678" s="26" t="s">
        <v>12</v>
      </c>
      <c r="C678">
        <v>9983</v>
      </c>
      <c r="D678">
        <v>9250</v>
      </c>
      <c r="E678">
        <v>6054</v>
      </c>
    </row>
    <row r="679" spans="1:5">
      <c r="A679" s="26" t="s">
        <v>251</v>
      </c>
      <c r="B679" s="26" t="s">
        <v>13</v>
      </c>
      <c r="C679">
        <v>18684</v>
      </c>
      <c r="D679">
        <v>611</v>
      </c>
      <c r="E679">
        <v>6073</v>
      </c>
    </row>
    <row r="680" spans="1:5">
      <c r="A680" s="26" t="s">
        <v>251</v>
      </c>
      <c r="B680" s="26" t="s">
        <v>14</v>
      </c>
      <c r="C680">
        <v>17515</v>
      </c>
      <c r="D680">
        <v>5387</v>
      </c>
      <c r="E680">
        <v>7641</v>
      </c>
    </row>
    <row r="681" spans="1:5">
      <c r="A681" s="26" t="s">
        <v>251</v>
      </c>
      <c r="B681" s="26" t="s">
        <v>15</v>
      </c>
      <c r="C681">
        <v>14732</v>
      </c>
      <c r="D681">
        <v>9336</v>
      </c>
      <c r="E681">
        <v>8043</v>
      </c>
    </row>
    <row r="682" spans="1:5">
      <c r="A682" s="26" t="s">
        <v>251</v>
      </c>
      <c r="B682" s="26" t="s">
        <v>16</v>
      </c>
      <c r="C682">
        <v>13560</v>
      </c>
      <c r="D682">
        <v>10136</v>
      </c>
      <c r="E682">
        <v>8056</v>
      </c>
    </row>
    <row r="683" spans="1:5">
      <c r="A683" s="26" t="s">
        <v>251</v>
      </c>
      <c r="B683" s="26" t="s">
        <v>17</v>
      </c>
      <c r="C683">
        <v>14168</v>
      </c>
      <c r="D683">
        <v>9963</v>
      </c>
      <c r="E683">
        <v>8073</v>
      </c>
    </row>
    <row r="684" spans="1:5">
      <c r="A684" s="26" t="s">
        <v>251</v>
      </c>
      <c r="B684" s="26" t="s">
        <v>18</v>
      </c>
      <c r="C684">
        <v>13148</v>
      </c>
      <c r="D684">
        <v>8388</v>
      </c>
      <c r="E684">
        <v>7274</v>
      </c>
    </row>
    <row r="685" spans="1:5">
      <c r="A685" s="26" t="s">
        <v>251</v>
      </c>
      <c r="B685" s="26" t="s">
        <v>19</v>
      </c>
      <c r="C685">
        <v>11479</v>
      </c>
      <c r="D685">
        <v>5272</v>
      </c>
      <c r="E685">
        <v>5411</v>
      </c>
    </row>
    <row r="686" spans="1:5">
      <c r="A686" s="26" t="s">
        <v>251</v>
      </c>
      <c r="B686" s="26" t="s">
        <v>20</v>
      </c>
      <c r="C686">
        <v>11529</v>
      </c>
      <c r="D686">
        <v>8585</v>
      </c>
      <c r="E686">
        <v>6057</v>
      </c>
    </row>
    <row r="687" spans="1:5">
      <c r="A687" s="26" t="s">
        <v>251</v>
      </c>
      <c r="B687" s="26" t="s">
        <v>21</v>
      </c>
      <c r="C687">
        <v>11244</v>
      </c>
      <c r="D687">
        <v>7200</v>
      </c>
      <c r="E687">
        <v>6057</v>
      </c>
    </row>
    <row r="688" spans="1:5">
      <c r="A688" s="26" t="s">
        <v>251</v>
      </c>
      <c r="B688" s="26" t="s">
        <v>22</v>
      </c>
      <c r="C688">
        <v>10951</v>
      </c>
      <c r="D688">
        <v>6499</v>
      </c>
      <c r="E688">
        <v>5610</v>
      </c>
    </row>
    <row r="689" spans="1:5">
      <c r="A689" s="26" t="s">
        <v>251</v>
      </c>
      <c r="B689" s="26" t="s">
        <v>23</v>
      </c>
      <c r="C689">
        <v>10913</v>
      </c>
      <c r="D689">
        <v>6214</v>
      </c>
      <c r="E689">
        <v>5362</v>
      </c>
    </row>
    <row r="690" spans="1:5">
      <c r="A690" s="26" t="s">
        <v>251</v>
      </c>
      <c r="B690" s="26" t="s">
        <v>24</v>
      </c>
      <c r="C690">
        <v>11866</v>
      </c>
      <c r="D690">
        <v>10097</v>
      </c>
      <c r="E690">
        <v>7299</v>
      </c>
    </row>
    <row r="691" spans="1:5">
      <c r="A691" s="26" t="s">
        <v>251</v>
      </c>
      <c r="B691" s="26" t="s">
        <v>25</v>
      </c>
      <c r="C691">
        <v>13047</v>
      </c>
      <c r="D691">
        <v>11695</v>
      </c>
      <c r="E691">
        <v>8061</v>
      </c>
    </row>
    <row r="692" spans="1:5">
      <c r="A692" s="26" t="s">
        <v>251</v>
      </c>
      <c r="B692" s="26" t="s">
        <v>26</v>
      </c>
      <c r="C692">
        <v>14431</v>
      </c>
      <c r="D692">
        <v>10275</v>
      </c>
      <c r="E692">
        <v>8055</v>
      </c>
    </row>
    <row r="693" spans="1:5">
      <c r="A693" s="26" t="s">
        <v>251</v>
      </c>
      <c r="B693" s="26" t="s">
        <v>27</v>
      </c>
      <c r="C693">
        <v>14044</v>
      </c>
      <c r="D693">
        <v>10391</v>
      </c>
      <c r="E693">
        <v>8069</v>
      </c>
    </row>
    <row r="694" spans="1:5">
      <c r="A694" s="26" t="s">
        <v>251</v>
      </c>
      <c r="B694" s="26" t="s">
        <v>28</v>
      </c>
      <c r="C694">
        <v>14293</v>
      </c>
      <c r="D694">
        <v>10187</v>
      </c>
      <c r="E694">
        <v>8063</v>
      </c>
    </row>
    <row r="695" spans="1:5">
      <c r="A695" s="26" t="s">
        <v>251</v>
      </c>
      <c r="B695" s="26" t="s">
        <v>29</v>
      </c>
      <c r="C695">
        <v>15798</v>
      </c>
      <c r="D695">
        <v>8304</v>
      </c>
      <c r="E695">
        <v>8072</v>
      </c>
    </row>
    <row r="696" spans="1:5">
      <c r="A696" s="26" t="s">
        <v>251</v>
      </c>
      <c r="B696" s="26" t="s">
        <v>30</v>
      </c>
      <c r="C696">
        <v>14494</v>
      </c>
      <c r="D696">
        <v>5534</v>
      </c>
      <c r="E696">
        <v>6533</v>
      </c>
    </row>
    <row r="697" spans="1:5">
      <c r="A697" s="26" t="s">
        <v>251</v>
      </c>
      <c r="B697" s="26" t="s">
        <v>31</v>
      </c>
      <c r="C697">
        <v>6671</v>
      </c>
      <c r="D697">
        <v>8533</v>
      </c>
      <c r="E697">
        <v>4474</v>
      </c>
    </row>
    <row r="698" spans="1:5">
      <c r="A698" s="103" t="s">
        <v>252</v>
      </c>
      <c r="B698" s="103" t="s">
        <v>8</v>
      </c>
      <c r="C698">
        <v>6458</v>
      </c>
      <c r="D698">
        <v>6490</v>
      </c>
      <c r="E698">
        <v>4070</v>
      </c>
    </row>
    <row r="699" spans="1:5">
      <c r="A699" s="103" t="s">
        <v>252</v>
      </c>
      <c r="B699" s="103" t="s">
        <v>9</v>
      </c>
      <c r="C699">
        <v>8266</v>
      </c>
      <c r="D699">
        <v>5380</v>
      </c>
      <c r="E699">
        <v>4065</v>
      </c>
    </row>
    <row r="700" spans="1:5">
      <c r="A700" s="103" t="s">
        <v>252</v>
      </c>
      <c r="B700" s="103" t="s">
        <v>10</v>
      </c>
      <c r="C700">
        <v>8934</v>
      </c>
      <c r="D700">
        <v>4927</v>
      </c>
      <c r="E700">
        <v>4037</v>
      </c>
    </row>
    <row r="701" spans="1:5">
      <c r="A701" s="103" t="s">
        <v>252</v>
      </c>
      <c r="B701" s="103" t="s">
        <v>11</v>
      </c>
      <c r="C701">
        <v>10186</v>
      </c>
      <c r="D701">
        <v>4165</v>
      </c>
      <c r="E701">
        <v>4033</v>
      </c>
    </row>
    <row r="702" spans="1:5">
      <c r="A702" s="103" t="s">
        <v>252</v>
      </c>
      <c r="B702" s="103" t="s">
        <v>12</v>
      </c>
      <c r="C702">
        <v>18992</v>
      </c>
      <c r="D702">
        <v>22</v>
      </c>
      <c r="E702">
        <v>5948</v>
      </c>
    </row>
    <row r="703" spans="1:5">
      <c r="A703" s="103" t="s">
        <v>252</v>
      </c>
      <c r="B703" s="103" t="s">
        <v>13</v>
      </c>
      <c r="C703">
        <v>19170</v>
      </c>
      <c r="D703">
        <v>201</v>
      </c>
      <c r="E703">
        <v>6062</v>
      </c>
    </row>
    <row r="704" spans="1:5">
      <c r="A704" s="103" t="s">
        <v>252</v>
      </c>
      <c r="B704" s="103" t="s">
        <v>14</v>
      </c>
      <c r="C704">
        <v>23570</v>
      </c>
      <c r="D704">
        <v>3261</v>
      </c>
      <c r="E704">
        <v>8037</v>
      </c>
    </row>
    <row r="705" spans="1:5">
      <c r="A705" s="103" t="s">
        <v>252</v>
      </c>
      <c r="B705" s="103" t="s">
        <v>15</v>
      </c>
      <c r="C705">
        <v>17215</v>
      </c>
      <c r="D705">
        <v>7015</v>
      </c>
      <c r="E705">
        <v>8065</v>
      </c>
    </row>
    <row r="706" spans="1:5">
      <c r="A706" s="103" t="s">
        <v>252</v>
      </c>
      <c r="B706" s="103" t="s">
        <v>16</v>
      </c>
      <c r="C706">
        <v>16776</v>
      </c>
      <c r="D706">
        <v>7548</v>
      </c>
      <c r="E706">
        <v>8048</v>
      </c>
    </row>
    <row r="707" spans="1:5">
      <c r="A707" s="103" t="s">
        <v>252</v>
      </c>
      <c r="B707" s="103" t="s">
        <v>17</v>
      </c>
      <c r="C707">
        <v>15791</v>
      </c>
      <c r="D707">
        <v>8687</v>
      </c>
      <c r="E707">
        <v>8039</v>
      </c>
    </row>
    <row r="708" spans="1:5">
      <c r="A708" s="103" t="s">
        <v>252</v>
      </c>
      <c r="B708" s="103" t="s">
        <v>18</v>
      </c>
      <c r="C708">
        <v>13514</v>
      </c>
      <c r="D708">
        <v>10656</v>
      </c>
      <c r="E708">
        <v>8061</v>
      </c>
    </row>
    <row r="709" spans="1:5">
      <c r="A709" s="103" t="s">
        <v>252</v>
      </c>
      <c r="B709" s="103" t="s">
        <v>19</v>
      </c>
      <c r="C709">
        <v>13915</v>
      </c>
      <c r="D709">
        <v>6557</v>
      </c>
      <c r="E709">
        <v>6561</v>
      </c>
    </row>
    <row r="710" spans="1:5">
      <c r="A710" s="103" t="s">
        <v>252</v>
      </c>
      <c r="B710" s="103" t="s">
        <v>20</v>
      </c>
      <c r="C710">
        <v>11426</v>
      </c>
      <c r="D710">
        <v>4989</v>
      </c>
      <c r="E710">
        <v>5060</v>
      </c>
    </row>
    <row r="711" spans="1:5">
      <c r="A711" s="103" t="s">
        <v>252</v>
      </c>
      <c r="B711" s="103" t="s">
        <v>21</v>
      </c>
      <c r="C711">
        <v>10622</v>
      </c>
      <c r="D711">
        <v>6218</v>
      </c>
      <c r="E711">
        <v>5062</v>
      </c>
    </row>
    <row r="712" spans="1:5">
      <c r="A712" s="103" t="s">
        <v>252</v>
      </c>
      <c r="B712" s="103" t="s">
        <v>22</v>
      </c>
      <c r="C712">
        <v>9353</v>
      </c>
      <c r="D712">
        <v>11170</v>
      </c>
      <c r="E712">
        <v>6804</v>
      </c>
    </row>
    <row r="713" spans="1:5">
      <c r="A713" s="103" t="s">
        <v>252</v>
      </c>
      <c r="B713" s="103" t="s">
        <v>23</v>
      </c>
      <c r="C713">
        <v>9893</v>
      </c>
      <c r="D713">
        <v>14430</v>
      </c>
      <c r="E713">
        <v>8049</v>
      </c>
    </row>
    <row r="714" spans="1:5">
      <c r="A714" s="103" t="s">
        <v>252</v>
      </c>
      <c r="B714" s="103" t="s">
        <v>24</v>
      </c>
      <c r="C714">
        <v>11726</v>
      </c>
      <c r="D714">
        <v>12422</v>
      </c>
      <c r="E714">
        <v>8060</v>
      </c>
    </row>
    <row r="715" spans="1:5">
      <c r="A715" s="103" t="s">
        <v>252</v>
      </c>
      <c r="B715" s="103" t="s">
        <v>25</v>
      </c>
      <c r="C715">
        <v>13667</v>
      </c>
      <c r="D715">
        <v>11105</v>
      </c>
      <c r="E715">
        <v>8069</v>
      </c>
    </row>
    <row r="716" spans="1:5">
      <c r="A716" s="103" t="s">
        <v>252</v>
      </c>
      <c r="B716" s="103" t="s">
        <v>26</v>
      </c>
      <c r="C716">
        <v>14933</v>
      </c>
      <c r="D716">
        <v>9720</v>
      </c>
      <c r="E716">
        <v>8061</v>
      </c>
    </row>
    <row r="717" spans="1:5">
      <c r="A717" s="103" t="s">
        <v>252</v>
      </c>
      <c r="B717" s="103" t="s">
        <v>27</v>
      </c>
      <c r="C717">
        <v>14643</v>
      </c>
      <c r="D717">
        <v>9122</v>
      </c>
      <c r="E717">
        <v>8070</v>
      </c>
    </row>
    <row r="718" spans="1:5">
      <c r="A718" s="103" t="s">
        <v>252</v>
      </c>
      <c r="B718" s="103" t="s">
        <v>28</v>
      </c>
      <c r="C718">
        <v>15390</v>
      </c>
      <c r="D718">
        <v>8173</v>
      </c>
      <c r="E718">
        <v>8031</v>
      </c>
    </row>
    <row r="719" spans="1:5">
      <c r="A719" s="103" t="s">
        <v>252</v>
      </c>
      <c r="B719" s="103" t="s">
        <v>29</v>
      </c>
      <c r="C719">
        <v>15942</v>
      </c>
      <c r="D719">
        <v>7572</v>
      </c>
      <c r="E719">
        <v>8045</v>
      </c>
    </row>
    <row r="720" spans="1:5">
      <c r="A720" s="103" t="s">
        <v>252</v>
      </c>
      <c r="B720" s="103" t="s">
        <v>30</v>
      </c>
      <c r="C720">
        <v>14660</v>
      </c>
      <c r="D720">
        <v>4774</v>
      </c>
      <c r="E720">
        <v>5792</v>
      </c>
    </row>
    <row r="721" spans="1:5">
      <c r="A721" s="103" t="s">
        <v>252</v>
      </c>
      <c r="B721" s="103" t="s">
        <v>31</v>
      </c>
      <c r="C721">
        <v>7848</v>
      </c>
      <c r="D721">
        <v>3299</v>
      </c>
      <c r="E721">
        <v>2914</v>
      </c>
    </row>
    <row r="722" spans="1:5">
      <c r="A722" s="26" t="s">
        <v>253</v>
      </c>
      <c r="B722" s="26" t="s">
        <v>8</v>
      </c>
      <c r="C722">
        <v>7235</v>
      </c>
      <c r="D722">
        <v>1321</v>
      </c>
      <c r="E722">
        <v>2062</v>
      </c>
    </row>
    <row r="723" spans="1:5">
      <c r="A723" s="26" t="s">
        <v>253</v>
      </c>
      <c r="B723" s="26" t="s">
        <v>9</v>
      </c>
      <c r="C723">
        <v>8304</v>
      </c>
      <c r="D723">
        <v>437</v>
      </c>
      <c r="E723">
        <v>2053</v>
      </c>
    </row>
    <row r="724" spans="1:5">
      <c r="A724" s="26" t="s">
        <v>253</v>
      </c>
      <c r="B724" s="26" t="s">
        <v>10</v>
      </c>
      <c r="C724">
        <v>8637</v>
      </c>
      <c r="D724">
        <v>383</v>
      </c>
      <c r="E724">
        <v>2073</v>
      </c>
    </row>
    <row r="725" spans="1:5">
      <c r="A725" s="26" t="s">
        <v>253</v>
      </c>
      <c r="B725" s="26" t="s">
        <v>11</v>
      </c>
      <c r="C725">
        <v>9711</v>
      </c>
      <c r="D725">
        <v>1959</v>
      </c>
      <c r="E725">
        <v>3988</v>
      </c>
    </row>
    <row r="726" spans="1:5">
      <c r="A726" s="26" t="s">
        <v>253</v>
      </c>
      <c r="B726" s="26" t="s">
        <v>12</v>
      </c>
      <c r="C726">
        <v>18769</v>
      </c>
      <c r="D726">
        <v>813</v>
      </c>
      <c r="E726">
        <v>6057</v>
      </c>
    </row>
    <row r="727" spans="1:5">
      <c r="A727" s="26" t="s">
        <v>253</v>
      </c>
      <c r="B727" s="26" t="s">
        <v>13</v>
      </c>
      <c r="C727">
        <v>16310</v>
      </c>
      <c r="D727">
        <v>3019</v>
      </c>
      <c r="E727">
        <v>6058</v>
      </c>
    </row>
    <row r="728" spans="1:5">
      <c r="A728" s="26" t="s">
        <v>253</v>
      </c>
      <c r="B728" s="26" t="s">
        <v>14</v>
      </c>
      <c r="C728">
        <v>18249</v>
      </c>
      <c r="D728">
        <v>6029</v>
      </c>
      <c r="E728">
        <v>7973</v>
      </c>
    </row>
    <row r="729" spans="1:5">
      <c r="A729" s="26" t="s">
        <v>253</v>
      </c>
      <c r="B729" s="26" t="s">
        <v>15</v>
      </c>
      <c r="C729">
        <v>17524</v>
      </c>
      <c r="D729">
        <v>7011</v>
      </c>
      <c r="E729">
        <v>8068</v>
      </c>
    </row>
    <row r="730" spans="1:5">
      <c r="A730" s="26" t="s">
        <v>253</v>
      </c>
      <c r="B730" s="26" t="s">
        <v>16</v>
      </c>
      <c r="C730">
        <v>17229</v>
      </c>
      <c r="D730">
        <v>7055</v>
      </c>
      <c r="E730">
        <v>8056</v>
      </c>
    </row>
    <row r="731" spans="1:5">
      <c r="A731" s="26" t="s">
        <v>253</v>
      </c>
      <c r="B731" s="26" t="s">
        <v>17</v>
      </c>
      <c r="C731">
        <v>17025</v>
      </c>
      <c r="D731">
        <v>7465</v>
      </c>
      <c r="E731">
        <v>8066</v>
      </c>
    </row>
    <row r="732" spans="1:5">
      <c r="A732" s="26" t="s">
        <v>253</v>
      </c>
      <c r="B732" s="26" t="s">
        <v>18</v>
      </c>
      <c r="C732">
        <v>12894</v>
      </c>
      <c r="D732">
        <v>11567</v>
      </c>
      <c r="E732">
        <v>8068</v>
      </c>
    </row>
    <row r="733" spans="1:5">
      <c r="A733" s="26" t="s">
        <v>253</v>
      </c>
      <c r="B733" s="26" t="s">
        <v>19</v>
      </c>
      <c r="C733">
        <v>11460</v>
      </c>
      <c r="D733">
        <v>7777</v>
      </c>
      <c r="E733">
        <v>6649</v>
      </c>
    </row>
    <row r="734" spans="1:5">
      <c r="A734" s="26" t="s">
        <v>253</v>
      </c>
      <c r="B734" s="26" t="s">
        <v>20</v>
      </c>
      <c r="C734">
        <v>12163</v>
      </c>
      <c r="D734">
        <v>5010</v>
      </c>
      <c r="E734">
        <v>5879</v>
      </c>
    </row>
    <row r="735" spans="1:5">
      <c r="A735" s="26" t="s">
        <v>253</v>
      </c>
      <c r="B735" s="26" t="s">
        <v>21</v>
      </c>
      <c r="C735">
        <v>10012</v>
      </c>
      <c r="D735">
        <v>6636</v>
      </c>
      <c r="E735">
        <v>5173</v>
      </c>
    </row>
    <row r="736" spans="1:5">
      <c r="A736" s="26" t="s">
        <v>253</v>
      </c>
      <c r="B736" s="26" t="s">
        <v>22</v>
      </c>
      <c r="C736">
        <v>10700</v>
      </c>
      <c r="D736">
        <v>6075</v>
      </c>
      <c r="E736">
        <v>5076</v>
      </c>
    </row>
    <row r="737" spans="1:5">
      <c r="A737" s="26" t="s">
        <v>253</v>
      </c>
      <c r="B737" s="26" t="s">
        <v>23</v>
      </c>
      <c r="C737">
        <v>10697</v>
      </c>
      <c r="D737">
        <v>10512</v>
      </c>
      <c r="E737">
        <v>6943</v>
      </c>
    </row>
    <row r="738" spans="1:5">
      <c r="A738" s="26" t="s">
        <v>253</v>
      </c>
      <c r="B738" s="26" t="s">
        <v>24</v>
      </c>
      <c r="C738">
        <v>11138</v>
      </c>
      <c r="D738">
        <v>12583</v>
      </c>
      <c r="E738">
        <v>8014</v>
      </c>
    </row>
    <row r="739" spans="1:5">
      <c r="A739" s="26" t="s">
        <v>253</v>
      </c>
      <c r="B739" s="26" t="s">
        <v>25</v>
      </c>
      <c r="C739">
        <v>13979</v>
      </c>
      <c r="D739">
        <v>9782</v>
      </c>
      <c r="E739">
        <v>8040</v>
      </c>
    </row>
    <row r="740" spans="1:5">
      <c r="A740" s="26" t="s">
        <v>253</v>
      </c>
      <c r="B740" s="26" t="s">
        <v>26</v>
      </c>
      <c r="C740">
        <v>13871</v>
      </c>
      <c r="D740">
        <v>10292</v>
      </c>
      <c r="E740">
        <v>8060</v>
      </c>
    </row>
    <row r="741" spans="1:5">
      <c r="A741" s="26" t="s">
        <v>253</v>
      </c>
      <c r="B741" s="26" t="s">
        <v>27</v>
      </c>
      <c r="C741">
        <v>13546</v>
      </c>
      <c r="D741">
        <v>10587</v>
      </c>
      <c r="E741">
        <v>8063</v>
      </c>
    </row>
    <row r="742" spans="1:5">
      <c r="A742" s="26" t="s">
        <v>253</v>
      </c>
      <c r="B742" s="26" t="s">
        <v>28</v>
      </c>
      <c r="C742">
        <v>14001</v>
      </c>
      <c r="D742">
        <v>9861</v>
      </c>
      <c r="E742">
        <v>8050</v>
      </c>
    </row>
    <row r="743" spans="1:5">
      <c r="A743" s="26" t="s">
        <v>253</v>
      </c>
      <c r="B743" s="26" t="s">
        <v>29</v>
      </c>
      <c r="C743">
        <v>13728</v>
      </c>
      <c r="D743">
        <v>10133</v>
      </c>
      <c r="E743">
        <v>8054</v>
      </c>
    </row>
    <row r="744" spans="1:5">
      <c r="A744" s="26" t="s">
        <v>253</v>
      </c>
      <c r="B744" s="26" t="s">
        <v>30</v>
      </c>
      <c r="C744">
        <v>11370</v>
      </c>
      <c r="D744">
        <v>11253</v>
      </c>
      <c r="E744">
        <v>7393</v>
      </c>
    </row>
    <row r="745" spans="1:5">
      <c r="A745" s="26" t="s">
        <v>253</v>
      </c>
      <c r="B745" s="26" t="s">
        <v>31</v>
      </c>
      <c r="C745">
        <v>7665</v>
      </c>
      <c r="D745">
        <v>4758</v>
      </c>
      <c r="E745">
        <v>3932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B2" sqref="B2"/>
    </sheetView>
  </sheetViews>
  <sheetFormatPr defaultRowHeight="12.75"/>
  <cols>
    <col min="1" max="1" width="25.7109375" customWidth="1"/>
    <col min="2" max="2" width="15.7109375" customWidth="1"/>
  </cols>
  <sheetData>
    <row r="1" spans="1:3">
      <c r="A1" t="s">
        <v>162</v>
      </c>
      <c r="B1" s="13">
        <v>110</v>
      </c>
    </row>
    <row r="2" spans="1:3">
      <c r="A2" t="s">
        <v>166</v>
      </c>
      <c r="B2" s="4">
        <f>B5*1.1</f>
        <v>818.40000000000009</v>
      </c>
    </row>
    <row r="3" spans="1:3">
      <c r="A3" t="s">
        <v>167</v>
      </c>
      <c r="B3" s="4">
        <f>B1*B2</f>
        <v>90024.000000000015</v>
      </c>
    </row>
    <row r="4" spans="1:3">
      <c r="A4" t="s">
        <v>163</v>
      </c>
      <c r="B4" s="13">
        <v>1800</v>
      </c>
    </row>
    <row r="5" spans="1:3">
      <c r="A5" t="s">
        <v>165</v>
      </c>
      <c r="B5" s="4">
        <f>31*24*C5</f>
        <v>744</v>
      </c>
      <c r="C5" s="12">
        <v>1</v>
      </c>
    </row>
    <row r="6" spans="1:3">
      <c r="A6" t="s">
        <v>168</v>
      </c>
      <c r="B6" s="4">
        <f>B1/5/0.787*B4</f>
        <v>50317.662007623883</v>
      </c>
    </row>
    <row r="7" spans="1:3">
      <c r="A7" t="s">
        <v>169</v>
      </c>
      <c r="B7" s="4">
        <f>(B3-B6)/B5</f>
        <v>53.36873386072061</v>
      </c>
    </row>
    <row r="9" spans="1:3">
      <c r="B9" s="8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Z35"/>
  <sheetViews>
    <sheetView topLeftCell="B3" workbookViewId="0">
      <selection activeCell="AA2" sqref="AA2"/>
    </sheetView>
  </sheetViews>
  <sheetFormatPr defaultRowHeight="12.75"/>
  <cols>
    <col min="1" max="1" width="22" bestFit="1" customWidth="1"/>
    <col min="2" max="2" width="9.42578125" bestFit="1" customWidth="1"/>
    <col min="3" max="25" width="7.42578125" bestFit="1" customWidth="1"/>
    <col min="26" max="26" width="8.7109375" customWidth="1"/>
  </cols>
  <sheetData>
    <row r="1" spans="1:26" ht="14.25">
      <c r="A1" s="129" t="s">
        <v>171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</row>
    <row r="2" spans="1:26" ht="13.5" thickBot="1"/>
    <row r="3" spans="1:26" ht="15" thickBot="1">
      <c r="A3" s="14" t="s">
        <v>172</v>
      </c>
      <c r="B3" s="130" t="s">
        <v>173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1"/>
      <c r="Z3" s="15" t="s">
        <v>174</v>
      </c>
    </row>
    <row r="4" spans="1:26" ht="15" thickBot="1">
      <c r="A4" s="16" t="s">
        <v>175</v>
      </c>
      <c r="B4" s="17">
        <v>1</v>
      </c>
      <c r="C4" s="18">
        <v>2</v>
      </c>
      <c r="D4" s="18">
        <v>3</v>
      </c>
      <c r="E4" s="18">
        <v>4</v>
      </c>
      <c r="F4" s="18">
        <v>5</v>
      </c>
      <c r="G4" s="18">
        <v>6</v>
      </c>
      <c r="H4" s="18">
        <v>7</v>
      </c>
      <c r="I4" s="18">
        <v>8</v>
      </c>
      <c r="J4" s="18">
        <v>9</v>
      </c>
      <c r="K4" s="18">
        <v>10</v>
      </c>
      <c r="L4" s="18">
        <v>11</v>
      </c>
      <c r="M4" s="18">
        <v>12</v>
      </c>
      <c r="N4" s="18">
        <v>13</v>
      </c>
      <c r="O4" s="18">
        <v>14</v>
      </c>
      <c r="P4" s="18">
        <v>15</v>
      </c>
      <c r="Q4" s="18">
        <v>16</v>
      </c>
      <c r="R4" s="18">
        <v>17</v>
      </c>
      <c r="S4" s="18">
        <v>18</v>
      </c>
      <c r="T4" s="18">
        <v>19</v>
      </c>
      <c r="U4" s="18">
        <v>20</v>
      </c>
      <c r="V4" s="18">
        <v>21</v>
      </c>
      <c r="W4" s="18">
        <v>22</v>
      </c>
      <c r="X4" s="18">
        <v>23</v>
      </c>
      <c r="Y4" s="18">
        <v>24</v>
      </c>
      <c r="Z4" s="19"/>
    </row>
    <row r="5" spans="1:26">
      <c r="A5" s="20" t="s">
        <v>176</v>
      </c>
      <c r="B5" s="23">
        <f>predikcia!$K3</f>
        <v>3</v>
      </c>
      <c r="C5" s="23">
        <f>predikcia!$K4</f>
        <v>3</v>
      </c>
      <c r="D5" s="23">
        <f>predikcia!$K5</f>
        <v>3</v>
      </c>
      <c r="E5" s="23">
        <f>predikcia!$K6</f>
        <v>3</v>
      </c>
      <c r="F5" s="23">
        <f>predikcia!$K7</f>
        <v>5</v>
      </c>
      <c r="G5" s="23">
        <f>predikcia!$K8</f>
        <v>6</v>
      </c>
      <c r="H5" s="23">
        <f>predikcia!$K9</f>
        <v>6</v>
      </c>
      <c r="I5" s="23">
        <f>predikcia!$K10</f>
        <v>5</v>
      </c>
      <c r="J5" s="23">
        <f>predikcia!$K11</f>
        <v>5</v>
      </c>
      <c r="K5" s="23">
        <f>predikcia!$K12</f>
        <v>5</v>
      </c>
      <c r="L5" s="23">
        <f>predikcia!$K13</f>
        <v>5</v>
      </c>
      <c r="M5" s="23">
        <f>predikcia!$K14</f>
        <v>5</v>
      </c>
      <c r="N5" s="23">
        <f>predikcia!$K15</f>
        <v>5</v>
      </c>
      <c r="O5" s="23">
        <f>predikcia!$K16</f>
        <v>5</v>
      </c>
      <c r="P5" s="23">
        <f>predikcia!$K17</f>
        <v>5</v>
      </c>
      <c r="Q5" s="23">
        <f>predikcia!$K18</f>
        <v>5</v>
      </c>
      <c r="R5" s="23">
        <f>predikcia!$K19</f>
        <v>5</v>
      </c>
      <c r="S5" s="23">
        <f>predikcia!$K20</f>
        <v>5</v>
      </c>
      <c r="T5" s="23">
        <f>predikcia!$K21</f>
        <v>5</v>
      </c>
      <c r="U5" s="23">
        <f>predikcia!$K22</f>
        <v>5</v>
      </c>
      <c r="V5" s="23">
        <f>predikcia!$K23</f>
        <v>5</v>
      </c>
      <c r="W5" s="23">
        <f>predikcia!$K24</f>
        <v>5</v>
      </c>
      <c r="X5" s="23">
        <f>predikcia!$K25</f>
        <v>5</v>
      </c>
      <c r="Y5" s="23">
        <f>predikcia!$K26</f>
        <v>3</v>
      </c>
      <c r="Z5" s="21">
        <f>SUM(B5:Y5)</f>
        <v>112</v>
      </c>
    </row>
    <row r="6" spans="1:26">
      <c r="A6" s="22" t="s">
        <v>177</v>
      </c>
      <c r="B6" s="23">
        <f>predikcia!$K27</f>
        <v>3</v>
      </c>
      <c r="C6" s="23">
        <f>predikcia!$K28</f>
        <v>4</v>
      </c>
      <c r="D6" s="23">
        <f>predikcia!$K29</f>
        <v>4</v>
      </c>
      <c r="E6" s="23">
        <f>predikcia!$K30</f>
        <v>4</v>
      </c>
      <c r="F6" s="23">
        <f>predikcia!$K31</f>
        <v>5</v>
      </c>
      <c r="G6" s="23">
        <f>predikcia!$K32</f>
        <v>6</v>
      </c>
      <c r="H6" s="23">
        <f>predikcia!$K33</f>
        <v>6</v>
      </c>
      <c r="I6" s="23">
        <f>predikcia!$K34</f>
        <v>5</v>
      </c>
      <c r="J6" s="23">
        <f>predikcia!$K35</f>
        <v>5</v>
      </c>
      <c r="K6" s="23">
        <f>predikcia!$K36</f>
        <v>5</v>
      </c>
      <c r="L6" s="23">
        <f>predikcia!$K37</f>
        <v>5</v>
      </c>
      <c r="M6" s="23">
        <f>predikcia!$K38</f>
        <v>5</v>
      </c>
      <c r="N6" s="23">
        <f>predikcia!$K39</f>
        <v>5</v>
      </c>
      <c r="O6" s="23">
        <f>predikcia!$K40</f>
        <v>5</v>
      </c>
      <c r="P6" s="23">
        <f>predikcia!$K41</f>
        <v>5</v>
      </c>
      <c r="Q6" s="23">
        <f>predikcia!$K42</f>
        <v>5</v>
      </c>
      <c r="R6" s="23">
        <f>predikcia!$K43</f>
        <v>5</v>
      </c>
      <c r="S6" s="23">
        <f>predikcia!$K44</f>
        <v>5</v>
      </c>
      <c r="T6" s="23">
        <f>predikcia!$K45</f>
        <v>5</v>
      </c>
      <c r="U6" s="23">
        <f>predikcia!$K46</f>
        <v>5</v>
      </c>
      <c r="V6" s="23">
        <f>predikcia!$K47</f>
        <v>5</v>
      </c>
      <c r="W6" s="23">
        <f>predikcia!$K48</f>
        <v>5</v>
      </c>
      <c r="X6" s="23">
        <f>predikcia!$K49</f>
        <v>5</v>
      </c>
      <c r="Y6" s="23">
        <f>predikcia!$K50</f>
        <v>3</v>
      </c>
      <c r="Z6" s="21">
        <f t="shared" ref="Z6:Z35" si="0">SUM(B6:Y6)</f>
        <v>115</v>
      </c>
    </row>
    <row r="7" spans="1:26">
      <c r="A7" s="22" t="s">
        <v>178</v>
      </c>
      <c r="B7" s="23">
        <f>predikcia!$K51</f>
        <v>3</v>
      </c>
      <c r="C7" s="23">
        <f>predikcia!$K52</f>
        <v>3</v>
      </c>
      <c r="D7" s="23">
        <f>predikcia!$K53</f>
        <v>4</v>
      </c>
      <c r="E7" s="23">
        <f>predikcia!$K54</f>
        <v>4</v>
      </c>
      <c r="F7" s="23">
        <f>predikcia!$K55</f>
        <v>6</v>
      </c>
      <c r="G7" s="23">
        <f>predikcia!$K56</f>
        <v>6</v>
      </c>
      <c r="H7" s="23">
        <f>predikcia!$K57</f>
        <v>6</v>
      </c>
      <c r="I7" s="23">
        <f>predikcia!$K58</f>
        <v>5</v>
      </c>
      <c r="J7" s="23">
        <f>predikcia!$K59</f>
        <v>5</v>
      </c>
      <c r="K7" s="23">
        <f>predikcia!$K60</f>
        <v>5</v>
      </c>
      <c r="L7" s="23">
        <f>predikcia!$K61</f>
        <v>5</v>
      </c>
      <c r="M7" s="23">
        <f>predikcia!$K62</f>
        <v>5</v>
      </c>
      <c r="N7" s="23">
        <f>predikcia!$K63</f>
        <v>5</v>
      </c>
      <c r="O7" s="23">
        <f>predikcia!$K64</f>
        <v>5</v>
      </c>
      <c r="P7" s="23">
        <f>predikcia!$K65</f>
        <v>5</v>
      </c>
      <c r="Q7" s="23">
        <f>predikcia!$K66</f>
        <v>5</v>
      </c>
      <c r="R7" s="23">
        <f>predikcia!$K67</f>
        <v>5</v>
      </c>
      <c r="S7" s="23">
        <f>predikcia!$K68</f>
        <v>5</v>
      </c>
      <c r="T7" s="23">
        <f>predikcia!$K69</f>
        <v>5</v>
      </c>
      <c r="U7" s="23">
        <f>predikcia!$K70</f>
        <v>5</v>
      </c>
      <c r="V7" s="23">
        <f>predikcia!$K71</f>
        <v>5</v>
      </c>
      <c r="W7" s="23">
        <f>predikcia!$K72</f>
        <v>5</v>
      </c>
      <c r="X7" s="23">
        <f>predikcia!$K73</f>
        <v>5</v>
      </c>
      <c r="Y7" s="23">
        <f>predikcia!$K74</f>
        <v>3</v>
      </c>
      <c r="Z7" s="21">
        <f t="shared" si="0"/>
        <v>115</v>
      </c>
    </row>
    <row r="8" spans="1:26">
      <c r="A8" s="22" t="s">
        <v>179</v>
      </c>
      <c r="B8" s="23">
        <f>predikcia!$K75</f>
        <v>3</v>
      </c>
      <c r="C8" s="23">
        <f>predikcia!$K76</f>
        <v>3</v>
      </c>
      <c r="D8" s="23">
        <f>predikcia!$K77</f>
        <v>4</v>
      </c>
      <c r="E8" s="23">
        <f>predikcia!$K78</f>
        <v>4</v>
      </c>
      <c r="F8" s="23">
        <f>predikcia!$K79</f>
        <v>6</v>
      </c>
      <c r="G8" s="23">
        <f>predikcia!$K80</f>
        <v>6</v>
      </c>
      <c r="H8" s="23">
        <f>predikcia!$K81</f>
        <v>6</v>
      </c>
      <c r="I8" s="23">
        <f>predikcia!$K82</f>
        <v>5</v>
      </c>
      <c r="J8" s="23">
        <f>predikcia!$K83</f>
        <v>5</v>
      </c>
      <c r="K8" s="23">
        <f>predikcia!$K84</f>
        <v>5</v>
      </c>
      <c r="L8" s="23">
        <f>predikcia!$K85</f>
        <v>5</v>
      </c>
      <c r="M8" s="23">
        <f>predikcia!$K86</f>
        <v>5</v>
      </c>
      <c r="N8" s="23">
        <f>predikcia!$K87</f>
        <v>5</v>
      </c>
      <c r="O8" s="23">
        <f>predikcia!$K88</f>
        <v>5</v>
      </c>
      <c r="P8" s="23">
        <f>predikcia!$K89</f>
        <v>5</v>
      </c>
      <c r="Q8" s="23">
        <f>predikcia!$K90</f>
        <v>5</v>
      </c>
      <c r="R8" s="23">
        <f>predikcia!$K91</f>
        <v>5</v>
      </c>
      <c r="S8" s="23">
        <f>predikcia!$K92</f>
        <v>5</v>
      </c>
      <c r="T8" s="23">
        <f>predikcia!$K93</f>
        <v>5</v>
      </c>
      <c r="U8" s="23">
        <f>predikcia!$K94</f>
        <v>5</v>
      </c>
      <c r="V8" s="23">
        <f>predikcia!$K95</f>
        <v>5</v>
      </c>
      <c r="W8" s="23">
        <f>predikcia!$K96</f>
        <v>5</v>
      </c>
      <c r="X8" s="23">
        <f>predikcia!$K97</f>
        <v>5</v>
      </c>
      <c r="Y8" s="23">
        <f>predikcia!$K98</f>
        <v>3</v>
      </c>
      <c r="Z8" s="21">
        <f t="shared" si="0"/>
        <v>115</v>
      </c>
    </row>
    <row r="9" spans="1:26">
      <c r="A9" s="22" t="s">
        <v>180</v>
      </c>
      <c r="B9" s="23">
        <f>predikcia!$K99</f>
        <v>3</v>
      </c>
      <c r="C9" s="23">
        <f>predikcia!$K100</f>
        <v>3</v>
      </c>
      <c r="D9" s="23">
        <f>predikcia!$K101</f>
        <v>3</v>
      </c>
      <c r="E9" s="23">
        <f>predikcia!$K102</f>
        <v>4</v>
      </c>
      <c r="F9" s="23">
        <f>predikcia!$K103</f>
        <v>6</v>
      </c>
      <c r="G9" s="23">
        <f>predikcia!$K104</f>
        <v>5</v>
      </c>
      <c r="H9" s="23">
        <f>predikcia!$K105</f>
        <v>5</v>
      </c>
      <c r="I9" s="23">
        <f>predikcia!$K106</f>
        <v>5</v>
      </c>
      <c r="J9" s="23">
        <f>predikcia!$K107</f>
        <v>5</v>
      </c>
      <c r="K9" s="23">
        <f>predikcia!$K108</f>
        <v>5</v>
      </c>
      <c r="L9" s="23">
        <f>predikcia!$K109</f>
        <v>5</v>
      </c>
      <c r="M9" s="23">
        <f>predikcia!$K110</f>
        <v>5</v>
      </c>
      <c r="N9" s="23">
        <f>predikcia!$K111</f>
        <v>5</v>
      </c>
      <c r="O9" s="23">
        <f>predikcia!$K112</f>
        <v>5</v>
      </c>
      <c r="P9" s="23">
        <f>predikcia!$K113</f>
        <v>5</v>
      </c>
      <c r="Q9" s="23">
        <f>predikcia!$K114</f>
        <v>5</v>
      </c>
      <c r="R9" s="23">
        <f>predikcia!$K115</f>
        <v>5</v>
      </c>
      <c r="S9" s="23">
        <f>predikcia!$K116</f>
        <v>5</v>
      </c>
      <c r="T9" s="23">
        <f>predikcia!$K117</f>
        <v>5</v>
      </c>
      <c r="U9" s="23">
        <f>predikcia!$K118</f>
        <v>5</v>
      </c>
      <c r="V9" s="23">
        <f>predikcia!$K119</f>
        <v>5</v>
      </c>
      <c r="W9" s="23">
        <f>predikcia!$K120</f>
        <v>5</v>
      </c>
      <c r="X9" s="23">
        <f>predikcia!$K121</f>
        <v>5</v>
      </c>
      <c r="Y9" s="23">
        <f>predikcia!$K122</f>
        <v>3</v>
      </c>
      <c r="Z9" s="21">
        <f t="shared" si="0"/>
        <v>112</v>
      </c>
    </row>
    <row r="10" spans="1:26">
      <c r="A10" s="22" t="s">
        <v>181</v>
      </c>
      <c r="B10" s="23">
        <f>predikcia!$K123</f>
        <v>3</v>
      </c>
      <c r="C10" s="23">
        <f>predikcia!$K124</f>
        <v>3</v>
      </c>
      <c r="D10" s="23">
        <f>predikcia!$K125</f>
        <v>3</v>
      </c>
      <c r="E10" s="23">
        <f>predikcia!$K126</f>
        <v>4</v>
      </c>
      <c r="F10" s="23">
        <f>predikcia!$K127</f>
        <v>6</v>
      </c>
      <c r="G10" s="23">
        <f>predikcia!$K128</f>
        <v>6</v>
      </c>
      <c r="H10" s="23">
        <f>predikcia!$K129</f>
        <v>6</v>
      </c>
      <c r="I10" s="23">
        <f>predikcia!$K130</f>
        <v>5</v>
      </c>
      <c r="J10" s="23">
        <f>predikcia!$K131</f>
        <v>5</v>
      </c>
      <c r="K10" s="23">
        <f>predikcia!$K132</f>
        <v>5</v>
      </c>
      <c r="L10" s="23">
        <f>predikcia!$K133</f>
        <v>5</v>
      </c>
      <c r="M10" s="23">
        <f>predikcia!$K134</f>
        <v>5</v>
      </c>
      <c r="N10" s="23">
        <f>predikcia!$K135</f>
        <v>5</v>
      </c>
      <c r="O10" s="23">
        <f>predikcia!$K136</f>
        <v>5</v>
      </c>
      <c r="P10" s="23">
        <f>predikcia!$K137</f>
        <v>5</v>
      </c>
      <c r="Q10" s="23">
        <f>predikcia!$K138</f>
        <v>5</v>
      </c>
      <c r="R10" s="23">
        <f>predikcia!$K139</f>
        <v>5</v>
      </c>
      <c r="S10" s="23">
        <f>predikcia!$K140</f>
        <v>5</v>
      </c>
      <c r="T10" s="23">
        <f>predikcia!$K141</f>
        <v>5</v>
      </c>
      <c r="U10" s="23">
        <f>predikcia!$K142</f>
        <v>5</v>
      </c>
      <c r="V10" s="23">
        <f>predikcia!$K143</f>
        <v>5</v>
      </c>
      <c r="W10" s="23">
        <f>predikcia!$K144</f>
        <v>5</v>
      </c>
      <c r="X10" s="23">
        <f>predikcia!$K145</f>
        <v>5</v>
      </c>
      <c r="Y10" s="23">
        <f>predikcia!$K146</f>
        <v>3</v>
      </c>
      <c r="Z10" s="21">
        <f t="shared" si="0"/>
        <v>114</v>
      </c>
    </row>
    <row r="11" spans="1:26">
      <c r="A11" s="22" t="s">
        <v>182</v>
      </c>
      <c r="B11" s="23">
        <f>predikcia!$K147</f>
        <v>3</v>
      </c>
      <c r="C11" s="23">
        <f>predikcia!$K148</f>
        <v>4</v>
      </c>
      <c r="D11" s="23">
        <f>predikcia!$K149</f>
        <v>4</v>
      </c>
      <c r="E11" s="23">
        <f>predikcia!$K150</f>
        <v>4</v>
      </c>
      <c r="F11" s="23">
        <f>predikcia!$K151</f>
        <v>6</v>
      </c>
      <c r="G11" s="23">
        <f>predikcia!$K152</f>
        <v>6</v>
      </c>
      <c r="H11" s="23">
        <f>predikcia!$K153</f>
        <v>6</v>
      </c>
      <c r="I11" s="23">
        <f>predikcia!$K154</f>
        <v>5</v>
      </c>
      <c r="J11" s="23">
        <f>predikcia!$K155</f>
        <v>5</v>
      </c>
      <c r="K11" s="23">
        <f>predikcia!$K156</f>
        <v>6</v>
      </c>
      <c r="L11" s="23">
        <f>predikcia!$K157</f>
        <v>6</v>
      </c>
      <c r="M11" s="23">
        <f>predikcia!$K158</f>
        <v>5</v>
      </c>
      <c r="N11" s="23">
        <f>predikcia!$K159</f>
        <v>6</v>
      </c>
      <c r="O11" s="23">
        <f>predikcia!$K160</f>
        <v>6</v>
      </c>
      <c r="P11" s="23">
        <f>predikcia!$K161</f>
        <v>6</v>
      </c>
      <c r="Q11" s="23">
        <f>predikcia!$K162</f>
        <v>6</v>
      </c>
      <c r="R11" s="23">
        <f>predikcia!$K163</f>
        <v>6</v>
      </c>
      <c r="S11" s="23">
        <f>predikcia!$K164</f>
        <v>6</v>
      </c>
      <c r="T11" s="23">
        <f>predikcia!$K165</f>
        <v>6</v>
      </c>
      <c r="U11" s="23">
        <f>predikcia!$K166</f>
        <v>6</v>
      </c>
      <c r="V11" s="23">
        <f>predikcia!$K167</f>
        <v>6</v>
      </c>
      <c r="W11" s="23">
        <f>predikcia!$K168</f>
        <v>6</v>
      </c>
      <c r="X11" s="23">
        <f>predikcia!$K169</f>
        <v>5</v>
      </c>
      <c r="Y11" s="23">
        <f>predikcia!$K170</f>
        <v>4</v>
      </c>
      <c r="Z11" s="21">
        <f t="shared" si="0"/>
        <v>129</v>
      </c>
    </row>
    <row r="12" spans="1:26">
      <c r="A12" s="22" t="s">
        <v>183</v>
      </c>
      <c r="B12" s="23">
        <f>predikcia!$K171</f>
        <v>4</v>
      </c>
      <c r="C12" s="23">
        <f>predikcia!$K172</f>
        <v>4</v>
      </c>
      <c r="D12" s="23">
        <f>predikcia!$K173</f>
        <v>4</v>
      </c>
      <c r="E12" s="23">
        <f>predikcia!$K174</f>
        <v>4</v>
      </c>
      <c r="F12" s="23">
        <f>predikcia!$K175</f>
        <v>6</v>
      </c>
      <c r="G12" s="23">
        <f>predikcia!$K176</f>
        <v>6</v>
      </c>
      <c r="H12" s="23">
        <f>predikcia!$K177</f>
        <v>6</v>
      </c>
      <c r="I12" s="23">
        <f>predikcia!$K178</f>
        <v>6</v>
      </c>
      <c r="J12" s="23">
        <f>predikcia!$K179</f>
        <v>6</v>
      </c>
      <c r="K12" s="23">
        <f>predikcia!$K180</f>
        <v>6</v>
      </c>
      <c r="L12" s="23">
        <f>predikcia!$K181</f>
        <v>6</v>
      </c>
      <c r="M12" s="23">
        <f>predikcia!$K182</f>
        <v>6</v>
      </c>
      <c r="N12" s="23">
        <f>predikcia!$K183</f>
        <v>6</v>
      </c>
      <c r="O12" s="23">
        <f>predikcia!$K184</f>
        <v>6</v>
      </c>
      <c r="P12" s="23">
        <f>predikcia!$K185</f>
        <v>6</v>
      </c>
      <c r="Q12" s="23">
        <f>predikcia!$K186</f>
        <v>6</v>
      </c>
      <c r="R12" s="23">
        <f>predikcia!$K187</f>
        <v>6</v>
      </c>
      <c r="S12" s="23">
        <f>predikcia!$K188</f>
        <v>6</v>
      </c>
      <c r="T12" s="23">
        <f>predikcia!$K189</f>
        <v>6</v>
      </c>
      <c r="U12" s="23">
        <f>predikcia!$K190</f>
        <v>6</v>
      </c>
      <c r="V12" s="23">
        <f>predikcia!$K191</f>
        <v>6</v>
      </c>
      <c r="W12" s="23">
        <f>predikcia!$K192</f>
        <v>6</v>
      </c>
      <c r="X12" s="23">
        <f>predikcia!$K193</f>
        <v>6</v>
      </c>
      <c r="Y12" s="23">
        <f>predikcia!$K171</f>
        <v>4</v>
      </c>
      <c r="Z12" s="21">
        <f t="shared" si="0"/>
        <v>134</v>
      </c>
    </row>
    <row r="13" spans="1:26">
      <c r="A13" s="22" t="s">
        <v>184</v>
      </c>
      <c r="B13" s="23">
        <f>predikcia!$K195</f>
        <v>3</v>
      </c>
      <c r="C13" s="23">
        <f>predikcia!$K196</f>
        <v>4</v>
      </c>
      <c r="D13" s="23">
        <f>predikcia!$K197</f>
        <v>4</v>
      </c>
      <c r="E13" s="23">
        <f>predikcia!$K198</f>
        <v>4</v>
      </c>
      <c r="F13" s="23">
        <f>predikcia!$K199</f>
        <v>6</v>
      </c>
      <c r="G13" s="23">
        <f>predikcia!$K200</f>
        <v>7</v>
      </c>
      <c r="H13" s="23">
        <f>predikcia!$K201</f>
        <v>7</v>
      </c>
      <c r="I13" s="23">
        <f>predikcia!$K202</f>
        <v>6</v>
      </c>
      <c r="J13" s="23">
        <f>predikcia!$K203</f>
        <v>6</v>
      </c>
      <c r="K13" s="23">
        <f>predikcia!$K204</f>
        <v>6</v>
      </c>
      <c r="L13" s="23">
        <f>predikcia!$K205</f>
        <v>6</v>
      </c>
      <c r="M13" s="23">
        <f>predikcia!$K206</f>
        <v>6</v>
      </c>
      <c r="N13" s="23">
        <f>predikcia!$K207</f>
        <v>6</v>
      </c>
      <c r="O13" s="23">
        <f>predikcia!$K208</f>
        <v>5</v>
      </c>
      <c r="P13" s="23">
        <f>predikcia!$K209</f>
        <v>5</v>
      </c>
      <c r="Q13" s="23">
        <f>predikcia!$K210</f>
        <v>6</v>
      </c>
      <c r="R13" s="23">
        <f>predikcia!$K211</f>
        <v>6</v>
      </c>
      <c r="S13" s="23">
        <f>predikcia!$K212</f>
        <v>6</v>
      </c>
      <c r="T13" s="23">
        <f>predikcia!$K213</f>
        <v>6</v>
      </c>
      <c r="U13" s="23">
        <f>predikcia!$K214</f>
        <v>6</v>
      </c>
      <c r="V13" s="23">
        <f>predikcia!$K215</f>
        <v>6</v>
      </c>
      <c r="W13" s="23">
        <f>predikcia!$K216</f>
        <v>6</v>
      </c>
      <c r="X13" s="23">
        <f>predikcia!$K217</f>
        <v>6</v>
      </c>
      <c r="Y13" s="23">
        <f>predikcia!$K218</f>
        <v>4</v>
      </c>
      <c r="Z13" s="21">
        <f t="shared" si="0"/>
        <v>133</v>
      </c>
    </row>
    <row r="14" spans="1:26">
      <c r="A14" s="22" t="s">
        <v>185</v>
      </c>
      <c r="B14" s="23">
        <f>predikcia!$K219</f>
        <v>4</v>
      </c>
      <c r="C14" s="23">
        <f>predikcia!$K220</f>
        <v>4</v>
      </c>
      <c r="D14" s="23">
        <f>predikcia!$K221</f>
        <v>4</v>
      </c>
      <c r="E14" s="23">
        <f>predikcia!$K222</f>
        <v>4</v>
      </c>
      <c r="F14" s="23">
        <f>predikcia!$K223</f>
        <v>6</v>
      </c>
      <c r="G14" s="23">
        <f>predikcia!$K224</f>
        <v>6</v>
      </c>
      <c r="H14" s="23">
        <f>predikcia!$K225</f>
        <v>6</v>
      </c>
      <c r="I14" s="23">
        <f>predikcia!$K226</f>
        <v>6</v>
      </c>
      <c r="J14" s="23">
        <f>predikcia!$K227</f>
        <v>6</v>
      </c>
      <c r="K14" s="23">
        <f>predikcia!$K228</f>
        <v>6</v>
      </c>
      <c r="L14" s="23">
        <f>predikcia!$K229</f>
        <v>6</v>
      </c>
      <c r="M14" s="23">
        <f>predikcia!$K230</f>
        <v>6</v>
      </c>
      <c r="N14" s="23">
        <f>predikcia!$K231</f>
        <v>6</v>
      </c>
      <c r="O14" s="23">
        <f>predikcia!$K232</f>
        <v>6</v>
      </c>
      <c r="P14" s="23">
        <f>predikcia!$K233</f>
        <v>6</v>
      </c>
      <c r="Q14" s="23">
        <f>predikcia!$K234</f>
        <v>6</v>
      </c>
      <c r="R14" s="23">
        <f>predikcia!$K235</f>
        <v>6</v>
      </c>
      <c r="S14" s="23">
        <f>predikcia!$K236</f>
        <v>6</v>
      </c>
      <c r="T14" s="23">
        <f>predikcia!$K237</f>
        <v>6</v>
      </c>
      <c r="U14" s="23">
        <f>predikcia!$K238</f>
        <v>6</v>
      </c>
      <c r="V14" s="23">
        <f>predikcia!$K239</f>
        <v>6</v>
      </c>
      <c r="W14" s="23">
        <f>predikcia!$K240</f>
        <v>6</v>
      </c>
      <c r="X14" s="23">
        <f>predikcia!$K241</f>
        <v>6</v>
      </c>
      <c r="Y14" s="23">
        <f>predikcia!$K242</f>
        <v>4</v>
      </c>
      <c r="Z14" s="21">
        <f t="shared" si="0"/>
        <v>134</v>
      </c>
    </row>
    <row r="15" spans="1:26">
      <c r="A15" s="22" t="s">
        <v>186</v>
      </c>
      <c r="B15" s="23">
        <f>predikcia!$K243</f>
        <v>4</v>
      </c>
      <c r="C15" s="23">
        <f>predikcia!$K244</f>
        <v>4</v>
      </c>
      <c r="D15" s="23">
        <f>predikcia!$K245</f>
        <v>4</v>
      </c>
      <c r="E15" s="23">
        <f>predikcia!$K246</f>
        <v>5</v>
      </c>
      <c r="F15" s="23">
        <f>predikcia!$K247</f>
        <v>6</v>
      </c>
      <c r="G15" s="23">
        <f>predikcia!$K248</f>
        <v>6</v>
      </c>
      <c r="H15" s="23">
        <f>predikcia!$K249</f>
        <v>6</v>
      </c>
      <c r="I15" s="23">
        <f>predikcia!$K250</f>
        <v>6</v>
      </c>
      <c r="J15" s="23">
        <f>predikcia!$K251</f>
        <v>6</v>
      </c>
      <c r="K15" s="23">
        <f>predikcia!$K252</f>
        <v>6</v>
      </c>
      <c r="L15" s="23">
        <f>predikcia!$K253</f>
        <v>6</v>
      </c>
      <c r="M15" s="23">
        <f>predikcia!$K254</f>
        <v>5</v>
      </c>
      <c r="N15" s="23">
        <f>predikcia!$K255</f>
        <v>5</v>
      </c>
      <c r="O15" s="23">
        <f>predikcia!$K256</f>
        <v>6</v>
      </c>
      <c r="P15" s="23">
        <f>predikcia!$K257</f>
        <v>6</v>
      </c>
      <c r="Q15" s="23">
        <f>predikcia!$K258</f>
        <v>6</v>
      </c>
      <c r="R15" s="23">
        <f>predikcia!$K259</f>
        <v>6</v>
      </c>
      <c r="S15" s="23">
        <f>predikcia!$K260</f>
        <v>6</v>
      </c>
      <c r="T15" s="23">
        <f>predikcia!$K261</f>
        <v>6</v>
      </c>
      <c r="U15" s="23">
        <f>predikcia!$K262</f>
        <v>6</v>
      </c>
      <c r="V15" s="23">
        <f>predikcia!$K263</f>
        <v>6</v>
      </c>
      <c r="W15" s="23">
        <f>predikcia!$K264</f>
        <v>6</v>
      </c>
      <c r="X15" s="23">
        <f>predikcia!$K265</f>
        <v>5</v>
      </c>
      <c r="Y15" s="23">
        <f>predikcia!$K266</f>
        <v>4</v>
      </c>
      <c r="Z15" s="21">
        <f t="shared" si="0"/>
        <v>132</v>
      </c>
    </row>
    <row r="16" spans="1:26">
      <c r="A16" s="22" t="s">
        <v>187</v>
      </c>
      <c r="B16" s="23">
        <f>predikcia!$K267</f>
        <v>4</v>
      </c>
      <c r="C16" s="23">
        <f>predikcia!$K268</f>
        <v>4</v>
      </c>
      <c r="D16" s="23">
        <f>predikcia!$K269</f>
        <v>4</v>
      </c>
      <c r="E16" s="23">
        <f>predikcia!$K270</f>
        <v>5</v>
      </c>
      <c r="F16" s="23">
        <f>predikcia!$K271</f>
        <v>6</v>
      </c>
      <c r="G16" s="23">
        <f>predikcia!$K272</f>
        <v>6</v>
      </c>
      <c r="H16" s="23">
        <f>predikcia!$K273</f>
        <v>6</v>
      </c>
      <c r="I16" s="23">
        <f>predikcia!$K274</f>
        <v>6</v>
      </c>
      <c r="J16" s="23">
        <f>predikcia!$K275</f>
        <v>6</v>
      </c>
      <c r="K16" s="23">
        <f>predikcia!$K276</f>
        <v>6</v>
      </c>
      <c r="L16" s="23">
        <f>predikcia!$K277</f>
        <v>6</v>
      </c>
      <c r="M16" s="23">
        <f>predikcia!$K278</f>
        <v>6</v>
      </c>
      <c r="N16" s="23">
        <f>predikcia!$K279</f>
        <v>6</v>
      </c>
      <c r="O16" s="23">
        <f>predikcia!$K280</f>
        <v>5</v>
      </c>
      <c r="P16" s="23">
        <f>predikcia!$K281</f>
        <v>6</v>
      </c>
      <c r="Q16" s="23">
        <f>predikcia!$K282</f>
        <v>6</v>
      </c>
      <c r="R16" s="23">
        <f>predikcia!$K283</f>
        <v>6</v>
      </c>
      <c r="S16" s="23">
        <f>predikcia!$K284</f>
        <v>6</v>
      </c>
      <c r="T16" s="23">
        <f>predikcia!$K285</f>
        <v>6</v>
      </c>
      <c r="U16" s="23">
        <f>predikcia!$K286</f>
        <v>6</v>
      </c>
      <c r="V16" s="23">
        <f>predikcia!$K287</f>
        <v>6</v>
      </c>
      <c r="W16" s="23">
        <f>predikcia!$K288</f>
        <v>6</v>
      </c>
      <c r="X16" s="23">
        <f>predikcia!$K289</f>
        <v>5</v>
      </c>
      <c r="Y16" s="23">
        <f>predikcia!$K290</f>
        <v>4</v>
      </c>
      <c r="Z16" s="21">
        <f t="shared" si="0"/>
        <v>133</v>
      </c>
    </row>
    <row r="17" spans="1:26">
      <c r="A17" s="22" t="s">
        <v>188</v>
      </c>
      <c r="B17" s="23">
        <f>predikcia!$K291</f>
        <v>4</v>
      </c>
      <c r="C17" s="23">
        <f>predikcia!$K292</f>
        <v>4</v>
      </c>
      <c r="D17" s="23">
        <f>predikcia!$K293</f>
        <v>4</v>
      </c>
      <c r="E17" s="23">
        <f>predikcia!$K294</f>
        <v>4</v>
      </c>
      <c r="F17" s="23">
        <f>predikcia!$K295</f>
        <v>6</v>
      </c>
      <c r="G17" s="23">
        <f>predikcia!$K296</f>
        <v>6</v>
      </c>
      <c r="H17" s="23">
        <f>predikcia!$K297</f>
        <v>6</v>
      </c>
      <c r="I17" s="23">
        <f>predikcia!$K298</f>
        <v>6</v>
      </c>
      <c r="J17" s="23">
        <f>predikcia!$K299</f>
        <v>6</v>
      </c>
      <c r="K17" s="23">
        <f>predikcia!$K300</f>
        <v>6</v>
      </c>
      <c r="L17" s="23">
        <f>predikcia!$K301</f>
        <v>6</v>
      </c>
      <c r="M17" s="23">
        <f>predikcia!$K302</f>
        <v>6</v>
      </c>
      <c r="N17" s="23">
        <f>predikcia!$K303</f>
        <v>5</v>
      </c>
      <c r="O17" s="23">
        <f>predikcia!$K304</f>
        <v>6</v>
      </c>
      <c r="P17" s="23">
        <f>predikcia!$K305</f>
        <v>5</v>
      </c>
      <c r="Q17" s="23">
        <f>predikcia!$K306</f>
        <v>5</v>
      </c>
      <c r="R17" s="23">
        <f>predikcia!$K307</f>
        <v>6</v>
      </c>
      <c r="S17" s="23">
        <f>predikcia!$K308</f>
        <v>6</v>
      </c>
      <c r="T17" s="23">
        <f>predikcia!$K309</f>
        <v>6</v>
      </c>
      <c r="U17" s="23">
        <f>predikcia!$K310</f>
        <v>6</v>
      </c>
      <c r="V17" s="23">
        <f>predikcia!$K311</f>
        <v>6</v>
      </c>
      <c r="W17" s="23">
        <f>predikcia!$K312</f>
        <v>6</v>
      </c>
      <c r="X17" s="23">
        <f>predikcia!$K313</f>
        <v>5</v>
      </c>
      <c r="Y17" s="23">
        <f>predikcia!$K314</f>
        <v>4</v>
      </c>
      <c r="Z17" s="21">
        <f t="shared" si="0"/>
        <v>130</v>
      </c>
    </row>
    <row r="18" spans="1:26">
      <c r="A18" s="22" t="s">
        <v>189</v>
      </c>
      <c r="B18" s="23">
        <f>predikcia!$K315</f>
        <v>4</v>
      </c>
      <c r="C18" s="23">
        <f>predikcia!$K316</f>
        <v>4</v>
      </c>
      <c r="D18" s="23">
        <f>predikcia!$K317</f>
        <v>4</v>
      </c>
      <c r="E18" s="23">
        <f>predikcia!$K316</f>
        <v>4</v>
      </c>
      <c r="F18" s="23">
        <f>predikcia!$K319</f>
        <v>6</v>
      </c>
      <c r="G18" s="23">
        <f>predikcia!$K320</f>
        <v>6</v>
      </c>
      <c r="H18" s="23">
        <f>predikcia!$K321</f>
        <v>6</v>
      </c>
      <c r="I18" s="23">
        <f>predikcia!$K322</f>
        <v>6</v>
      </c>
      <c r="J18" s="23">
        <f>predikcia!$K323</f>
        <v>6</v>
      </c>
      <c r="K18" s="23">
        <f>predikcia!$K324</f>
        <v>6</v>
      </c>
      <c r="L18" s="23">
        <f>predikcia!$K325</f>
        <v>6</v>
      </c>
      <c r="M18" s="23">
        <f>predikcia!$K326</f>
        <v>6</v>
      </c>
      <c r="N18" s="23">
        <f>predikcia!$K327</f>
        <v>5</v>
      </c>
      <c r="O18" s="23">
        <f>predikcia!$K328</f>
        <v>5</v>
      </c>
      <c r="P18" s="23">
        <f>predikcia!$K329</f>
        <v>5</v>
      </c>
      <c r="Q18" s="23">
        <f>predikcia!$K330</f>
        <v>6</v>
      </c>
      <c r="R18" s="23">
        <f>predikcia!$K331</f>
        <v>6</v>
      </c>
      <c r="S18" s="23">
        <f>predikcia!$K332</f>
        <v>5</v>
      </c>
      <c r="T18" s="23">
        <f>predikcia!$K333</f>
        <v>6</v>
      </c>
      <c r="U18" s="23">
        <f>predikcia!$K334</f>
        <v>6</v>
      </c>
      <c r="V18" s="23">
        <f>predikcia!$K335</f>
        <v>6</v>
      </c>
      <c r="W18" s="23">
        <f>predikcia!$K336</f>
        <v>6</v>
      </c>
      <c r="X18" s="23">
        <f>predikcia!$K337</f>
        <v>5</v>
      </c>
      <c r="Y18" s="23">
        <f>predikcia!$K338</f>
        <v>4</v>
      </c>
      <c r="Z18" s="21">
        <f t="shared" si="0"/>
        <v>129</v>
      </c>
    </row>
    <row r="19" spans="1:26">
      <c r="A19" s="22" t="s">
        <v>190</v>
      </c>
      <c r="B19" s="23">
        <f>predikcia!$K339</f>
        <v>4</v>
      </c>
      <c r="C19" s="23">
        <f>predikcia!$K340</f>
        <v>4</v>
      </c>
      <c r="D19" s="23">
        <f>predikcia!$K341</f>
        <v>4</v>
      </c>
      <c r="E19" s="23">
        <f>predikcia!$K342</f>
        <v>4</v>
      </c>
      <c r="F19" s="23">
        <f>predikcia!$K343</f>
        <v>6</v>
      </c>
      <c r="G19" s="23">
        <f>predikcia!$K344</f>
        <v>6</v>
      </c>
      <c r="H19" s="23">
        <f>predikcia!$K345</f>
        <v>6</v>
      </c>
      <c r="I19" s="23">
        <f>predikcia!$K346</f>
        <v>6</v>
      </c>
      <c r="J19" s="23">
        <f>predikcia!$K347</f>
        <v>6</v>
      </c>
      <c r="K19" s="23">
        <f>predikcia!$K348</f>
        <v>6</v>
      </c>
      <c r="L19" s="23">
        <f>predikcia!$K349</f>
        <v>6</v>
      </c>
      <c r="M19" s="23">
        <f>predikcia!$K350</f>
        <v>5</v>
      </c>
      <c r="N19" s="23">
        <f>predikcia!$K351</f>
        <v>6</v>
      </c>
      <c r="O19" s="23">
        <f>predikcia!$K352</f>
        <v>6</v>
      </c>
      <c r="P19" s="23">
        <f>predikcia!$K353</f>
        <v>6</v>
      </c>
      <c r="Q19" s="23">
        <f>predikcia!$K354</f>
        <v>6</v>
      </c>
      <c r="R19" s="23">
        <f>predikcia!$K355</f>
        <v>6</v>
      </c>
      <c r="S19" s="23">
        <f>predikcia!$K356</f>
        <v>6</v>
      </c>
      <c r="T19" s="23">
        <f>predikcia!$K357</f>
        <v>6</v>
      </c>
      <c r="U19" s="23">
        <f>predikcia!$K358</f>
        <v>6</v>
      </c>
      <c r="V19" s="23">
        <f>predikcia!$K359</f>
        <v>6</v>
      </c>
      <c r="W19" s="23">
        <f>predikcia!$K360</f>
        <v>6</v>
      </c>
      <c r="X19" s="23">
        <f>predikcia!$K361</f>
        <v>5</v>
      </c>
      <c r="Y19" s="23">
        <f>predikcia!$K362</f>
        <v>4</v>
      </c>
      <c r="Z19" s="21">
        <f t="shared" si="0"/>
        <v>132</v>
      </c>
    </row>
    <row r="20" spans="1:26">
      <c r="A20" s="22" t="s">
        <v>191</v>
      </c>
      <c r="B20" s="23">
        <f>predikcia!$K363</f>
        <v>4</v>
      </c>
      <c r="C20" s="23">
        <f>predikcia!$K364</f>
        <v>4</v>
      </c>
      <c r="D20" s="23">
        <f>predikcia!$K365</f>
        <v>5</v>
      </c>
      <c r="E20" s="23">
        <f>predikcia!$K366</f>
        <v>5</v>
      </c>
      <c r="F20" s="23">
        <f>predikcia!$K367</f>
        <v>6</v>
      </c>
      <c r="G20" s="23">
        <f>predikcia!$K368</f>
        <v>7</v>
      </c>
      <c r="H20" s="23">
        <f>predikcia!$K369</f>
        <v>7</v>
      </c>
      <c r="I20" s="23">
        <f>predikcia!$K370</f>
        <v>6</v>
      </c>
      <c r="J20" s="23">
        <f>predikcia!$K371</f>
        <v>6</v>
      </c>
      <c r="K20" s="23">
        <f>predikcia!$K372</f>
        <v>6</v>
      </c>
      <c r="L20" s="23">
        <f>predikcia!$K373</f>
        <v>6</v>
      </c>
      <c r="M20" s="23">
        <f>predikcia!$K374</f>
        <v>6</v>
      </c>
      <c r="N20" s="23">
        <f>predikcia!$K375</f>
        <v>5</v>
      </c>
      <c r="O20" s="23">
        <f>predikcia!$K376</f>
        <v>6</v>
      </c>
      <c r="P20" s="23">
        <f>predikcia!$K377</f>
        <v>6</v>
      </c>
      <c r="Q20" s="23">
        <f>predikcia!$K378</f>
        <v>6</v>
      </c>
      <c r="R20" s="23">
        <f>predikcia!$K379</f>
        <v>6</v>
      </c>
      <c r="S20" s="23">
        <f>predikcia!$K380</f>
        <v>6</v>
      </c>
      <c r="T20" s="23">
        <f>predikcia!$K381</f>
        <v>6</v>
      </c>
      <c r="U20" s="23">
        <f>predikcia!$K382</f>
        <v>6</v>
      </c>
      <c r="V20" s="23">
        <f>predikcia!$K383</f>
        <v>6</v>
      </c>
      <c r="W20" s="23">
        <f>predikcia!$K384</f>
        <v>6</v>
      </c>
      <c r="X20" s="23">
        <f>predikcia!$K385</f>
        <v>6</v>
      </c>
      <c r="Y20" s="23">
        <f>predikcia!$K386</f>
        <v>4</v>
      </c>
      <c r="Z20" s="21">
        <f t="shared" si="0"/>
        <v>137</v>
      </c>
    </row>
    <row r="21" spans="1:26">
      <c r="A21" s="22" t="s">
        <v>192</v>
      </c>
      <c r="B21" s="23">
        <f>predikcia!$K387</f>
        <v>4</v>
      </c>
      <c r="C21" s="23">
        <f>predikcia!$K388</f>
        <v>4</v>
      </c>
      <c r="D21" s="23">
        <f>predikcia!$K389</f>
        <v>4</v>
      </c>
      <c r="E21" s="23">
        <f>predikcia!$K390</f>
        <v>5</v>
      </c>
      <c r="F21" s="23">
        <f>predikcia!$K391</f>
        <v>6</v>
      </c>
      <c r="G21" s="23">
        <f>predikcia!$K392</f>
        <v>6</v>
      </c>
      <c r="H21" s="23">
        <f>predikcia!$K393</f>
        <v>7</v>
      </c>
      <c r="I21" s="23">
        <f>predikcia!$K394</f>
        <v>6</v>
      </c>
      <c r="J21" s="23">
        <f>predikcia!$K395</f>
        <v>6</v>
      </c>
      <c r="K21" s="23">
        <f>predikcia!$K396</f>
        <v>6</v>
      </c>
      <c r="L21" s="23">
        <f>predikcia!$K397</f>
        <v>6</v>
      </c>
      <c r="M21" s="23">
        <f>predikcia!$K398</f>
        <v>6</v>
      </c>
      <c r="N21" s="23">
        <f>predikcia!$K399</f>
        <v>6</v>
      </c>
      <c r="O21" s="23">
        <f>predikcia!$K400</f>
        <v>6</v>
      </c>
      <c r="P21" s="23">
        <f>predikcia!$K401</f>
        <v>6</v>
      </c>
      <c r="Q21" s="23">
        <f>predikcia!$K402</f>
        <v>6</v>
      </c>
      <c r="R21" s="23">
        <f>predikcia!$K403</f>
        <v>6</v>
      </c>
      <c r="S21" s="23">
        <f>predikcia!$K404</f>
        <v>6</v>
      </c>
      <c r="T21" s="23">
        <f>predikcia!$K405</f>
        <v>6</v>
      </c>
      <c r="U21" s="23">
        <f>predikcia!$K406</f>
        <v>6</v>
      </c>
      <c r="V21" s="23">
        <f>predikcia!$K407</f>
        <v>6</v>
      </c>
      <c r="W21" s="23">
        <f>predikcia!$K408</f>
        <v>6</v>
      </c>
      <c r="X21" s="23">
        <f>predikcia!$K409</f>
        <v>6</v>
      </c>
      <c r="Y21" s="23">
        <f>predikcia!$K387</f>
        <v>4</v>
      </c>
      <c r="Z21" s="21">
        <f t="shared" si="0"/>
        <v>136</v>
      </c>
    </row>
    <row r="22" spans="1:26">
      <c r="A22" s="22" t="s">
        <v>193</v>
      </c>
      <c r="B22" s="23">
        <f>predikcia!$K411</f>
        <v>4</v>
      </c>
      <c r="C22" s="23">
        <f>predikcia!$K412</f>
        <v>4</v>
      </c>
      <c r="D22" s="23">
        <f>predikcia!$K413</f>
        <v>5</v>
      </c>
      <c r="E22" s="23">
        <f>predikcia!$K414</f>
        <v>5</v>
      </c>
      <c r="F22" s="23">
        <f>predikcia!$K415</f>
        <v>6</v>
      </c>
      <c r="G22" s="23">
        <f>predikcia!$K416</f>
        <v>6</v>
      </c>
      <c r="H22" s="23">
        <f>predikcia!$K417</f>
        <v>6</v>
      </c>
      <c r="I22" s="23">
        <f>predikcia!$K418</f>
        <v>6</v>
      </c>
      <c r="J22" s="23">
        <f>predikcia!$K419</f>
        <v>6</v>
      </c>
      <c r="K22" s="23">
        <f>predikcia!$K420</f>
        <v>6</v>
      </c>
      <c r="L22" s="23">
        <f>predikcia!$K421</f>
        <v>6</v>
      </c>
      <c r="M22" s="23">
        <f>predikcia!$K422</f>
        <v>6</v>
      </c>
      <c r="N22" s="23">
        <f>predikcia!$K423</f>
        <v>6</v>
      </c>
      <c r="O22" s="23">
        <f>predikcia!$K424</f>
        <v>5</v>
      </c>
      <c r="P22" s="23">
        <f>predikcia!$K425</f>
        <v>5</v>
      </c>
      <c r="Q22" s="23">
        <f>predikcia!$K426</f>
        <v>6</v>
      </c>
      <c r="R22" s="23">
        <f>predikcia!$K427</f>
        <v>6</v>
      </c>
      <c r="S22" s="23">
        <f>predikcia!$K428</f>
        <v>6</v>
      </c>
      <c r="T22" s="23">
        <f>predikcia!$K429</f>
        <v>6</v>
      </c>
      <c r="U22" s="23">
        <f>predikcia!$K430</f>
        <v>6</v>
      </c>
      <c r="V22" s="23">
        <f>predikcia!$K431</f>
        <v>6</v>
      </c>
      <c r="W22" s="23">
        <f>predikcia!$K432</f>
        <v>6</v>
      </c>
      <c r="X22" s="23">
        <f>predikcia!$K433</f>
        <v>6</v>
      </c>
      <c r="Y22" s="23">
        <f>predikcia!$K434</f>
        <v>4</v>
      </c>
      <c r="Z22" s="21">
        <f t="shared" si="0"/>
        <v>134</v>
      </c>
    </row>
    <row r="23" spans="1:26">
      <c r="A23" s="22" t="s">
        <v>194</v>
      </c>
      <c r="B23" s="23">
        <f>predikcia!$K435</f>
        <v>4</v>
      </c>
      <c r="C23" s="23">
        <f>predikcia!$K436</f>
        <v>4</v>
      </c>
      <c r="D23" s="23">
        <f>predikcia!$K437</f>
        <v>5</v>
      </c>
      <c r="E23" s="23">
        <f>predikcia!$K438</f>
        <v>5</v>
      </c>
      <c r="F23" s="23">
        <f>predikcia!$K439</f>
        <v>6</v>
      </c>
      <c r="G23" s="23">
        <f>predikcia!$K440</f>
        <v>6</v>
      </c>
      <c r="H23" s="23">
        <f>predikcia!$K441</f>
        <v>6</v>
      </c>
      <c r="I23" s="23">
        <f>predikcia!$K442</f>
        <v>6</v>
      </c>
      <c r="J23" s="23">
        <f>predikcia!$K443</f>
        <v>6</v>
      </c>
      <c r="K23" s="23">
        <f>predikcia!$K444</f>
        <v>5</v>
      </c>
      <c r="L23" s="23">
        <f>predikcia!$K445</f>
        <v>6</v>
      </c>
      <c r="M23" s="23">
        <f>predikcia!$K446</f>
        <v>6</v>
      </c>
      <c r="N23" s="23">
        <f>predikcia!$K447</f>
        <v>6</v>
      </c>
      <c r="O23" s="23">
        <f>predikcia!$K448</f>
        <v>6</v>
      </c>
      <c r="P23" s="23">
        <f>predikcia!$K449</f>
        <v>6</v>
      </c>
      <c r="Q23" s="23">
        <f>predikcia!$K450</f>
        <v>6</v>
      </c>
      <c r="R23" s="23">
        <f>predikcia!$K451</f>
        <v>6</v>
      </c>
      <c r="S23" s="23">
        <f>predikcia!$K452</f>
        <v>6</v>
      </c>
      <c r="T23" s="23">
        <f>predikcia!$K453</f>
        <v>6</v>
      </c>
      <c r="U23" s="23">
        <f>predikcia!$K454</f>
        <v>6</v>
      </c>
      <c r="V23" s="23">
        <f>predikcia!$K455</f>
        <v>6</v>
      </c>
      <c r="W23" s="23">
        <f>predikcia!$K456</f>
        <v>6</v>
      </c>
      <c r="X23" s="23">
        <f>predikcia!$K457</f>
        <v>5</v>
      </c>
      <c r="Y23" s="23">
        <f>predikcia!$K458</f>
        <v>4</v>
      </c>
      <c r="Z23" s="21">
        <f t="shared" si="0"/>
        <v>134</v>
      </c>
    </row>
    <row r="24" spans="1:26">
      <c r="A24" s="22" t="s">
        <v>195</v>
      </c>
      <c r="B24" s="23">
        <f>predikcia!$K459</f>
        <v>4</v>
      </c>
      <c r="C24" s="23">
        <f>predikcia!$K460</f>
        <v>4</v>
      </c>
      <c r="D24" s="23">
        <f>predikcia!$K461</f>
        <v>4</v>
      </c>
      <c r="E24" s="23">
        <f>predikcia!$K462</f>
        <v>4</v>
      </c>
      <c r="F24" s="23">
        <f>predikcia!$K463</f>
        <v>6</v>
      </c>
      <c r="G24" s="23">
        <f>predikcia!$K464</f>
        <v>6</v>
      </c>
      <c r="H24" s="23">
        <f>predikcia!$K465</f>
        <v>6</v>
      </c>
      <c r="I24" s="23">
        <f>predikcia!$K466</f>
        <v>6</v>
      </c>
      <c r="J24" s="23">
        <f>predikcia!$K467</f>
        <v>6</v>
      </c>
      <c r="K24" s="23">
        <f>predikcia!$K468</f>
        <v>6</v>
      </c>
      <c r="L24" s="23">
        <f>predikcia!$K469</f>
        <v>6</v>
      </c>
      <c r="M24" s="23">
        <f>predikcia!$K470</f>
        <v>6</v>
      </c>
      <c r="N24" s="23">
        <f>predikcia!$K471</f>
        <v>6</v>
      </c>
      <c r="O24" s="23">
        <f>predikcia!$K472</f>
        <v>6</v>
      </c>
      <c r="P24" s="23">
        <f>predikcia!$K473</f>
        <v>6</v>
      </c>
      <c r="Q24" s="23">
        <f>predikcia!$K474</f>
        <v>6</v>
      </c>
      <c r="R24" s="23">
        <f>predikcia!$K475</f>
        <v>6</v>
      </c>
      <c r="S24" s="23">
        <f>predikcia!$K476</f>
        <v>6</v>
      </c>
      <c r="T24" s="23">
        <f>predikcia!$K477</f>
        <v>6</v>
      </c>
      <c r="U24" s="23">
        <f>predikcia!$K478</f>
        <v>6</v>
      </c>
      <c r="V24" s="23">
        <f>predikcia!$K479</f>
        <v>6</v>
      </c>
      <c r="W24" s="23">
        <f>predikcia!$K480</f>
        <v>6</v>
      </c>
      <c r="X24" s="23">
        <f>predikcia!$K481</f>
        <v>5</v>
      </c>
      <c r="Y24" s="23">
        <f>predikcia!$K482</f>
        <v>4</v>
      </c>
      <c r="Z24" s="21">
        <f t="shared" si="0"/>
        <v>133</v>
      </c>
    </row>
    <row r="25" spans="1:26">
      <c r="A25" s="22" t="s">
        <v>196</v>
      </c>
      <c r="B25" s="23">
        <f>predikcia!$K483</f>
        <v>4</v>
      </c>
      <c r="C25" s="23">
        <f>predikcia!$K484</f>
        <v>4</v>
      </c>
      <c r="D25" s="23">
        <f>predikcia!$K485</f>
        <v>4</v>
      </c>
      <c r="E25" s="23">
        <f>predikcia!$K486</f>
        <v>4</v>
      </c>
      <c r="F25" s="23">
        <f>predikcia!$K487</f>
        <v>6</v>
      </c>
      <c r="G25" s="23">
        <f>predikcia!$K488</f>
        <v>6</v>
      </c>
      <c r="H25" s="23">
        <f>predikcia!$K489</f>
        <v>6</v>
      </c>
      <c r="I25" s="23">
        <f>predikcia!$K490</f>
        <v>6</v>
      </c>
      <c r="J25" s="23">
        <f>predikcia!$K491</f>
        <v>6</v>
      </c>
      <c r="K25" s="23">
        <f>predikcia!$K492</f>
        <v>6</v>
      </c>
      <c r="L25" s="23">
        <f>predikcia!$K493</f>
        <v>6</v>
      </c>
      <c r="M25" s="23">
        <f>predikcia!$K494</f>
        <v>6</v>
      </c>
      <c r="N25" s="23">
        <f>predikcia!$K495</f>
        <v>5</v>
      </c>
      <c r="O25" s="23">
        <f>predikcia!$K496</f>
        <v>5</v>
      </c>
      <c r="P25" s="23">
        <f>predikcia!$K497</f>
        <v>5</v>
      </c>
      <c r="Q25" s="23">
        <f>predikcia!$K498</f>
        <v>5</v>
      </c>
      <c r="R25" s="23">
        <f>predikcia!$K499</f>
        <v>6</v>
      </c>
      <c r="S25" s="23">
        <f>predikcia!$K500</f>
        <v>6</v>
      </c>
      <c r="T25" s="23">
        <f>predikcia!$K501</f>
        <v>6</v>
      </c>
      <c r="U25" s="23">
        <f>predikcia!$K502</f>
        <v>6</v>
      </c>
      <c r="V25" s="23">
        <f>predikcia!$K503</f>
        <v>6</v>
      </c>
      <c r="W25" s="23">
        <f>predikcia!$K504</f>
        <v>6</v>
      </c>
      <c r="X25" s="23">
        <f>predikcia!$K505</f>
        <v>5</v>
      </c>
      <c r="Y25" s="23">
        <f>predikcia!$K506</f>
        <v>4</v>
      </c>
      <c r="Z25" s="21">
        <f t="shared" si="0"/>
        <v>129</v>
      </c>
    </row>
    <row r="26" spans="1:26">
      <c r="A26" s="22" t="s">
        <v>197</v>
      </c>
      <c r="B26" s="23">
        <f>predikcia!$K507</f>
        <v>4</v>
      </c>
      <c r="C26" s="23">
        <f>predikcia!$K508</f>
        <v>4</v>
      </c>
      <c r="D26" s="23">
        <f>predikcia!$K509</f>
        <v>4</v>
      </c>
      <c r="E26" s="23">
        <f>predikcia!$K510</f>
        <v>4</v>
      </c>
      <c r="F26" s="23">
        <f>predikcia!$K511</f>
        <v>6</v>
      </c>
      <c r="G26" s="23">
        <f>predikcia!$K512</f>
        <v>6</v>
      </c>
      <c r="H26" s="23">
        <f>predikcia!$K513</f>
        <v>6</v>
      </c>
      <c r="I26" s="23">
        <f>predikcia!$K514</f>
        <v>6</v>
      </c>
      <c r="J26" s="23">
        <f>predikcia!$K515</f>
        <v>6</v>
      </c>
      <c r="K26" s="23">
        <f>predikcia!$K516</f>
        <v>6</v>
      </c>
      <c r="L26" s="23">
        <f>predikcia!$K517</f>
        <v>6</v>
      </c>
      <c r="M26" s="23">
        <f>predikcia!$K518</f>
        <v>6</v>
      </c>
      <c r="N26" s="23">
        <f>predikcia!$K519</f>
        <v>6</v>
      </c>
      <c r="O26" s="23">
        <f>predikcia!$K520</f>
        <v>5</v>
      </c>
      <c r="P26" s="23">
        <f>predikcia!$K521</f>
        <v>5</v>
      </c>
      <c r="Q26" s="23">
        <f>predikcia!$K522</f>
        <v>5</v>
      </c>
      <c r="R26" s="23">
        <f>predikcia!$K523</f>
        <v>6</v>
      </c>
      <c r="S26" s="23">
        <f>predikcia!$K524</f>
        <v>6</v>
      </c>
      <c r="T26" s="23">
        <f>predikcia!$K525</f>
        <v>6</v>
      </c>
      <c r="U26" s="23">
        <f>predikcia!$K526</f>
        <v>6</v>
      </c>
      <c r="V26" s="23">
        <f>predikcia!$K527</f>
        <v>6</v>
      </c>
      <c r="W26" s="23">
        <f>predikcia!$K528</f>
        <v>6</v>
      </c>
      <c r="X26" s="23">
        <f>predikcia!$K529</f>
        <v>5</v>
      </c>
      <c r="Y26" s="23">
        <f>predikcia!$K530</f>
        <v>4</v>
      </c>
      <c r="Z26" s="21">
        <f t="shared" si="0"/>
        <v>130</v>
      </c>
    </row>
    <row r="27" spans="1:26">
      <c r="A27" s="22" t="s">
        <v>198</v>
      </c>
      <c r="B27" s="23">
        <f>predikcia!$K531</f>
        <v>3</v>
      </c>
      <c r="C27" s="23">
        <f>predikcia!$K532</f>
        <v>3</v>
      </c>
      <c r="D27" s="23">
        <f>predikcia!$K533</f>
        <v>4</v>
      </c>
      <c r="E27" s="23">
        <f>predikcia!$K534</f>
        <v>4</v>
      </c>
      <c r="F27" s="23">
        <f>predikcia!$K535</f>
        <v>6</v>
      </c>
      <c r="G27" s="23">
        <f>predikcia!$K536</f>
        <v>6</v>
      </c>
      <c r="H27" s="23">
        <f>predikcia!$K537</f>
        <v>6</v>
      </c>
      <c r="I27" s="23">
        <f>predikcia!$K538</f>
        <v>6</v>
      </c>
      <c r="J27" s="23">
        <f>predikcia!$K539</f>
        <v>6</v>
      </c>
      <c r="K27" s="23">
        <f>predikcia!$K540</f>
        <v>6</v>
      </c>
      <c r="L27" s="23">
        <f>predikcia!$K541</f>
        <v>6</v>
      </c>
      <c r="M27" s="23">
        <f>predikcia!$K542</f>
        <v>5</v>
      </c>
      <c r="N27" s="23">
        <f>predikcia!$K543</f>
        <v>5</v>
      </c>
      <c r="O27" s="23">
        <f>predikcia!$K544</f>
        <v>5</v>
      </c>
      <c r="P27" s="23">
        <f>predikcia!$K545</f>
        <v>5</v>
      </c>
      <c r="Q27" s="23">
        <f>predikcia!$K546</f>
        <v>5</v>
      </c>
      <c r="R27" s="23">
        <f>predikcia!$K547</f>
        <v>6</v>
      </c>
      <c r="S27" s="23">
        <f>predikcia!$K548</f>
        <v>6</v>
      </c>
      <c r="T27" s="23">
        <f>predikcia!$K549</f>
        <v>6</v>
      </c>
      <c r="U27" s="23">
        <f>predikcia!$K550</f>
        <v>6</v>
      </c>
      <c r="V27" s="23">
        <f>predikcia!$K551</f>
        <v>6</v>
      </c>
      <c r="W27" s="23">
        <f>predikcia!$K552</f>
        <v>6</v>
      </c>
      <c r="X27" s="23">
        <f>predikcia!$K553</f>
        <v>5</v>
      </c>
      <c r="Y27" s="23">
        <f>predikcia!$K554</f>
        <v>4</v>
      </c>
      <c r="Z27" s="21">
        <f t="shared" si="0"/>
        <v>126</v>
      </c>
    </row>
    <row r="28" spans="1:26">
      <c r="A28" s="22" t="s">
        <v>199</v>
      </c>
      <c r="B28" s="23">
        <f>predikcia!$K555</f>
        <v>3</v>
      </c>
      <c r="C28" s="23">
        <f>predikcia!$K556</f>
        <v>4</v>
      </c>
      <c r="D28" s="23">
        <f>predikcia!$K557</f>
        <v>4</v>
      </c>
      <c r="E28" s="23">
        <f>predikcia!$K558</f>
        <v>4</v>
      </c>
      <c r="F28" s="23">
        <f>predikcia!$K559</f>
        <v>5</v>
      </c>
      <c r="G28" s="23">
        <f>predikcia!$K560</f>
        <v>6</v>
      </c>
      <c r="H28" s="23">
        <f>predikcia!$K561</f>
        <v>6</v>
      </c>
      <c r="I28" s="23">
        <f>predikcia!$K562</f>
        <v>6</v>
      </c>
      <c r="J28" s="23">
        <f>predikcia!$K563</f>
        <v>6</v>
      </c>
      <c r="K28" s="23">
        <f>predikcia!$K564</f>
        <v>6</v>
      </c>
      <c r="L28" s="23">
        <f>predikcia!$K565</f>
        <v>6</v>
      </c>
      <c r="M28" s="23">
        <f>predikcia!$K566</f>
        <v>5</v>
      </c>
      <c r="N28" s="23">
        <f>predikcia!$K567</f>
        <v>5</v>
      </c>
      <c r="O28" s="23">
        <f>predikcia!$K568</f>
        <v>5</v>
      </c>
      <c r="P28" s="23">
        <f>predikcia!$K569</f>
        <v>5</v>
      </c>
      <c r="Q28" s="23">
        <f>predikcia!$K570</f>
        <v>5</v>
      </c>
      <c r="R28" s="23">
        <f>predikcia!$K571</f>
        <v>6</v>
      </c>
      <c r="S28" s="23">
        <f>predikcia!$K572</f>
        <v>6</v>
      </c>
      <c r="T28" s="23">
        <f>predikcia!$K573</f>
        <v>6</v>
      </c>
      <c r="U28" s="23">
        <f>predikcia!$K574</f>
        <v>6</v>
      </c>
      <c r="V28" s="23">
        <f>predikcia!$K575</f>
        <v>6</v>
      </c>
      <c r="W28" s="23">
        <f>predikcia!$K576</f>
        <v>6</v>
      </c>
      <c r="X28" s="23">
        <f>predikcia!$K577</f>
        <v>5</v>
      </c>
      <c r="Y28" s="23">
        <f>predikcia!$K578</f>
        <v>3</v>
      </c>
      <c r="Z28" s="21">
        <f t="shared" si="0"/>
        <v>125</v>
      </c>
    </row>
    <row r="29" spans="1:26">
      <c r="A29" s="22" t="s">
        <v>200</v>
      </c>
      <c r="B29" s="23">
        <f>predikcia!$K579</f>
        <v>4</v>
      </c>
      <c r="C29" s="23">
        <f>predikcia!$K580</f>
        <v>4</v>
      </c>
      <c r="D29" s="23">
        <f>predikcia!$K581</f>
        <v>4</v>
      </c>
      <c r="E29" s="23">
        <f>predikcia!$K582</f>
        <v>4</v>
      </c>
      <c r="F29" s="23">
        <f>predikcia!$K583</f>
        <v>6</v>
      </c>
      <c r="G29" s="23">
        <f>predikcia!$K584</f>
        <v>6</v>
      </c>
      <c r="H29" s="23">
        <f>predikcia!$K585</f>
        <v>6</v>
      </c>
      <c r="I29" s="23">
        <f>predikcia!$K586</f>
        <v>6</v>
      </c>
      <c r="J29" s="23">
        <f>predikcia!$K587</f>
        <v>6</v>
      </c>
      <c r="K29" s="23">
        <f>predikcia!$K588</f>
        <v>6</v>
      </c>
      <c r="L29" s="23">
        <f>predikcia!$K589</f>
        <v>6</v>
      </c>
      <c r="M29" s="23">
        <f>predikcia!$K590</f>
        <v>6</v>
      </c>
      <c r="N29" s="23">
        <f>predikcia!$K591</f>
        <v>6</v>
      </c>
      <c r="O29" s="23">
        <f>predikcia!$K592</f>
        <v>6</v>
      </c>
      <c r="P29" s="23">
        <f>predikcia!$K593</f>
        <v>6</v>
      </c>
      <c r="Q29" s="23">
        <f>predikcia!$K594</f>
        <v>6</v>
      </c>
      <c r="R29" s="23">
        <f>predikcia!$K595</f>
        <v>6</v>
      </c>
      <c r="S29" s="23">
        <f>predikcia!$K596</f>
        <v>6</v>
      </c>
      <c r="T29" s="23">
        <f>predikcia!$K597</f>
        <v>6</v>
      </c>
      <c r="U29" s="23">
        <f>predikcia!$K598</f>
        <v>6</v>
      </c>
      <c r="V29" s="23">
        <f>predikcia!$K599</f>
        <v>6</v>
      </c>
      <c r="W29" s="23">
        <f>predikcia!$K600</f>
        <v>6</v>
      </c>
      <c r="X29" s="23">
        <f>predikcia!$K601</f>
        <v>5</v>
      </c>
      <c r="Y29" s="23">
        <f>predikcia!$K602</f>
        <v>4</v>
      </c>
      <c r="Z29" s="21">
        <f t="shared" si="0"/>
        <v>133</v>
      </c>
    </row>
    <row r="30" spans="1:26">
      <c r="A30" s="22" t="s">
        <v>201</v>
      </c>
      <c r="B30" s="23">
        <f>predikcia!$K603</f>
        <v>4</v>
      </c>
      <c r="C30" s="23">
        <f>predikcia!$K604</f>
        <v>4</v>
      </c>
      <c r="D30" s="23">
        <f>predikcia!$K605</f>
        <v>4</v>
      </c>
      <c r="E30" s="23">
        <f>predikcia!$K606</f>
        <v>4</v>
      </c>
      <c r="F30" s="23">
        <f>predikcia!$K607</f>
        <v>6</v>
      </c>
      <c r="G30" s="23">
        <f>predikcia!$K608</f>
        <v>6</v>
      </c>
      <c r="H30" s="23">
        <f>predikcia!$K609</f>
        <v>6</v>
      </c>
      <c r="I30" s="23">
        <f>predikcia!$K610</f>
        <v>6</v>
      </c>
      <c r="J30" s="23">
        <f>predikcia!$K611</f>
        <v>6</v>
      </c>
      <c r="K30" s="23">
        <f>predikcia!$K612</f>
        <v>6</v>
      </c>
      <c r="L30" s="23">
        <f>predikcia!$K613</f>
        <v>6</v>
      </c>
      <c r="M30" s="23">
        <f>predikcia!$K614</f>
        <v>5</v>
      </c>
      <c r="N30" s="23">
        <f>predikcia!$K615</f>
        <v>6</v>
      </c>
      <c r="O30" s="23">
        <f>predikcia!$K616</f>
        <v>6</v>
      </c>
      <c r="P30" s="23">
        <f>predikcia!$K617</f>
        <v>5</v>
      </c>
      <c r="Q30" s="23">
        <f>predikcia!$K618</f>
        <v>6</v>
      </c>
      <c r="R30" s="23">
        <f>predikcia!$K619</f>
        <v>6</v>
      </c>
      <c r="S30" s="23">
        <f>predikcia!$K620</f>
        <v>6</v>
      </c>
      <c r="T30" s="23">
        <f>predikcia!$K621</f>
        <v>6</v>
      </c>
      <c r="U30" s="23">
        <f>predikcia!$K622</f>
        <v>6</v>
      </c>
      <c r="V30" s="23">
        <f>predikcia!$K623</f>
        <v>6</v>
      </c>
      <c r="W30" s="23">
        <f>predikcia!$K624</f>
        <v>6</v>
      </c>
      <c r="X30" s="23">
        <f>predikcia!$K625</f>
        <v>5</v>
      </c>
      <c r="Y30" s="23">
        <f>predikcia!$K626</f>
        <v>4</v>
      </c>
      <c r="Z30" s="21">
        <f t="shared" si="0"/>
        <v>131</v>
      </c>
    </row>
    <row r="31" spans="1:26">
      <c r="A31" s="22" t="s">
        <v>202</v>
      </c>
      <c r="B31" s="23">
        <f>predikcia!$K627</f>
        <v>4</v>
      </c>
      <c r="C31" s="23">
        <f>predikcia!$K628</f>
        <v>4</v>
      </c>
      <c r="D31" s="23">
        <f>predikcia!$K629</f>
        <v>4</v>
      </c>
      <c r="E31" s="23">
        <f>predikcia!$K630</f>
        <v>5</v>
      </c>
      <c r="F31" s="23">
        <f>predikcia!$K631</f>
        <v>6</v>
      </c>
      <c r="G31" s="23">
        <f>predikcia!$K632</f>
        <v>6</v>
      </c>
      <c r="H31" s="23">
        <f>predikcia!$K633</f>
        <v>6</v>
      </c>
      <c r="I31" s="23">
        <f>predikcia!$K634</f>
        <v>6</v>
      </c>
      <c r="J31" s="23">
        <f>predikcia!$K635</f>
        <v>6</v>
      </c>
      <c r="K31" s="23">
        <f>predikcia!$K636</f>
        <v>6</v>
      </c>
      <c r="L31" s="23">
        <f>predikcia!$K637</f>
        <v>6</v>
      </c>
      <c r="M31" s="23">
        <f>predikcia!$K638</f>
        <v>6</v>
      </c>
      <c r="N31" s="23">
        <f>predikcia!$K639</f>
        <v>6</v>
      </c>
      <c r="O31" s="23">
        <f>predikcia!$K640</f>
        <v>5</v>
      </c>
      <c r="P31" s="23">
        <f>predikcia!$K641</f>
        <v>6</v>
      </c>
      <c r="Q31" s="23">
        <f>predikcia!$K642</f>
        <v>6</v>
      </c>
      <c r="R31" s="23">
        <f>predikcia!$K643</f>
        <v>6</v>
      </c>
      <c r="S31" s="23">
        <f>predikcia!$K644</f>
        <v>6</v>
      </c>
      <c r="T31" s="23">
        <f>predikcia!$K645</f>
        <v>6</v>
      </c>
      <c r="U31" s="23">
        <f>predikcia!$K646</f>
        <v>6</v>
      </c>
      <c r="V31" s="23">
        <f>predikcia!$K647</f>
        <v>6</v>
      </c>
      <c r="W31" s="23">
        <f>predikcia!$K648</f>
        <v>6</v>
      </c>
      <c r="X31" s="23">
        <f>predikcia!$K649</f>
        <v>5</v>
      </c>
      <c r="Y31" s="23">
        <f>predikcia!$K650</f>
        <v>3</v>
      </c>
      <c r="Z31" s="21">
        <f t="shared" si="0"/>
        <v>132</v>
      </c>
    </row>
    <row r="32" spans="1:26">
      <c r="A32" s="22" t="s">
        <v>203</v>
      </c>
      <c r="B32" s="23">
        <f>predikcia!$K651</f>
        <v>4</v>
      </c>
      <c r="C32" s="23">
        <f>predikcia!$K652</f>
        <v>4</v>
      </c>
      <c r="D32" s="23">
        <f>predikcia!$K653</f>
        <v>4</v>
      </c>
      <c r="E32" s="23">
        <f>predikcia!$K654</f>
        <v>4</v>
      </c>
      <c r="F32" s="23">
        <f>predikcia!$K655</f>
        <v>6</v>
      </c>
      <c r="G32" s="23">
        <f>predikcia!$K656</f>
        <v>6</v>
      </c>
      <c r="H32" s="23">
        <f>predikcia!$K657</f>
        <v>6</v>
      </c>
      <c r="I32" s="23">
        <f>predikcia!$K658</f>
        <v>6</v>
      </c>
      <c r="J32" s="23">
        <f>predikcia!$K659</f>
        <v>6</v>
      </c>
      <c r="K32" s="23">
        <f>predikcia!$K660</f>
        <v>6</v>
      </c>
      <c r="L32" s="23">
        <f>predikcia!$K661</f>
        <v>6</v>
      </c>
      <c r="M32" s="23">
        <f>predikcia!$K662</f>
        <v>6</v>
      </c>
      <c r="N32" s="23">
        <f>predikcia!$K663</f>
        <v>5</v>
      </c>
      <c r="O32" s="23">
        <f>predikcia!$K664</f>
        <v>5</v>
      </c>
      <c r="P32" s="23">
        <f>predikcia!$K665</f>
        <v>5</v>
      </c>
      <c r="Q32" s="23">
        <f>predikcia!$K666</f>
        <v>5</v>
      </c>
      <c r="R32" s="23">
        <f>predikcia!$K667</f>
        <v>6</v>
      </c>
      <c r="S32" s="23">
        <f>predikcia!$K668</f>
        <v>6</v>
      </c>
      <c r="T32" s="23">
        <f>predikcia!$K669</f>
        <v>6</v>
      </c>
      <c r="U32" s="23">
        <f>predikcia!$K670</f>
        <v>6</v>
      </c>
      <c r="V32" s="23">
        <f>predikcia!$K671</f>
        <v>6</v>
      </c>
      <c r="W32" s="23">
        <f>predikcia!$K672</f>
        <v>6</v>
      </c>
      <c r="X32" s="23">
        <f>predikcia!$K673</f>
        <v>5</v>
      </c>
      <c r="Y32" s="23">
        <f>predikcia!$K674</f>
        <v>3</v>
      </c>
      <c r="Z32" s="21">
        <f t="shared" si="0"/>
        <v>128</v>
      </c>
    </row>
    <row r="33" spans="1:26">
      <c r="A33" s="22" t="s">
        <v>204</v>
      </c>
      <c r="B33" s="23">
        <f>predikcia!$K675</f>
        <v>3</v>
      </c>
      <c r="C33" s="23">
        <f>predikcia!$K676</f>
        <v>4</v>
      </c>
      <c r="D33" s="23">
        <f>predikcia!$K677</f>
        <v>4</v>
      </c>
      <c r="E33" s="23">
        <f>predikcia!$K678</f>
        <v>5</v>
      </c>
      <c r="F33" s="23">
        <f>predikcia!$K679</f>
        <v>6</v>
      </c>
      <c r="G33" s="23">
        <f>predikcia!$K680</f>
        <v>6</v>
      </c>
      <c r="H33" s="23">
        <f>predikcia!$K681</f>
        <v>6</v>
      </c>
      <c r="I33" s="23">
        <f>predikcia!$K682</f>
        <v>6</v>
      </c>
      <c r="J33" s="23">
        <f>predikcia!$K683</f>
        <v>6</v>
      </c>
      <c r="K33" s="23">
        <f>predikcia!$K684</f>
        <v>6</v>
      </c>
      <c r="L33" s="23">
        <f>predikcia!$K685</f>
        <v>6</v>
      </c>
      <c r="M33" s="23">
        <f>predikcia!$K686</f>
        <v>5</v>
      </c>
      <c r="N33" s="23">
        <f>predikcia!$K687</f>
        <v>6</v>
      </c>
      <c r="O33" s="23">
        <f>predikcia!$K688</f>
        <v>6</v>
      </c>
      <c r="P33" s="23">
        <f>predikcia!$K689</f>
        <v>5</v>
      </c>
      <c r="Q33" s="23">
        <f>predikcia!$K690</f>
        <v>5</v>
      </c>
      <c r="R33" s="23">
        <f>predikcia!$K691</f>
        <v>6</v>
      </c>
      <c r="S33" s="23">
        <f>predikcia!$K692</f>
        <v>6</v>
      </c>
      <c r="T33" s="23">
        <f>predikcia!$K693</f>
        <v>6</v>
      </c>
      <c r="U33" s="23">
        <f>predikcia!$K694</f>
        <v>6</v>
      </c>
      <c r="V33" s="23">
        <f>predikcia!$K695</f>
        <v>6</v>
      </c>
      <c r="W33" s="23">
        <f>predikcia!$K696</f>
        <v>6</v>
      </c>
      <c r="X33" s="23">
        <f>predikcia!$K697</f>
        <v>5</v>
      </c>
      <c r="Y33" s="23">
        <f>predikcia!$K698</f>
        <v>4</v>
      </c>
      <c r="Z33" s="21">
        <f t="shared" si="0"/>
        <v>130</v>
      </c>
    </row>
    <row r="34" spans="1:26">
      <c r="A34" s="22" t="s">
        <v>205</v>
      </c>
      <c r="B34" s="23">
        <f>predikcia!$K699</f>
        <v>4</v>
      </c>
      <c r="C34" s="23">
        <f>predikcia!$K700</f>
        <v>4</v>
      </c>
      <c r="D34" s="23">
        <f>predikcia!$K701</f>
        <v>4</v>
      </c>
      <c r="E34" s="23">
        <f>predikcia!$K702</f>
        <v>4</v>
      </c>
      <c r="F34" s="23">
        <f>predikcia!$K703</f>
        <v>6</v>
      </c>
      <c r="G34" s="23">
        <f>predikcia!$K704</f>
        <v>6</v>
      </c>
      <c r="H34" s="23">
        <f>predikcia!$K705</f>
        <v>6</v>
      </c>
      <c r="I34" s="23">
        <f>predikcia!$K706</f>
        <v>6</v>
      </c>
      <c r="J34" s="23">
        <f>predikcia!$K707</f>
        <v>6</v>
      </c>
      <c r="K34" s="23">
        <f>predikcia!$K708</f>
        <v>6</v>
      </c>
      <c r="L34" s="23">
        <f>predikcia!$K709</f>
        <v>6</v>
      </c>
      <c r="M34" s="23">
        <f>predikcia!$K710</f>
        <v>5</v>
      </c>
      <c r="N34" s="23">
        <f>predikcia!$K711</f>
        <v>5</v>
      </c>
      <c r="O34" s="23">
        <f>predikcia!$K712</f>
        <v>5</v>
      </c>
      <c r="P34" s="23">
        <f>predikcia!$K713</f>
        <v>5</v>
      </c>
      <c r="Q34" s="23">
        <f>predikcia!$K714</f>
        <v>6</v>
      </c>
      <c r="R34" s="23">
        <f>predikcia!$K715</f>
        <v>6</v>
      </c>
      <c r="S34" s="23">
        <f>predikcia!$K716</f>
        <v>6</v>
      </c>
      <c r="T34" s="23">
        <f>predikcia!$K717</f>
        <v>6</v>
      </c>
      <c r="U34" s="23">
        <f>predikcia!$K718</f>
        <v>6</v>
      </c>
      <c r="V34" s="23">
        <f>predikcia!$K719</f>
        <v>6</v>
      </c>
      <c r="W34" s="23">
        <f>predikcia!$K720</f>
        <v>6</v>
      </c>
      <c r="X34" s="23">
        <f>predikcia!$K721</f>
        <v>5</v>
      </c>
      <c r="Y34" s="23">
        <f>predikcia!$K722</f>
        <v>4</v>
      </c>
      <c r="Z34" s="21">
        <f t="shared" si="0"/>
        <v>129</v>
      </c>
    </row>
    <row r="35" spans="1:26">
      <c r="A35" s="22" t="s">
        <v>206</v>
      </c>
      <c r="B35" s="23">
        <f>predikcia!$K723</f>
        <v>4</v>
      </c>
      <c r="C35" s="23">
        <f>predikcia!$K724</f>
        <v>4</v>
      </c>
      <c r="D35" s="23">
        <f>predikcia!$K725</f>
        <v>5</v>
      </c>
      <c r="E35" s="23">
        <f>predikcia!$K726</f>
        <v>5</v>
      </c>
      <c r="F35" s="23">
        <f>predikcia!$K727</f>
        <v>6</v>
      </c>
      <c r="G35" s="23">
        <f>predikcia!$K728</f>
        <v>6</v>
      </c>
      <c r="H35" s="23">
        <f>predikcia!$K729</f>
        <v>6</v>
      </c>
      <c r="I35" s="23">
        <f>predikcia!$K730</f>
        <v>6</v>
      </c>
      <c r="J35" s="23">
        <f>predikcia!$K731</f>
        <v>6</v>
      </c>
      <c r="K35" s="23">
        <f>predikcia!$K732</f>
        <v>6</v>
      </c>
      <c r="L35" s="23">
        <f>predikcia!$K733</f>
        <v>6</v>
      </c>
      <c r="M35" s="23">
        <f>predikcia!$K734</f>
        <v>5</v>
      </c>
      <c r="N35" s="23">
        <f>predikcia!$K735</f>
        <v>6</v>
      </c>
      <c r="O35" s="23">
        <f>predikcia!$K736</f>
        <v>5</v>
      </c>
      <c r="P35" s="23">
        <f>predikcia!$K737</f>
        <v>5</v>
      </c>
      <c r="Q35" s="23">
        <f>predikcia!$K738</f>
        <v>5</v>
      </c>
      <c r="R35" s="23">
        <f>predikcia!$K739</f>
        <v>6</v>
      </c>
      <c r="S35" s="23">
        <f>predikcia!$K740</f>
        <v>6</v>
      </c>
      <c r="T35" s="23">
        <f>predikcia!$K741</f>
        <v>6</v>
      </c>
      <c r="U35" s="23">
        <f>predikcia!$K742</f>
        <v>6</v>
      </c>
      <c r="V35" s="23">
        <f>predikcia!$K743</f>
        <v>6</v>
      </c>
      <c r="W35" s="23">
        <f>predikcia!$K744</f>
        <v>6</v>
      </c>
      <c r="X35" s="23">
        <f>predikcia!$K745</f>
        <v>6</v>
      </c>
      <c r="Y35" s="23">
        <f>predikcia!$K746</f>
        <v>4</v>
      </c>
      <c r="Z35" s="21">
        <f t="shared" si="0"/>
        <v>132</v>
      </c>
    </row>
  </sheetData>
  <mergeCells count="2">
    <mergeCell ref="A1:Z1"/>
    <mergeCell ref="B3:Y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9</vt:i4>
      </vt:variant>
    </vt:vector>
  </HeadingPairs>
  <TitlesOfParts>
    <vt:vector size="9" baseType="lpstr">
      <vt:lpstr>Porovnanie</vt:lpstr>
      <vt:lpstr>predikcia</vt:lpstr>
      <vt:lpstr>DHS20</vt:lpstr>
      <vt:lpstr>DHS21</vt:lpstr>
      <vt:lpstr>DHS23</vt:lpstr>
      <vt:lpstr>DHS24</vt:lpstr>
      <vt:lpstr>DHS25</vt:lpstr>
      <vt:lpstr>kalkulácia leto</vt:lpstr>
      <vt:lpstr>Hárok1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Uzivatel</dc:creator>
  <cp:lastModifiedBy>Používateľ systému Windows</cp:lastModifiedBy>
  <cp:revision>0</cp:revision>
  <cp:lastPrinted>2024-12-20T09:37:36Z</cp:lastPrinted>
  <dcterms:created xsi:type="dcterms:W3CDTF">2024-12-18T12:30:44Z</dcterms:created>
  <dcterms:modified xsi:type="dcterms:W3CDTF">2025-02-03T11:21:58Z</dcterms:modified>
  <dc:language>de-AT</dc:language>
</cp:coreProperties>
</file>